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6" activeTab="10" autoFilterDateGrouping="1"/>
  </bookViews>
  <sheets>
    <sheet name="Dashboard" sheetId="1" state="visible" r:id="rId1"/>
    <sheet name="Conciliacion_Auditoria" sheetId="2" state="visible" r:id="rId2"/>
    <sheet name="Captura_Pegaso" sheetId="3" state="visible" r:id="rId3"/>
    <sheet name="Captura_Obra" sheetId="4" state="visible" r:id="rId4"/>
    <sheet name="Captura_Marimba_M01" sheetId="5" state="visible" r:id="rId5"/>
    <sheet name="Captura_Jalisco" sheetId="6" state="visible" r:id="rId6"/>
    <sheet name="Solicitudes" sheetId="7" state="visible" r:id="rId7"/>
    <sheet name="Captura_Horas" sheetId="8" state="visible" r:id="rId8"/>
    <sheet name="Catalogos" sheetId="9" state="visible" r:id="rId9"/>
    <sheet name="Maquinaria_Inventario" sheetId="10" state="visible" r:id="rId10"/>
    <sheet name="Captura_Facturas_Mobil" sheetId="11" state="visible" r:id="rId11"/>
    <sheet name="Dashboard_Ejecutivo" sheetId="12" state="visible" r:id="rId12"/>
    <sheet name="Estados_Cuenta_Mobil" sheetId="13" state="visible" r:id="rId13"/>
    <sheet name="Captura_Gasolina" sheetId="14" state="visible" r:id="rId14"/>
    <sheet name="Resumen_Ejecutivo" sheetId="15" state="visible" r:id="rId15"/>
  </sheets>
  <definedNames>
    <definedName name="_xlnm.Print_Area" localSheetId="0">'Dashboard'!$A$1:$M$88</definedName>
    <definedName name="_xlnm._FilterDatabase" localSheetId="1" hidden="1">'Conciliacion_Auditoria'!$A$3:$H$1000</definedName>
    <definedName name="_xlnm._FilterDatabase" localSheetId="10" hidden="1">'Captura_Facturas_Mobil'!$A$4:$N$55</definedName>
    <definedName name="_xlnm._FilterDatabase" localSheetId="11" hidden="1">'Dashboard_Ejecutivo'!$A$121:$J$183</definedName>
    <definedName name="_xlnm._FilterDatabase" localSheetId="12" hidden="1">'Estados_Cuenta_Mobil'!$A$4:$K$47</definedName>
  </definedNames>
  <calcPr calcId="191029" fullCalcOnLoad="1"/>
</workbook>
</file>

<file path=xl/styles.xml><?xml version="1.0" encoding="utf-8"?>
<styleSheet xmlns="http://schemas.openxmlformats.org/spreadsheetml/2006/main">
  <numFmts count="8">
    <numFmt numFmtId="164" formatCode="\$#,##0.00"/>
    <numFmt numFmtId="165" formatCode="yyyy\-mm\-dd"/>
    <numFmt numFmtId="166" formatCode="&quot;$&quot;#,##0.00"/>
    <numFmt numFmtId="167" formatCode="&quot;$&quot;#,##0.0000"/>
    <numFmt numFmtId="168" formatCode="#,##0.000"/>
    <numFmt numFmtId="169" formatCode="0.0%"/>
    <numFmt numFmtId="170" formatCode="#,##0.0"/>
    <numFmt numFmtId="171" formatCode="yyyy-mm-dd h:mm:ss"/>
  </numFmts>
  <fonts count="17683">
    <font>
      <name val="Carlito"/>
      <sz val="11"/>
    </font>
    <font>
      <name val="Calibri"/>
      <family val="2"/>
      <color theme="1"/>
      <sz val="11"/>
      <scheme val="minor"/>
    </font>
    <font>
      <name val="Carlito"/>
      <b val="1"/>
      <color rgb="FFFFFFFF"/>
      <sz val="14"/>
    </font>
    <font>
      <name val="Carlito"/>
      <b val="1"/>
      <color rgb="FFFFFFFF"/>
      <sz val="11"/>
    </font>
    <font>
      <name val="Segoe UI"/>
      <family val="2"/>
      <b val="1"/>
      <sz val="11"/>
    </font>
    <font>
      <name val="Segoe UI"/>
      <family val="2"/>
      <b val="1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b val="1"/>
      <color rgb="FFFFFFFF"/>
      <sz val="14"/>
    </font>
    <font>
      <name val="Segoe UI"/>
      <family val="2"/>
      <b val="1"/>
      <sz val="11"/>
    </font>
    <font>
      <name val="Segoe UI"/>
      <family val="2"/>
      <b val="1"/>
      <sz val="11"/>
    </font>
    <font>
      <name val="Segoe UI"/>
      <family val="2"/>
      <b val="1"/>
      <sz val="11"/>
    </font>
    <font>
      <name val="Segoe UI"/>
      <family val="2"/>
      <b val="1"/>
      <sz val="11"/>
    </font>
    <font>
      <name val="Segoe UI"/>
      <family val="2"/>
      <b val="1"/>
      <sz val="11"/>
    </font>
    <font>
      <name val="Segoe UI"/>
      <family val="2"/>
      <b val="1"/>
      <sz val="11"/>
    </font>
    <font>
      <name val="Segoe UI"/>
      <family val="2"/>
      <b val="1"/>
      <sz val="11"/>
    </font>
    <font>
      <name val="Segoe UI"/>
      <family val="2"/>
      <b val="1"/>
      <sz val="11"/>
    </font>
    <font>
      <name val="Segoe UI"/>
      <family val="2"/>
      <b val="1"/>
      <sz val="11"/>
    </font>
    <font>
      <name val="Segoe UI"/>
      <family val="2"/>
      <b val="1"/>
      <sz val="11"/>
    </font>
    <font>
      <name val="Segoe UI"/>
      <family val="2"/>
      <b val="1"/>
      <sz val="11"/>
    </font>
    <font>
      <name val="Segoe UI"/>
      <family val="2"/>
      <b val="1"/>
      <sz val="14"/>
    </font>
    <font>
      <name val="Segoe UI"/>
      <family val="2"/>
      <b val="1"/>
      <sz val="11"/>
    </font>
    <font>
      <name val="Segoe UI"/>
      <family val="2"/>
      <b val="1"/>
      <color rgb="FFFFFFFF"/>
      <sz val="10"/>
    </font>
    <font>
      <name val="Segoe UI"/>
      <family val="2"/>
      <b val="1"/>
      <color rgb="FFFFFFFF"/>
      <sz val="10"/>
    </font>
    <font>
      <name val="Segoe UI"/>
      <family val="2"/>
      <b val="1"/>
      <color rgb="FFFFFFFF"/>
      <sz val="10"/>
    </font>
    <font>
      <name val="Segoe UI"/>
      <family val="2"/>
      <b val="1"/>
      <color rgb="FFFFFFFF"/>
      <sz val="10"/>
    </font>
    <font>
      <name val="Segoe UI"/>
      <family val="2"/>
      <b val="1"/>
      <color rgb="FFFFFFFF"/>
      <sz val="10"/>
    </font>
    <font>
      <name val="Segoe UI"/>
      <family val="2"/>
      <b val="1"/>
      <color rgb="FFFFFFFF"/>
      <sz val="10"/>
    </font>
    <font>
      <name val="Segoe UI"/>
      <family val="2"/>
      <b val="1"/>
      <color rgb="FFFFFFFF"/>
      <sz val="10"/>
    </font>
    <font>
      <name val="Segoe UI"/>
      <family val="2"/>
      <b val="1"/>
      <color rgb="FFFFFFFF"/>
      <sz val="10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b val="1"/>
      <sz val="11"/>
    </font>
    <font>
      <name val="Segoe UI"/>
      <family val="2"/>
      <b val="1"/>
      <sz val="11"/>
    </font>
    <font>
      <name val="Segoe UI"/>
      <family val="2"/>
      <b val="1"/>
      <sz val="11"/>
    </font>
    <font>
      <name val="Segoe UI"/>
      <family val="2"/>
      <b val="1"/>
      <sz val="11"/>
    </font>
    <font>
      <name val="Segoe UI"/>
      <family val="2"/>
      <b val="1"/>
      <sz val="11"/>
    </font>
    <font>
      <name val="Segoe UI"/>
      <family val="2"/>
      <b val="1"/>
      <sz val="11"/>
    </font>
    <font>
      <name val="Segoe UI"/>
      <family val="2"/>
      <b val="1"/>
      <sz val="11"/>
    </font>
    <font>
      <name val="Segoe UI"/>
      <family val="2"/>
      <b val="1"/>
      <sz val="11"/>
    </font>
    <font>
      <name val="Segoe UI"/>
      <family val="2"/>
      <b val="1"/>
      <sz val="11"/>
    </font>
    <font>
      <name val="Segoe UI"/>
      <family val="2"/>
      <b val="1"/>
      <color rgb="FFFFFFFF"/>
      <sz val="10"/>
    </font>
    <font>
      <name val="Segoe UI"/>
      <family val="2"/>
      <b val="1"/>
      <color rgb="FFFFFFFF"/>
      <sz val="10"/>
    </font>
    <font>
      <name val="Segoe UI"/>
      <family val="2"/>
      <b val="1"/>
      <color rgb="FFFFFFFF"/>
      <sz val="10"/>
    </font>
    <font>
      <name val="Segoe UI"/>
      <family val="2"/>
      <b val="1"/>
      <color rgb="FFFFFFFF"/>
      <sz val="10"/>
    </font>
    <font>
      <name val="Segoe UI"/>
      <family val="2"/>
      <b val="1"/>
      <color rgb="FFFFFFFF"/>
      <sz val="10"/>
    </font>
    <font>
      <name val="Segoe UI"/>
      <family val="2"/>
      <b val="1"/>
      <color rgb="FFFFFFFF"/>
      <sz val="10"/>
    </font>
    <font>
      <name val="Segoe UI"/>
      <family val="2"/>
      <b val="1"/>
      <color rgb="FFFFFFFF"/>
      <sz val="10"/>
    </font>
    <font>
      <name val="Segoe UI"/>
      <family val="2"/>
      <b val="1"/>
      <color rgb="FFFFFFFF"/>
      <sz val="10"/>
    </font>
    <font>
      <name val="Segoe UI"/>
      <family val="2"/>
      <b val="1"/>
      <color rgb="FFFFFFFF"/>
      <sz val="10"/>
    </font>
    <font>
      <name val="Segoe UI"/>
      <family val="2"/>
      <b val="1"/>
      <color rgb="FFFFFFFF"/>
      <sz val="10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b val="1"/>
      <sz val="11"/>
    </font>
    <font>
      <name val="Segoe UI"/>
      <family val="2"/>
      <b val="1"/>
      <sz val="11"/>
    </font>
    <font>
      <name val="Segoe UI"/>
      <family val="2"/>
      <b val="1"/>
      <sz val="11"/>
    </font>
    <font>
      <name val="Segoe UI"/>
      <family val="2"/>
      <b val="1"/>
      <sz val="11"/>
    </font>
    <font>
      <name val="Segoe UI"/>
      <family val="2"/>
      <b val="1"/>
      <sz val="11"/>
    </font>
    <font>
      <name val="Segoe UI"/>
      <family val="2"/>
      <b val="1"/>
      <sz val="11"/>
    </font>
    <font>
      <name val="Segoe UI"/>
      <family val="2"/>
      <b val="1"/>
      <sz val="11"/>
    </font>
    <font>
      <name val="Segoe UI"/>
      <family val="2"/>
      <b val="1"/>
      <sz val="11"/>
    </font>
    <font>
      <name val="Segoe UI"/>
      <family val="2"/>
      <b val="1"/>
      <sz val="11"/>
    </font>
    <font>
      <name val="Segoe UI"/>
      <family val="2"/>
      <b val="1"/>
      <sz val="11"/>
    </font>
    <font>
      <name val="Segoe UI"/>
      <family val="2"/>
      <b val="1"/>
      <sz val="11"/>
    </font>
    <font>
      <name val="Segoe UI"/>
      <family val="2"/>
      <b val="1"/>
      <color rgb="FFFFFFFF"/>
      <sz val="10"/>
    </font>
    <font>
      <name val="Segoe UI"/>
      <family val="2"/>
      <b val="1"/>
      <color rgb="FFFFFFFF"/>
      <sz val="10"/>
    </font>
    <font>
      <name val="Segoe UI"/>
      <family val="2"/>
      <b val="1"/>
      <color rgb="FFFFFFFF"/>
      <sz val="10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b val="1"/>
      <sz val="11"/>
    </font>
    <font>
      <name val="Segoe UI"/>
      <family val="2"/>
      <b val="1"/>
      <sz val="11"/>
    </font>
    <font>
      <name val="Segoe UI"/>
      <family val="2"/>
      <b val="1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b val="1"/>
      <sz val="11"/>
    </font>
    <font>
      <name val="Segoe UI"/>
      <family val="2"/>
      <b val="1"/>
      <sz val="11"/>
    </font>
    <font>
      <name val="Segoe UI"/>
      <family val="2"/>
      <b val="1"/>
      <sz val="11"/>
    </font>
    <font>
      <name val="Segoe UI"/>
      <family val="2"/>
      <b val="1"/>
      <sz val="11"/>
    </font>
    <font>
      <name val="Segoe UI"/>
      <family val="2"/>
      <b val="1"/>
      <sz val="11"/>
    </font>
    <font>
      <name val="Segoe UI"/>
      <family val="2"/>
      <b val="1"/>
      <color rgb="FFFFFFFF"/>
      <sz val="10"/>
    </font>
    <font>
      <name val="Segoe UI"/>
      <family val="2"/>
      <b val="1"/>
      <color rgb="FFFFFFFF"/>
      <sz val="10"/>
    </font>
    <font>
      <name val="Segoe UI"/>
      <family val="2"/>
      <b val="1"/>
      <color rgb="FFFFFFFF"/>
      <sz val="10"/>
    </font>
    <font>
      <name val="Segoe UI"/>
      <family val="2"/>
      <b val="1"/>
      <color rgb="FFFFFFFF"/>
      <sz val="10"/>
    </font>
    <font>
      <name val="Segoe UI"/>
      <family val="2"/>
      <b val="1"/>
      <color rgb="FFFFFFFF"/>
      <sz val="10"/>
    </font>
    <font>
      <name val="Segoe UI"/>
      <family val="2"/>
      <b val="1"/>
      <color rgb="FFFFFFFF"/>
      <sz val="10"/>
    </font>
    <font>
      <name val="Segoe UI"/>
      <family val="2"/>
      <b val="1"/>
      <color rgb="FFFFFFFF"/>
      <sz val="10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b val="1"/>
      <sz val="11"/>
    </font>
    <font>
      <name val="Segoe UI"/>
      <family val="2"/>
      <b val="1"/>
      <sz val="11"/>
    </font>
    <font>
      <name val="Segoe UI"/>
      <family val="2"/>
      <b val="1"/>
      <sz val="11"/>
    </font>
    <font>
      <name val="Segoe UI"/>
      <family val="2"/>
      <b val="1"/>
      <sz val="11"/>
    </font>
    <font>
      <name val="Segoe UI"/>
      <family val="2"/>
      <b val="1"/>
      <sz val="11"/>
    </font>
    <font>
      <name val="Segoe UI"/>
      <family val="2"/>
      <b val="1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b val="1"/>
      <sz val="11"/>
    </font>
    <font>
      <name val="Segoe UI"/>
      <family val="2"/>
      <b val="1"/>
      <sz val="11"/>
    </font>
    <font>
      <name val="Segoe UI"/>
      <family val="2"/>
      <b val="1"/>
      <sz val="11"/>
    </font>
    <font>
      <name val="Segoe UI"/>
      <family val="2"/>
      <b val="1"/>
      <color rgb="FFFFFFFF"/>
      <sz val="10"/>
    </font>
    <font>
      <name val="Segoe UI"/>
      <family val="2"/>
      <b val="1"/>
      <color rgb="FFFFFFFF"/>
      <sz val="10"/>
    </font>
    <font>
      <name val="Segoe UI"/>
      <family val="2"/>
      <b val="1"/>
      <color rgb="FFFFFFFF"/>
      <sz val="10"/>
    </font>
    <font>
      <name val="Segoe UI"/>
      <family val="2"/>
      <b val="1"/>
      <color rgb="FFFFFFFF"/>
      <sz val="10"/>
    </font>
    <font>
      <name val="Segoe UI"/>
      <family val="2"/>
      <b val="1"/>
      <color rgb="FFFFFFFF"/>
      <sz val="10"/>
    </font>
    <font>
      <name val="Segoe UI"/>
      <family val="2"/>
      <b val="1"/>
      <color rgb="FFFFFFFF"/>
      <sz val="10"/>
    </font>
    <font>
      <name val="Segoe UI"/>
      <family val="2"/>
      <b val="1"/>
      <color rgb="FFFFFFFF"/>
      <sz val="10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b val="1"/>
      <sz val="11"/>
    </font>
    <font>
      <name val="Segoe UI"/>
      <family val="2"/>
      <b val="1"/>
      <sz val="11"/>
    </font>
    <font>
      <name val="Aptos Narrow"/>
      <family val="2"/>
      <b val="1"/>
      <color theme="1"/>
      <sz val="11"/>
    </font>
    <font>
      <name val="Aptos Narrow"/>
      <family val="2"/>
      <b val="1"/>
      <color theme="1"/>
      <sz val="11"/>
    </font>
    <font>
      <name val="Aptos Narrow"/>
      <family val="2"/>
      <b val="1"/>
      <color theme="1"/>
      <sz val="11"/>
    </font>
    <font>
      <name val="Aptos Narrow"/>
      <family val="2"/>
      <b val="1"/>
      <color theme="1"/>
      <sz val="11"/>
    </font>
    <font>
      <name val="Aptos Narrow"/>
      <family val="2"/>
      <b val="1"/>
      <color theme="1"/>
      <sz val="11"/>
    </font>
    <font>
      <name val="Aptos Narrow"/>
      <family val="2"/>
      <b val="1"/>
      <color theme="1"/>
      <sz val="11"/>
    </font>
    <font>
      <name val="Aptos Narrow"/>
      <family val="2"/>
      <b val="1"/>
      <color theme="1"/>
      <sz val="11"/>
    </font>
    <font>
      <name val="Aptos Narrow"/>
      <family val="2"/>
      <b val="1"/>
      <color theme="1"/>
      <sz val="11"/>
    </font>
    <font>
      <name val="Aptos Narrow"/>
      <family val="2"/>
      <b val="1"/>
      <color theme="1"/>
      <sz val="11"/>
    </font>
    <font>
      <name val="Aptos Narrow"/>
      <family val="2"/>
      <b val="1"/>
      <color theme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Segoe UI"/>
      <family val="2"/>
      <sz val="10"/>
    </font>
    <font>
      <name val="Segoe UI"/>
      <family val="2"/>
      <sz val="10"/>
    </font>
    <font>
      <name val="Segoe UI"/>
      <family val="2"/>
      <sz val="10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Segoe UI"/>
      <family val="2"/>
      <sz val="10"/>
    </font>
    <font>
      <name val="Segoe UI"/>
      <family val="2"/>
      <sz val="10"/>
    </font>
    <font>
      <name val="Segoe UI"/>
      <family val="2"/>
      <sz val="10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Segoe UI"/>
      <family val="2"/>
      <sz val="10"/>
    </font>
    <font>
      <name val="Segoe UI"/>
      <family val="2"/>
      <sz val="10"/>
    </font>
    <font>
      <name val="Segoe UI"/>
      <family val="2"/>
      <sz val="10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Segoe UI"/>
      <family val="2"/>
      <sz val="10"/>
    </font>
    <font>
      <name val="Segoe UI"/>
      <family val="2"/>
      <sz val="10"/>
    </font>
    <font>
      <name val="Segoe UI"/>
      <family val="2"/>
      <sz val="10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Segoe UI"/>
      <family val="2"/>
      <sz val="10"/>
    </font>
    <font>
      <name val="Segoe UI"/>
      <family val="2"/>
      <sz val="10"/>
    </font>
    <font>
      <name val="Segoe UI"/>
      <family val="2"/>
      <sz val="10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Segoe UI"/>
      <family val="2"/>
      <sz val="10"/>
    </font>
    <font>
      <name val="Segoe UI"/>
      <family val="2"/>
      <sz val="10"/>
    </font>
    <font>
      <name val="Segoe UI"/>
      <family val="2"/>
      <sz val="10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Segoe UI"/>
      <family val="2"/>
      <sz val="10"/>
    </font>
    <font>
      <name val="Segoe UI"/>
      <family val="2"/>
      <sz val="10"/>
    </font>
    <font>
      <name val="Segoe UI"/>
      <family val="2"/>
      <sz val="10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Segoe UI"/>
      <family val="2"/>
      <sz val="10"/>
    </font>
    <font>
      <name val="Segoe UI"/>
      <family val="2"/>
      <sz val="10"/>
    </font>
    <font>
      <name val="Segoe UI"/>
      <family val="2"/>
      <sz val="10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Segoe UI"/>
      <family val="2"/>
      <sz val="10"/>
    </font>
    <font>
      <name val="Segoe UI"/>
      <family val="2"/>
      <sz val="10"/>
    </font>
    <font>
      <name val="Segoe UI"/>
      <family val="2"/>
      <sz val="10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Segoe UI"/>
      <family val="2"/>
      <sz val="10"/>
    </font>
    <font>
      <name val="Segoe UI"/>
      <family val="2"/>
      <sz val="10"/>
    </font>
    <font>
      <name val="Segoe UI"/>
      <family val="2"/>
      <sz val="10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Segoe UI"/>
      <family val="2"/>
      <sz val="10"/>
    </font>
    <font>
      <name val="Segoe UI"/>
      <family val="2"/>
      <sz val="10"/>
    </font>
    <font>
      <name val="Segoe UI"/>
      <family val="2"/>
      <sz val="10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Segoe UI"/>
      <family val="2"/>
      <sz val="10"/>
    </font>
    <font>
      <name val="Segoe UI"/>
      <family val="2"/>
      <sz val="10"/>
    </font>
    <font>
      <name val="Segoe UI"/>
      <family val="2"/>
      <sz val="10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Segoe UI"/>
      <family val="2"/>
      <sz val="10"/>
    </font>
    <font>
      <name val="Segoe UI"/>
      <family val="2"/>
      <sz val="10"/>
    </font>
    <font>
      <name val="Segoe UI"/>
      <family val="2"/>
      <sz val="10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Segoe UI"/>
      <family val="2"/>
      <sz val="10"/>
    </font>
    <font>
      <name val="Segoe UI"/>
      <family val="2"/>
      <sz val="10"/>
    </font>
    <font>
      <name val="Segoe UI"/>
      <family val="2"/>
      <sz val="10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Segoe UI"/>
      <family val="2"/>
      <sz val="10"/>
    </font>
    <font>
      <name val="Segoe UI"/>
      <family val="2"/>
      <sz val="10"/>
    </font>
    <font>
      <name val="Segoe UI"/>
      <family val="2"/>
      <sz val="10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Segoe UI"/>
      <family val="2"/>
      <sz val="10"/>
    </font>
    <font>
      <name val="Segoe UI"/>
      <family val="2"/>
      <sz val="10"/>
    </font>
    <font>
      <name val="Segoe UI"/>
      <family val="2"/>
      <sz val="10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Segoe UI"/>
      <family val="2"/>
      <sz val="10"/>
    </font>
    <font>
      <name val="Segoe UI"/>
      <family val="2"/>
      <sz val="10"/>
    </font>
    <font>
      <name val="Segoe UI"/>
      <family val="2"/>
      <sz val="10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Segoe UI"/>
      <family val="2"/>
      <sz val="10"/>
    </font>
    <font>
      <name val="Segoe UI"/>
      <family val="2"/>
      <sz val="10"/>
    </font>
    <font>
      <name val="Segoe UI"/>
      <family val="2"/>
      <sz val="10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Segoe UI"/>
      <family val="2"/>
      <sz val="10"/>
    </font>
    <font>
      <name val="Segoe UI"/>
      <family val="2"/>
      <sz val="10"/>
    </font>
    <font>
      <name val="Segoe UI"/>
      <family val="2"/>
      <sz val="10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Segoe UI"/>
      <family val="2"/>
      <sz val="10"/>
    </font>
    <font>
      <name val="Segoe UI"/>
      <family val="2"/>
      <sz val="10"/>
    </font>
    <font>
      <name val="Segoe UI"/>
      <family val="2"/>
      <sz val="10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Segoe UI"/>
      <family val="2"/>
      <sz val="10"/>
    </font>
    <font>
      <name val="Segoe UI"/>
      <family val="2"/>
      <sz val="10"/>
    </font>
    <font>
      <name val="Segoe UI"/>
      <family val="2"/>
      <sz val="10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Segoe UI"/>
      <family val="2"/>
      <sz val="10"/>
    </font>
    <font>
      <name val="Segoe UI"/>
      <family val="2"/>
      <sz val="10"/>
    </font>
    <font>
      <name val="Segoe UI"/>
      <family val="2"/>
      <sz val="10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Segoe UI"/>
      <family val="2"/>
      <sz val="10"/>
    </font>
    <font>
      <name val="Segoe UI"/>
      <family val="2"/>
      <sz val="10"/>
    </font>
    <font>
      <name val="Segoe UI"/>
      <family val="2"/>
      <sz val="10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Segoe UI"/>
      <family val="2"/>
      <sz val="10"/>
    </font>
    <font>
      <name val="Segoe UI"/>
      <family val="2"/>
      <sz val="10"/>
    </font>
    <font>
      <name val="Segoe UI"/>
      <family val="2"/>
      <sz val="10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Segoe UI"/>
      <family val="2"/>
      <sz val="10"/>
    </font>
    <font>
      <name val="Segoe UI"/>
      <family val="2"/>
      <sz val="10"/>
    </font>
    <font>
      <name val="Segoe UI"/>
      <family val="2"/>
      <sz val="10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Segoe UI"/>
      <family val="2"/>
      <sz val="10"/>
    </font>
    <font>
      <name val="Segoe UI"/>
      <family val="2"/>
      <sz val="10"/>
    </font>
    <font>
      <name val="Segoe UI"/>
      <family val="2"/>
      <sz val="10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Segoe UI"/>
      <family val="2"/>
      <sz val="10"/>
    </font>
    <font>
      <name val="Segoe UI"/>
      <family val="2"/>
      <sz val="10"/>
    </font>
    <font>
      <name val="Segoe UI"/>
      <family val="2"/>
      <sz val="10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Segoe UI"/>
      <family val="2"/>
      <sz val="10"/>
    </font>
    <font>
      <name val="Segoe UI"/>
      <family val="2"/>
      <sz val="10"/>
    </font>
    <font>
      <name val="Segoe UI"/>
      <family val="2"/>
      <sz val="10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Segoe UI"/>
      <family val="2"/>
      <sz val="10"/>
    </font>
    <font>
      <name val="Segoe UI"/>
      <family val="2"/>
      <sz val="10"/>
    </font>
    <font>
      <name val="Segoe UI"/>
      <family val="2"/>
      <sz val="10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Segoe UI"/>
      <family val="2"/>
      <sz val="10"/>
    </font>
    <font>
      <name val="Segoe UI"/>
      <family val="2"/>
      <sz val="10"/>
    </font>
    <font>
      <name val="Segoe UI"/>
      <family val="2"/>
      <sz val="10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Segoe UI"/>
      <family val="2"/>
      <sz val="10"/>
    </font>
    <font>
      <name val="Segoe UI"/>
      <family val="2"/>
      <sz val="10"/>
    </font>
    <font>
      <name val="Segoe UI"/>
      <family val="2"/>
      <sz val="10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Segoe UI"/>
      <family val="2"/>
      <sz val="10"/>
    </font>
    <font>
      <name val="Segoe UI"/>
      <family val="2"/>
      <sz val="10"/>
    </font>
    <font>
      <name val="Segoe UI"/>
      <family val="2"/>
      <sz val="10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Segoe UI"/>
      <family val="2"/>
      <b val="1"/>
      <color theme="1"/>
      <sz val="10"/>
    </font>
    <font>
      <name val="Aptos Narrow"/>
      <family val="2"/>
      <b val="1"/>
      <color theme="1"/>
      <sz val="11"/>
    </font>
    <font>
      <name val="Segoe UI"/>
      <family val="2"/>
      <sz val="10"/>
    </font>
    <font>
      <name val="Segoe UI"/>
      <family val="2"/>
      <sz val="10"/>
    </font>
    <font>
      <name val="Segoe UI"/>
      <family val="2"/>
      <sz val="10"/>
    </font>
    <font>
      <name val="Segoe UI"/>
      <family val="2"/>
      <sz val="10"/>
    </font>
    <font>
      <name val="Segoe UI"/>
      <family val="2"/>
      <sz val="10"/>
    </font>
    <font>
      <name val="Segoe UI"/>
      <family val="2"/>
      <sz val="10"/>
    </font>
    <font>
      <name val="Segoe UI"/>
      <family val="2"/>
      <sz val="10"/>
    </font>
    <font>
      <name val="Segoe UI"/>
      <family val="2"/>
      <sz val="10"/>
    </font>
    <font>
      <name val="Segoe UI"/>
      <family val="2"/>
      <sz val="10"/>
    </font>
    <font>
      <name val="Segoe UI"/>
      <family val="2"/>
      <sz val="10"/>
    </font>
    <font>
      <name val="Segoe UI"/>
      <family val="2"/>
      <sz val="10"/>
    </font>
    <font>
      <name val="Segoe UI"/>
      <family val="2"/>
      <sz val="10"/>
    </font>
    <font>
      <name val="Segoe UI"/>
      <family val="2"/>
      <sz val="10"/>
    </font>
    <font>
      <name val="Segoe UI"/>
      <family val="2"/>
      <sz val="10"/>
    </font>
    <font>
      <name val="Segoe UI"/>
      <family val="2"/>
      <sz val="10"/>
    </font>
    <font>
      <name val="Segoe UI"/>
      <family val="2"/>
      <sz val="10"/>
    </font>
    <font>
      <name val="Segoe UI"/>
      <family val="2"/>
      <sz val="10"/>
    </font>
    <font>
      <name val="Segoe UI"/>
      <family val="2"/>
      <sz val="10"/>
    </font>
    <font>
      <name val="Segoe UI"/>
      <family val="2"/>
      <sz val="10"/>
    </font>
    <font>
      <name val="Segoe UI"/>
      <family val="2"/>
      <sz val="10"/>
    </font>
    <font>
      <name val="Segoe UI"/>
      <family val="2"/>
      <sz val="10"/>
    </font>
    <font>
      <name val="Segoe UI"/>
      <family val="2"/>
      <sz val="10"/>
    </font>
    <font>
      <name val="Segoe UI"/>
      <family val="2"/>
      <sz val="10"/>
    </font>
    <font>
      <name val="Segoe UI"/>
      <family val="2"/>
      <sz val="10"/>
    </font>
    <font>
      <name val="Segoe UI"/>
      <family val="2"/>
      <sz val="10"/>
    </font>
    <font>
      <name val="Segoe UI"/>
      <family val="2"/>
      <sz val="10"/>
    </font>
    <font>
      <name val="Segoe UI"/>
      <family val="2"/>
      <sz val="10"/>
    </font>
    <font>
      <name val="Segoe UI"/>
      <family val="2"/>
      <sz val="10"/>
    </font>
    <font>
      <name val="Segoe UI"/>
      <family val="2"/>
      <sz val="10"/>
    </font>
    <font>
      <name val="Segoe UI"/>
      <family val="2"/>
      <sz val="10"/>
    </font>
    <font>
      <name val="Segoe UI"/>
      <family val="2"/>
      <sz val="10"/>
    </font>
    <font>
      <name val="Segoe UI"/>
      <family val="2"/>
      <sz val="10"/>
    </font>
    <font>
      <name val="Carlito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Carlito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Carlito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Carlito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Carlito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Carlito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Carlito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Carlito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Carlito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Carlito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Carlito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Carlito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Carlito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Carlito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Carlito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Carlito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Carlito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Carlito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Carlito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Carlito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Carlito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Carlito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sz val="11"/>
    </font>
    <font>
      <name val="Carlito"/>
      <sz val="11"/>
    </font>
    <font>
      <name val="Segoe UI"/>
      <family val="2"/>
      <b val="1"/>
      <sz val="11"/>
    </font>
    <font>
      <name val="Segoe UI"/>
      <family val="2"/>
      <b val="1"/>
      <sz val="11"/>
    </font>
    <font>
      <name val="Segoe UI"/>
      <family val="2"/>
      <b val="1"/>
      <sz val="11"/>
    </font>
    <font>
      <name val="Segoe UI"/>
      <family val="2"/>
      <b val="1"/>
      <sz val="11"/>
    </font>
    <font>
      <name val="Segoe UI"/>
      <family val="2"/>
      <b val="1"/>
      <sz val="11"/>
    </font>
    <font>
      <name val="Segoe UI"/>
      <family val="2"/>
      <b val="1"/>
      <sz val="11"/>
    </font>
    <font>
      <name val="Segoe UI"/>
      <family val="2"/>
      <b val="1"/>
      <sz val="11"/>
    </font>
    <font>
      <name val="Segoe UI"/>
      <family val="2"/>
      <b val="1"/>
      <sz val="11"/>
    </font>
    <font>
      <name val="Segoe UI"/>
      <family val="2"/>
      <b val="1"/>
      <sz val="11"/>
    </font>
    <font>
      <name val="Carlito"/>
      <sz val="11"/>
    </font>
    <font>
      <name val="Segoe UI"/>
      <family val="2"/>
      <b val="1"/>
      <sz val="11"/>
    </font>
    <font>
      <name val="Segoe UI"/>
      <family val="2"/>
      <sz val="10"/>
    </font>
    <font>
      <name val="Segoe UI"/>
      <family val="2"/>
      <sz val="10"/>
    </font>
    <font>
      <name val="Segoe UI"/>
      <family val="2"/>
      <sz val="10"/>
    </font>
    <font>
      <name val="Segoe UI"/>
      <family val="2"/>
      <sz val="10"/>
    </font>
    <font>
      <name val="Segoe UI"/>
      <family val="2"/>
      <sz val="10"/>
    </font>
    <font>
      <name val="Segoe UI"/>
      <family val="2"/>
      <sz val="10"/>
    </font>
    <font>
      <name val="Segoe UI"/>
      <family val="2"/>
      <sz val="10"/>
    </font>
    <font>
      <name val="Segoe UI"/>
      <family val="2"/>
      <sz val="10"/>
    </font>
    <font>
      <name val="Segoe UI"/>
      <family val="2"/>
      <sz val="10"/>
    </font>
    <font>
      <name val="Segoe UI"/>
      <family val="2"/>
      <sz val="10"/>
    </font>
    <font>
      <name val="Segoe UI"/>
      <family val="2"/>
      <sz val="10"/>
    </font>
    <font>
      <name val="Segoe UI"/>
      <family val="2"/>
      <sz val="10"/>
    </font>
    <font>
      <name val="Segoe UI"/>
      <family val="2"/>
      <sz val="10"/>
    </font>
    <font>
      <name val="Segoe UI"/>
      <family val="2"/>
      <sz val="10"/>
    </font>
    <font>
      <name val="Segoe UI"/>
      <family val="2"/>
      <sz val="10"/>
    </font>
    <font>
      <name val="Segoe UI"/>
      <family val="2"/>
      <sz val="10"/>
    </font>
    <font>
      <name val="Segoe UI"/>
      <family val="2"/>
      <sz val="10"/>
    </font>
    <font>
      <name val="Segoe UI"/>
      <family val="2"/>
      <sz val="10"/>
    </font>
    <font>
      <name val="Segoe UI"/>
      <family val="2"/>
      <sz val="10"/>
    </font>
    <font>
      <name val="Segoe UI"/>
      <family val="2"/>
      <sz val="10"/>
    </font>
    <font>
      <name val="Segoe UI"/>
      <family val="2"/>
      <sz val="10"/>
    </font>
    <font>
      <name val="Segoe UI"/>
      <family val="2"/>
      <sz val="10"/>
    </font>
    <font>
      <name val="Segoe UI"/>
      <family val="2"/>
      <sz val="10"/>
    </font>
    <font>
      <name val="Segoe UI"/>
      <family val="2"/>
      <sz val="10"/>
    </font>
    <font>
      <name val="Segoe UI"/>
      <family val="2"/>
      <sz val="10"/>
    </font>
    <font>
      <name val="Segoe UI"/>
      <family val="2"/>
      <sz val="10"/>
    </font>
    <font>
      <name val="Segoe UI"/>
      <family val="2"/>
      <sz val="10"/>
    </font>
    <font>
      <name val="Segoe UI"/>
      <family val="2"/>
      <sz val="10"/>
    </font>
    <font>
      <name val="Segoe UI"/>
      <family val="2"/>
      <sz val="10"/>
    </font>
    <font>
      <name val="Segoe UI"/>
      <family val="2"/>
      <sz val="10"/>
    </font>
    <font>
      <name val="Segoe UI"/>
      <family val="2"/>
      <sz val="10"/>
    </font>
    <font>
      <name val="Segoe UI"/>
      <family val="2"/>
      <sz val="10"/>
    </font>
    <font>
      <name val="Carlito"/>
      <b val="1"/>
      <sz val="11"/>
    </font>
    <font>
      <name val="Carlito"/>
      <b val="1"/>
      <color rgb="FFFFFFFF"/>
      <sz val="11"/>
    </font>
    <font>
      <name val="Carlito"/>
      <b val="1"/>
      <color rgb="FFFFFFFF"/>
      <sz val="11"/>
    </font>
    <font>
      <name val="Carlito"/>
      <b val="1"/>
      <color rgb="FFFFFFFF"/>
      <sz val="11"/>
    </font>
    <font>
      <name val="Carlito"/>
      <b val="1"/>
      <color rgb="FFFFFFFF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color rgb="FFFFFFFF"/>
      <sz val="14"/>
    </font>
    <font>
      <name val="Carlito"/>
      <b val="1"/>
      <sz val="11"/>
    </font>
    <font>
      <name val="Carlito"/>
      <b val="1"/>
      <sz val="11"/>
    </font>
    <font>
      <name val="Carlito"/>
      <b val="1"/>
      <sz val="11"/>
    </font>
    <font>
      <name val="Carlito"/>
      <b val="1"/>
      <sz val="11"/>
    </font>
    <font>
      <name val="Carlito"/>
      <b val="1"/>
      <sz val="11"/>
    </font>
    <font>
      <name val="Carlito"/>
      <b val="1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color rgb="FFFFFFFF"/>
      <sz val="16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b val="1"/>
      <sz val="11"/>
    </font>
    <font>
      <name val="Carlito"/>
      <b val="1"/>
      <sz val="11"/>
    </font>
    <font>
      <name val="Carlito"/>
      <b val="1"/>
      <sz val="11"/>
    </font>
    <font>
      <name val="Carlito"/>
      <b val="1"/>
      <sz val="11"/>
    </font>
    <font>
      <name val="Carlito"/>
      <b val="1"/>
      <sz val="11"/>
    </font>
    <font>
      <name val="Carlito"/>
      <b val="1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b val="1"/>
      <color rgb="FFFFFFFF"/>
      <sz val="14"/>
    </font>
    <font>
      <name val="Carlito"/>
      <i val="1"/>
      <color rgb="FFFFFFFF"/>
      <sz val="11"/>
    </font>
    <font>
      <name val="Carlito"/>
      <b val="1"/>
      <color rgb="FFFFFFFF"/>
      <sz val="11"/>
    </font>
    <font>
      <name val="Carlito"/>
      <b val="1"/>
      <color rgb="FFFFFFFF"/>
      <sz val="11"/>
    </font>
    <font>
      <name val="Carlito"/>
      <b val="1"/>
      <color rgb="FFFFFFFF"/>
      <sz val="11"/>
    </font>
    <font>
      <name val="Carlito"/>
      <b val="1"/>
      <color rgb="FFFFFFFF"/>
      <sz val="11"/>
    </font>
    <font>
      <name val="Carlito"/>
      <b val="1"/>
      <color rgb="FFFFFFFF"/>
      <sz val="11"/>
    </font>
    <font>
      <name val="Carlito"/>
      <b val="1"/>
      <color rgb="FFFFFFFF"/>
      <sz val="11"/>
    </font>
    <font>
      <name val="Carlito"/>
      <b val="1"/>
      <color rgb="FFFFFFFF"/>
      <sz val="11"/>
    </font>
    <font>
      <name val="Carlito"/>
      <b val="1"/>
      <color rgb="FFFFFFFF"/>
      <sz val="11"/>
    </font>
    <font>
      <name val="Carlito"/>
      <b val="1"/>
      <color rgb="FFFFFFFF"/>
      <sz val="11"/>
    </font>
    <font>
      <name val="Carlito"/>
      <b val="1"/>
      <color rgb="FFFFFFFF"/>
      <sz val="11"/>
    </font>
    <font>
      <name val="Carlito"/>
      <b val="1"/>
      <color rgb="FFFFFFFF"/>
      <sz val="11"/>
    </font>
    <font>
      <name val="Carlito"/>
      <b val="1"/>
      <color rgb="FFFFFFFF"/>
      <sz val="11"/>
    </font>
    <font>
      <name val="Carlito"/>
      <b val="1"/>
      <color rgb="FFFFFFFF"/>
      <sz val="11"/>
    </font>
    <font>
      <name val="Carlito"/>
      <b val="1"/>
      <color rgb="FFFFFFFF"/>
      <sz val="11"/>
    </font>
    <font>
      <name val="Carlito"/>
      <b val="1"/>
      <color rgb="FFFFFFFF"/>
      <sz val="14"/>
    </font>
    <font>
      <name val="Carlito"/>
      <i val="1"/>
      <color rgb="FFFFFFFF"/>
      <sz val="11"/>
    </font>
    <font>
      <name val="Carlito"/>
      <b val="1"/>
      <color rgb="FFFFFFFF"/>
      <sz val="11"/>
    </font>
    <font>
      <name val="Carlito"/>
      <b val="1"/>
      <color rgb="FFFFFFFF"/>
      <sz val="11"/>
    </font>
    <font>
      <name val="Carlito"/>
      <b val="1"/>
      <color rgb="FFFFFFFF"/>
      <sz val="11"/>
    </font>
    <font>
      <name val="Carlito"/>
      <b val="1"/>
      <color rgb="FFFFFFFF"/>
      <sz val="11"/>
    </font>
    <font>
      <name val="Carlito"/>
      <b val="1"/>
      <color rgb="FFFFFFFF"/>
      <sz val="11"/>
    </font>
    <font>
      <name val="Carlito"/>
      <b val="1"/>
      <color rgb="FFFFFFFF"/>
      <sz val="11"/>
    </font>
    <font>
      <name val="Carlito"/>
      <b val="1"/>
      <color rgb="FFFFFFFF"/>
      <sz val="11"/>
    </font>
    <font>
      <name val="Carlito"/>
      <b val="1"/>
      <color rgb="FFFFFFFF"/>
      <sz val="11"/>
    </font>
    <font>
      <name val="Carlito"/>
      <b val="1"/>
      <color rgb="FFFFFFFF"/>
      <sz val="11"/>
    </font>
    <font>
      <name val="Carlito"/>
      <b val="1"/>
      <color rgb="FFFFFFFF"/>
      <sz val="11"/>
    </font>
    <font>
      <name val="Carlito"/>
      <b val="1"/>
      <color rgb="FFFFFFFF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b val="1"/>
      <sz val="11"/>
    </font>
    <font>
      <name val="Carlito"/>
      <b val="1"/>
      <sz val="11"/>
    </font>
    <font>
      <name val="Carlito"/>
      <b val="1"/>
      <sz val="11"/>
    </font>
    <font>
      <name val="Carlito"/>
      <b val="1"/>
      <color rgb="FFFFFFFF"/>
      <sz val="13"/>
    </font>
    <font>
      <name val="Carlito"/>
      <b val="1"/>
      <color rgb="FFFFFFFF"/>
      <sz val="11"/>
    </font>
    <font>
      <name val="Carlito"/>
      <b val="1"/>
      <color rgb="FFFFFFFF"/>
      <sz val="11"/>
    </font>
    <font>
      <name val="Carlito"/>
      <b val="1"/>
      <color rgb="FFFFFFFF"/>
      <sz val="11"/>
    </font>
    <font>
      <name val="Carlito"/>
      <b val="1"/>
      <color rgb="FFFFFFFF"/>
      <sz val="11"/>
    </font>
    <font>
      <name val="Carlito"/>
      <b val="1"/>
      <color rgb="FFFFFFFF"/>
      <sz val="11"/>
    </font>
    <font>
      <name val="Carlito"/>
      <b val="1"/>
      <color rgb="FFFFFFFF"/>
      <sz val="11"/>
    </font>
    <font>
      <name val="Carlito"/>
      <b val="1"/>
      <color rgb="FFFFFFFF"/>
      <sz val="11"/>
    </font>
    <font>
      <name val="Carlito"/>
      <b val="1"/>
      <color rgb="FFFFFFFF"/>
      <sz val="11"/>
    </font>
    <font>
      <name val="Carlito"/>
      <b val="1"/>
      <color rgb="FFFFFFFF"/>
      <sz val="11"/>
    </font>
    <font>
      <name val="Carlito"/>
      <b val="1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color rgb="FFFFFFFF"/>
      <sz val="14"/>
    </font>
    <font>
      <name val="Carlito"/>
      <i val="1"/>
      <color rgb="FFFFFFFF"/>
      <sz val="11"/>
    </font>
    <font>
      <name val="Carlito"/>
      <b val="1"/>
      <color rgb="FFFFFFFF"/>
      <sz val="12"/>
    </font>
    <font>
      <name val="Carlito"/>
      <b val="1"/>
      <color rgb="FFFFFFFF"/>
      <sz val="11"/>
    </font>
    <font>
      <name val="Carlito"/>
      <b val="1"/>
      <color rgb="FFFFFFFF"/>
      <sz val="11"/>
    </font>
    <font>
      <name val="Carlito"/>
      <b val="1"/>
      <color rgb="FFFFFFFF"/>
      <sz val="11"/>
    </font>
    <font>
      <name val="Carlito"/>
      <b val="1"/>
      <color rgb="FFFFFFFF"/>
      <sz val="11"/>
    </font>
    <font>
      <name val="Carlito"/>
      <b val="1"/>
      <color rgb="FFFFFFFF"/>
      <sz val="11"/>
    </font>
    <font>
      <name val="Carlito"/>
      <b val="1"/>
      <color rgb="FFFFFFFF"/>
      <sz val="11"/>
    </font>
    <font>
      <name val="Carlito"/>
      <b val="1"/>
      <color rgb="FFFFFFFF"/>
      <sz val="11"/>
    </font>
    <font>
      <name val="Carlito"/>
      <b val="1"/>
      <color rgb="FFFFFFFF"/>
      <sz val="11"/>
    </font>
    <font>
      <name val="Carlito"/>
      <b val="1"/>
      <color rgb="FFFFFFFF"/>
      <sz val="11"/>
    </font>
    <font>
      <name val="Carlito"/>
      <b val="1"/>
      <color rgb="FFFFFFFF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8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8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8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8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8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8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8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8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8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8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8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8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8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8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8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8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8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8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8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8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8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8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8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8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8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8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8"/>
    </font>
    <font>
      <name val="Carlito"/>
      <b val="1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8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8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8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8"/>
    </font>
    <font>
      <name val="Carlito"/>
      <b val="1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8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8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8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8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8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8"/>
    </font>
    <font>
      <name val="Carlito"/>
      <b val="1"/>
      <sz val="11"/>
    </font>
    <font>
      <name val="Carlito"/>
      <b val="1"/>
      <sz val="11"/>
    </font>
    <font>
      <name val="Carlito"/>
      <b val="1"/>
      <color rgb="FFFFFFFF"/>
      <sz val="11"/>
    </font>
    <font>
      <name val="Carlito"/>
      <b val="1"/>
      <color rgb="FFFFFFFF"/>
      <sz val="11"/>
    </font>
    <font>
      <name val="Carlito"/>
      <b val="1"/>
      <color rgb="FFFFFFFF"/>
      <sz val="12"/>
    </font>
    <font>
      <name val="Carlito"/>
      <b val="1"/>
      <color rgb="FFFFFFFF"/>
      <sz val="11"/>
    </font>
    <font>
      <name val="Carlito"/>
      <b val="1"/>
      <color rgb="FFFFFFFF"/>
      <sz val="11"/>
    </font>
    <font>
      <name val="Carlito"/>
      <b val="1"/>
      <color rgb="FFFFFFFF"/>
      <sz val="11"/>
    </font>
    <font>
      <name val="Carlito"/>
      <b val="1"/>
      <color rgb="FFFFFFFF"/>
      <sz val="11"/>
    </font>
    <font>
      <name val="Carlito"/>
      <b val="1"/>
      <color rgb="FFFFFFFF"/>
      <sz val="11"/>
    </font>
    <font>
      <name val="Carlito"/>
      <b val="1"/>
      <color rgb="FFFFFFFF"/>
      <sz val="11"/>
    </font>
    <font>
      <name val="Carlito"/>
      <b val="1"/>
      <color rgb="FFFFFFFF"/>
      <sz val="11"/>
    </font>
    <font>
      <name val="Carlito"/>
      <b val="1"/>
      <color rgb="FFFFFFFF"/>
      <sz val="11"/>
    </font>
    <font>
      <name val="Carlito"/>
      <b val="1"/>
      <color rgb="FFFFFFFF"/>
      <sz val="11"/>
    </font>
    <font>
      <name val="Carlito"/>
      <b val="1"/>
      <color rgb="FFFFFFFF"/>
      <sz val="11"/>
    </font>
    <font>
      <name val="Carlito"/>
      <b val="1"/>
      <color rgb="FFFFFFFF"/>
      <sz val="11"/>
    </font>
    <font>
      <name val="Carlito"/>
      <b val="1"/>
      <color rgb="FFFFFFFF"/>
      <sz val="11"/>
    </font>
    <font>
      <name val="Carlito"/>
      <b val="1"/>
      <color rgb="FFFFFFFF"/>
      <sz val="11"/>
    </font>
    <font>
      <name val="Carlito"/>
      <b val="1"/>
      <color rgb="FFFFFFFF"/>
      <sz val="11"/>
    </font>
    <font>
      <name val="Carlito"/>
      <b val="1"/>
      <color rgb="FFFFFFFF"/>
      <sz val="11"/>
    </font>
    <font>
      <name val="Carlito"/>
      <b val="1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9"/>
    </font>
    <font>
      <name val="Carlito"/>
      <b val="1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9"/>
    </font>
    <font>
      <name val="Carlito"/>
      <b val="1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9"/>
    </font>
    <font>
      <name val="Carlito"/>
      <b val="1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9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9"/>
    </font>
    <font>
      <name val="Carlito"/>
      <sz val="11"/>
    </font>
    <font>
      <name val="Carlito"/>
      <sz val="9"/>
    </font>
    <font>
      <name val="Carlito"/>
      <b val="1"/>
      <color rgb="FFFFFFFF"/>
      <sz val="12"/>
    </font>
    <font>
      <name val="Carlito"/>
      <b val="1"/>
      <color rgb="FFFFFFFF"/>
      <sz val="11"/>
    </font>
    <font>
      <name val="Carlito"/>
      <b val="1"/>
      <color rgb="FFFFFFFF"/>
      <sz val="11"/>
    </font>
    <font>
      <name val="Carlito"/>
      <b val="1"/>
      <color rgb="FFFFFFFF"/>
      <sz val="11"/>
    </font>
    <font>
      <name val="Carlito"/>
      <b val="1"/>
      <color rgb="FFFFFFFF"/>
      <sz val="11"/>
    </font>
    <font>
      <name val="Carlito"/>
      <b val="1"/>
      <color rgb="FFFFFFFF"/>
      <sz val="11"/>
    </font>
    <font>
      <name val="Carlito"/>
      <b val="1"/>
      <color rgb="FFFFFFFF"/>
      <sz val="11"/>
    </font>
    <font>
      <name val="Carlito"/>
      <b val="1"/>
      <color rgb="FFFFFFFF"/>
      <sz val="11"/>
    </font>
    <font>
      <name val="Carlito"/>
      <b val="1"/>
      <color rgb="FFFFFFFF"/>
      <sz val="11"/>
    </font>
    <font>
      <name val="Carlito"/>
      <b val="1"/>
      <color rgb="FFFFFFFF"/>
      <sz val="11"/>
    </font>
    <font>
      <name val="Carlito"/>
      <b val="1"/>
      <color rgb="FFFFFFFF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8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8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8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8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8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8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8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8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8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8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color rgb="FFFF0000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color rgb="FFFF0000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color rgb="FFFF0000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color rgb="FFFF0000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color rgb="FFFF0000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color rgb="FFFF0000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color rgb="FFFF0000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color rgb="FFFF0000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color rgb="FFFF0000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color rgb="FFFF0000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color rgb="FFFF0000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color rgb="FFFF0000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color rgb="FFFF0000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color rgb="FFFF0000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color rgb="FFFF0000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color rgb="FFFF0000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color rgb="FFFF0000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color rgb="FFFF0000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color rgb="FFFF0000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color rgb="FFFF0000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color rgb="FFFF0000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color rgb="FFFF0000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color rgb="FFFF0000"/>
      <sz val="11"/>
    </font>
    <font>
      <name val="Carlito"/>
      <sz val="11"/>
    </font>
    <font>
      <name val="Carlito"/>
      <sz val="11"/>
    </font>
    <font>
      <name val="Carlito"/>
      <b val="1"/>
      <color rgb="FFFFFFFF"/>
      <sz val="11"/>
    </font>
    <font>
      <name val="Carlito"/>
      <b val="1"/>
      <color rgb="FFFFFFFF"/>
      <sz val="11"/>
    </font>
    <font>
      <name val="Carlito"/>
      <b val="1"/>
      <color rgb="FFFFFFFF"/>
      <sz val="11"/>
    </font>
    <font>
      <name val="Carlito"/>
      <b val="1"/>
      <color rgb="FFFFFFFF"/>
      <sz val="11"/>
    </font>
    <font>
      <name val="Carlito"/>
      <b val="1"/>
      <color rgb="FFFFFFFF"/>
      <sz val="11"/>
    </font>
    <font>
      <name val="Carlito"/>
      <b val="1"/>
      <sz val="11"/>
    </font>
    <font>
      <name val="Carlito"/>
      <b val="1"/>
      <sz val="11"/>
    </font>
    <font>
      <name val="Carlito"/>
      <b val="1"/>
      <sz val="11"/>
    </font>
    <font>
      <name val="Carlito"/>
      <b val="1"/>
      <sz val="11"/>
    </font>
    <font>
      <name val="Carlito"/>
      <b val="1"/>
      <sz val="11"/>
    </font>
    <font>
      <name val="Carlito"/>
      <b val="1"/>
      <sz val="11"/>
    </font>
    <font>
      <name val="Carlito"/>
      <b val="1"/>
      <sz val="11"/>
    </font>
    <font>
      <name val="Carlito"/>
      <b val="1"/>
      <sz val="11"/>
    </font>
    <font>
      <name val="Carlito"/>
      <b val="1"/>
      <sz val="11"/>
    </font>
    <font>
      <name val="Carlito"/>
      <b val="1"/>
      <sz val="11"/>
    </font>
    <font>
      <name val="Carlito"/>
      <b val="1"/>
      <sz val="11"/>
    </font>
    <font>
      <name val="Carlito"/>
      <b val="1"/>
      <sz val="11"/>
    </font>
    <font>
      <name val="Carlito"/>
      <b val="1"/>
      <sz val="11"/>
    </font>
    <font>
      <name val="Carlito"/>
      <b val="1"/>
      <sz val="11"/>
    </font>
    <font>
      <name val="Carlito"/>
      <b val="1"/>
      <sz val="11"/>
    </font>
    <font>
      <name val="Carlito"/>
      <b val="1"/>
      <sz val="11"/>
    </font>
    <font>
      <name val="Carlito"/>
      <b val="1"/>
      <sz val="11"/>
    </font>
    <font>
      <name val="Carlito"/>
      <b val="1"/>
      <sz val="11"/>
    </font>
    <font>
      <name val="Carlito"/>
      <b val="1"/>
      <sz val="11"/>
    </font>
    <font>
      <name val="Carlito"/>
      <b val="1"/>
      <sz val="11"/>
    </font>
    <font>
      <name val="Carlito"/>
      <b val="1"/>
      <sz val="11"/>
    </font>
    <font>
      <name val="Carlito"/>
      <b val="1"/>
      <sz val="11"/>
    </font>
    <font>
      <name val="Carlito"/>
      <b val="1"/>
      <sz val="11"/>
    </font>
    <font>
      <name val="Carlito"/>
      <b val="1"/>
      <sz val="11"/>
    </font>
    <font>
      <name val="Carlito"/>
      <b val="1"/>
      <sz val="11"/>
    </font>
    <font>
      <name val="Carlito"/>
      <b val="1"/>
      <sz val="11"/>
    </font>
    <font>
      <name val="Carlito"/>
      <b val="1"/>
      <sz val="11"/>
    </font>
    <font>
      <name val="Carlito"/>
      <b val="1"/>
      <sz val="11"/>
    </font>
    <font>
      <name val="Carlito"/>
      <b val="1"/>
      <sz val="11"/>
    </font>
    <font>
      <name val="Carlito"/>
      <b val="1"/>
      <sz val="11"/>
    </font>
    <font>
      <name val="Carlito"/>
      <b val="1"/>
      <sz val="11"/>
    </font>
    <font>
      <name val="Carlito"/>
      <b val="1"/>
      <sz val="11"/>
    </font>
    <font>
      <name val="Carlito"/>
      <b val="1"/>
      <sz val="11"/>
    </font>
    <font>
      <name val="Carlito"/>
      <b val="1"/>
      <sz val="11"/>
    </font>
    <font>
      <name val="Carlito"/>
      <b val="1"/>
      <sz val="11"/>
    </font>
    <font>
      <name val="Carlito"/>
      <b val="1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b val="1"/>
      <sz val="11"/>
    </font>
    <font>
      <name val="Carlito"/>
      <b val="1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b val="1"/>
      <color rgb="FFFFFFFF"/>
      <sz val="11"/>
    </font>
    <font>
      <name val="Carlito"/>
      <b val="1"/>
      <color rgb="FF000000"/>
      <sz val="11"/>
    </font>
    <font>
      <name val="Carlito"/>
      <b val="1"/>
      <color rgb="FF000000"/>
      <sz val="11"/>
    </font>
    <font>
      <name val="Carlito"/>
      <b val="1"/>
      <color rgb="FF000000"/>
      <sz val="11"/>
    </font>
    <font>
      <name val="Carlito"/>
      <b val="1"/>
      <color rgb="FF000000"/>
      <sz val="11"/>
    </font>
    <font>
      <name val="Carlito"/>
      <b val="1"/>
      <color rgb="FF000000"/>
      <sz val="11"/>
    </font>
    <font>
      <name val="Carlito"/>
      <b val="1"/>
      <color rgb="FF000000"/>
      <sz val="11"/>
    </font>
    <font>
      <name val="Carlito"/>
      <b val="1"/>
      <color rgb="FF000000"/>
      <sz val="11"/>
    </font>
    <font>
      <name val="Carlito"/>
      <b val="1"/>
      <color rgb="FF000000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i val="1"/>
      <color rgb="FFFF6600"/>
      <sz val="11"/>
    </font>
    <font>
      <name val="Carlito"/>
      <b val="1"/>
      <color rgb="FFFFFFFF"/>
      <sz val="12"/>
    </font>
    <font>
      <name val="Segoe UI"/>
      <family val="2"/>
      <b val="1"/>
      <color rgb="FFFFFFFF"/>
      <sz val="10"/>
    </font>
    <font>
      <name val="Segoe UI"/>
      <family val="2"/>
      <b val="1"/>
      <color rgb="FFFFFFFF"/>
      <sz val="10"/>
    </font>
    <font>
      <name val="Segoe UI"/>
      <family val="2"/>
      <b val="1"/>
      <color rgb="FFFFFFFF"/>
      <sz val="10"/>
    </font>
    <font>
      <name val="Segoe UI"/>
      <family val="2"/>
      <b val="1"/>
      <color rgb="FFFFFFFF"/>
      <sz val="10"/>
    </font>
    <font>
      <name val="Carlito"/>
      <sz val="11"/>
    </font>
    <font>
      <name val="Carlito"/>
      <b val="1"/>
      <color rgb="FFFFFFFF"/>
      <sz val="11"/>
    </font>
    <font>
      <name val="Segoe UI"/>
      <family val="2"/>
      <b val="1"/>
      <color rgb="FFFFFFFF"/>
      <sz val="11"/>
    </font>
    <font>
      <name val="Segoe UI"/>
      <family val="2"/>
      <b val="1"/>
      <color rgb="FFFFFFFF"/>
      <sz val="11"/>
    </font>
    <font>
      <name val="Segoe UI"/>
      <family val="2"/>
      <sz val="11"/>
    </font>
    <font>
      <name val="Carlito"/>
      <sz val="11"/>
    </font>
    <font>
      <name val="Carlito"/>
      <b val="1"/>
      <color rgb="FF000000"/>
      <sz val="11"/>
    </font>
    <font>
      <name val="Segoe UI"/>
      <family val="2"/>
      <b val="1"/>
      <color rgb="FF000000"/>
      <sz val="11"/>
    </font>
    <font>
      <name val="Segoe UI"/>
      <family val="2"/>
      <b val="1"/>
      <color rgb="FFFFFFFF"/>
      <sz val="11"/>
    </font>
    <font>
      <name val="Segoe UI"/>
      <family val="2"/>
      <b val="1"/>
      <color rgb="FFFFFFFF"/>
      <sz val="11"/>
    </font>
    <font>
      <name val="Segoe UI"/>
      <family val="2"/>
      <b val="1"/>
      <color rgb="FFFFFFFF"/>
      <sz val="11"/>
    </font>
    <font>
      <name val="Segoe UI"/>
      <family val="2"/>
      <b val="1"/>
      <color rgb="FFFFFFFF"/>
      <sz val="11"/>
    </font>
    <font>
      <name val="Segoe UI"/>
      <family val="2"/>
      <b val="1"/>
      <color rgb="FFFFFFFF"/>
      <sz val="11"/>
    </font>
    <font>
      <name val="Segoe UI"/>
      <family val="2"/>
      <b val="1"/>
      <color rgb="FFFFFFFF"/>
      <sz val="11"/>
    </font>
    <font>
      <name val="Segoe UI"/>
      <family val="2"/>
      <b val="1"/>
      <color rgb="FFFFFFFF"/>
      <sz val="11"/>
    </font>
    <font>
      <name val="Segoe UI"/>
      <family val="2"/>
      <b val="1"/>
      <color rgb="FFFFFFFF"/>
      <sz val="11"/>
    </font>
    <font>
      <name val="Segoe UI"/>
      <family val="2"/>
      <sz val="11"/>
    </font>
    <font>
      <name val="Carlito"/>
      <sz val="11"/>
    </font>
    <font>
      <name val="Carlito"/>
      <sz val="11"/>
    </font>
    <font>
      <name val="Segoe UI"/>
      <family val="2"/>
      <sz val="11"/>
    </font>
    <font>
      <name val="Segoe UI"/>
      <family val="2"/>
      <b val="1"/>
      <color rgb="FF375623"/>
      <sz val="11"/>
    </font>
    <font>
      <name val="Segoe UI"/>
      <family val="2"/>
      <sz val="11"/>
    </font>
    <font>
      <name val="Segoe UI"/>
      <family val="2"/>
      <b val="1"/>
      <color rgb="FFC00000"/>
      <sz val="11"/>
    </font>
    <font>
      <name val="Segoe UI"/>
      <family val="2"/>
      <b val="1"/>
      <color rgb="FF1F497D"/>
      <sz val="11"/>
    </font>
    <font>
      <name val="Segoe UI"/>
      <family val="2"/>
      <b val="1"/>
      <color rgb="FF833C0C"/>
      <sz val="11"/>
    </font>
    <font>
      <name val="Segoe UI"/>
      <family val="2"/>
      <b val="1"/>
      <color rgb="FF1F497D"/>
      <sz val="11"/>
    </font>
    <font>
      <name val="Segoe UI"/>
      <family val="2"/>
      <color rgb="FFC00000"/>
      <sz val="11"/>
    </font>
    <font>
      <name val="Segoe UI"/>
      <family val="2"/>
      <b val="1"/>
      <color rgb="FF1F497D"/>
      <sz val="11"/>
    </font>
    <font>
      <name val="Segoe UI"/>
      <family val="2"/>
      <sz val="11"/>
    </font>
    <font>
      <name val="Carlito"/>
      <sz val="11"/>
    </font>
    <font>
      <name val="Carlito"/>
      <sz val="11"/>
    </font>
    <font>
      <name val="Segoe UI"/>
      <family val="2"/>
      <sz val="11"/>
    </font>
    <font>
      <name val="Segoe UI"/>
      <family val="2"/>
      <b val="1"/>
      <color rgb="FF375623"/>
      <sz val="11"/>
    </font>
    <font>
      <name val="Segoe UI"/>
      <family val="2"/>
      <sz val="11"/>
    </font>
    <font>
      <name val="Segoe UI"/>
      <family val="2"/>
      <b val="1"/>
      <color rgb="FFC00000"/>
      <sz val="11"/>
    </font>
    <font>
      <name val="Segoe UI"/>
      <family val="2"/>
      <b val="1"/>
      <color rgb="FF1F497D"/>
      <sz val="11"/>
    </font>
    <font>
      <name val="Segoe UI"/>
      <family val="2"/>
      <b val="1"/>
      <color rgb="FF833C0C"/>
      <sz val="11"/>
    </font>
    <font>
      <name val="Segoe UI"/>
      <family val="2"/>
      <b val="1"/>
      <color rgb="FF1F497D"/>
      <sz val="11"/>
    </font>
    <font>
      <name val="Segoe UI"/>
      <family val="2"/>
      <color rgb="FFC00000"/>
      <sz val="11"/>
    </font>
    <font>
      <name val="Segoe UI"/>
      <family val="2"/>
      <b val="1"/>
      <color rgb="FF1F497D"/>
      <sz val="11"/>
    </font>
    <font>
      <name val="Segoe UI"/>
      <family val="2"/>
      <sz val="11"/>
    </font>
    <font>
      <name val="Carlito"/>
      <sz val="11"/>
    </font>
    <font>
      <name val="Carlito"/>
      <sz val="11"/>
    </font>
    <font>
      <name val="Segoe UI"/>
      <family val="2"/>
      <sz val="11"/>
    </font>
    <font>
      <name val="Segoe UI"/>
      <family val="2"/>
      <b val="1"/>
      <color rgb="FF375623"/>
      <sz val="11"/>
    </font>
    <font>
      <name val="Segoe UI"/>
      <family val="2"/>
      <sz val="11"/>
    </font>
    <font>
      <name val="Segoe UI"/>
      <family val="2"/>
      <b val="1"/>
      <color rgb="FFC00000"/>
      <sz val="11"/>
    </font>
    <font>
      <name val="Segoe UI"/>
      <family val="2"/>
      <b val="1"/>
      <color rgb="FF1F497D"/>
      <sz val="11"/>
    </font>
    <font>
      <name val="Segoe UI"/>
      <family val="2"/>
      <b val="1"/>
      <color rgb="FF833C0C"/>
      <sz val="11"/>
    </font>
    <font>
      <name val="Segoe UI"/>
      <family val="2"/>
      <b val="1"/>
      <color rgb="FF1F497D"/>
      <sz val="11"/>
    </font>
    <font>
      <name val="Segoe UI"/>
      <family val="2"/>
      <color rgb="FFC00000"/>
      <sz val="11"/>
    </font>
    <font>
      <name val="Segoe UI"/>
      <family val="2"/>
      <b val="1"/>
      <color rgb="FF1F497D"/>
      <sz val="11"/>
    </font>
    <font>
      <name val="Segoe UI"/>
      <family val="2"/>
      <sz val="11"/>
    </font>
    <font>
      <name val="Carlito"/>
      <sz val="11"/>
    </font>
    <font>
      <name val="Carlito"/>
      <sz val="11"/>
    </font>
    <font>
      <name val="Segoe UI"/>
      <family val="2"/>
      <sz val="11"/>
    </font>
    <font>
      <name val="Segoe UI"/>
      <family val="2"/>
      <b val="1"/>
      <color rgb="FF375623"/>
      <sz val="11"/>
    </font>
    <font>
      <name val="Segoe UI"/>
      <family val="2"/>
      <sz val="11"/>
    </font>
    <font>
      <name val="Segoe UI"/>
      <family val="2"/>
      <b val="1"/>
      <color rgb="FFC00000"/>
      <sz val="11"/>
    </font>
    <font>
      <name val="Segoe UI"/>
      <family val="2"/>
      <b val="1"/>
      <color rgb="FF1F497D"/>
      <sz val="11"/>
    </font>
    <font>
      <name val="Segoe UI"/>
      <family val="2"/>
      <b val="1"/>
      <color rgb="FF833C0C"/>
      <sz val="11"/>
    </font>
    <font>
      <name val="Segoe UI"/>
      <family val="2"/>
      <b val="1"/>
      <color rgb="FF1F497D"/>
      <sz val="11"/>
    </font>
    <font>
      <name val="Segoe UI"/>
      <family val="2"/>
      <color rgb="FFC00000"/>
      <sz val="11"/>
    </font>
    <font>
      <name val="Segoe UI"/>
      <family val="2"/>
      <b val="1"/>
      <color rgb="FF1F497D"/>
      <sz val="11"/>
    </font>
    <font>
      <name val="Segoe UI"/>
      <family val="2"/>
      <sz val="11"/>
    </font>
    <font>
      <name val="Carlito"/>
      <sz val="11"/>
    </font>
    <font>
      <name val="Carlito"/>
      <sz val="11"/>
    </font>
    <font>
      <name val="Segoe UI"/>
      <family val="2"/>
      <sz val="11"/>
    </font>
    <font>
      <name val="Segoe UI"/>
      <family val="2"/>
      <b val="1"/>
      <color rgb="FF375623"/>
      <sz val="11"/>
    </font>
    <font>
      <name val="Segoe UI"/>
      <family val="2"/>
      <sz val="11"/>
    </font>
    <font>
      <name val="Segoe UI"/>
      <family val="2"/>
      <b val="1"/>
      <color rgb="FFC00000"/>
      <sz val="11"/>
    </font>
    <font>
      <name val="Segoe UI"/>
      <family val="2"/>
      <b val="1"/>
      <color rgb="FF1F497D"/>
      <sz val="11"/>
    </font>
    <font>
      <name val="Segoe UI"/>
      <family val="2"/>
      <b val="1"/>
      <color rgb="FF833C0C"/>
      <sz val="11"/>
    </font>
    <font>
      <name val="Segoe UI"/>
      <family val="2"/>
      <b val="1"/>
      <color rgb="FF1F497D"/>
      <sz val="11"/>
    </font>
    <font>
      <name val="Segoe UI"/>
      <family val="2"/>
      <color rgb="FFC00000"/>
      <sz val="11"/>
    </font>
    <font>
      <name val="Segoe UI"/>
      <family val="2"/>
      <b val="1"/>
      <color rgb="FF1F497D"/>
      <sz val="11"/>
    </font>
    <font>
      <name val="Segoe UI"/>
      <family val="2"/>
      <sz val="11"/>
    </font>
    <font>
      <name val="Carlito"/>
      <sz val="11"/>
    </font>
    <font>
      <name val="Carlito"/>
      <sz val="11"/>
    </font>
    <font>
      <name val="Segoe UI"/>
      <family val="2"/>
      <sz val="11"/>
    </font>
    <font>
      <name val="Segoe UI"/>
      <family val="2"/>
      <b val="1"/>
      <color rgb="FF375623"/>
      <sz val="11"/>
    </font>
    <font>
      <name val="Segoe UI"/>
      <family val="2"/>
      <sz val="11"/>
    </font>
    <font>
      <name val="Segoe UI"/>
      <family val="2"/>
      <b val="1"/>
      <color rgb="FFC00000"/>
      <sz val="11"/>
    </font>
    <font>
      <name val="Segoe UI"/>
      <family val="2"/>
      <b val="1"/>
      <color rgb="FF1F497D"/>
      <sz val="11"/>
    </font>
    <font>
      <name val="Segoe UI"/>
      <family val="2"/>
      <b val="1"/>
      <color rgb="FF833C0C"/>
      <sz val="11"/>
    </font>
    <font>
      <name val="Segoe UI"/>
      <family val="2"/>
      <b val="1"/>
      <color rgb="FF1F497D"/>
      <sz val="11"/>
    </font>
    <font>
      <name val="Segoe UI"/>
      <family val="2"/>
      <color rgb="FFC00000"/>
      <sz val="11"/>
    </font>
    <font>
      <name val="Segoe UI"/>
      <family val="2"/>
      <b val="1"/>
      <color rgb="FF1F497D"/>
      <sz val="11"/>
    </font>
    <font>
      <name val="Segoe UI"/>
      <family val="2"/>
      <sz val="11"/>
    </font>
    <font>
      <name val="Carlito"/>
      <sz val="11"/>
    </font>
    <font>
      <name val="Carlito"/>
      <b val="1"/>
      <color rgb="FFFFFFFF"/>
      <sz val="11"/>
    </font>
    <font>
      <name val="Segoe UI"/>
      <family val="2"/>
      <sz val="11"/>
    </font>
    <font>
      <name val="Segoe UI"/>
      <family val="2"/>
      <b val="1"/>
      <color rgb="FF375623"/>
      <sz val="11"/>
    </font>
    <font>
      <name val="Segoe UI"/>
      <family val="2"/>
      <b val="1"/>
      <color rgb="FFFFFFFF"/>
      <sz val="11"/>
    </font>
    <font>
      <name val="Segoe UI"/>
      <family val="2"/>
      <b val="1"/>
      <color rgb="FFC00000"/>
      <sz val="11"/>
    </font>
    <font>
      <name val="Segoe UI"/>
      <family val="2"/>
      <b val="1"/>
      <color rgb="FF1F497D"/>
      <sz val="11"/>
    </font>
    <font>
      <name val="Segoe UI"/>
      <family val="2"/>
      <b val="1"/>
      <color rgb="FF833C0C"/>
      <sz val="11"/>
    </font>
    <font>
      <name val="Segoe UI"/>
      <family val="2"/>
      <sz val="11"/>
    </font>
    <font>
      <name val="Segoe UI"/>
      <family val="2"/>
      <color rgb="FFC00000"/>
      <sz val="11"/>
    </font>
    <font>
      <name val="Segoe UI"/>
      <family val="2"/>
      <b val="1"/>
      <color rgb="FF1F497D"/>
      <sz val="11"/>
    </font>
    <font>
      <name val="Segoe UI"/>
      <family val="2"/>
      <sz val="11"/>
    </font>
    <font>
      <name val="Carlito"/>
      <sz val="11"/>
    </font>
    <font>
      <name val="Carlito"/>
      <b val="1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b val="1"/>
      <sz val="11"/>
    </font>
    <font>
      <name val="Segoe UI"/>
      <family val="2"/>
      <b val="1"/>
      <sz val="11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b val="1"/>
      <sz val="11"/>
    </font>
    <font>
      <name val="Segoe UI"/>
      <family val="2"/>
      <b val="1"/>
      <sz val="11"/>
    </font>
    <font>
      <name val="Segoe UI"/>
      <family val="2"/>
      <sz val="11"/>
    </font>
    <font>
      <name val="Segoe UI"/>
      <family val="2"/>
      <sz val="11"/>
    </font>
    <font>
      <name val="Carlito"/>
      <sz val="11"/>
    </font>
    <font>
      <name val="Carlito"/>
      <b val="1"/>
      <color rgb="FFFFFFFF"/>
      <sz val="11"/>
    </font>
    <font>
      <name val="Carlito"/>
      <b val="1"/>
      <color rgb="FFFFFFFF"/>
      <sz val="11"/>
    </font>
    <font>
      <name val="Carlito"/>
      <b val="1"/>
      <color rgb="FFFFFFFF"/>
      <sz val="14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b val="1"/>
      <sz val="11"/>
    </font>
    <font>
      <name val="Carlito"/>
      <b val="1"/>
      <sz val="11"/>
    </font>
    <font>
      <name val="Carlito"/>
      <b val="1"/>
      <sz val="11"/>
    </font>
    <font>
      <name val="Carlito"/>
      <b val="1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b val="1"/>
      <color rgb="FFFFFFFF"/>
      <sz val="16"/>
    </font>
    <font>
      <name val="Carlito"/>
      <b val="1"/>
      <sz val="11"/>
    </font>
    <font>
      <name val="Carlito"/>
      <b val="1"/>
      <sz val="14"/>
    </font>
    <font>
      <name val="Carlito"/>
      <b val="1"/>
      <sz val="11"/>
    </font>
    <font>
      <name val="Carlito"/>
      <b val="1"/>
      <sz val="11"/>
    </font>
    <font>
      <name val="Carlito"/>
      <i val="1"/>
      <color rgb="FFFF6600"/>
      <sz val="11"/>
    </font>
    <font>
      <name val="Carlito"/>
      <b val="1"/>
      <color rgb="FFFFFFFF"/>
      <sz val="11"/>
    </font>
    <font>
      <name val="Carlito"/>
      <b val="1"/>
      <color rgb="FFFFFFFF"/>
      <sz val="11"/>
    </font>
    <font>
      <name val="Carlito"/>
      <b val="1"/>
      <color rgb="FFFFFFFF"/>
      <sz val="11"/>
    </font>
    <font>
      <name val="Carlito"/>
      <b val="1"/>
      <color rgb="FFFFFFFF"/>
      <sz val="11"/>
    </font>
    <font>
      <name val="Carlito"/>
      <b val="1"/>
      <color rgb="FFFFFFFF"/>
      <sz val="11"/>
    </font>
    <font>
      <name val="Carlito"/>
      <b val="1"/>
      <color rgb="FFFFFFFF"/>
      <sz val="11"/>
    </font>
    <font>
      <name val="Carlito"/>
      <b val="1"/>
      <color rgb="FFFFFFFF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b val="1"/>
      <sz val="11"/>
    </font>
    <font>
      <name val="Carlito"/>
      <b val="1"/>
      <sz val="11"/>
    </font>
    <font>
      <name val="Carlito"/>
      <b val="1"/>
      <sz val="11"/>
    </font>
    <font>
      <name val="Carlito"/>
      <b val="1"/>
      <sz val="11"/>
    </font>
    <font>
      <name val="Carlito"/>
      <b val="1"/>
      <color rgb="FFFFFFFF"/>
      <sz val="11"/>
    </font>
    <font>
      <name val="Carlito"/>
      <b val="1"/>
      <color rgb="FFFFFFFF"/>
      <sz val="11"/>
    </font>
    <font>
      <name val="Carlito"/>
      <b val="1"/>
      <color rgb="FFFFFFFF"/>
      <sz val="11"/>
    </font>
    <font>
      <name val="Carlito"/>
      <b val="1"/>
      <color rgb="FFFFFFFF"/>
      <sz val="11"/>
    </font>
    <font>
      <name val="Carlito"/>
      <b val="1"/>
      <color rgb="FFFFFFFF"/>
      <sz val="11"/>
    </font>
    <font>
      <name val="Carlito"/>
      <b val="1"/>
      <color rgb="FFFFFFFF"/>
      <sz val="11"/>
    </font>
    <font>
      <name val="Carlito"/>
      <b val="1"/>
      <color rgb="FFFFFFFF"/>
      <sz val="11"/>
    </font>
    <font>
      <name val="Carlito"/>
      <b val="1"/>
      <color rgb="FFFFFFFF"/>
      <sz val="11"/>
    </font>
    <font>
      <name val="Carlito"/>
      <b val="1"/>
      <color rgb="FFFFFFFF"/>
      <sz val="11"/>
    </font>
    <font>
      <name val="Carlito"/>
      <b val="1"/>
      <color rgb="FFFFFFFF"/>
      <sz val="11"/>
    </font>
    <font>
      <name val="Carlito"/>
      <b val="1"/>
      <color rgb="FFFFFFFF"/>
      <sz val="11"/>
    </font>
    <font>
      <name val="Carlito"/>
      <b val="1"/>
      <color rgb="FFFFFFFF"/>
      <sz val="11"/>
    </font>
    <font>
      <name val="Carlito"/>
      <b val="1"/>
      <color rgb="FFFFFFFF"/>
      <sz val="11"/>
    </font>
    <font>
      <name val="Carlito"/>
      <b val="1"/>
      <color rgb="FFFFFFFF"/>
      <sz val="11"/>
    </font>
    <font>
      <name val="Carlito"/>
      <b val="1"/>
      <color rgb="FFFFFFFF"/>
      <sz val="11"/>
    </font>
    <font>
      <name val="Carlito"/>
      <b val="1"/>
      <color rgb="FFFFFFFF"/>
      <sz val="11"/>
    </font>
    <font>
      <name val="Carlito"/>
      <b val="1"/>
      <color rgb="FFFFFFFF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b val="1"/>
      <sz val="11"/>
    </font>
    <font>
      <name val="Carlito"/>
      <b val="1"/>
      <sz val="11"/>
    </font>
    <font>
      <name val="Carlito"/>
      <b val="1"/>
      <sz val="11"/>
    </font>
    <font>
      <name val="Carlito"/>
      <b val="1"/>
      <sz val="11"/>
    </font>
    <font>
      <name val="Carlito"/>
      <b val="1"/>
      <sz val="11"/>
    </font>
    <font>
      <name val="Carlito"/>
      <b val="1"/>
      <sz val="11"/>
    </font>
    <font>
      <name val="Carlito"/>
      <b val="1"/>
      <color rgb="FFFFFFFF"/>
      <sz val="11"/>
    </font>
    <font>
      <name val="Carlito"/>
      <b val="1"/>
      <color rgb="FFFFFFFF"/>
      <sz val="11"/>
    </font>
    <font>
      <name val="Carlito"/>
      <b val="1"/>
      <color rgb="FFFFFFFF"/>
      <sz val="11"/>
    </font>
    <font>
      <name val="Carlito"/>
      <b val="1"/>
      <color rgb="FFFFFFFF"/>
      <sz val="11"/>
    </font>
    <font>
      <name val="Carlito"/>
      <b val="1"/>
      <color rgb="FFFFFFFF"/>
      <sz val="11"/>
    </font>
    <font>
      <name val="Carlito"/>
      <b val="1"/>
      <color rgb="FFFFFFFF"/>
      <sz val="11"/>
    </font>
    <font>
      <name val="Carlito"/>
      <b val="1"/>
      <color rgb="FFFFFFFF"/>
      <sz val="11"/>
    </font>
    <font>
      <name val="Carlito"/>
      <b val="1"/>
      <color rgb="FFFFFFFF"/>
      <sz val="11"/>
    </font>
    <font>
      <name val="Carlito"/>
      <b val="1"/>
      <color rgb="FFFFFFFF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b val="1"/>
      <sz val="11"/>
    </font>
    <font>
      <name val="Carlito"/>
      <b val="1"/>
      <sz val="11"/>
    </font>
    <font>
      <name val="Carlito"/>
      <b val="1"/>
      <sz val="11"/>
    </font>
    <font>
      <name val="Carlito"/>
      <b val="1"/>
      <sz val="11"/>
    </font>
    <font>
      <name val="Carlito"/>
      <b val="1"/>
      <sz val="11"/>
    </font>
    <font>
      <name val="Carlito"/>
      <b val="1"/>
      <sz val="11"/>
    </font>
    <font>
      <name val="Carlito"/>
      <b val="1"/>
      <sz val="11"/>
    </font>
    <font>
      <name val="Carlito"/>
      <b val="1"/>
      <sz val="11"/>
    </font>
    <font>
      <name val="Carlito"/>
      <b val="1"/>
      <sz val="11"/>
    </font>
    <font>
      <name val="Carlito"/>
      <b val="1"/>
      <sz val="11"/>
    </font>
    <font>
      <name val="Carlito"/>
      <b val="1"/>
      <sz val="11"/>
    </font>
    <font>
      <name val="Carlito"/>
      <b val="1"/>
      <sz val="11"/>
    </font>
    <font>
      <name val="Carlito"/>
      <b val="1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color rgb="FFFFFFFF"/>
      <sz val="11"/>
    </font>
    <font>
      <name val="Carlito"/>
      <b val="1"/>
      <color rgb="FFFFFFFF"/>
      <sz val="11"/>
    </font>
    <font>
      <name val="Carlito"/>
      <b val="1"/>
      <sz val="11"/>
    </font>
    <font>
      <name val="Carlito"/>
      <b val="1"/>
      <sz val="14"/>
    </font>
    <font>
      <name val="Carlito"/>
      <b val="1"/>
      <color rgb="FFFFFFFF"/>
      <sz val="11"/>
    </font>
    <font>
      <name val="Carlito"/>
      <b val="1"/>
      <color rgb="FFFFFFFF"/>
      <sz val="11"/>
    </font>
    <font>
      <name val="Carlito"/>
      <b val="1"/>
      <color rgb="FFFFFFFF"/>
      <sz val="11"/>
    </font>
    <font>
      <name val="Carlito"/>
      <b val="1"/>
      <color rgb="FFFFFFFF"/>
      <sz val="11"/>
    </font>
    <font>
      <name val="Carlito"/>
      <b val="1"/>
      <color rgb="FFFFFFFF"/>
      <sz val="11"/>
    </font>
    <font>
      <name val="Carlito"/>
      <b val="1"/>
      <color rgb="FFFFFFFF"/>
      <sz val="11"/>
    </font>
    <font>
      <name val="Carlito"/>
      <b val="1"/>
      <color rgb="FFFFFFFF"/>
      <sz val="11"/>
    </font>
    <font>
      <name val="Carlito"/>
      <b val="1"/>
      <color rgb="FFFFFFFF"/>
      <sz val="11"/>
    </font>
    <font>
      <name val="Carlito"/>
      <b val="1"/>
      <color rgb="FFFFFFFF"/>
      <sz val="11"/>
    </font>
    <font>
      <name val="Carlito"/>
      <b val="1"/>
      <color rgb="FFFFFFFF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b val="1"/>
      <sz val="11"/>
    </font>
    <font>
      <name val="Carlito"/>
      <b val="1"/>
      <sz val="11"/>
    </font>
    <font>
      <name val="Carlito"/>
      <b val="1"/>
      <sz val="11"/>
    </font>
    <font>
      <name val="Carlito"/>
      <b val="1"/>
      <sz val="11"/>
    </font>
    <font>
      <name val="Carlito"/>
      <b val="1"/>
      <sz val="11"/>
    </font>
    <font>
      <name val="Carlito"/>
      <b val="1"/>
      <sz val="11"/>
    </font>
    <font>
      <name val="Carlito"/>
      <b val="1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b val="1"/>
      <sz val="11"/>
    </font>
    <font>
      <name val="Carlito"/>
      <b val="1"/>
      <color rgb="FFFFFFFF"/>
      <sz val="11"/>
    </font>
    <font>
      <name val="Carlito"/>
      <b val="1"/>
      <sz val="11"/>
    </font>
    <font>
      <name val="Carlito"/>
      <b val="1"/>
      <color rgb="FFFFFFFF"/>
      <sz val="11"/>
    </font>
    <font>
      <name val="Carlito"/>
      <b val="1"/>
      <color rgb="FFFFFFFF"/>
      <sz val="11"/>
    </font>
    <font>
      <name val="Carlito"/>
      <b val="1"/>
      <color rgb="FFFFFFFF"/>
      <sz val="11"/>
    </font>
    <font>
      <name val="Carlito"/>
      <b val="1"/>
      <color rgb="FFFFFFFF"/>
      <sz val="11"/>
    </font>
    <font>
      <name val="Carlito"/>
      <b val="1"/>
      <color rgb="FFFFFFFF"/>
      <sz val="11"/>
    </font>
    <font>
      <name val="Carlito"/>
      <b val="1"/>
      <color rgb="FFFFFFFF"/>
      <sz val="11"/>
    </font>
    <font>
      <name val="Carlito"/>
      <b val="1"/>
      <color rgb="FFFFFFFF"/>
      <sz val="11"/>
    </font>
    <font>
      <name val="Carlito"/>
      <b val="1"/>
      <color rgb="FFFFFFFF"/>
      <sz val="11"/>
    </font>
    <font>
      <name val="Carlito"/>
      <b val="1"/>
      <color rgb="FFFFFFFF"/>
      <sz val="11"/>
    </font>
    <font>
      <name val="Carlito"/>
      <b val="1"/>
      <sz val="11"/>
    </font>
    <font>
      <name val="Carlito"/>
      <b val="1"/>
      <color rgb="FFFFFFFF"/>
      <sz val="11"/>
    </font>
    <font>
      <name val="Carlito"/>
      <b val="1"/>
      <color rgb="FFFFFFFF"/>
      <sz val="11"/>
    </font>
    <font>
      <name val="Carlito"/>
      <b val="1"/>
      <color rgb="FFFFFFFF"/>
      <sz val="11"/>
    </font>
    <font>
      <name val="Carlito"/>
      <b val="1"/>
      <color rgb="FFFFFFFF"/>
      <sz val="11"/>
    </font>
    <font>
      <name val="Carlito"/>
      <b val="1"/>
      <color rgb="FFFFFFFF"/>
      <sz val="11"/>
    </font>
    <font>
      <name val="Carlito"/>
      <b val="1"/>
      <color rgb="FFFFFFFF"/>
      <sz val="11"/>
    </font>
    <font>
      <name val="Carlito"/>
      <b val="1"/>
      <color rgb="FFFFFFFF"/>
      <sz val="11"/>
    </font>
    <font>
      <name val="Carlito"/>
      <b val="1"/>
      <color rgb="FFFFFFFF"/>
      <sz val="11"/>
    </font>
    <font>
      <name val="Carlito"/>
      <b val="1"/>
      <color rgb="FFFFFFFF"/>
      <sz val="11"/>
    </font>
    <font>
      <name val="Carlito"/>
      <b val="1"/>
      <color rgb="FFFFFFFF"/>
      <sz val="11"/>
    </font>
    <font>
      <name val="Carlito"/>
      <color rgb="FFFFFFFF"/>
      <sz val="11"/>
    </font>
    <font>
      <name val="Carlito"/>
      <sz val="11"/>
    </font>
    <font>
      <name val="Carlito"/>
      <b val="1"/>
      <sz val="14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color rgb="FFFFFFFF"/>
      <sz val="11"/>
    </font>
    <font>
      <name val="Carlito"/>
      <b val="1"/>
      <color rgb="FFFFFFFF"/>
      <sz val="11"/>
    </font>
    <font>
      <name val="Carlito"/>
      <b val="1"/>
      <color rgb="FFFFFFFF"/>
      <sz val="11"/>
    </font>
    <font>
      <name val="Carlito"/>
      <b val="1"/>
      <color rgb="FFFFFFFF"/>
      <sz val="11"/>
    </font>
    <font>
      <name val="Carlito"/>
      <b val="1"/>
      <color rgb="FFFFFFFF"/>
      <sz val="11"/>
    </font>
    <font>
      <name val="Carlito"/>
      <b val="1"/>
      <color rgb="FFFFFFFF"/>
      <sz val="11"/>
    </font>
    <font>
      <name val="Carlito"/>
      <b val="1"/>
      <color rgb="FFFFFFFF"/>
      <sz val="11"/>
    </font>
    <font>
      <name val="Carlito"/>
      <b val="1"/>
      <color rgb="FFFFFFFF"/>
      <sz val="11"/>
    </font>
    <font>
      <name val="Carlito"/>
      <b val="1"/>
      <color rgb="FFFFFFFF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b val="1"/>
      <sz val="11"/>
    </font>
    <font>
      <name val="Carlito"/>
      <b val="1"/>
      <sz val="11"/>
    </font>
    <font>
      <name val="Carlito"/>
      <b val="1"/>
      <sz val="11"/>
    </font>
    <font>
      <name val="Carlito"/>
      <b val="1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color rgb="FFFFFFFF"/>
      <sz val="11"/>
    </font>
    <font>
      <name val="Carlito"/>
      <color rgb="FFFFFFFF"/>
      <sz val="11"/>
    </font>
    <font>
      <name val="Carlito"/>
      <b val="1"/>
      <color rgb="FFFFFFFF"/>
      <sz val="11"/>
    </font>
    <font>
      <name val="Carlito"/>
      <b val="1"/>
      <color rgb="FFFFFFFF"/>
      <sz val="11"/>
    </font>
    <font>
      <name val="Carlito"/>
      <b val="1"/>
      <color rgb="FFFFFFFF"/>
      <sz val="11"/>
    </font>
    <font>
      <name val="Carlito"/>
      <b val="1"/>
      <color rgb="FFFFFFFF"/>
      <sz val="11"/>
    </font>
    <font>
      <name val="Carlito"/>
      <b val="1"/>
      <color rgb="FFFFFFFF"/>
      <sz val="11"/>
    </font>
    <font>
      <name val="Carlito"/>
      <b val="1"/>
      <color rgb="FFFFFFFF"/>
      <sz val="11"/>
    </font>
    <font>
      <name val="Carlito"/>
      <b val="1"/>
      <color rgb="FFFFFFFF"/>
      <sz val="11"/>
    </font>
    <font>
      <name val="Carlito"/>
      <b val="1"/>
      <color rgb="FFFFFFFF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color rgb="FFFFFFFF"/>
      <sz val="11"/>
    </font>
    <font>
      <name val="Carlito"/>
      <b val="1"/>
      <sz val="11"/>
    </font>
    <font>
      <name val="Carlito"/>
      <b val="1"/>
      <color rgb="FF000000"/>
      <sz val="11"/>
    </font>
    <font>
      <name val="Carlito"/>
      <b val="1"/>
      <color rgb="FF000000"/>
      <sz val="11"/>
    </font>
    <font>
      <name val="Carlito"/>
      <b val="1"/>
      <color rgb="FF000000"/>
      <sz val="11"/>
    </font>
    <font>
      <name val="Carlito"/>
      <b val="1"/>
      <color rgb="FF000000"/>
      <sz val="11"/>
    </font>
    <font>
      <name val="Carlito"/>
      <b val="1"/>
      <color rgb="FF000000"/>
      <sz val="11"/>
    </font>
    <font>
      <name val="Carlito"/>
      <b val="1"/>
      <color rgb="FF000000"/>
      <sz val="11"/>
    </font>
    <font>
      <name val="Carlito"/>
      <b val="1"/>
      <color rgb="FF000000"/>
      <sz val="11"/>
    </font>
    <font>
      <name val="Carlito"/>
      <b val="1"/>
      <color rgb="FF000000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b val="1"/>
      <sz val="11"/>
    </font>
    <font>
      <name val="Carlito"/>
      <b val="1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b val="1"/>
      <color rgb="FFFFFFFF"/>
      <sz val="11"/>
    </font>
    <font>
      <name val="Carlito"/>
      <b val="1"/>
      <color rgb="FF000000"/>
      <sz val="11"/>
    </font>
    <font>
      <name val="Carlito"/>
      <b val="1"/>
      <color rgb="FF000000"/>
      <sz val="11"/>
    </font>
    <font>
      <name val="Carlito"/>
      <b val="1"/>
      <color rgb="FF000000"/>
      <sz val="11"/>
    </font>
    <font>
      <name val="Carlito"/>
      <b val="1"/>
      <color rgb="FF000000"/>
      <sz val="11"/>
    </font>
    <font>
      <name val="Carlito"/>
      <b val="1"/>
      <color rgb="FF000000"/>
      <sz val="11"/>
    </font>
    <font>
      <name val="Carlito"/>
      <b val="1"/>
      <color rgb="FF000000"/>
      <sz val="11"/>
    </font>
    <font>
      <name val="Carlito"/>
      <b val="1"/>
      <color rgb="FF000000"/>
      <sz val="11"/>
    </font>
    <font>
      <name val="Carlito"/>
      <b val="1"/>
      <color rgb="FF000000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i val="1"/>
      <color rgb="FFFF6600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b val="1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b val="1"/>
      <sz val="11"/>
    </font>
    <font>
      <name val="Carlito"/>
      <b val="1"/>
      <sz val="11"/>
    </font>
    <font>
      <name val="Carlito"/>
      <sz val="11"/>
    </font>
    <font>
      <name val="Carlito"/>
      <sz val="11"/>
    </font>
    <font>
      <name val="Carlito"/>
      <i val="1"/>
      <color rgb="FFFF6600"/>
      <sz val="11"/>
    </font>
    <font>
      <name val="Carlito"/>
      <b val="1"/>
      <color rgb="FFFFFFFF"/>
      <sz val="16"/>
    </font>
    <font>
      <name val="Carlito"/>
      <b val="1"/>
      <sz val="11"/>
    </font>
    <font>
      <name val="Carlito"/>
      <b val="1"/>
      <sz val="12"/>
    </font>
    <font>
      <name val="Carlito"/>
      <b val="1"/>
      <sz val="11"/>
    </font>
    <font>
      <name val="Carlito"/>
      <b val="1"/>
      <sz val="11"/>
    </font>
    <font>
      <name val="Carlito"/>
      <i val="1"/>
      <color rgb="FF595959"/>
      <sz val="9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color rgb="FF000000"/>
      <sz val="11"/>
    </font>
    <font>
      <name val="Carlito"/>
      <b val="1"/>
      <color rgb="FFFFFFFF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color rgb="FFFFFFFF"/>
      <sz val="11"/>
    </font>
    <font>
      <name val="Carlito"/>
      <b val="1"/>
      <color rgb="FFFFFFFF"/>
      <sz val="11"/>
    </font>
    <font>
      <name val="Carlito"/>
      <b val="1"/>
      <color rgb="FFFFFFFF"/>
      <sz val="11"/>
    </font>
    <font>
      <name val="Carlito"/>
      <b val="1"/>
      <color rgb="FFFFFFFF"/>
      <sz val="11"/>
    </font>
    <font>
      <name val="Carlito"/>
      <b val="1"/>
      <color rgb="FFFFFFFF"/>
      <sz val="11"/>
    </font>
    <font>
      <name val="Carlito"/>
      <b val="1"/>
      <color rgb="FFFFFFFF"/>
      <sz val="11"/>
    </font>
    <font>
      <name val="Carlito"/>
      <b val="1"/>
      <color rgb="FFFFFFFF"/>
      <sz val="11"/>
    </font>
    <font>
      <name val="Carlito"/>
      <b val="1"/>
      <color rgb="FFFFFFFF"/>
      <sz val="11"/>
    </font>
    <font>
      <name val="Carlito"/>
      <b val="1"/>
      <color rgb="FFFFFFFF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color rgb="FF000000"/>
      <sz val="11"/>
    </font>
    <font>
      <name val="Carlito"/>
      <color rgb="FF000000"/>
      <sz val="11"/>
    </font>
    <font>
      <name val="Carlito"/>
      <color rgb="FF000000"/>
      <sz val="11"/>
    </font>
    <font>
      <name val="Carlito"/>
      <color rgb="FF000000"/>
      <sz val="11"/>
    </font>
    <font>
      <name val="Carlito"/>
      <color rgb="FF000000"/>
      <sz val="11"/>
    </font>
    <font>
      <name val="Carlito"/>
      <color rgb="FF000000"/>
      <sz val="11"/>
    </font>
    <font>
      <name val="Carlito"/>
      <b val="1"/>
      <color rgb="FF000000"/>
      <sz val="11"/>
    </font>
    <font>
      <name val="Carlito"/>
      <color rgb="FF000000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color rgb="FF000000"/>
      <sz val="11"/>
    </font>
    <font>
      <name val="Carlito"/>
      <color rgb="FF000000"/>
      <sz val="11"/>
    </font>
    <font>
      <name val="Carlito"/>
      <color rgb="FF000000"/>
      <sz val="11"/>
    </font>
    <font>
      <name val="Carlito"/>
      <color rgb="FF000000"/>
      <sz val="11"/>
    </font>
    <font>
      <name val="Carlito"/>
      <color rgb="FF000000"/>
      <sz val="11"/>
    </font>
    <font>
      <name val="Carlito"/>
      <color rgb="FF000000"/>
      <sz val="11"/>
    </font>
    <font>
      <name val="Carlito"/>
      <b val="1"/>
      <color rgb="FF000000"/>
      <sz val="11"/>
    </font>
    <font>
      <name val="Carlito"/>
      <color rgb="FF000000"/>
      <sz val="11"/>
    </font>
    <font>
      <name val="Carlito"/>
      <color rgb="FF000000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color rgb="FF000000"/>
      <sz val="11"/>
    </font>
    <font>
      <name val="Carlito"/>
      <color rgb="FF000000"/>
      <sz val="11"/>
    </font>
    <font>
      <name val="Carlito"/>
      <color rgb="FF000000"/>
      <sz val="11"/>
    </font>
    <font>
      <name val="Carlito"/>
      <color rgb="FF000000"/>
      <sz val="11"/>
    </font>
    <font>
      <name val="Carlito"/>
      <color rgb="FF000000"/>
      <sz val="11"/>
    </font>
    <font>
      <name val="Carlito"/>
      <b val="1"/>
      <color rgb="FF000000"/>
      <sz val="11"/>
    </font>
    <font>
      <name val="Carlito"/>
      <color rgb="FF000000"/>
      <sz val="11"/>
    </font>
    <font>
      <name val="Carlito"/>
      <color rgb="FF000000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color rgb="FF000000"/>
      <sz val="11"/>
    </font>
    <font>
      <name val="Carlito"/>
      <color rgb="FF000000"/>
      <sz val="11"/>
    </font>
    <font>
      <name val="Carlito"/>
      <color rgb="FF000000"/>
      <sz val="11"/>
    </font>
    <font>
      <name val="Carlito"/>
      <color rgb="FF000000"/>
      <sz val="11"/>
    </font>
    <font>
      <name val="Carlito"/>
      <color rgb="FF000000"/>
      <sz val="11"/>
    </font>
    <font>
      <name val="Carlito"/>
      <b val="1"/>
      <color rgb="FF000000"/>
      <sz val="11"/>
    </font>
    <font>
      <name val="Carlito"/>
      <color rgb="FF000000"/>
      <sz val="11"/>
    </font>
    <font>
      <name val="Carlito"/>
      <color rgb="FF000000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color rgb="FF000000"/>
      <sz val="11"/>
    </font>
    <font>
      <name val="Carlito"/>
      <color rgb="FF000000"/>
      <sz val="11"/>
    </font>
    <font>
      <name val="Carlito"/>
      <color rgb="FF000000"/>
      <sz val="11"/>
    </font>
    <font>
      <name val="Carlito"/>
      <color rgb="FF000000"/>
      <sz val="11"/>
    </font>
    <font>
      <name val="Carlito"/>
      <color rgb="FF000000"/>
      <sz val="11"/>
    </font>
    <font>
      <name val="Carlito"/>
      <b val="1"/>
      <color rgb="FF000000"/>
      <sz val="11"/>
    </font>
    <font>
      <name val="Carlito"/>
      <color rgb="FF000000"/>
      <sz val="11"/>
    </font>
    <font>
      <name val="Carlito"/>
      <color rgb="FF000000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color rgb="FF000000"/>
      <sz val="11"/>
    </font>
    <font>
      <name val="Carlito"/>
      <b val="1"/>
      <color rgb="FF000000"/>
      <sz val="11"/>
    </font>
    <font>
      <name val="Carlito"/>
      <b val="1"/>
      <color rgb="FF000000"/>
      <sz val="11"/>
    </font>
    <font>
      <name val="Carlito"/>
      <sz val="11"/>
    </font>
    <font>
      <name val="Carlito"/>
      <b val="1"/>
      <color rgb="FF000000"/>
      <sz val="11"/>
    </font>
    <font>
      <name val="Carlito"/>
      <b val="1"/>
      <color rgb="FF000000"/>
      <sz val="11"/>
    </font>
    <font>
      <name val="Carlito"/>
      <b val="1"/>
      <color rgb="FF000000"/>
      <sz val="11"/>
    </font>
    <font>
      <name val="Carlito"/>
      <b val="1"/>
      <color rgb="FF000000"/>
      <sz val="11"/>
    </font>
    <font>
      <name val="Carlito"/>
      <b val="1"/>
      <color rgb="FF000000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color rgb="FFFFFFFF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color rgb="FF000000"/>
      <sz val="11"/>
    </font>
    <font>
      <name val="Carlito"/>
      <b val="1"/>
      <color rgb="FF000000"/>
      <sz val="11"/>
    </font>
    <font>
      <name val="Carlito"/>
      <b val="1"/>
      <color rgb="FF000000"/>
      <sz val="11"/>
    </font>
    <font>
      <name val="Carlito"/>
      <b val="1"/>
      <color rgb="FF000000"/>
      <sz val="11"/>
    </font>
    <font>
      <name val="Carlito"/>
      <b val="1"/>
      <color rgb="FF000000"/>
      <sz val="11"/>
    </font>
    <font>
      <name val="Carlito"/>
      <b val="1"/>
      <color rgb="FF000000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color rgb="FF000000"/>
      <sz val="11"/>
    </font>
    <font>
      <name val="Carlito"/>
      <b val="1"/>
      <color rgb="FF000000"/>
      <sz val="11"/>
    </font>
    <font>
      <name val="Carlito"/>
      <color rgb="FF000000"/>
      <sz val="11"/>
    </font>
    <font>
      <name val="Carlito"/>
      <color rgb="FF000000"/>
      <sz val="11"/>
    </font>
    <font>
      <name val="Carlito"/>
      <b val="1"/>
      <color rgb="FF000000"/>
      <sz val="11"/>
    </font>
    <font>
      <name val="Carlito"/>
      <b val="1"/>
      <color rgb="FF000000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color rgb="FF000000"/>
      <sz val="11"/>
    </font>
    <font>
      <name val="Carlito"/>
      <b val="1"/>
      <color rgb="FF000000"/>
      <sz val="11"/>
    </font>
    <font>
      <name val="Carlito"/>
      <color rgb="FF000000"/>
      <sz val="11"/>
    </font>
    <font>
      <name val="Carlito"/>
      <color rgb="FF000000"/>
      <sz val="11"/>
    </font>
    <font>
      <name val="Carlito"/>
      <b val="1"/>
      <color rgb="FF000000"/>
      <sz val="11"/>
    </font>
    <font>
      <name val="Carlito"/>
      <b val="1"/>
      <color rgb="FF000000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color rgb="FF000000"/>
      <sz val="11"/>
    </font>
    <font>
      <name val="Carlito"/>
      <b val="1"/>
      <color rgb="FF000000"/>
      <sz val="11"/>
    </font>
    <font>
      <name val="Carlito"/>
      <color rgb="FF000000"/>
      <sz val="11"/>
    </font>
    <font>
      <name val="Carlito"/>
      <color rgb="FF000000"/>
      <sz val="11"/>
    </font>
    <font>
      <name val="Carlito"/>
      <b val="1"/>
      <color rgb="FF000000"/>
      <sz val="11"/>
    </font>
    <font>
      <name val="Carlito"/>
      <b val="1"/>
      <color rgb="FF000000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color rgb="FF000000"/>
      <sz val="11"/>
    </font>
    <font>
      <name val="Carlito"/>
      <color rgb="FF000000"/>
      <sz val="11"/>
    </font>
    <font>
      <name val="Carlito"/>
      <color rgb="FF000000"/>
      <sz val="11"/>
    </font>
    <font>
      <name val="Carlito"/>
      <color rgb="FF000000"/>
      <sz val="11"/>
    </font>
    <font>
      <name val="Carlito"/>
      <color rgb="FF000000"/>
      <sz val="11"/>
    </font>
    <font>
      <name val="Carlito"/>
      <color rgb="FF000000"/>
      <sz val="11"/>
    </font>
    <font>
      <name val="Carlito"/>
      <color rgb="FF000000"/>
      <sz val="11"/>
    </font>
    <font>
      <name val="Carlito"/>
      <color rgb="FF000000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color theme="0"/>
      <sz val="11"/>
    </font>
    <font>
      <name val="Carlito"/>
      <b val="1"/>
      <color rgb="FFFFFFFF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color rgb="FFFFFFFF"/>
      <sz val="11"/>
    </font>
    <font>
      <name val="Carlito"/>
      <b val="1"/>
      <color rgb="FFFFFFFF"/>
      <sz val="11"/>
    </font>
    <font>
      <name val="Carlito"/>
      <b val="1"/>
      <color rgb="FFFFFFFF"/>
      <sz val="11"/>
    </font>
    <font>
      <name val="Carlito"/>
      <b val="1"/>
      <color rgb="FFFFFFFF"/>
      <sz val="11"/>
    </font>
    <font>
      <name val="Carlito"/>
      <b val="1"/>
      <color rgb="FFFFFFFF"/>
      <sz val="11"/>
    </font>
    <font>
      <name val="Carlito"/>
      <b val="1"/>
      <color rgb="FFFFFFFF"/>
      <sz val="11"/>
    </font>
    <font>
      <name val="Carlito"/>
      <b val="1"/>
      <color rgb="FFFFFFFF"/>
      <sz val="11"/>
    </font>
    <font>
      <name val="Carlito"/>
      <b val="1"/>
      <color rgb="FFFFFFFF"/>
      <sz val="11"/>
    </font>
    <font>
      <name val="Carlito"/>
      <b val="1"/>
      <color rgb="FFFFFFFF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color rgb="FF000000"/>
      <sz val="11"/>
    </font>
    <font>
      <name val="Carlito"/>
      <b val="1"/>
      <color rgb="FF000000"/>
      <sz val="11"/>
    </font>
    <font>
      <name val="Carlito"/>
      <color rgb="FF000000"/>
      <sz val="11"/>
    </font>
    <font>
      <name val="Carlito"/>
      <color rgb="FF000000"/>
      <sz val="11"/>
    </font>
    <font>
      <name val="Carlito"/>
      <color rgb="FF000000"/>
      <sz val="11"/>
    </font>
    <font>
      <name val="Carlito"/>
      <b val="1"/>
      <color rgb="FF000000"/>
      <sz val="11"/>
    </font>
    <font>
      <name val="Carlito"/>
      <b val="1"/>
      <color rgb="FF000000"/>
      <sz val="11"/>
    </font>
    <font>
      <name val="Carlito"/>
      <color rgb="FF000000"/>
      <sz val="11"/>
    </font>
    <font>
      <name val="Carlito"/>
      <color rgb="FF000000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color rgb="FF000000"/>
      <sz val="11"/>
    </font>
    <font>
      <name val="Carlito"/>
      <color rgb="FF000000"/>
      <sz val="11"/>
    </font>
    <font>
      <name val="Carlito"/>
      <b val="1"/>
      <color rgb="FF000000"/>
      <sz val="11"/>
    </font>
    <font>
      <name val="Carlito"/>
      <b val="1"/>
      <color rgb="FF000000"/>
      <sz val="11"/>
    </font>
    <font>
      <name val="Carlito"/>
      <color rgb="FF000000"/>
      <sz val="11"/>
    </font>
    <font>
      <name val="Carlito"/>
      <color rgb="FF000000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color rgb="FF000000"/>
      <sz val="11"/>
    </font>
    <font>
      <name val="Carlito"/>
      <color rgb="FF000000"/>
      <sz val="11"/>
    </font>
    <font>
      <name val="Carlito"/>
      <b val="1"/>
      <color rgb="FF000000"/>
      <sz val="11"/>
    </font>
    <font>
      <name val="Carlito"/>
      <b val="1"/>
      <color rgb="FF000000"/>
      <sz val="11"/>
    </font>
    <font>
      <name val="Carlito"/>
      <color rgb="FF000000"/>
      <sz val="11"/>
    </font>
    <font>
      <name val="Carlito"/>
      <color rgb="FF000000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color rgb="FF000000"/>
      <sz val="11"/>
    </font>
    <font>
      <name val="Carlito"/>
      <b val="1"/>
      <color rgb="FF000000"/>
      <sz val="11"/>
    </font>
    <font>
      <name val="Carlito"/>
      <b val="1"/>
      <color rgb="FF000000"/>
      <sz val="11"/>
    </font>
    <font>
      <name val="Carlito"/>
      <b val="1"/>
      <color rgb="FF000000"/>
      <sz val="11"/>
    </font>
    <font>
      <name val="Carlito"/>
      <b val="1"/>
      <color rgb="FF000000"/>
      <sz val="11"/>
    </font>
    <font>
      <name val="Carlito"/>
      <b val="1"/>
      <color rgb="FF000000"/>
      <sz val="11"/>
    </font>
    <font>
      <name val="Carlito"/>
      <b val="1"/>
      <color rgb="FF000000"/>
      <sz val="11"/>
    </font>
    <font>
      <name val="Carlito"/>
      <b val="1"/>
      <color rgb="FF000000"/>
      <sz val="11"/>
    </font>
    <font>
      <name val="Carlito"/>
      <b val="1"/>
      <color rgb="FF000000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color rgb="FFFFFFFF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color rgb="FFFFFFFF"/>
      <sz val="11"/>
    </font>
    <font>
      <name val="Carlito"/>
      <b val="1"/>
      <color rgb="FFFFFFFF"/>
      <sz val="11"/>
    </font>
    <font>
      <name val="Carlito"/>
      <b val="1"/>
      <color rgb="FFFFFFFF"/>
      <sz val="11"/>
    </font>
    <font>
      <name val="Carlito"/>
      <b val="1"/>
      <color rgb="FFFFFFFF"/>
      <sz val="11"/>
    </font>
    <font>
      <name val="Carlito"/>
      <b val="1"/>
      <color rgb="FFFFFFFF"/>
      <sz val="11"/>
    </font>
    <font>
      <name val="Carlito"/>
      <color rgb="FFFFFFFF"/>
      <sz val="11"/>
    </font>
    <font>
      <name val="Carlito"/>
      <color rgb="FFFFFFFF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color rgb="FF000000"/>
      <sz val="11"/>
    </font>
    <font>
      <name val="Carlito"/>
      <color rgb="FF000000"/>
      <sz val="11"/>
    </font>
    <font>
      <name val="Carlito"/>
      <color rgb="FF000000"/>
      <sz val="11"/>
    </font>
    <font>
      <name val="Carlito"/>
      <b val="1"/>
      <color rgb="FF000000"/>
      <sz val="11"/>
    </font>
    <font>
      <name val="Carlito"/>
      <color rgb="FF000000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color rgb="FF000000"/>
      <sz val="11"/>
    </font>
    <font>
      <name val="Carlito"/>
      <color rgb="FF000000"/>
      <sz val="11"/>
    </font>
    <font>
      <name val="Carlito"/>
      <b val="1"/>
      <color rgb="FF000000"/>
      <sz val="11"/>
    </font>
    <font>
      <name val="Carlito"/>
      <color rgb="FF000000"/>
      <sz val="11"/>
    </font>
    <font>
      <name val="Carlito"/>
      <color rgb="FF000000"/>
      <sz val="11"/>
    </font>
    <font>
      <name val="Carlito"/>
      <color rgb="FF000000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color rgb="FF000000"/>
      <sz val="11"/>
    </font>
    <font>
      <name val="Carlito"/>
      <color rgb="FF000000"/>
      <sz val="11"/>
    </font>
    <font>
      <name val="Carlito"/>
      <b val="1"/>
      <color rgb="FF000000"/>
      <sz val="11"/>
    </font>
    <font>
      <name val="Carlito"/>
      <color rgb="FF000000"/>
      <sz val="11"/>
    </font>
    <font>
      <name val="Carlito"/>
      <color rgb="FF000000"/>
      <sz val="11"/>
    </font>
    <font>
      <name val="Carlito"/>
      <color rgb="FF000000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color rgb="FF000000"/>
      <sz val="11"/>
    </font>
    <font>
      <name val="Carlito"/>
      <b val="1"/>
      <color rgb="FF000000"/>
      <sz val="11"/>
    </font>
    <font>
      <name val="Carlito"/>
      <b val="1"/>
      <color rgb="FF000000"/>
      <sz val="11"/>
    </font>
    <font>
      <name val="Carlito"/>
      <b val="1"/>
      <color rgb="FF000000"/>
      <sz val="11"/>
    </font>
    <font>
      <name val="Carlito"/>
      <color rgb="FF000000"/>
      <sz val="11"/>
    </font>
    <font>
      <name val="Carlito"/>
      <color rgb="FF000000"/>
      <sz val="11"/>
    </font>
    <font>
      <name val="Carlito"/>
      <color rgb="FF000000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sz val="11"/>
    </font>
    <font>
      <name val="Carlito"/>
      <b val="1"/>
      <color rgb="FF000000"/>
      <sz val="11"/>
    </font>
    <font>
      <name val="Carlito"/>
      <b val="1"/>
      <color rgb="FF000000"/>
      <sz val="11"/>
    </font>
    <font>
      <name val="Carlito"/>
      <b val="1"/>
      <color rgb="FF000000"/>
      <sz val="11"/>
    </font>
    <font>
      <name val="Carlito"/>
      <b val="1"/>
      <color rgb="FF000000"/>
      <sz val="11"/>
    </font>
    <font>
      <name val="Carlito"/>
      <b val="1"/>
      <color rgb="FF000000"/>
      <sz val="11"/>
    </font>
    <font>
      <name val="Carlito"/>
      <b val="1"/>
      <color rgb="FF000000"/>
      <sz val="11"/>
    </font>
    <font>
      <name val="Carlito"/>
      <b val="1"/>
      <sz val="11"/>
    </font>
    <font>
      <name val="Carlito"/>
      <b val="1"/>
      <sz val="11"/>
    </font>
    <font>
      <name val="Carlito"/>
      <b val="1"/>
      <sz val="11"/>
    </font>
    <font>
      <name val="Carlito"/>
      <b val="1"/>
      <sz val="11"/>
    </font>
    <font>
      <name val="Carlito"/>
      <b val="1"/>
      <sz val="11"/>
    </font>
    <font>
      <name val="Carlito"/>
      <b val="1"/>
      <sz val="11"/>
    </font>
    <font>
      <name val="Carlito"/>
      <color rgb="FFFFFFFF"/>
      <sz val="11"/>
    </font>
    <font>
      <name val="Carlito"/>
      <color rgb="FFFFFFFF"/>
      <sz val="11"/>
    </font>
    <font>
      <name val="Carlito"/>
      <b val="1"/>
      <color rgb="FFFFFFFF"/>
      <sz val="11"/>
    </font>
    <font>
      <name val="Carlito"/>
      <b val="1"/>
      <color rgb="FFFFFFFF"/>
      <sz val="11"/>
    </font>
    <font>
      <name val="Carlito"/>
      <b val="1"/>
      <color rgb="FFFFFFFF"/>
      <sz val="11"/>
    </font>
    <font>
      <name val="Carlito"/>
      <b val="1"/>
      <color rgb="FFFFFFFF"/>
      <sz val="11"/>
    </font>
    <font>
      <name val="Carlito"/>
      <b val="1"/>
      <color rgb="FFFFFFFF"/>
      <sz val="11"/>
    </font>
    <font>
      <name val="Carlito"/>
      <b val="1"/>
      <color rgb="FFFFFFFF"/>
      <sz val="11"/>
    </font>
    <font>
      <name val="Carlito"/>
      <b val="1"/>
      <color rgb="FFFFFFFF"/>
      <sz val="11"/>
    </font>
    <font>
      <name val="Carlito"/>
      <b val="1"/>
      <color rgb="FFFFFFFF"/>
      <sz val="11"/>
    </font>
    <font>
      <name val="Carlito"/>
      <b val="1"/>
      <color rgb="FFFFFFFF"/>
      <sz val="11"/>
    </font>
    <font>
      <name val="Carlito"/>
      <b val="1"/>
      <color rgb="FFFFFFFF"/>
      <sz val="11"/>
    </font>
    <font>
      <name val="Carlito"/>
      <color rgb="FF000000"/>
      <sz val="11"/>
    </font>
    <font>
      <name val="Carlito"/>
      <color rgb="FF000000"/>
      <sz val="11"/>
    </font>
    <font>
      <name val="Carlito"/>
      <color rgb="FF000000"/>
      <sz val="11"/>
    </font>
    <font>
      <name val="Carlito"/>
      <color rgb="FF000000"/>
      <sz val="11"/>
    </font>
    <font>
      <name val="Carlito"/>
      <color rgb="FF000000"/>
      <sz val="11"/>
    </font>
    <font>
      <name val="Carlito"/>
      <color rgb="FF000000"/>
      <sz val="11"/>
    </font>
    <font>
      <name val="Carlito"/>
      <b val="1"/>
      <color rgb="FF000000"/>
      <sz val="11"/>
    </font>
    <font>
      <name val="Carlito"/>
      <sz val="11"/>
    </font>
    <font>
      <name val="Carlito"/>
      <sz val="11"/>
    </font>
    <font>
      <name val="Carlito"/>
      <color rgb="FF000000"/>
      <sz val="11"/>
    </font>
    <font>
      <name val="Carlito"/>
      <color rgb="FF000000"/>
      <sz val="11"/>
    </font>
    <font>
      <name val="Carlito"/>
      <color rgb="FF000000"/>
      <sz val="11"/>
    </font>
    <font>
      <name val="Carlito"/>
      <color rgb="FF000000"/>
      <sz val="11"/>
    </font>
    <font>
      <name val="Carlito"/>
      <color rgb="FF000000"/>
      <sz val="11"/>
    </font>
    <font>
      <name val="Carlito"/>
      <color rgb="FF000000"/>
      <sz val="11"/>
    </font>
    <font>
      <name val="Carlito"/>
      <b val="1"/>
      <color rgb="FF000000"/>
      <sz val="11"/>
    </font>
    <font>
      <name val="Carlito"/>
      <sz val="11"/>
    </font>
    <font>
      <name val="Carlito"/>
      <sz val="11"/>
    </font>
    <font>
      <name val="Carlito"/>
      <color rgb="FF000000"/>
      <sz val="11"/>
    </font>
    <font>
      <name val="Carlito"/>
      <color rgb="FF000000"/>
      <sz val="11"/>
    </font>
    <font>
      <name val="Carlito"/>
      <color rgb="FF000000"/>
      <sz val="11"/>
    </font>
    <font>
      <name val="Carlito"/>
      <color rgb="FF000000"/>
      <sz val="11"/>
    </font>
    <font>
      <name val="Carlito"/>
      <color rgb="FF000000"/>
      <sz val="11"/>
    </font>
    <font>
      <name val="Carlito"/>
      <color rgb="FF000000"/>
      <sz val="11"/>
    </font>
    <font>
      <name val="Carlito"/>
      <b val="1"/>
      <color rgb="FF000000"/>
      <sz val="11"/>
    </font>
    <font>
      <name val="Carlito"/>
      <sz val="11"/>
    </font>
    <font>
      <name val="Carlito"/>
      <sz val="11"/>
    </font>
    <font>
      <name val="Carlito"/>
      <color rgb="FF000000"/>
      <sz val="11"/>
    </font>
    <font>
      <name val="Carlito"/>
      <color rgb="FF000000"/>
      <sz val="11"/>
    </font>
    <font>
      <name val="Carlito"/>
      <color rgb="FF000000"/>
      <sz val="11"/>
    </font>
    <font>
      <name val="Carlito"/>
      <color rgb="FF000000"/>
      <sz val="11"/>
    </font>
    <font>
      <name val="Carlito"/>
      <color rgb="FF000000"/>
      <sz val="11"/>
    </font>
    <font>
      <name val="Carlito"/>
      <color rgb="FF000000"/>
      <sz val="11"/>
    </font>
    <font>
      <name val="Carlito"/>
      <b val="1"/>
      <color rgb="FF000000"/>
      <sz val="11"/>
    </font>
    <font>
      <name val="Carlito"/>
      <sz val="11"/>
    </font>
    <font>
      <name val="Carlito"/>
      <sz val="11"/>
    </font>
    <font>
      <name val="Carlito"/>
      <b val="1"/>
      <color rgb="FF000000"/>
      <sz val="11"/>
    </font>
    <font>
      <name val="Carlito"/>
      <b val="1"/>
      <color rgb="FF000000"/>
      <sz val="11"/>
    </font>
    <font>
      <name val="Carlito"/>
      <b val="1"/>
      <color rgb="FF000000"/>
      <sz val="11"/>
    </font>
    <font>
      <name val="Carlito"/>
      <b val="1"/>
      <color rgb="FF000000"/>
      <sz val="11"/>
    </font>
    <font>
      <name val="Carlito"/>
      <b val="1"/>
      <color rgb="FF000000"/>
      <sz val="11"/>
    </font>
    <font>
      <name val="Carlito"/>
      <b val="1"/>
      <color rgb="FF000000"/>
      <sz val="11"/>
    </font>
    <font>
      <name val="Carlito"/>
      <b val="1"/>
      <color rgb="FF000000"/>
      <sz val="11"/>
    </font>
    <font>
      <name val="Carlito"/>
      <sz val="11"/>
    </font>
    <font>
      <name val="Carlito"/>
      <sz val="11"/>
    </font>
    <font>
      <name val="Carlito"/>
      <b val="1"/>
      <sz val="11"/>
    </font>
    <font>
      <name val="Carlito"/>
      <b val="1"/>
      <sz val="11"/>
    </font>
    <font>
      <name val="Carlito"/>
      <b val="1"/>
      <sz val="11"/>
    </font>
    <font>
      <name val="Carlito"/>
      <b val="1"/>
      <sz val="11"/>
    </font>
  </fonts>
  <fills count="17688">
    <fill>
      <patternFill/>
    </fill>
    <fill>
      <patternFill patternType="gray125"/>
    </fill>
    <fill>
      <patternFill patternType="solid">
        <fgColor rgb="FF1F4E78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002060"/>
      </patternFill>
    </fill>
    <fill>
      <patternFill patternType="solid">
        <fgColor rgb="FFD9D9D9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D9D9D9"/>
      </patternFill>
    </fill>
    <fill>
      <patternFill patternType="solid">
        <fgColor rgb="FF4F81BD"/>
      </patternFill>
    </fill>
    <fill>
      <patternFill patternType="solid">
        <fgColor rgb="FF4F81BD"/>
      </patternFill>
    </fill>
    <fill>
      <patternFill patternType="solid">
        <fgColor rgb="FF4F81BD"/>
      </patternFill>
    </fill>
    <fill>
      <patternFill patternType="solid">
        <fgColor rgb="FF4F81BD"/>
      </patternFill>
    </fill>
    <fill>
      <patternFill patternType="solid">
        <fgColor rgb="FF4F81BD"/>
      </patternFill>
    </fill>
    <fill>
      <patternFill patternType="solid">
        <fgColor rgb="FF4F81BD"/>
      </patternFill>
    </fill>
    <fill>
      <patternFill patternType="solid">
        <fgColor rgb="FF4F81BD"/>
      </patternFill>
    </fill>
    <fill>
      <patternFill patternType="solid">
        <fgColor rgb="FF4F81BD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B8CCE4"/>
      </patternFill>
    </fill>
    <fill>
      <patternFill patternType="solid">
        <fgColor rgb="FFB8CCE4"/>
      </patternFill>
    </fill>
    <fill>
      <patternFill patternType="solid">
        <fgColor rgb="FFB8CCE4"/>
      </patternFill>
    </fill>
    <fill>
      <patternFill patternType="solid">
        <fgColor rgb="FFB8CCE4"/>
      </patternFill>
    </fill>
    <fill>
      <patternFill patternType="solid">
        <fgColor rgb="FFB8CCE4"/>
      </patternFill>
    </fill>
    <fill>
      <patternFill patternType="solid">
        <fgColor rgb="FFB8CCE4"/>
      </patternFill>
    </fill>
    <fill>
      <patternFill patternType="solid">
        <fgColor rgb="FFB8CCE4"/>
      </patternFill>
    </fill>
    <fill>
      <patternFill patternType="solid">
        <fgColor rgb="FFB8CCE4"/>
      </patternFill>
    </fill>
    <fill>
      <patternFill patternType="solid">
        <fgColor rgb="FFD9D9D9"/>
      </patternFill>
    </fill>
    <fill>
      <patternFill patternType="solid">
        <fgColor rgb="FF31859C"/>
      </patternFill>
    </fill>
    <fill>
      <patternFill patternType="solid">
        <fgColor rgb="FF31859C"/>
      </patternFill>
    </fill>
    <fill>
      <patternFill patternType="solid">
        <fgColor rgb="FF31859C"/>
      </patternFill>
    </fill>
    <fill>
      <patternFill patternType="solid">
        <fgColor rgb="FF31859C"/>
      </patternFill>
    </fill>
    <fill>
      <patternFill patternType="solid">
        <fgColor rgb="FF31859C"/>
      </patternFill>
    </fill>
    <fill>
      <patternFill patternType="solid">
        <fgColor rgb="FF31859C"/>
      </patternFill>
    </fill>
    <fill>
      <patternFill patternType="solid">
        <fgColor rgb="FF31859C"/>
      </patternFill>
    </fill>
    <fill>
      <patternFill patternType="solid">
        <fgColor rgb="FF31859C"/>
      </patternFill>
    </fill>
    <fill>
      <patternFill patternType="solid">
        <fgColor rgb="FF31859C"/>
      </patternFill>
    </fill>
    <fill>
      <patternFill patternType="solid">
        <fgColor rgb="FF31859C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B7DEE8"/>
      </patternFill>
    </fill>
    <fill>
      <patternFill patternType="solid">
        <fgColor rgb="FFB7DEE8"/>
      </patternFill>
    </fill>
    <fill>
      <patternFill patternType="solid">
        <fgColor rgb="FFB7DEE8"/>
      </patternFill>
    </fill>
    <fill>
      <patternFill patternType="solid">
        <fgColor rgb="FFB7DEE8"/>
      </patternFill>
    </fill>
    <fill>
      <patternFill patternType="solid">
        <fgColor rgb="FFB7DEE8"/>
      </patternFill>
    </fill>
    <fill>
      <patternFill patternType="solid">
        <fgColor rgb="FFB7DEE8"/>
      </patternFill>
    </fill>
    <fill>
      <patternFill patternType="solid">
        <fgColor rgb="FFB7DEE8"/>
      </patternFill>
    </fill>
    <fill>
      <patternFill patternType="solid">
        <fgColor rgb="FFB7DEE8"/>
      </patternFill>
    </fill>
    <fill>
      <patternFill patternType="solid">
        <fgColor rgb="FFB7DEE8"/>
      </patternFill>
    </fill>
    <fill>
      <patternFill patternType="solid">
        <fgColor rgb="FFB7DEE8"/>
      </patternFill>
    </fill>
    <fill>
      <patternFill patternType="solid">
        <fgColor rgb="FFD9D9D9"/>
      </patternFill>
    </fill>
    <fill>
      <patternFill patternType="solid">
        <fgColor rgb="FF4F81BD"/>
      </patternFill>
    </fill>
    <fill>
      <patternFill patternType="solid">
        <fgColor rgb="FF4F81BD"/>
      </patternFill>
    </fill>
    <fill>
      <patternFill patternType="solid">
        <fgColor rgb="FF4F81BD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B8CCE4"/>
      </patternFill>
    </fill>
    <fill>
      <patternFill patternType="solid">
        <fgColor rgb="FFB8CCE4"/>
      </patternFill>
    </fill>
    <fill>
      <patternFill patternType="solid">
        <fgColor rgb="FFB8CCE4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D9D9D9"/>
      </patternFill>
    </fill>
    <fill>
      <patternFill>
        <fgColor auto="1"/>
        <bgColor auto="1"/>
      </patternFill>
    </fill>
    <fill>
      <patternFill patternType="solid">
        <fgColor rgb="FFFFF2CC"/>
      </patternFill>
    </fill>
    <fill>
      <patternFill>
        <fgColor auto="1"/>
        <bgColor auto="1"/>
      </patternFill>
    </fill>
    <fill>
      <patternFill patternType="solid">
        <fgColor rgb="FFFFF2CC"/>
      </patternFill>
    </fill>
    <fill>
      <patternFill patternType="solid">
        <fgColor rgb="FF76933C"/>
      </patternFill>
    </fill>
    <fill>
      <patternFill patternType="solid">
        <fgColor rgb="FF76933C"/>
      </patternFill>
    </fill>
    <fill>
      <patternFill patternType="solid">
        <fgColor rgb="FF76933C"/>
      </patternFill>
    </fill>
    <fill>
      <patternFill patternType="solid">
        <fgColor rgb="FF76933C"/>
      </patternFill>
    </fill>
    <fill>
      <patternFill patternType="solid">
        <fgColor rgb="FF76933C"/>
      </patternFill>
    </fill>
    <fill>
      <patternFill patternType="solid">
        <fgColor rgb="FF76933C"/>
      </patternFill>
    </fill>
    <fill>
      <patternFill patternType="solid">
        <fgColor rgb="FF76933C"/>
      </patternFill>
    </fill>
    <fill>
      <patternFill patternType="solid">
        <fgColor rgb="FF76933C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D8E4BC"/>
      </patternFill>
    </fill>
    <fill>
      <patternFill patternType="solid">
        <fgColor rgb="FFD8E4BC"/>
      </patternFill>
    </fill>
    <fill>
      <patternFill patternType="solid">
        <fgColor rgb="FFD8E4BC"/>
      </patternFill>
    </fill>
    <fill>
      <patternFill patternType="solid">
        <fgColor rgb="FFD8E4BC"/>
      </patternFill>
    </fill>
    <fill>
      <patternFill patternType="solid">
        <fgColor rgb="FFD8E4BC"/>
      </patternFill>
    </fill>
    <fill>
      <patternFill patternType="solid">
        <fgColor rgb="FFD8E4BC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76933C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D8E4BC"/>
      </patternFill>
    </fill>
    <fill>
      <patternFill patternType="solid">
        <fgColor rgb="FFD8E4BC"/>
      </patternFill>
    </fill>
    <fill>
      <patternFill patternType="solid">
        <fgColor rgb="FFD9D9D9"/>
      </patternFill>
    </fill>
    <fill>
      <patternFill patternType="solid">
        <fgColor rgb="FF4F81BD"/>
      </patternFill>
    </fill>
    <fill>
      <patternFill patternType="solid">
        <fgColor rgb="FF4F81BD"/>
      </patternFill>
    </fill>
    <fill>
      <patternFill patternType="solid">
        <fgColor rgb="FF4F81BD"/>
      </patternFill>
    </fill>
    <fill>
      <patternFill patternType="solid">
        <fgColor rgb="FF4F81BD"/>
      </patternFill>
    </fill>
    <fill>
      <patternFill patternType="solid">
        <fgColor rgb="FF4F81BD"/>
      </patternFill>
    </fill>
    <fill>
      <patternFill patternType="solid">
        <fgColor rgb="FF4F81BD"/>
      </patternFill>
    </fill>
    <fill>
      <patternFill patternType="solid">
        <fgColor rgb="FF4F81BD"/>
      </patternFill>
    </fill>
    <fill>
      <patternFill patternType="solid">
        <fgColor rgb="FF4F81BD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B8CCE4"/>
      </patternFill>
    </fill>
    <fill>
      <patternFill patternType="solid">
        <fgColor rgb="FFB8CCE4"/>
      </patternFill>
    </fill>
    <fill>
      <patternFill patternType="solid">
        <fgColor rgb="FF92D050"/>
      </patternFill>
    </fill>
    <fill>
      <patternFill patternType="solid">
        <fgColor rgb="FF92D050"/>
      </patternFill>
    </fill>
    <fill>
      <patternFill patternType="solid">
        <fgColor rgb="FF92D050"/>
      </patternFill>
    </fill>
    <fill>
      <patternFill patternType="solid">
        <fgColor rgb="FF92D050"/>
      </patternFill>
    </fill>
    <fill>
      <patternFill patternType="solid">
        <fgColor rgb="FF92D050"/>
      </patternFill>
    </fill>
    <fill>
      <patternFill patternType="solid">
        <fgColor rgb="FF92D050"/>
      </patternFill>
    </fill>
    <fill>
      <patternFill patternType="solid">
        <fgColor rgb="FF92D050"/>
      </patternFill>
    </fill>
    <fill>
      <patternFill patternType="solid">
        <fgColor rgb="FF92D050"/>
      </patternFill>
    </fill>
    <fill>
      <patternFill patternType="solid">
        <fgColor rgb="FF92D050"/>
      </patternFill>
    </fill>
    <fill>
      <patternFill patternType="solid">
        <fgColor rgb="FF92D050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92D050"/>
      </patternFill>
    </fill>
    <fill>
      <patternFill patternType="solid">
        <fgColor rgb="FF92D050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D9D9D9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D9D9D9"/>
      </patternFill>
    </fill>
    <fill>
      <patternFill patternType="solid">
        <fgColor rgb="FF4F81BD"/>
      </patternFill>
    </fill>
    <fill>
      <patternFill patternType="solid">
        <fgColor rgb="FF4F81BD"/>
      </patternFill>
    </fill>
    <fill>
      <patternFill patternType="solid">
        <fgColor rgb="FF4F81BD"/>
      </patternFill>
    </fill>
    <fill>
      <patternFill patternType="solid">
        <fgColor rgb="FF4F81BD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002060"/>
      </patternFill>
    </fill>
    <fill>
      <patternFill patternType="solid">
        <fgColor rgb="FFBDD7EE"/>
      </patternFill>
    </fill>
    <fill>
      <patternFill patternType="solid">
        <fgColor rgb="FFBDD7EE"/>
      </patternFill>
    </fill>
    <fill>
      <patternFill patternType="solid">
        <fgColor rgb="FFBDD7EE"/>
      </patternFill>
    </fill>
    <fill>
      <patternFill patternType="solid">
        <fgColor rgb="FFBDD7EE"/>
      </patternFill>
    </fill>
    <fill>
      <patternFill patternType="solid">
        <fgColor rgb="FFBDD7EE"/>
      </patternFill>
    </fill>
    <fill>
      <patternFill patternType="solid">
        <fgColor rgb="FFBDD7EE"/>
      </patternFill>
    </fill>
    <fill>
      <patternFill patternType="solid">
        <fgColor rgb="FFBDD7EE"/>
      </patternFill>
    </fill>
    <fill>
      <patternFill patternType="solid">
        <fgColor rgb="FFBDD7EE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C00000"/>
      </patternFill>
    </fill>
    <fill>
      <patternFill patternType="solid">
        <fgColor rgb="FFFFFF00"/>
        <bgColor indexed="64"/>
      </patternFill>
    </fill>
    <fill>
      <patternFill patternType="solid">
        <fgColor rgb="FFFCE4D6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2E75B6"/>
      </patternFill>
    </fill>
    <fill>
      <patternFill patternType="solid">
        <fgColor rgb="FF2E75B6"/>
      </patternFill>
    </fill>
    <fill>
      <patternFill patternType="solid">
        <fgColor rgb="FF2E75B6"/>
      </patternFill>
    </fill>
    <fill>
      <patternFill patternType="solid">
        <fgColor rgb="FF2E75B6"/>
      </patternFill>
    </fill>
    <fill>
      <patternFill patternType="solid">
        <fgColor rgb="FF2E75B6"/>
      </patternFill>
    </fill>
    <fill>
      <patternFill patternType="solid">
        <fgColor rgb="FF2E75B6"/>
      </patternFill>
    </fill>
    <fill>
      <patternFill patternType="solid">
        <fgColor rgb="FF2E75B6"/>
      </patternFill>
    </fill>
    <fill>
      <patternFill patternType="solid">
        <fgColor rgb="FF2E75B6"/>
      </patternFill>
    </fill>
    <fill>
      <patternFill patternType="solid">
        <fgColor rgb="FF2E75B6"/>
      </patternFill>
    </fill>
    <fill>
      <patternFill patternType="solid">
        <fgColor rgb="FF2E75B6"/>
      </patternFill>
    </fill>
    <fill>
      <patternFill patternType="solid">
        <fgColor rgb="FF2E75B6"/>
      </patternFill>
    </fill>
    <fill>
      <patternFill patternType="solid">
        <fgColor rgb="FF2E75B6"/>
      </patternFill>
    </fill>
    <fill>
      <patternFill patternType="solid">
        <fgColor rgb="FF2E75B6"/>
      </patternFill>
    </fill>
    <fill>
      <patternFill patternType="solid">
        <fgColor rgb="FF2E75B6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2E75B6"/>
      </patternFill>
    </fill>
    <fill>
      <patternFill patternType="solid">
        <fgColor rgb="FF2E75B6"/>
      </patternFill>
    </fill>
    <fill>
      <patternFill patternType="solid">
        <fgColor rgb="FF2E75B6"/>
      </patternFill>
    </fill>
    <fill>
      <patternFill patternType="solid">
        <fgColor rgb="FF2E75B6"/>
      </patternFill>
    </fill>
    <fill>
      <patternFill patternType="solid">
        <fgColor rgb="FF2E75B6"/>
      </patternFill>
    </fill>
    <fill>
      <patternFill patternType="solid">
        <fgColor rgb="FF2E75B6"/>
      </patternFill>
    </fill>
    <fill>
      <patternFill patternType="solid">
        <fgColor rgb="FF2E75B6"/>
      </patternFill>
    </fill>
    <fill>
      <patternFill patternType="solid">
        <fgColor rgb="FF2E75B6"/>
      </patternFill>
    </fill>
    <fill>
      <patternFill patternType="solid">
        <fgColor rgb="FF2E75B6"/>
      </patternFill>
    </fill>
    <fill>
      <patternFill patternType="solid">
        <fgColor rgb="FF2E75B6"/>
      </patternFill>
    </fill>
    <fill>
      <patternFill patternType="solid">
        <fgColor rgb="FF2E75B6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FFF2CC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FFF2CC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FFF2CC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FFF2CC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FFF2CC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FFF2CC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FFF2CC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FFF2CC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FFF2CC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FFF2CC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FFF2CC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FFF2CC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FFF2CC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FFF2CC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FFF2CC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FFF2CC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FFF2CC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FFF2CC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FFF2CC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FFF2CC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FFF2CC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FFF2CC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FFF2CC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FFF2CC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FFF2CC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FFF2CC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FFF2CC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FFF2CC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FFF2CC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FFF2CC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FFF2CC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FFF2CC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FFF2CC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FFF2CC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FFF2CC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FFF2CC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FFF2CC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FFF2CC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FFF2CC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FFF2CC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FFF2CC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FFF2CC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2E75B6"/>
      </patternFill>
    </fill>
    <fill>
      <patternFill patternType="solid">
        <fgColor rgb="FF2E75B6"/>
      </patternFill>
    </fill>
    <fill>
      <patternFill patternType="solid">
        <fgColor rgb="FF2E75B6"/>
      </patternFill>
    </fill>
    <fill>
      <patternFill patternType="solid">
        <fgColor rgb="FF2E75B6"/>
      </patternFill>
    </fill>
    <fill>
      <patternFill patternType="solid">
        <fgColor rgb="FF2E75B6"/>
      </patternFill>
    </fill>
    <fill>
      <patternFill patternType="solid">
        <fgColor rgb="FF2E75B6"/>
      </patternFill>
    </fill>
    <fill>
      <patternFill patternType="solid">
        <fgColor rgb="FF2E75B6"/>
      </patternFill>
    </fill>
    <fill>
      <patternFill patternType="solid">
        <fgColor rgb="FF2E75B6"/>
      </patternFill>
    </fill>
    <fill>
      <patternFill patternType="solid">
        <fgColor rgb="FFFFF2CC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FFF2CC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FFF2CC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FFF2CC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FFF2CC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FFF2CC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FFF2CC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FFF2CC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FFF2CC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FFF2CC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FFF2CC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FFF2CC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FFF2CC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FFF2CC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1A5276"/>
      </patternFill>
    </fill>
    <fill>
      <patternFill patternType="solid">
        <fgColor rgb="FF2874A6"/>
      </patternFill>
    </fill>
    <fill>
      <patternFill patternType="solid">
        <fgColor rgb="FF1A5276"/>
      </patternFill>
    </fill>
    <fill>
      <patternFill patternType="solid">
        <fgColor rgb="FF2874A6"/>
      </patternFill>
    </fill>
    <fill>
      <patternFill patternType="solid">
        <fgColor rgb="FF2874A6"/>
      </patternFill>
    </fill>
    <fill>
      <patternFill patternType="solid">
        <fgColor rgb="FF2874A6"/>
      </patternFill>
    </fill>
    <fill>
      <patternFill patternType="solid">
        <fgColor rgb="FF2874A6"/>
      </patternFill>
    </fill>
    <fill>
      <patternFill patternType="solid">
        <fgColor rgb="FF2874A6"/>
      </patternFill>
    </fill>
    <fill>
      <patternFill patternType="solid">
        <fgColor rgb="FF2874A6"/>
      </patternFill>
    </fill>
    <fill>
      <patternFill patternType="solid">
        <fgColor rgb="FF2874A6"/>
      </patternFill>
    </fill>
    <fill>
      <patternFill patternType="solid">
        <fgColor rgb="FF2874A6"/>
      </patternFill>
    </fill>
    <fill>
      <patternFill patternType="solid">
        <fgColor rgb="FF2874A6"/>
      </patternFill>
    </fill>
    <fill>
      <patternFill patternType="solid">
        <fgColor rgb="FF2874A6"/>
      </patternFill>
    </fill>
    <fill>
      <patternFill patternType="solid">
        <fgColor rgb="FFAED6F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D6EAF8"/>
      </patternFill>
    </fill>
    <fill>
      <patternFill patternType="solid">
        <fgColor rgb="FFD6EAF8"/>
      </patternFill>
    </fill>
    <fill>
      <patternFill patternType="solid">
        <fgColor rgb="FFAED6F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D6EAF8"/>
      </patternFill>
    </fill>
    <fill>
      <patternFill patternType="solid">
        <fgColor rgb="FFD6EAF8"/>
      </patternFill>
    </fill>
    <fill>
      <patternFill patternType="solid">
        <fgColor rgb="FFAED6F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D6EAF8"/>
      </patternFill>
    </fill>
    <fill>
      <patternFill patternType="solid">
        <fgColor rgb="FFD6EAF8"/>
      </patternFill>
    </fill>
    <fill>
      <patternFill patternType="solid">
        <fgColor rgb="FF1A5276"/>
      </patternFill>
    </fill>
    <fill>
      <patternFill patternType="solid">
        <fgColor rgb="FF1A5276"/>
      </patternFill>
    </fill>
    <fill>
      <patternFill patternType="solid">
        <fgColor rgb="FF1A5276"/>
      </patternFill>
    </fill>
    <fill>
      <patternFill patternType="solid">
        <fgColor rgb="FF2874A6"/>
      </patternFill>
    </fill>
    <fill>
      <patternFill patternType="solid">
        <fgColor rgb="FF2874A6"/>
      </patternFill>
    </fill>
    <fill>
      <patternFill patternType="solid">
        <fgColor rgb="FF2874A6"/>
      </patternFill>
    </fill>
    <fill>
      <patternFill patternType="solid">
        <fgColor rgb="FF2874A6"/>
      </patternFill>
    </fill>
    <fill>
      <patternFill patternType="solid">
        <fgColor rgb="FF2874A6"/>
      </patternFill>
    </fill>
    <fill>
      <patternFill patternType="solid">
        <fgColor rgb="FF2874A6"/>
      </patternFill>
    </fill>
    <fill>
      <patternFill patternType="solid">
        <fgColor rgb="FF2874A6"/>
      </patternFill>
    </fill>
    <fill>
      <patternFill patternType="solid">
        <fgColor rgb="FF2874A6"/>
      </patternFill>
    </fill>
    <fill>
      <patternFill patternType="solid">
        <fgColor rgb="FF2874A6"/>
      </patternFill>
    </fill>
    <fill>
      <patternFill patternType="solid">
        <fgColor rgb="FF2874A6"/>
      </patternFill>
    </fill>
    <fill>
      <patternFill patternType="solid">
        <fgColor rgb="FF2874A6"/>
      </patternFill>
    </fill>
    <fill>
      <patternFill patternType="solid">
        <fgColor rgb="FF2874A6"/>
      </patternFill>
    </fill>
    <fill>
      <patternFill patternType="solid">
        <fgColor rgb="FF2874A6"/>
      </patternFill>
    </fill>
    <fill>
      <patternFill patternType="solid">
        <fgColor rgb="FF2874A6"/>
      </patternFill>
    </fill>
    <fill>
      <patternFill patternType="solid">
        <fgColor rgb="FF2874A6"/>
      </patternFill>
    </fill>
    <fill>
      <patternFill patternType="solid">
        <fgColor rgb="FFFEF9E7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FEF9E7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FEF9E7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FEF9E7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FEF9E7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FEF9E7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FEF9E7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FEF9E7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FEF9E7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FEF9E7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FEF9E7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FEF9E7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FEF9E7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FEF9E7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FEF9E7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FEF9E7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FEF9E7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FEF9E7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FEF9E7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FEF9E7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FEF9E7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FEF9E7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FEF9E7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FEF9E7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FEF9E7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FEF9E7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FEF9E7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FEF9E7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FEF9E7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FEF9E7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FEF9E7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FEF9E7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FEF9E7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FEF9E7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FEF9E7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FEF9E7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FEF9E7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FEF9E7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FEF9E7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FEF9E7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FEF9E7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FEF9E7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FEF9E7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FEF9E7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FEF9E7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FEF9E7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FEF9E7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FEF9E7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FEF9E7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FEF9E7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FEF9E7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FEF9E7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FEF9E7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FEF9E7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FEF9E7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FEF9E7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FEF9E7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FEF9E7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FEF9E7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FEF9E7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FEF9E7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FEF9E7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FEF9E7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FEF9E7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FEF9E7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FEF9E7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FEF9E7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FEF9E7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FEF9E7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FEF9E7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FEF9E7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FEF9E7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FEF9E7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FEF9E7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FEF9E7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FEF9E7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FEF9E7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FEF9E7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FEF9E7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FEF9E7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FEF9E7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FEF9E7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FEF9E7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FEF9E7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FEF9E7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FEF9E7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FEF9E7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FEF9E7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FEF9E7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FEF9E7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FEF9E7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FEF9E7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FEF9E7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FEF9E7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FEF9E7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FEF9E7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FEF9E7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FEF9E7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FEF9E7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FEF9E7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FEF9E7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FEF9E7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FEF9E7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FEF9E7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FEF9E7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FEF9E7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FEF9E7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FEF9E7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FEF9E7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FEF9E7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FEF9E7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FEF9E7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FEF9E7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FEF9E7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FEF9E7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FEF9E7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FEF9E7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FEF9E7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FEF9E7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FEF9E7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FEF9E7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FEF9E7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FEF9E7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FEF9E7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FEF9E7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FEF9E7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FEF9E7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FEF9E7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FEF9E7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FEF9E7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FEF9E7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FEF9E7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FEF9E7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FEF9E7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FEF9E7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FEF9E7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FEF9E7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FEF9E7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FEF9E7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FEF9E7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FEF9E7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FEF9E7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FEF9E7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FEF9E7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FEF9E7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FEF9E7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FEF9E7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FEF9E7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FEF9E7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FEF9E7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FEF9E7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FEF9E7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FEF9E7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FEF9E7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1A5276"/>
      </patternFill>
    </fill>
    <fill>
      <patternFill patternType="solid">
        <fgColor rgb="FF2874A6"/>
      </patternFill>
    </fill>
    <fill>
      <patternFill patternType="solid">
        <fgColor rgb="FF2874A6"/>
      </patternFill>
    </fill>
    <fill>
      <patternFill patternType="solid">
        <fgColor rgb="FF2874A6"/>
      </patternFill>
    </fill>
    <fill>
      <patternFill patternType="solid">
        <fgColor rgb="FF2874A6"/>
      </patternFill>
    </fill>
    <fill>
      <patternFill patternType="solid">
        <fgColor rgb="FF2874A6"/>
      </patternFill>
    </fill>
    <fill>
      <patternFill patternType="solid">
        <fgColor rgb="FF2874A6"/>
      </patternFill>
    </fill>
    <fill>
      <patternFill patternType="solid">
        <fgColor rgb="FF2874A6"/>
      </patternFill>
    </fill>
    <fill>
      <patternFill patternType="solid">
        <fgColor rgb="FF2874A6"/>
      </patternFill>
    </fill>
    <fill>
      <patternFill patternType="solid">
        <fgColor rgb="FF2874A6"/>
      </patternFill>
    </fill>
    <fill>
      <patternFill patternType="solid">
        <fgColor rgb="FF2874A6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D6EAF8"/>
      </patternFill>
    </fill>
    <fill>
      <patternFill patternType="solid">
        <fgColor rgb="FFD6EAF8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D9E1F2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D9E1F2"/>
      </patternFill>
    </fill>
    <fill>
      <patternFill>
        <fgColor auto="1"/>
        <bgColor auto="1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>
        <fgColor auto="1"/>
        <bgColor auto="1"/>
      </patternFill>
    </fill>
    <fill>
      <patternFill patternType="solid">
        <fgColor rgb="FFD9E1F2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375623"/>
      </patternFill>
    </fill>
    <fill>
      <patternFill patternType="solid">
        <fgColor rgb="FF375623"/>
      </patternFill>
    </fill>
    <fill>
      <patternFill patternType="solid">
        <fgColor rgb="FF375623"/>
      </patternFill>
    </fill>
    <fill>
      <patternFill patternType="solid">
        <fgColor rgb="FF375623"/>
      </patternFill>
    </fill>
    <fill>
      <patternFill patternType="solid">
        <fgColor rgb="FF4472C4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C00000"/>
      </patternFill>
    </fill>
    <fill>
      <patternFill patternType="solid">
        <fgColor rgb="FFFFC000"/>
      </patternFill>
    </fill>
    <fill>
      <patternFill patternType="solid">
        <fgColor rgb="FFFFC000"/>
      </patternFill>
    </fill>
    <fill>
      <patternFill patternType="solid">
        <fgColor rgb="FFFFC000"/>
      </patternFill>
    </fill>
    <fill>
      <patternFill patternType="solid">
        <fgColor rgb="FFFFC000"/>
      </patternFill>
    </fill>
    <fill>
      <patternFill patternType="solid">
        <fgColor rgb="FFFFC000"/>
      </patternFill>
    </fill>
    <fill>
      <patternFill patternType="solid">
        <fgColor rgb="FFFFC000"/>
      </patternFill>
    </fill>
    <fill>
      <patternFill patternType="solid">
        <fgColor rgb="FFFFC000"/>
      </patternFill>
    </fill>
    <fill>
      <patternFill patternType="solid">
        <fgColor rgb="FFFFC000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>
        <fgColor auto="1"/>
        <bgColor auto="1"/>
      </patternFill>
    </fill>
    <fill>
      <patternFill patternType="solid">
        <fgColor rgb="FF203764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9E1F2"/>
      </patternFill>
    </fill>
    <fill>
      <patternFill patternType="solid">
        <fgColor rgb="FFC6E0B4"/>
      </patternFill>
    </fill>
    <fill>
      <patternFill patternType="solid">
        <fgColor rgb="FFFCE4D6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548235"/>
      </patternFill>
    </fill>
    <fill>
      <patternFill patternType="solid">
        <fgColor rgb="FF548235"/>
      </patternFill>
    </fill>
    <fill>
      <patternFill patternType="solid">
        <fgColor rgb="FF548235"/>
      </patternFill>
    </fill>
    <fill>
      <patternFill patternType="solid">
        <fgColor rgb="FF548235"/>
      </patternFill>
    </fill>
    <fill>
      <patternFill patternType="solid">
        <fgColor rgb="FFC65911"/>
      </patternFill>
    </fill>
    <fill>
      <patternFill patternType="solid">
        <fgColor rgb="FFC65911"/>
      </patternFill>
    </fill>
    <fill>
      <patternFill patternType="solid">
        <fgColor rgb="FFC65911"/>
      </patternFill>
    </fill>
    <fill>
      <patternFill patternType="solid">
        <fgColor rgb="FFC6591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2E4057"/>
      </patternFill>
    </fill>
    <fill>
      <patternFill patternType="solid">
        <fgColor rgb="FFD9E1F2"/>
      </patternFill>
    </fill>
    <fill>
      <patternFill patternType="solid">
        <fgColor rgb="FFFFD700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1F3864"/>
      </patternFill>
    </fill>
    <fill>
      <patternFill patternType="solid">
        <fgColor rgb="FFD9E1F2"/>
      </patternFill>
    </fill>
    <fill>
      <patternFill patternType="solid">
        <fgColor rgb="FFFFD700"/>
      </patternFill>
    </fill>
    <fill>
      <patternFill patternType="solid">
        <fgColor rgb="FFD9E1F2"/>
      </patternFill>
    </fill>
    <fill>
      <patternFill patternType="solid">
        <fgColor rgb="FFFFD700"/>
      </patternFill>
    </fill>
    <fill>
      <patternFill>
        <fgColor auto="1"/>
        <bgColor auto="1"/>
      </patternFill>
    </fill>
    <fill>
      <patternFill patternType="solid">
        <fgColor rgb="FF2E4057"/>
      </patternFill>
    </fill>
    <fill>
      <patternFill patternType="solid">
        <fgColor rgb="FF4472C4"/>
      </patternFill>
    </fill>
    <fill>
      <patternFill patternType="solid">
        <fgColor rgb="FF4472C4"/>
      </patternFill>
    </fill>
    <fill>
      <patternFill patternType="solid">
        <fgColor rgb="FF4472C4"/>
      </patternFill>
    </fill>
    <fill>
      <patternFill patternType="solid">
        <fgColor rgb="FF4472C4"/>
      </patternFill>
    </fill>
    <fill>
      <patternFill patternType="solid">
        <fgColor rgb="FF4472C4"/>
      </patternFill>
    </fill>
    <fill>
      <patternFill patternType="solid">
        <fgColor rgb="FF4472C4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2E4057"/>
      </patternFill>
    </fill>
    <fill>
      <patternFill patternType="solid">
        <fgColor rgb="FF4472C4"/>
      </patternFill>
    </fill>
    <fill>
      <patternFill patternType="solid">
        <fgColor rgb="FF4472C4"/>
      </patternFill>
    </fill>
    <fill>
      <patternFill patternType="solid">
        <fgColor rgb="FF4472C4"/>
      </patternFill>
    </fill>
    <fill>
      <patternFill patternType="solid">
        <fgColor rgb="FF4472C4"/>
      </patternFill>
    </fill>
    <fill>
      <patternFill patternType="solid">
        <fgColor rgb="FF4472C4"/>
      </patternFill>
    </fill>
    <fill>
      <patternFill patternType="solid">
        <fgColor rgb="FF4472C4"/>
      </patternFill>
    </fill>
    <fill>
      <patternFill patternType="solid">
        <fgColor rgb="FF4472C4"/>
      </patternFill>
    </fill>
    <fill>
      <patternFill patternType="solid">
        <fgColor rgb="FF4472C4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2E4057"/>
      </patternFill>
    </fill>
    <fill>
      <patternFill patternType="solid">
        <fgColor rgb="FF375623"/>
      </patternFill>
    </fill>
    <fill>
      <patternFill patternType="solid">
        <fgColor rgb="FF375623"/>
      </patternFill>
    </fill>
    <fill>
      <patternFill patternType="solid">
        <fgColor rgb="FF375623"/>
      </patternFill>
    </fill>
    <fill>
      <patternFill patternType="solid">
        <fgColor rgb="FF375623"/>
      </patternFill>
    </fill>
    <fill>
      <patternFill patternType="solid">
        <fgColor rgb="FF375623"/>
      </patternFill>
    </fill>
    <fill>
      <patternFill patternType="solid">
        <fgColor rgb="FF375623"/>
      </patternFill>
    </fill>
    <fill>
      <patternFill patternType="solid">
        <fgColor rgb="FF375623"/>
      </patternFill>
    </fill>
    <fill>
      <patternFill patternType="solid">
        <fgColor rgb="FF375623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2E4057"/>
      </patternFill>
    </fill>
    <fill>
      <patternFill patternType="solid">
        <fgColor rgb="FFD9E1F2"/>
      </patternFill>
    </fill>
    <fill>
      <patternFill patternType="solid">
        <fgColor rgb="FFFFD700"/>
      </patternFill>
    </fill>
    <fill>
      <patternFill patternType="solid">
        <fgColor rgb="FF4472C4"/>
      </patternFill>
    </fill>
    <fill>
      <patternFill patternType="solid">
        <fgColor rgb="FF4472C4"/>
      </patternFill>
    </fill>
    <fill>
      <patternFill patternType="solid">
        <fgColor rgb="FF4472C4"/>
      </patternFill>
    </fill>
    <fill>
      <patternFill patternType="solid">
        <fgColor rgb="FF4472C4"/>
      </patternFill>
    </fill>
    <fill>
      <patternFill patternType="solid">
        <fgColor rgb="FF4472C4"/>
      </patternFill>
    </fill>
    <fill>
      <patternFill patternType="solid">
        <fgColor rgb="FF4472C4"/>
      </patternFill>
    </fill>
    <fill>
      <patternFill patternType="solid">
        <fgColor rgb="FF4472C4"/>
      </patternFill>
    </fill>
    <fill>
      <patternFill patternType="solid">
        <fgColor rgb="FF4472C4"/>
      </patternFill>
    </fill>
    <fill>
      <patternFill patternType="solid">
        <fgColor rgb="FF4472C4"/>
      </patternFill>
    </fill>
    <fill>
      <patternFill patternType="solid">
        <fgColor rgb="FF4472C4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1F497D"/>
      </patternFill>
    </fill>
    <fill>
      <patternFill patternType="solid">
        <fgColor rgb="FF4A86E8"/>
      </patternFill>
    </fill>
    <fill>
      <patternFill patternType="solid">
        <fgColor rgb="FF4A86E8"/>
      </patternFill>
    </fill>
    <fill>
      <patternFill patternType="solid">
        <fgColor rgb="FF4A86E8"/>
      </patternFill>
    </fill>
    <fill>
      <patternFill patternType="solid">
        <fgColor rgb="FF4A86E8"/>
      </patternFill>
    </fill>
    <fill>
      <patternFill patternType="solid">
        <fgColor rgb="FF4A86E8"/>
      </patternFill>
    </fill>
    <fill>
      <patternFill patternType="solid">
        <fgColor rgb="FF4A86E8"/>
      </patternFill>
    </fill>
    <fill>
      <patternFill patternType="solid">
        <fgColor rgb="FF4A86E8"/>
      </patternFill>
    </fill>
    <fill>
      <patternFill patternType="solid">
        <fgColor rgb="FF4A86E8"/>
      </patternFill>
    </fill>
    <fill>
      <patternFill patternType="solid">
        <fgColor rgb="FF4A86E8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C00000"/>
      </patternFill>
    </fill>
    <fill>
      <patternFill patternType="solid">
        <fgColor rgb="FFFFC000"/>
      </patternFill>
    </fill>
    <fill>
      <patternFill patternType="solid">
        <fgColor rgb="FFFFC000"/>
      </patternFill>
    </fill>
    <fill>
      <patternFill patternType="solid">
        <fgColor rgb="FFFFC000"/>
      </patternFill>
    </fill>
    <fill>
      <patternFill patternType="solid">
        <fgColor rgb="FFFFC000"/>
      </patternFill>
    </fill>
    <fill>
      <patternFill patternType="solid">
        <fgColor rgb="FFFFC000"/>
      </patternFill>
    </fill>
    <fill>
      <patternFill patternType="solid">
        <fgColor rgb="FFFFC000"/>
      </patternFill>
    </fill>
    <fill>
      <patternFill patternType="solid">
        <fgColor rgb="FFFFC000"/>
      </patternFill>
    </fill>
    <fill>
      <patternFill patternType="solid">
        <fgColor rgb="FFFFC000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DEEAF1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EAD1DC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2F2F2"/>
      </patternFill>
    </fill>
    <fill>
      <patternFill patternType="solid">
        <fgColor rgb="FF1F497D"/>
      </patternFill>
    </fill>
    <fill>
      <patternFill patternType="solid">
        <fgColor rgb="FFD9E1F2"/>
      </patternFill>
    </fill>
    <fill>
      <patternFill patternType="solid">
        <fgColor rgb="FFFFD700"/>
      </patternFill>
    </fill>
    <fill>
      <patternFill patternType="solid">
        <fgColor rgb="FFD9E1F2"/>
      </patternFill>
    </fill>
    <fill>
      <patternFill patternType="solid">
        <fgColor rgb="FFFFD700"/>
      </patternFill>
    </fill>
    <fill>
      <patternFill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7F600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BF8F00"/>
      </patternFill>
    </fill>
    <fill>
      <patternFill patternType="solid">
        <fgColor rgb="FFBF8F00"/>
      </patternFill>
    </fill>
    <fill>
      <patternFill patternType="solid">
        <fgColor rgb="FFBF8F00"/>
      </patternFill>
    </fill>
    <fill>
      <patternFill patternType="solid">
        <fgColor rgb="FFBF8F00"/>
      </patternFill>
    </fill>
    <fill>
      <patternFill patternType="solid">
        <fgColor rgb="FFBF8F00"/>
      </patternFill>
    </fill>
    <fill>
      <patternFill patternType="solid">
        <fgColor rgb="FFBF8F00"/>
      </patternFill>
    </fill>
    <fill>
      <patternFill patternType="solid">
        <fgColor rgb="FFBF8F00"/>
      </patternFill>
    </fill>
    <fill>
      <patternFill patternType="solid">
        <fgColor rgb="FFBF8F00"/>
      </patternFill>
    </fill>
    <fill>
      <patternFill patternType="solid">
        <fgColor rgb="FFBF8F0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366092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95B3D7"/>
      </patternFill>
    </fill>
    <fill>
      <patternFill patternType="solid">
        <fgColor rgb="FF95B3D7"/>
      </patternFill>
    </fill>
    <fill>
      <patternFill patternType="solid">
        <fgColor rgb="FF95B3D7"/>
      </patternFill>
    </fill>
    <fill>
      <patternFill patternType="solid">
        <fgColor rgb="FF95B3D7"/>
      </patternFill>
    </fill>
    <fill>
      <patternFill patternType="solid">
        <fgColor rgb="FF95B3D7"/>
      </patternFill>
    </fill>
    <fill>
      <patternFill patternType="solid">
        <fgColor rgb="FF95B3D7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37562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2E4057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4472C4"/>
      </patternFill>
    </fill>
    <fill>
      <patternFill patternType="solid">
        <fgColor rgb="FF4472C4"/>
      </patternFill>
    </fill>
    <fill>
      <patternFill patternType="solid">
        <fgColor rgb="FF4472C4"/>
      </patternFill>
    </fill>
    <fill>
      <patternFill patternType="solid">
        <fgColor rgb="FF4472C4"/>
      </patternFill>
    </fill>
    <fill>
      <patternFill patternType="solid">
        <fgColor rgb="FF4472C4"/>
      </patternFill>
    </fill>
    <fill>
      <patternFill patternType="solid">
        <fgColor rgb="FF4472C4"/>
      </patternFill>
    </fill>
    <fill>
      <patternFill patternType="solid">
        <fgColor rgb="FF4472C4"/>
      </patternFill>
    </fill>
    <fill>
      <patternFill patternType="solid">
        <fgColor rgb="FF4472C4"/>
      </patternFill>
    </fill>
    <fill>
      <patternFill patternType="solid">
        <fgColor rgb="FF4472C4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375623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70AD47"/>
      </patternFill>
    </fill>
    <fill>
      <patternFill patternType="solid">
        <fgColor rgb="FF70AD47"/>
      </patternFill>
    </fill>
    <fill>
      <patternFill patternType="solid">
        <fgColor rgb="FF70AD47"/>
      </patternFill>
    </fill>
    <fill>
      <patternFill patternType="solid">
        <fgColor rgb="FF70AD47"/>
      </patternFill>
    </fill>
    <fill>
      <patternFill patternType="solid">
        <fgColor rgb="FF70AD47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9E1F2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D9E1F2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>
        <fgColor auto="1"/>
        <bgColor auto="1"/>
      </patternFill>
    </fill>
    <fill>
      <patternFill>
        <fgColor auto="1"/>
        <bgColor auto="1"/>
      </patternFill>
    </fill>
    <fill>
      <patternFill patternType="solid">
        <fgColor rgb="FF44546A"/>
      </patternFill>
    </fill>
    <fill>
      <patternFill patternType="solid">
        <fgColor rgb="FF44546A"/>
      </patternFill>
    </fill>
    <fill>
      <patternFill patternType="solid">
        <fgColor rgb="FF44546A"/>
      </patternFill>
    </fill>
    <fill>
      <patternFill patternType="solid">
        <fgColor rgb="FF44546A"/>
      </patternFill>
    </fill>
    <fill>
      <patternFill patternType="solid">
        <fgColor rgb="FF44546A"/>
      </patternFill>
    </fill>
    <fill>
      <patternFill patternType="solid">
        <fgColor rgb="FF44546A"/>
      </patternFill>
    </fill>
    <fill>
      <patternFill patternType="solid">
        <fgColor rgb="FF44546A"/>
      </patternFill>
    </fill>
    <fill>
      <patternFill patternType="solid">
        <fgColor rgb="FF44546A"/>
      </patternFill>
    </fill>
    <fill>
      <patternFill patternType="solid">
        <fgColor rgb="FF44546A"/>
      </patternFill>
    </fill>
    <fill>
      <patternFill patternType="solid">
        <fgColor rgb="FF44546A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</fills>
  <borders count="1753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</borders>
  <cellStyleXfs count="2">
    <xf numFmtId="0" fontId="17678" fillId="0" borderId="17459"/>
    <xf numFmtId="0" fontId="1" fillId="0" borderId="17459"/>
  </cellStyleXfs>
  <cellXfs count="17727">
    <xf numFmtId="0" fontId="0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14" fontId="0" fillId="0" borderId="0" pivotButton="0" quotePrefix="0" xfId="0"/>
    <xf numFmtId="4" fontId="0" fillId="0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horizontal="left" vertical="center" wrapText="1"/>
    </xf>
    <xf numFmtId="2" fontId="0" fillId="0" borderId="0" pivotButton="0" quotePrefix="0" xfId="0"/>
    <xf numFmtId="0" fontId="4" fillId="3" borderId="1" pivotButton="0" quotePrefix="0" xfId="0"/>
    <xf numFmtId="0" fontId="5" fillId="4" borderId="2" pivotButton="0" quotePrefix="0" xfId="0"/>
    <xf numFmtId="165" fontId="6" fillId="5" borderId="3" pivotButton="0" quotePrefix="0" xfId="0"/>
    <xf numFmtId="165" fontId="7" fillId="6" borderId="4" pivotButton="0" quotePrefix="0" xfId="0"/>
    <xf numFmtId="165" fontId="8" fillId="7" borderId="5" pivotButton="0" quotePrefix="0" xfId="0"/>
    <xf numFmtId="165" fontId="9" fillId="8" borderId="6" pivotButton="0" quotePrefix="0" xfId="0"/>
    <xf numFmtId="165" fontId="10" fillId="9" borderId="7" pivotButton="0" quotePrefix="0" xfId="0"/>
    <xf numFmtId="165" fontId="11" fillId="10" borderId="8" pivotButton="0" quotePrefix="0" xfId="0"/>
    <xf numFmtId="165" fontId="12" fillId="11" borderId="9" pivotButton="0" quotePrefix="0" xfId="0"/>
    <xf numFmtId="165" fontId="13" fillId="12" borderId="10" pivotButton="0" quotePrefix="0" xfId="0"/>
    <xf numFmtId="165" fontId="14" fillId="13" borderId="11" pivotButton="0" quotePrefix="0" xfId="0"/>
    <xf numFmtId="165" fontId="15" fillId="14" borderId="12" pivotButton="0" quotePrefix="0" xfId="0"/>
    <xf numFmtId="165" fontId="16" fillId="15" borderId="13" pivotButton="0" quotePrefix="0" xfId="0"/>
    <xf numFmtId="165" fontId="17" fillId="16" borderId="14" pivotButton="0" quotePrefix="0" xfId="0"/>
    <xf numFmtId="165" fontId="18" fillId="17" borderId="15" pivotButton="0" quotePrefix="0" xfId="0"/>
    <xf numFmtId="165" fontId="19" fillId="18" borderId="16" pivotButton="0" quotePrefix="0" xfId="0"/>
    <xf numFmtId="165" fontId="20" fillId="19" borderId="17" pivotButton="0" quotePrefix="0" xfId="0"/>
    <xf numFmtId="165" fontId="21" fillId="20" borderId="18" pivotButton="0" quotePrefix="0" xfId="0"/>
    <xf numFmtId="165" fontId="22" fillId="21" borderId="19" pivotButton="0" quotePrefix="0" xfId="0"/>
    <xf numFmtId="165" fontId="23" fillId="22" borderId="20" pivotButton="0" quotePrefix="0" xfId="0"/>
    <xf numFmtId="165" fontId="24" fillId="23" borderId="21" pivotButton="0" quotePrefix="0" xfId="0"/>
    <xf numFmtId="165" fontId="25" fillId="24" borderId="22" pivotButton="0" quotePrefix="0" xfId="0"/>
    <xf numFmtId="165" fontId="26" fillId="25" borderId="23" pivotButton="0" quotePrefix="0" xfId="0"/>
    <xf numFmtId="165" fontId="27" fillId="26" borderId="24" pivotButton="0" quotePrefix="0" xfId="0"/>
    <xf numFmtId="165" fontId="28" fillId="27" borderId="25" pivotButton="0" quotePrefix="0" xfId="0"/>
    <xf numFmtId="165" fontId="29" fillId="28" borderId="26" pivotButton="0" quotePrefix="0" xfId="0"/>
    <xf numFmtId="165" fontId="30" fillId="29" borderId="27" pivotButton="0" quotePrefix="0" xfId="0"/>
    <xf numFmtId="165" fontId="31" fillId="30" borderId="28" pivotButton="0" quotePrefix="0" xfId="0"/>
    <xf numFmtId="165" fontId="32" fillId="31" borderId="29" pivotButton="0" quotePrefix="0" xfId="0"/>
    <xf numFmtId="165" fontId="33" fillId="32" borderId="30" pivotButton="0" quotePrefix="0" xfId="0"/>
    <xf numFmtId="165" fontId="34" fillId="33" borderId="31" pivotButton="0" quotePrefix="0" xfId="0"/>
    <xf numFmtId="165" fontId="35" fillId="34" borderId="32" pivotButton="0" quotePrefix="0" xfId="0"/>
    <xf numFmtId="0" fontId="36" fillId="35" borderId="33" pivotButton="0" quotePrefix="0" xfId="0"/>
    <xf numFmtId="0" fontId="37" fillId="36" borderId="34" pivotButton="0" quotePrefix="0" xfId="0"/>
    <xf numFmtId="0" fontId="38" fillId="37" borderId="35" pivotButton="0" quotePrefix="0" xfId="0"/>
    <xf numFmtId="0" fontId="39" fillId="38" borderId="36" pivotButton="0" quotePrefix="0" xfId="0"/>
    <xf numFmtId="0" fontId="40" fillId="39" borderId="37" pivotButton="0" quotePrefix="0" xfId="0"/>
    <xf numFmtId="0" fontId="41" fillId="40" borderId="38" pivotButton="0" quotePrefix="0" xfId="0"/>
    <xf numFmtId="0" fontId="42" fillId="41" borderId="39" pivotButton="0" quotePrefix="0" xfId="0"/>
    <xf numFmtId="0" fontId="43" fillId="42" borderId="40" pivotButton="0" quotePrefix="0" xfId="0"/>
    <xf numFmtId="0" fontId="44" fillId="43" borderId="41" pivotButton="0" quotePrefix="0" xfId="0"/>
    <xf numFmtId="0" fontId="45" fillId="44" borderId="42" pivotButton="0" quotePrefix="0" xfId="0"/>
    <xf numFmtId="0" fontId="46" fillId="45" borderId="43" pivotButton="0" quotePrefix="0" xfId="0"/>
    <xf numFmtId="0" fontId="47" fillId="46" borderId="44" pivotButton="0" quotePrefix="0" xfId="0"/>
    <xf numFmtId="0" fontId="48" fillId="47" borderId="45" pivotButton="0" quotePrefix="0" xfId="0"/>
    <xf numFmtId="0" fontId="49" fillId="48" borderId="46" pivotButton="0" quotePrefix="0" xfId="0"/>
    <xf numFmtId="0" fontId="50" fillId="49" borderId="47" pivotButton="0" quotePrefix="0" xfId="0"/>
    <xf numFmtId="0" fontId="51" fillId="50" borderId="48" pivotButton="0" quotePrefix="0" xfId="0"/>
    <xf numFmtId="0" fontId="52" fillId="51" borderId="49" pivotButton="0" quotePrefix="0" xfId="0"/>
    <xf numFmtId="0" fontId="53" fillId="52" borderId="50" pivotButton="0" quotePrefix="0" xfId="0"/>
    <xf numFmtId="0" fontId="54" fillId="53" borderId="51" pivotButton="0" quotePrefix="0" xfId="0"/>
    <xf numFmtId="0" fontId="55" fillId="54" borderId="52" pivotButton="0" quotePrefix="0" xfId="0"/>
    <xf numFmtId="0" fontId="56" fillId="55" borderId="53" pivotButton="0" quotePrefix="0" xfId="0"/>
    <xf numFmtId="0" fontId="57" fillId="56" borderId="54" pivotButton="0" quotePrefix="0" xfId="0"/>
    <xf numFmtId="0" fontId="58" fillId="57" borderId="55" pivotButton="0" quotePrefix="0" xfId="0"/>
    <xf numFmtId="0" fontId="59" fillId="58" borderId="56" pivotButton="0" quotePrefix="0" xfId="0"/>
    <xf numFmtId="0" fontId="60" fillId="59" borderId="57" pivotButton="0" quotePrefix="0" xfId="0"/>
    <xf numFmtId="0" fontId="61" fillId="60" borderId="58" pivotButton="0" quotePrefix="0" xfId="0"/>
    <xf numFmtId="0" fontId="62" fillId="61" borderId="59" pivotButton="0" quotePrefix="0" xfId="0"/>
    <xf numFmtId="0" fontId="63" fillId="62" borderId="60" pivotButton="0" quotePrefix="0" xfId="0"/>
    <xf numFmtId="0" fontId="64" fillId="63" borderId="61" pivotButton="0" quotePrefix="0" xfId="0"/>
    <xf numFmtId="0" fontId="65" fillId="64" borderId="62" pivotButton="0" quotePrefix="0" xfId="0"/>
    <xf numFmtId="0" fontId="66" fillId="65" borderId="63" pivotButton="0" quotePrefix="0" xfId="0"/>
    <xf numFmtId="0" fontId="67" fillId="66" borderId="64" pivotButton="0" quotePrefix="0" xfId="0"/>
    <xf numFmtId="0" fontId="68" fillId="67" borderId="65" pivotButton="0" quotePrefix="0" xfId="0"/>
    <xf numFmtId="0" fontId="69" fillId="68" borderId="66" pivotButton="0" quotePrefix="0" xfId="0"/>
    <xf numFmtId="0" fontId="70" fillId="69" borderId="67" pivotButton="0" quotePrefix="0" xfId="0"/>
    <xf numFmtId="0" fontId="71" fillId="70" borderId="68" pivotButton="0" quotePrefix="0" xfId="0"/>
    <xf numFmtId="0" fontId="72" fillId="71" borderId="69" pivotButton="0" quotePrefix="0" xfId="0"/>
    <xf numFmtId="0" fontId="73" fillId="72" borderId="70" pivotButton="0" quotePrefix="0" xfId="0"/>
    <xf numFmtId="0" fontId="74" fillId="73" borderId="71" pivotButton="0" quotePrefix="0" xfId="0"/>
    <xf numFmtId="0" fontId="75" fillId="74" borderId="72" pivotButton="0" quotePrefix="0" xfId="0"/>
    <xf numFmtId="0" fontId="76" fillId="75" borderId="73" pivotButton="0" quotePrefix="0" xfId="0"/>
    <xf numFmtId="0" fontId="77" fillId="76" borderId="74" pivotButton="0" quotePrefix="0" xfId="0"/>
    <xf numFmtId="0" fontId="78" fillId="77" borderId="75" pivotButton="0" quotePrefix="0" xfId="0"/>
    <xf numFmtId="0" fontId="79" fillId="78" borderId="76" pivotButton="0" quotePrefix="0" xfId="0"/>
    <xf numFmtId="0" fontId="80" fillId="79" borderId="77" pivotButton="0" quotePrefix="0" xfId="0"/>
    <xf numFmtId="0" fontId="81" fillId="80" borderId="78" pivotButton="0" quotePrefix="0" xfId="0"/>
    <xf numFmtId="0" fontId="82" fillId="81" borderId="79" pivotButton="0" quotePrefix="0" xfId="0"/>
    <xf numFmtId="0" fontId="83" fillId="82" borderId="80" pivotButton="0" quotePrefix="0" xfId="0"/>
    <xf numFmtId="0" fontId="84" fillId="83" borderId="81" pivotButton="0" quotePrefix="0" xfId="0"/>
    <xf numFmtId="0" fontId="85" fillId="84" borderId="82" pivotButton="0" quotePrefix="0" xfId="0"/>
    <xf numFmtId="0" fontId="86" fillId="85" borderId="83" pivotButton="0" quotePrefix="0" xfId="0"/>
    <xf numFmtId="0" fontId="87" fillId="86" borderId="84" pivotButton="0" quotePrefix="0" xfId="0"/>
    <xf numFmtId="0" fontId="88" fillId="87" borderId="85" pivotButton="0" quotePrefix="0" xfId="0"/>
    <xf numFmtId="0" fontId="89" fillId="88" borderId="86" pivotButton="0" quotePrefix="0" xfId="0"/>
    <xf numFmtId="0" fontId="90" fillId="89" borderId="87" pivotButton="0" quotePrefix="0" xfId="0"/>
    <xf numFmtId="0" fontId="91" fillId="90" borderId="88" pivotButton="0" quotePrefix="0" xfId="0"/>
    <xf numFmtId="0" fontId="92" fillId="91" borderId="89" pivotButton="0" quotePrefix="0" xfId="0"/>
    <xf numFmtId="0" fontId="93" fillId="92" borderId="90" pivotButton="0" quotePrefix="0" xfId="0"/>
    <xf numFmtId="0" fontId="94" fillId="93" borderId="91" pivotButton="0" quotePrefix="0" xfId="0"/>
    <xf numFmtId="0" fontId="95" fillId="94" borderId="92" pivotButton="0" quotePrefix="0" xfId="0"/>
    <xf numFmtId="0" fontId="96" fillId="95" borderId="93" pivotButton="0" quotePrefix="0" xfId="0"/>
    <xf numFmtId="0" fontId="97" fillId="96" borderId="94" pivotButton="0" quotePrefix="0" xfId="0"/>
    <xf numFmtId="0" fontId="98" fillId="97" borderId="95" pivotButton="0" quotePrefix="0" xfId="0"/>
    <xf numFmtId="0" fontId="99" fillId="98" borderId="96" pivotButton="0" quotePrefix="0" xfId="0"/>
    <xf numFmtId="0" fontId="100" fillId="99" borderId="97" pivotButton="0" quotePrefix="0" xfId="0"/>
    <xf numFmtId="0" fontId="101" fillId="100" borderId="98" pivotButton="0" quotePrefix="0" xfId="0"/>
    <xf numFmtId="0" fontId="102" fillId="101" borderId="99" pivotButton="0" quotePrefix="0" xfId="0"/>
    <xf numFmtId="0" fontId="103" fillId="102" borderId="100" pivotButton="0" quotePrefix="0" xfId="0"/>
    <xf numFmtId="0" fontId="104" fillId="103" borderId="101" pivotButton="0" quotePrefix="0" xfId="0"/>
    <xf numFmtId="0" fontId="105" fillId="104" borderId="102" pivotButton="0" quotePrefix="0" xfId="0"/>
    <xf numFmtId="0" fontId="106" fillId="105" borderId="103" pivotButton="0" quotePrefix="0" xfId="0"/>
    <xf numFmtId="0" fontId="107" fillId="106" borderId="104" pivotButton="0" quotePrefix="0" xfId="0"/>
    <xf numFmtId="0" fontId="108" fillId="107" borderId="105" pivotButton="0" quotePrefix="0" xfId="0"/>
    <xf numFmtId="0" fontId="109" fillId="108" borderId="106" pivotButton="0" quotePrefix="0" xfId="0"/>
    <xf numFmtId="0" fontId="110" fillId="109" borderId="107" pivotButton="0" quotePrefix="0" xfId="0"/>
    <xf numFmtId="0" fontId="111" fillId="110" borderId="108" pivotButton="0" quotePrefix="0" xfId="0"/>
    <xf numFmtId="0" fontId="112" fillId="111" borderId="109" pivotButton="0" quotePrefix="0" xfId="0"/>
    <xf numFmtId="0" fontId="113" fillId="112" borderId="110" pivotButton="0" quotePrefix="0" xfId="0"/>
    <xf numFmtId="0" fontId="114" fillId="113" borderId="111" pivotButton="0" quotePrefix="0" xfId="0"/>
    <xf numFmtId="0" fontId="115" fillId="114" borderId="112" pivotButton="0" quotePrefix="0" xfId="0"/>
    <xf numFmtId="0" fontId="116" fillId="115" borderId="113" pivotButton="0" quotePrefix="0" xfId="0"/>
    <xf numFmtId="0" fontId="117" fillId="116" borderId="114" pivotButton="0" quotePrefix="0" xfId="0"/>
    <xf numFmtId="0" fontId="118" fillId="117" borderId="115" pivotButton="0" quotePrefix="0" xfId="0"/>
    <xf numFmtId="0" fontId="119" fillId="118" borderId="116" pivotButton="0" quotePrefix="0" xfId="0"/>
    <xf numFmtId="0" fontId="120" fillId="119" borderId="117" pivotButton="0" quotePrefix="0" xfId="0"/>
    <xf numFmtId="0" fontId="121" fillId="120" borderId="118" pivotButton="0" quotePrefix="0" xfId="0"/>
    <xf numFmtId="0" fontId="122" fillId="121" borderId="119" pivotButton="0" quotePrefix="0" xfId="0"/>
    <xf numFmtId="0" fontId="123" fillId="122" borderId="120" pivotButton="0" quotePrefix="0" xfId="0"/>
    <xf numFmtId="0" fontId="124" fillId="123" borderId="121" pivotButton="0" quotePrefix="0" xfId="0"/>
    <xf numFmtId="0" fontId="125" fillId="124" borderId="122" pivotButton="0" quotePrefix="0" xfId="0"/>
    <xf numFmtId="0" fontId="126" fillId="125" borderId="123" pivotButton="0" quotePrefix="0" xfId="0"/>
    <xf numFmtId="0" fontId="127" fillId="126" borderId="124" pivotButton="0" quotePrefix="0" xfId="0"/>
    <xf numFmtId="0" fontId="128" fillId="127" borderId="125" pivotButton="0" quotePrefix="0" xfId="0"/>
    <xf numFmtId="0" fontId="129" fillId="128" borderId="126" pivotButton="0" quotePrefix="0" xfId="0"/>
    <xf numFmtId="0" fontId="130" fillId="129" borderId="127" pivotButton="0" quotePrefix="0" xfId="0"/>
    <xf numFmtId="0" fontId="131" fillId="130" borderId="128" pivotButton="0" quotePrefix="0" xfId="0"/>
    <xf numFmtId="0" fontId="132" fillId="131" borderId="129" pivotButton="0" quotePrefix="0" xfId="0"/>
    <xf numFmtId="0" fontId="133" fillId="132" borderId="130" pivotButton="0" quotePrefix="0" xfId="0"/>
    <xf numFmtId="0" fontId="134" fillId="133" borderId="131" pivotButton="0" quotePrefix="0" xfId="0"/>
    <xf numFmtId="0" fontId="135" fillId="134" borderId="132" pivotButton="0" quotePrefix="0" xfId="0"/>
    <xf numFmtId="0" fontId="136" fillId="135" borderId="133" pivotButton="0" quotePrefix="0" xfId="0"/>
    <xf numFmtId="0" fontId="137" fillId="136" borderId="134" pivotButton="0" quotePrefix="0" xfId="0"/>
    <xf numFmtId="0" fontId="138" fillId="137" borderId="135" pivotButton="0" quotePrefix="0" xfId="0"/>
    <xf numFmtId="0" fontId="139" fillId="138" borderId="136" pivotButton="0" quotePrefix="0" xfId="0"/>
    <xf numFmtId="0" fontId="140" fillId="139" borderId="137" pivotButton="0" quotePrefix="0" xfId="0"/>
    <xf numFmtId="0" fontId="141" fillId="140" borderId="138" pivotButton="0" quotePrefix="0" xfId="0"/>
    <xf numFmtId="0" fontId="142" fillId="141" borderId="139" pivotButton="0" quotePrefix="0" xfId="0"/>
    <xf numFmtId="0" fontId="143" fillId="142" borderId="140" pivotButton="0" quotePrefix="0" xfId="0"/>
    <xf numFmtId="0" fontId="144" fillId="143" borderId="141" pivotButton="0" quotePrefix="0" xfId="0"/>
    <xf numFmtId="0" fontId="145" fillId="144" borderId="142" pivotButton="0" quotePrefix="0" xfId="0"/>
    <xf numFmtId="0" fontId="146" fillId="145" borderId="143" pivotButton="0" quotePrefix="0" xfId="0"/>
    <xf numFmtId="0" fontId="147" fillId="146" borderId="144" pivotButton="0" quotePrefix="0" xfId="0"/>
    <xf numFmtId="0" fontId="148" fillId="147" borderId="145" pivotButton="0" quotePrefix="0" xfId="0"/>
    <xf numFmtId="0" fontId="149" fillId="148" borderId="146" pivotButton="0" quotePrefix="0" xfId="0"/>
    <xf numFmtId="0" fontId="150" fillId="149" borderId="147" pivotButton="0" quotePrefix="0" xfId="0"/>
    <xf numFmtId="0" fontId="151" fillId="150" borderId="148" pivotButton="0" quotePrefix="0" xfId="0"/>
    <xf numFmtId="0" fontId="152" fillId="151" borderId="149" pivotButton="0" quotePrefix="0" xfId="0"/>
    <xf numFmtId="0" fontId="153" fillId="152" borderId="150" pivotButton="0" quotePrefix="0" xfId="0"/>
    <xf numFmtId="0" fontId="154" fillId="153" borderId="151" pivotButton="0" quotePrefix="0" xfId="0"/>
    <xf numFmtId="0" fontId="155" fillId="154" borderId="152" pivotButton="0" quotePrefix="0" xfId="0"/>
    <xf numFmtId="0" fontId="156" fillId="155" borderId="153" pivotButton="0" quotePrefix="0" xfId="0"/>
    <xf numFmtId="0" fontId="157" fillId="156" borderId="154" pivotButton="0" quotePrefix="0" xfId="0"/>
    <xf numFmtId="0" fontId="158" fillId="157" borderId="155" pivotButton="0" quotePrefix="0" xfId="0"/>
    <xf numFmtId="0" fontId="159" fillId="158" borderId="156" pivotButton="0" quotePrefix="0" xfId="0"/>
    <xf numFmtId="0" fontId="160" fillId="159" borderId="157" pivotButton="0" quotePrefix="0" xfId="0"/>
    <xf numFmtId="0" fontId="161" fillId="160" borderId="158" pivotButton="0" quotePrefix="0" xfId="0"/>
    <xf numFmtId="0" fontId="162" fillId="161" borderId="159" pivotButton="0" quotePrefix="0" xfId="0"/>
    <xf numFmtId="0" fontId="163" fillId="162" borderId="160" pivotButton="0" quotePrefix="0" xfId="0"/>
    <xf numFmtId="0" fontId="164" fillId="163" borderId="161" pivotButton="0" quotePrefix="0" xfId="0"/>
    <xf numFmtId="0" fontId="165" fillId="164" borderId="162" pivotButton="0" quotePrefix="0" xfId="0"/>
    <xf numFmtId="0" fontId="166" fillId="165" borderId="163" pivotButton="0" quotePrefix="0" xfId="0"/>
    <xf numFmtId="0" fontId="167" fillId="166" borderId="164" pivotButton="0" quotePrefix="0" xfId="0"/>
    <xf numFmtId="0" fontId="168" fillId="167" borderId="165" pivotButton="0" quotePrefix="0" xfId="0"/>
    <xf numFmtId="0" fontId="169" fillId="168" borderId="166" pivotButton="0" quotePrefix="0" xfId="0"/>
    <xf numFmtId="0" fontId="170" fillId="169" borderId="167" pivotButton="0" quotePrefix="0" xfId="0"/>
    <xf numFmtId="0" fontId="171" fillId="170" borderId="168" pivotButton="0" quotePrefix="0" xfId="0"/>
    <xf numFmtId="0" fontId="172" fillId="171" borderId="169" pivotButton="0" quotePrefix="0" xfId="0"/>
    <xf numFmtId="0" fontId="173" fillId="172" borderId="170" pivotButton="0" quotePrefix="0" xfId="0"/>
    <xf numFmtId="0" fontId="174" fillId="173" borderId="171" pivotButton="0" quotePrefix="0" xfId="0"/>
    <xf numFmtId="0" fontId="175" fillId="174" borderId="172" pivotButton="0" quotePrefix="0" xfId="0"/>
    <xf numFmtId="0" fontId="176" fillId="175" borderId="173" pivotButton="0" quotePrefix="0" xfId="0"/>
    <xf numFmtId="0" fontId="177" fillId="176" borderId="174" pivotButton="0" quotePrefix="0" xfId="0"/>
    <xf numFmtId="0" fontId="178" fillId="177" borderId="175" pivotButton="0" quotePrefix="0" xfId="0"/>
    <xf numFmtId="0" fontId="179" fillId="178" borderId="176" pivotButton="0" quotePrefix="0" xfId="0"/>
    <xf numFmtId="0" fontId="180" fillId="179" borderId="177" pivotButton="0" quotePrefix="0" xfId="0"/>
    <xf numFmtId="0" fontId="181" fillId="180" borderId="178" pivotButton="0" quotePrefix="0" xfId="0"/>
    <xf numFmtId="0" fontId="182" fillId="181" borderId="179" pivotButton="0" quotePrefix="0" xfId="0"/>
    <xf numFmtId="0" fontId="183" fillId="182" borderId="180" pivotButton="0" quotePrefix="0" xfId="0"/>
    <xf numFmtId="0" fontId="184" fillId="183" borderId="181" pivotButton="0" quotePrefix="0" xfId="0"/>
    <xf numFmtId="0" fontId="185" fillId="184" borderId="182" pivotButton="0" quotePrefix="0" xfId="0"/>
    <xf numFmtId="0" fontId="186" fillId="185" borderId="183" pivotButton="0" quotePrefix="0" xfId="0"/>
    <xf numFmtId="0" fontId="187" fillId="186" borderId="184" pivotButton="0" quotePrefix="0" xfId="0"/>
    <xf numFmtId="0" fontId="188" fillId="187" borderId="185" pivotButton="0" quotePrefix="0" xfId="0"/>
    <xf numFmtId="0" fontId="189" fillId="188" borderId="186" pivotButton="0" quotePrefix="0" xfId="0"/>
    <xf numFmtId="0" fontId="190" fillId="189" borderId="187" pivotButton="0" quotePrefix="0" xfId="0"/>
    <xf numFmtId="0" fontId="191" fillId="190" borderId="188" pivotButton="0" quotePrefix="0" xfId="0"/>
    <xf numFmtId="0" fontId="192" fillId="191" borderId="189" pivotButton="0" quotePrefix="0" xfId="0"/>
    <xf numFmtId="0" fontId="193" fillId="192" borderId="190" pivotButton="0" quotePrefix="0" xfId="0"/>
    <xf numFmtId="0" fontId="194" fillId="193" borderId="191" pivotButton="0" quotePrefix="0" xfId="0"/>
    <xf numFmtId="0" fontId="195" fillId="194" borderId="192" pivotButton="0" quotePrefix="0" xfId="0"/>
    <xf numFmtId="0" fontId="196" fillId="195" borderId="193" pivotButton="0" quotePrefix="0" xfId="0"/>
    <xf numFmtId="0" fontId="197" fillId="196" borderId="194" pivotButton="0" quotePrefix="0" xfId="0"/>
    <xf numFmtId="0" fontId="198" fillId="197" borderId="195" pivotButton="0" quotePrefix="0" xfId="0"/>
    <xf numFmtId="0" fontId="199" fillId="198" borderId="196" pivotButton="0" quotePrefix="0" xfId="0"/>
    <xf numFmtId="0" fontId="200" fillId="199" borderId="197" pivotButton="0" quotePrefix="0" xfId="0"/>
    <xf numFmtId="0" fontId="201" fillId="200" borderId="198" pivotButton="0" quotePrefix="0" xfId="0"/>
    <xf numFmtId="0" fontId="202" fillId="201" borderId="199" pivotButton="0" quotePrefix="0" xfId="0"/>
    <xf numFmtId="0" fontId="203" fillId="202" borderId="200" pivotButton="0" quotePrefix="0" xfId="0"/>
    <xf numFmtId="0" fontId="206" fillId="205" borderId="201" applyAlignment="1" pivotButton="0" quotePrefix="0" xfId="0">
      <alignment horizontal="right"/>
    </xf>
    <xf numFmtId="0" fontId="207" fillId="206" borderId="202" applyAlignment="1" pivotButton="0" quotePrefix="0" xfId="0">
      <alignment horizontal="right"/>
    </xf>
    <xf numFmtId="0" fontId="208" fillId="207" borderId="203" applyAlignment="1" pivotButton="0" quotePrefix="0" xfId="0">
      <alignment horizontal="right"/>
    </xf>
    <xf numFmtId="0" fontId="209" fillId="208" borderId="204" applyAlignment="1" pivotButton="0" quotePrefix="0" xfId="0">
      <alignment horizontal="right"/>
    </xf>
    <xf numFmtId="0" fontId="210" fillId="209" borderId="205" applyAlignment="1" pivotButton="0" quotePrefix="0" xfId="0">
      <alignment horizontal="right"/>
    </xf>
    <xf numFmtId="0" fontId="211" fillId="210" borderId="206" pivotButton="0" quotePrefix="0" xfId="0"/>
    <xf numFmtId="165" fontId="212" fillId="211" borderId="207" pivotButton="0" quotePrefix="0" xfId="0"/>
    <xf numFmtId="165" fontId="213" fillId="212" borderId="208" pivotButton="0" quotePrefix="0" xfId="0"/>
    <xf numFmtId="164" fontId="214" fillId="213" borderId="209" pivotButton="0" quotePrefix="0" xfId="0"/>
    <xf numFmtId="0" fontId="215" fillId="214" borderId="210" pivotButton="0" quotePrefix="0" xfId="0"/>
    <xf numFmtId="0" fontId="218" fillId="217" borderId="211" applyAlignment="1" pivotButton="0" quotePrefix="0" xfId="0">
      <alignment horizontal="center" vertical="center"/>
    </xf>
    <xf numFmtId="0" fontId="219" fillId="218" borderId="212" applyAlignment="1" pivotButton="0" quotePrefix="0" xfId="0">
      <alignment horizontal="center" vertical="center"/>
    </xf>
    <xf numFmtId="0" fontId="220" fillId="219" borderId="213" applyAlignment="1" pivotButton="0" quotePrefix="0" xfId="0">
      <alignment horizontal="center" vertical="center"/>
    </xf>
    <xf numFmtId="0" fontId="221" fillId="220" borderId="214" applyAlignment="1" pivotButton="0" quotePrefix="0" xfId="0">
      <alignment horizontal="center" vertical="center"/>
    </xf>
    <xf numFmtId="0" fontId="222" fillId="221" borderId="215" applyAlignment="1" pivotButton="0" quotePrefix="0" xfId="0">
      <alignment horizontal="center" vertical="center"/>
    </xf>
    <xf numFmtId="0" fontId="223" fillId="222" borderId="216" applyAlignment="1" pivotButton="0" quotePrefix="0" xfId="0">
      <alignment horizontal="center" vertical="center"/>
    </xf>
    <xf numFmtId="0" fontId="224" fillId="223" borderId="217" applyAlignment="1" pivotButton="0" quotePrefix="0" xfId="0">
      <alignment horizontal="center" vertical="center"/>
    </xf>
    <xf numFmtId="0" fontId="225" fillId="224" borderId="218" applyAlignment="1" pivotButton="0" quotePrefix="0" xfId="0">
      <alignment horizontal="center" vertical="center"/>
    </xf>
    <xf numFmtId="0" fontId="226" fillId="225" borderId="219" applyAlignment="1" pivotButton="0" quotePrefix="0" xfId="0">
      <alignment horizontal="center"/>
    </xf>
    <xf numFmtId="165" fontId="227" fillId="226" borderId="220" applyAlignment="1" pivotButton="0" quotePrefix="0" xfId="0">
      <alignment horizontal="center"/>
    </xf>
    <xf numFmtId="3" fontId="228" fillId="227" borderId="221" pivotButton="0" quotePrefix="0" xfId="0"/>
    <xf numFmtId="3" fontId="229" fillId="228" borderId="222" pivotButton="0" quotePrefix="0" xfId="0"/>
    <xf numFmtId="3" fontId="230" fillId="229" borderId="223" pivotButton="0" quotePrefix="0" xfId="0"/>
    <xf numFmtId="164" fontId="231" fillId="230" borderId="224" pivotButton="0" quotePrefix="0" xfId="0"/>
    <xf numFmtId="164" fontId="232" fillId="231" borderId="225" pivotButton="0" quotePrefix="0" xfId="0"/>
    <xf numFmtId="164" fontId="233" fillId="232" borderId="226" pivotButton="0" quotePrefix="0" xfId="0"/>
    <xf numFmtId="0" fontId="234" fillId="233" borderId="227" applyAlignment="1" pivotButton="0" quotePrefix="0" xfId="0">
      <alignment horizontal="center"/>
    </xf>
    <xf numFmtId="165" fontId="235" fillId="234" borderId="228" applyAlignment="1" pivotButton="0" quotePrefix="0" xfId="0">
      <alignment horizontal="center"/>
    </xf>
    <xf numFmtId="3" fontId="236" fillId="235" borderId="229" pivotButton="0" quotePrefix="0" xfId="0"/>
    <xf numFmtId="3" fontId="237" fillId="236" borderId="230" pivotButton="0" quotePrefix="0" xfId="0"/>
    <xf numFmtId="3" fontId="238" fillId="237" borderId="231" pivotButton="0" quotePrefix="0" xfId="0"/>
    <xf numFmtId="164" fontId="239" fillId="238" borderId="232" pivotButton="0" quotePrefix="0" xfId="0"/>
    <xf numFmtId="164" fontId="240" fillId="239" borderId="233" pivotButton="0" quotePrefix="0" xfId="0"/>
    <xf numFmtId="164" fontId="241" fillId="240" borderId="234" pivotButton="0" quotePrefix="0" xfId="0"/>
    <xf numFmtId="0" fontId="242" fillId="241" borderId="235" applyAlignment="1" pivotButton="0" quotePrefix="0" xfId="0">
      <alignment horizontal="center"/>
    </xf>
    <xf numFmtId="165" fontId="243" fillId="242" borderId="236" applyAlignment="1" pivotButton="0" quotePrefix="0" xfId="0">
      <alignment horizontal="center"/>
    </xf>
    <xf numFmtId="3" fontId="244" fillId="243" borderId="237" pivotButton="0" quotePrefix="0" xfId="0"/>
    <xf numFmtId="3" fontId="245" fillId="244" borderId="238" pivotButton="0" quotePrefix="0" xfId="0"/>
    <xf numFmtId="3" fontId="246" fillId="245" borderId="239" pivotButton="0" quotePrefix="0" xfId="0"/>
    <xf numFmtId="164" fontId="247" fillId="246" borderId="240" pivotButton="0" quotePrefix="0" xfId="0"/>
    <xf numFmtId="164" fontId="248" fillId="247" borderId="241" pivotButton="0" quotePrefix="0" xfId="0"/>
    <xf numFmtId="164" fontId="249" fillId="248" borderId="242" pivotButton="0" quotePrefix="0" xfId="0"/>
    <xf numFmtId="0" fontId="250" fillId="249" borderId="243" applyAlignment="1" pivotButton="0" quotePrefix="0" xfId="0">
      <alignment horizontal="center"/>
    </xf>
    <xf numFmtId="165" fontId="251" fillId="250" borderId="244" applyAlignment="1" pivotButton="0" quotePrefix="0" xfId="0">
      <alignment horizontal="center"/>
    </xf>
    <xf numFmtId="3" fontId="252" fillId="251" borderId="245" pivotButton="0" quotePrefix="0" xfId="0"/>
    <xf numFmtId="3" fontId="253" fillId="252" borderId="246" pivotButton="0" quotePrefix="0" xfId="0"/>
    <xf numFmtId="3" fontId="254" fillId="253" borderId="247" pivotButton="0" quotePrefix="0" xfId="0"/>
    <xf numFmtId="164" fontId="255" fillId="254" borderId="248" pivotButton="0" quotePrefix="0" xfId="0"/>
    <xf numFmtId="164" fontId="256" fillId="255" borderId="249" pivotButton="0" quotePrefix="0" xfId="0"/>
    <xf numFmtId="164" fontId="257" fillId="256" borderId="250" pivotButton="0" quotePrefix="0" xfId="0"/>
    <xf numFmtId="0" fontId="258" fillId="257" borderId="251" applyAlignment="1" pivotButton="0" quotePrefix="0" xfId="0">
      <alignment horizontal="center"/>
    </xf>
    <xf numFmtId="165" fontId="259" fillId="258" borderId="252" applyAlignment="1" pivotButton="0" quotePrefix="0" xfId="0">
      <alignment horizontal="center"/>
    </xf>
    <xf numFmtId="3" fontId="260" fillId="259" borderId="253" pivotButton="0" quotePrefix="0" xfId="0"/>
    <xf numFmtId="3" fontId="261" fillId="260" borderId="254" pivotButton="0" quotePrefix="0" xfId="0"/>
    <xf numFmtId="3" fontId="262" fillId="261" borderId="255" pivotButton="0" quotePrefix="0" xfId="0"/>
    <xf numFmtId="164" fontId="263" fillId="262" borderId="256" pivotButton="0" quotePrefix="0" xfId="0"/>
    <xf numFmtId="164" fontId="264" fillId="263" borderId="257" pivotButton="0" quotePrefix="0" xfId="0"/>
    <xf numFmtId="164" fontId="265" fillId="264" borderId="258" pivotButton="0" quotePrefix="0" xfId="0"/>
    <xf numFmtId="0" fontId="266" fillId="265" borderId="259" applyAlignment="1" pivotButton="0" quotePrefix="0" xfId="0">
      <alignment horizontal="center"/>
    </xf>
    <xf numFmtId="165" fontId="267" fillId="266" borderId="260" applyAlignment="1" pivotButton="0" quotePrefix="0" xfId="0">
      <alignment horizontal="center"/>
    </xf>
    <xf numFmtId="3" fontId="268" fillId="267" borderId="261" pivotButton="0" quotePrefix="0" xfId="0"/>
    <xf numFmtId="3" fontId="269" fillId="268" borderId="262" pivotButton="0" quotePrefix="0" xfId="0"/>
    <xf numFmtId="3" fontId="270" fillId="269" borderId="263" pivotButton="0" quotePrefix="0" xfId="0"/>
    <xf numFmtId="164" fontId="271" fillId="270" borderId="264" pivotButton="0" quotePrefix="0" xfId="0"/>
    <xf numFmtId="164" fontId="272" fillId="271" borderId="265" pivotButton="0" quotePrefix="0" xfId="0"/>
    <xf numFmtId="164" fontId="273" fillId="272" borderId="266" pivotButton="0" quotePrefix="0" xfId="0"/>
    <xf numFmtId="0" fontId="274" fillId="273" borderId="267" applyAlignment="1" pivotButton="0" quotePrefix="0" xfId="0">
      <alignment horizontal="center"/>
    </xf>
    <xf numFmtId="0" fontId="275" fillId="274" borderId="268" pivotButton="0" quotePrefix="0" xfId="0"/>
    <xf numFmtId="3" fontId="276" fillId="275" borderId="269" pivotButton="0" quotePrefix="0" xfId="0"/>
    <xf numFmtId="3" fontId="277" fillId="276" borderId="270" pivotButton="0" quotePrefix="0" xfId="0"/>
    <xf numFmtId="3" fontId="278" fillId="277" borderId="271" pivotButton="0" quotePrefix="0" xfId="0"/>
    <xf numFmtId="164" fontId="279" fillId="278" borderId="272" pivotButton="0" quotePrefix="0" xfId="0"/>
    <xf numFmtId="164" fontId="280" fillId="279" borderId="273" pivotButton="0" quotePrefix="0" xfId="0"/>
    <xf numFmtId="164" fontId="281" fillId="280" borderId="274" pivotButton="0" quotePrefix="0" xfId="0"/>
    <xf numFmtId="0" fontId="283" fillId="282" borderId="275" applyAlignment="1" pivotButton="0" quotePrefix="0" xfId="0">
      <alignment horizontal="center" vertical="center"/>
    </xf>
    <xf numFmtId="0" fontId="284" fillId="283" borderId="276" applyAlignment="1" pivotButton="0" quotePrefix="0" xfId="0">
      <alignment horizontal="center" vertical="center"/>
    </xf>
    <xf numFmtId="0" fontId="285" fillId="284" borderId="277" applyAlignment="1" pivotButton="0" quotePrefix="0" xfId="0">
      <alignment horizontal="center" vertical="center"/>
    </xf>
    <xf numFmtId="0" fontId="286" fillId="285" borderId="278" applyAlignment="1" pivotButton="0" quotePrefix="0" xfId="0">
      <alignment horizontal="center" vertical="center"/>
    </xf>
    <xf numFmtId="0" fontId="287" fillId="286" borderId="279" applyAlignment="1" pivotButton="0" quotePrefix="0" xfId="0">
      <alignment horizontal="center" vertical="center"/>
    </xf>
    <xf numFmtId="0" fontId="288" fillId="287" borderId="280" applyAlignment="1" pivotButton="0" quotePrefix="0" xfId="0">
      <alignment horizontal="center" vertical="center"/>
    </xf>
    <xf numFmtId="0" fontId="289" fillId="288" borderId="281" applyAlignment="1" pivotButton="0" quotePrefix="0" xfId="0">
      <alignment horizontal="center" vertical="center"/>
    </xf>
    <xf numFmtId="0" fontId="290" fillId="289" borderId="282" applyAlignment="1" pivotButton="0" quotePrefix="0" xfId="0">
      <alignment horizontal="center" vertical="center"/>
    </xf>
    <xf numFmtId="0" fontId="291" fillId="290" borderId="283" applyAlignment="1" pivotButton="0" quotePrefix="0" xfId="0">
      <alignment horizontal="center" vertical="center"/>
    </xf>
    <xf numFmtId="0" fontId="292" fillId="291" borderId="284" applyAlignment="1" pivotButton="0" quotePrefix="0" xfId="0">
      <alignment horizontal="center" vertical="center"/>
    </xf>
    <xf numFmtId="0" fontId="293" fillId="292" borderId="285" applyAlignment="1" pivotButton="0" quotePrefix="0" xfId="0">
      <alignment horizontal="center"/>
    </xf>
    <xf numFmtId="165" fontId="294" fillId="293" borderId="286" applyAlignment="1" pivotButton="0" quotePrefix="0" xfId="0">
      <alignment horizontal="center"/>
    </xf>
    <xf numFmtId="3" fontId="295" fillId="294" borderId="287" pivotButton="0" quotePrefix="0" xfId="0"/>
    <xf numFmtId="3" fontId="296" fillId="295" borderId="288" pivotButton="0" quotePrefix="0" xfId="0"/>
    <xf numFmtId="3" fontId="297" fillId="296" borderId="289" pivotButton="0" quotePrefix="0" xfId="0"/>
    <xf numFmtId="3" fontId="298" fillId="297" borderId="290" pivotButton="0" quotePrefix="0" xfId="0"/>
    <xf numFmtId="3" fontId="299" fillId="298" borderId="291" pivotButton="0" quotePrefix="0" xfId="0"/>
    <xf numFmtId="3" fontId="300" fillId="299" borderId="292" pivotButton="0" quotePrefix="0" xfId="0"/>
    <xf numFmtId="3" fontId="301" fillId="300" borderId="293" pivotButton="0" quotePrefix="0" xfId="0"/>
    <xf numFmtId="0" fontId="302" fillId="301" borderId="294" pivotButton="0" quotePrefix="0" xfId="0"/>
    <xf numFmtId="0" fontId="303" fillId="302" borderId="295" applyAlignment="1" pivotButton="0" quotePrefix="0" xfId="0">
      <alignment horizontal="center"/>
    </xf>
    <xf numFmtId="165" fontId="304" fillId="303" borderId="296" applyAlignment="1" pivotButton="0" quotePrefix="0" xfId="0">
      <alignment horizontal="center"/>
    </xf>
    <xf numFmtId="3" fontId="305" fillId="304" borderId="297" pivotButton="0" quotePrefix="0" xfId="0"/>
    <xf numFmtId="3" fontId="306" fillId="305" borderId="298" pivotButton="0" quotePrefix="0" xfId="0"/>
    <xf numFmtId="3" fontId="307" fillId="306" borderId="299" pivotButton="0" quotePrefix="0" xfId="0"/>
    <xf numFmtId="3" fontId="308" fillId="307" borderId="300" pivotButton="0" quotePrefix="0" xfId="0"/>
    <xf numFmtId="3" fontId="309" fillId="308" borderId="301" pivotButton="0" quotePrefix="0" xfId="0"/>
    <xf numFmtId="3" fontId="310" fillId="309" borderId="302" pivotButton="0" quotePrefix="0" xfId="0"/>
    <xf numFmtId="3" fontId="311" fillId="310" borderId="303" pivotButton="0" quotePrefix="0" xfId="0"/>
    <xf numFmtId="0" fontId="312" fillId="311" borderId="304" pivotButton="0" quotePrefix="0" xfId="0"/>
    <xf numFmtId="0" fontId="313" fillId="312" borderId="305" applyAlignment="1" pivotButton="0" quotePrefix="0" xfId="0">
      <alignment horizontal="center"/>
    </xf>
    <xf numFmtId="165" fontId="314" fillId="313" borderId="306" applyAlignment="1" pivotButton="0" quotePrefix="0" xfId="0">
      <alignment horizontal="center"/>
    </xf>
    <xf numFmtId="3" fontId="315" fillId="314" borderId="307" pivotButton="0" quotePrefix="0" xfId="0"/>
    <xf numFmtId="3" fontId="316" fillId="315" borderId="308" pivotButton="0" quotePrefix="0" xfId="0"/>
    <xf numFmtId="3" fontId="317" fillId="316" borderId="309" pivotButton="0" quotePrefix="0" xfId="0"/>
    <xf numFmtId="3" fontId="318" fillId="317" borderId="310" pivotButton="0" quotePrefix="0" xfId="0"/>
    <xf numFmtId="3" fontId="319" fillId="318" borderId="311" pivotButton="0" quotePrefix="0" xfId="0"/>
    <xf numFmtId="3" fontId="320" fillId="319" borderId="312" pivotButton="0" quotePrefix="0" xfId="0"/>
    <xf numFmtId="3" fontId="321" fillId="320" borderId="313" pivotButton="0" quotePrefix="0" xfId="0"/>
    <xf numFmtId="0" fontId="322" fillId="321" borderId="314" pivotButton="0" quotePrefix="0" xfId="0"/>
    <xf numFmtId="0" fontId="323" fillId="322" borderId="315" applyAlignment="1" pivotButton="0" quotePrefix="0" xfId="0">
      <alignment horizontal="center"/>
    </xf>
    <xf numFmtId="165" fontId="324" fillId="323" borderId="316" applyAlignment="1" pivotButton="0" quotePrefix="0" xfId="0">
      <alignment horizontal="center"/>
    </xf>
    <xf numFmtId="3" fontId="325" fillId="324" borderId="317" pivotButton="0" quotePrefix="0" xfId="0"/>
    <xf numFmtId="3" fontId="326" fillId="325" borderId="318" pivotButton="0" quotePrefix="0" xfId="0"/>
    <xf numFmtId="3" fontId="327" fillId="326" borderId="319" pivotButton="0" quotePrefix="0" xfId="0"/>
    <xf numFmtId="3" fontId="328" fillId="327" borderId="320" pivotButton="0" quotePrefix="0" xfId="0"/>
    <xf numFmtId="3" fontId="329" fillId="328" borderId="321" pivotButton="0" quotePrefix="0" xfId="0"/>
    <xf numFmtId="3" fontId="330" fillId="329" borderId="322" pivotButton="0" quotePrefix="0" xfId="0"/>
    <xf numFmtId="3" fontId="331" fillId="330" borderId="323" pivotButton="0" quotePrefix="0" xfId="0"/>
    <xf numFmtId="0" fontId="332" fillId="331" borderId="324" pivotButton="0" quotePrefix="0" xfId="0"/>
    <xf numFmtId="0" fontId="333" fillId="332" borderId="325" applyAlignment="1" pivotButton="0" quotePrefix="0" xfId="0">
      <alignment horizontal="center"/>
    </xf>
    <xf numFmtId="165" fontId="334" fillId="333" borderId="326" applyAlignment="1" pivotButton="0" quotePrefix="0" xfId="0">
      <alignment horizontal="center"/>
    </xf>
    <xf numFmtId="3" fontId="335" fillId="334" borderId="327" pivotButton="0" quotePrefix="0" xfId="0"/>
    <xf numFmtId="3" fontId="336" fillId="335" borderId="328" pivotButton="0" quotePrefix="0" xfId="0"/>
    <xf numFmtId="3" fontId="337" fillId="336" borderId="329" pivotButton="0" quotePrefix="0" xfId="0"/>
    <xf numFmtId="3" fontId="338" fillId="337" borderId="330" pivotButton="0" quotePrefix="0" xfId="0"/>
    <xf numFmtId="3" fontId="339" fillId="338" borderId="331" pivotButton="0" quotePrefix="0" xfId="0"/>
    <xf numFmtId="3" fontId="340" fillId="339" borderId="332" pivotButton="0" quotePrefix="0" xfId="0"/>
    <xf numFmtId="3" fontId="341" fillId="340" borderId="333" pivotButton="0" quotePrefix="0" xfId="0"/>
    <xf numFmtId="0" fontId="342" fillId="341" borderId="334" pivotButton="0" quotePrefix="0" xfId="0"/>
    <xf numFmtId="0" fontId="343" fillId="342" borderId="335" applyAlignment="1" pivotButton="0" quotePrefix="0" xfId="0">
      <alignment horizontal="center"/>
    </xf>
    <xf numFmtId="165" fontId="344" fillId="343" borderId="336" applyAlignment="1" pivotButton="0" quotePrefix="0" xfId="0">
      <alignment horizontal="center"/>
    </xf>
    <xf numFmtId="3" fontId="345" fillId="344" borderId="337" pivotButton="0" quotePrefix="0" xfId="0"/>
    <xf numFmtId="3" fontId="346" fillId="345" borderId="338" pivotButton="0" quotePrefix="0" xfId="0"/>
    <xf numFmtId="3" fontId="347" fillId="346" borderId="339" pivotButton="0" quotePrefix="0" xfId="0"/>
    <xf numFmtId="3" fontId="348" fillId="347" borderId="340" pivotButton="0" quotePrefix="0" xfId="0"/>
    <xf numFmtId="3" fontId="349" fillId="348" borderId="341" pivotButton="0" quotePrefix="0" xfId="0"/>
    <xf numFmtId="3" fontId="350" fillId="349" borderId="342" pivotButton="0" quotePrefix="0" xfId="0"/>
    <xf numFmtId="3" fontId="351" fillId="350" borderId="343" pivotButton="0" quotePrefix="0" xfId="0"/>
    <xf numFmtId="0" fontId="352" fillId="351" borderId="344" pivotButton="0" quotePrefix="0" xfId="0"/>
    <xf numFmtId="0" fontId="353" fillId="352" borderId="345" applyAlignment="1" pivotButton="0" quotePrefix="0" xfId="0">
      <alignment horizontal="center"/>
    </xf>
    <xf numFmtId="0" fontId="354" fillId="353" borderId="346" pivotButton="0" quotePrefix="0" xfId="0"/>
    <xf numFmtId="3" fontId="355" fillId="354" borderId="347" pivotButton="0" quotePrefix="0" xfId="0"/>
    <xf numFmtId="3" fontId="356" fillId="355" borderId="348" pivotButton="0" quotePrefix="0" xfId="0"/>
    <xf numFmtId="3" fontId="357" fillId="356" borderId="349" pivotButton="0" quotePrefix="0" xfId="0"/>
    <xf numFmtId="3" fontId="358" fillId="357" borderId="350" pivotButton="0" quotePrefix="0" xfId="0"/>
    <xf numFmtId="3" fontId="359" fillId="358" borderId="351" pivotButton="0" quotePrefix="0" xfId="0"/>
    <xf numFmtId="3" fontId="360" fillId="359" borderId="352" pivotButton="0" quotePrefix="0" xfId="0"/>
    <xf numFmtId="3" fontId="361" fillId="360" borderId="353" pivotButton="0" quotePrefix="0" xfId="0"/>
    <xf numFmtId="0" fontId="362" fillId="361" borderId="354" pivotButton="0" quotePrefix="0" xfId="0"/>
    <xf numFmtId="0" fontId="364" fillId="363" borderId="355" applyAlignment="1" pivotButton="0" quotePrefix="0" xfId="0">
      <alignment horizontal="center" vertical="center"/>
    </xf>
    <xf numFmtId="0" fontId="365" fillId="364" borderId="356" applyAlignment="1" pivotButton="0" quotePrefix="0" xfId="0">
      <alignment horizontal="center" vertical="center"/>
    </xf>
    <xf numFmtId="0" fontId="366" fillId="365" borderId="357" applyAlignment="1" pivotButton="0" quotePrefix="0" xfId="0">
      <alignment horizontal="center" vertical="center"/>
    </xf>
    <xf numFmtId="0" fontId="367" fillId="366" borderId="358" pivotButton="0" quotePrefix="0" xfId="0"/>
    <xf numFmtId="3" fontId="368" fillId="367" borderId="359" pivotButton="0" quotePrefix="0" xfId="0"/>
    <xf numFmtId="164" fontId="369" fillId="368" borderId="360" pivotButton="0" quotePrefix="0" xfId="0"/>
    <xf numFmtId="0" fontId="370" fillId="369" borderId="361" pivotButton="0" quotePrefix="0" xfId="0"/>
    <xf numFmtId="3" fontId="371" fillId="370" borderId="362" pivotButton="0" quotePrefix="0" xfId="0"/>
    <xf numFmtId="164" fontId="372" fillId="371" borderId="363" pivotButton="0" quotePrefix="0" xfId="0"/>
    <xf numFmtId="0" fontId="373" fillId="372" borderId="364" pivotButton="0" quotePrefix="0" xfId="0"/>
    <xf numFmtId="3" fontId="374" fillId="373" borderId="365" pivotButton="0" quotePrefix="0" xfId="0"/>
    <xf numFmtId="164" fontId="375" fillId="374" borderId="366" pivotButton="0" quotePrefix="0" xfId="0"/>
    <xf numFmtId="0" fontId="376" fillId="375" borderId="367" pivotButton="0" quotePrefix="0" xfId="0"/>
    <xf numFmtId="3" fontId="377" fillId="376" borderId="368" pivotButton="0" quotePrefix="0" xfId="0"/>
    <xf numFmtId="164" fontId="378" fillId="377" borderId="369" pivotButton="0" quotePrefix="0" xfId="0"/>
    <xf numFmtId="0" fontId="379" fillId="378" borderId="370" pivotButton="0" quotePrefix="0" xfId="0"/>
    <xf numFmtId="3" fontId="380" fillId="379" borderId="371" pivotButton="0" quotePrefix="0" xfId="0"/>
    <xf numFmtId="164" fontId="381" fillId="380" borderId="372" pivotButton="0" quotePrefix="0" xfId="0"/>
    <xf numFmtId="0" fontId="382" fillId="381" borderId="373" pivotButton="0" quotePrefix="0" xfId="0"/>
    <xf numFmtId="3" fontId="383" fillId="382" borderId="374" pivotButton="0" quotePrefix="0" xfId="0"/>
    <xf numFmtId="164" fontId="384" fillId="383" borderId="375" pivotButton="0" quotePrefix="0" xfId="0"/>
    <xf numFmtId="0" fontId="385" fillId="384" borderId="376" pivotButton="0" quotePrefix="0" xfId="0"/>
    <xf numFmtId="3" fontId="386" fillId="385" borderId="377" pivotButton="0" quotePrefix="0" xfId="0"/>
    <xf numFmtId="164" fontId="387" fillId="386" borderId="378" pivotButton="0" quotePrefix="0" xfId="0"/>
    <xf numFmtId="0" fontId="388" fillId="387" borderId="379" pivotButton="0" quotePrefix="0" xfId="0"/>
    <xf numFmtId="3" fontId="389" fillId="388" borderId="380" pivotButton="0" quotePrefix="0" xfId="0"/>
    <xf numFmtId="164" fontId="390" fillId="389" borderId="381" pivotButton="0" quotePrefix="0" xfId="0"/>
    <xf numFmtId="0" fontId="391" fillId="390" borderId="382" applyAlignment="1" pivotButton="0" quotePrefix="0" xfId="0">
      <alignment horizontal="center"/>
    </xf>
    <xf numFmtId="3" fontId="392" fillId="391" borderId="383" pivotButton="0" quotePrefix="0" xfId="0"/>
    <xf numFmtId="164" fontId="393" fillId="392" borderId="384" pivotButton="0" quotePrefix="0" xfId="0"/>
    <xf numFmtId="0" fontId="394" fillId="393" borderId="385" pivotButton="0" quotePrefix="0" xfId="0"/>
    <xf numFmtId="0" fontId="395" fillId="394" borderId="386" pivotButton="0" quotePrefix="0" xfId="0"/>
    <xf numFmtId="0" fontId="396" fillId="395" borderId="387" pivotButton="0" quotePrefix="0" xfId="0"/>
    <xf numFmtId="0" fontId="397" fillId="396" borderId="388" pivotButton="0" quotePrefix="0" xfId="0"/>
    <xf numFmtId="0" fontId="398" fillId="397" borderId="389" pivotButton="0" quotePrefix="0" xfId="0"/>
    <xf numFmtId="0" fontId="399" fillId="398" borderId="390" pivotButton="0" quotePrefix="0" xfId="0"/>
    <xf numFmtId="0" fontId="400" fillId="399" borderId="391" pivotButton="0" quotePrefix="0" xfId="0"/>
    <xf numFmtId="0" fontId="401" fillId="400" borderId="392" pivotButton="0" quotePrefix="0" xfId="0"/>
    <xf numFmtId="0" fontId="402" fillId="401" borderId="393" pivotButton="0" quotePrefix="0" xfId="0"/>
    <xf numFmtId="0" fontId="403" fillId="402" borderId="394" pivotButton="0" quotePrefix="0" xfId="0"/>
    <xf numFmtId="0" fontId="404" fillId="403" borderId="395" pivotButton="0" quotePrefix="0" xfId="0"/>
    <xf numFmtId="0" fontId="405" fillId="404" borderId="396" pivotButton="0" quotePrefix="0" xfId="0"/>
    <xf numFmtId="0" fontId="406" fillId="405" borderId="397" pivotButton="0" quotePrefix="0" xfId="0"/>
    <xf numFmtId="0" fontId="407" fillId="406" borderId="398" pivotButton="0" quotePrefix="0" xfId="0"/>
    <xf numFmtId="0" fontId="408" fillId="407" borderId="399" pivotButton="0" quotePrefix="0" xfId="0"/>
    <xf numFmtId="0" fontId="409" fillId="408" borderId="400" pivotButton="0" quotePrefix="0" xfId="0"/>
    <xf numFmtId="0" fontId="410" fillId="409" borderId="401" pivotButton="0" quotePrefix="0" xfId="0"/>
    <xf numFmtId="0" fontId="411" fillId="410" borderId="402" pivotButton="0" quotePrefix="0" xfId="0"/>
    <xf numFmtId="0" fontId="412" fillId="411" borderId="403" pivotButton="0" quotePrefix="0" xfId="0"/>
    <xf numFmtId="0" fontId="413" fillId="412" borderId="404" pivotButton="0" quotePrefix="0" xfId="0"/>
    <xf numFmtId="0" fontId="414" fillId="413" borderId="405" pivotButton="0" quotePrefix="0" xfId="0"/>
    <xf numFmtId="0" fontId="415" fillId="414" borderId="406" pivotButton="0" quotePrefix="0" xfId="0"/>
    <xf numFmtId="0" fontId="416" fillId="415" borderId="407" pivotButton="0" quotePrefix="0" xfId="0"/>
    <xf numFmtId="0" fontId="417" fillId="416" borderId="408" pivotButton="0" quotePrefix="0" xfId="0"/>
    <xf numFmtId="0" fontId="418" fillId="417" borderId="409" pivotButton="0" quotePrefix="0" xfId="0"/>
    <xf numFmtId="0" fontId="419" fillId="418" borderId="410" pivotButton="0" quotePrefix="0" xfId="0"/>
    <xf numFmtId="0" fontId="420" fillId="419" borderId="411" pivotButton="0" quotePrefix="0" xfId="0"/>
    <xf numFmtId="0" fontId="421" fillId="420" borderId="412" pivotButton="0" quotePrefix="0" xfId="0"/>
    <xf numFmtId="0" fontId="422" fillId="421" borderId="413" pivotButton="0" quotePrefix="0" xfId="0"/>
    <xf numFmtId="0" fontId="423" fillId="422" borderId="414" pivotButton="0" quotePrefix="0" xfId="0"/>
    <xf numFmtId="0" fontId="424" fillId="423" borderId="415" pivotButton="0" quotePrefix="0" xfId="0"/>
    <xf numFmtId="0" fontId="425" fillId="424" borderId="416" pivotButton="0" quotePrefix="0" xfId="0"/>
    <xf numFmtId="0" fontId="426" fillId="425" borderId="417" pivotButton="0" quotePrefix="0" xfId="0"/>
    <xf numFmtId="0" fontId="427" fillId="426" borderId="418" pivotButton="0" quotePrefix="0" xfId="0"/>
    <xf numFmtId="0" fontId="428" fillId="427" borderId="419" pivotButton="0" quotePrefix="0" xfId="0"/>
    <xf numFmtId="0" fontId="429" fillId="428" borderId="420" pivotButton="0" quotePrefix="0" xfId="0"/>
    <xf numFmtId="0" fontId="430" fillId="429" borderId="421" pivotButton="0" quotePrefix="0" xfId="0"/>
    <xf numFmtId="0" fontId="431" fillId="430" borderId="422" pivotButton="0" quotePrefix="0" xfId="0"/>
    <xf numFmtId="0" fontId="432" fillId="431" borderId="423" pivotButton="0" quotePrefix="0" xfId="0"/>
    <xf numFmtId="0" fontId="433" fillId="432" borderId="424" pivotButton="0" quotePrefix="0" xfId="0"/>
    <xf numFmtId="0" fontId="434" fillId="433" borderId="425" pivotButton="0" quotePrefix="0" xfId="0"/>
    <xf numFmtId="0" fontId="435" fillId="434" borderId="426" pivotButton="0" quotePrefix="0" xfId="0"/>
    <xf numFmtId="0" fontId="436" fillId="435" borderId="427" pivotButton="0" quotePrefix="0" xfId="0"/>
    <xf numFmtId="0" fontId="437" fillId="436" borderId="428" pivotButton="0" quotePrefix="0" xfId="0"/>
    <xf numFmtId="0" fontId="438" fillId="437" borderId="429" pivotButton="0" quotePrefix="0" xfId="0"/>
    <xf numFmtId="0" fontId="439" fillId="438" borderId="430" pivotButton="0" quotePrefix="0" xfId="0"/>
    <xf numFmtId="0" fontId="440" fillId="439" borderId="431" pivotButton="0" quotePrefix="0" xfId="0"/>
    <xf numFmtId="0" fontId="441" fillId="440" borderId="432" pivotButton="0" quotePrefix="0" xfId="0"/>
    <xf numFmtId="0" fontId="442" fillId="441" borderId="433" pivotButton="0" quotePrefix="0" xfId="0"/>
    <xf numFmtId="0" fontId="443" fillId="442" borderId="434" pivotButton="0" quotePrefix="0" xfId="0"/>
    <xf numFmtId="0" fontId="444" fillId="443" borderId="435" pivotButton="0" quotePrefix="0" xfId="0"/>
    <xf numFmtId="0" fontId="445" fillId="444" borderId="436" pivotButton="0" quotePrefix="0" xfId="0"/>
    <xf numFmtId="0" fontId="446" fillId="445" borderId="437" pivotButton="0" quotePrefix="0" xfId="0"/>
    <xf numFmtId="0" fontId="447" fillId="446" borderId="438" pivotButton="0" quotePrefix="0" xfId="0"/>
    <xf numFmtId="0" fontId="448" fillId="447" borderId="439" pivotButton="0" quotePrefix="0" xfId="0"/>
    <xf numFmtId="0" fontId="449" fillId="448" borderId="440" pivotButton="0" quotePrefix="0" xfId="0"/>
    <xf numFmtId="0" fontId="450" fillId="449" borderId="441" pivotButton="0" quotePrefix="0" xfId="0"/>
    <xf numFmtId="0" fontId="451" fillId="450" borderId="442" pivotButton="0" quotePrefix="0" xfId="0"/>
    <xf numFmtId="0" fontId="452" fillId="451" borderId="443" pivotButton="0" quotePrefix="0" xfId="0"/>
    <xf numFmtId="0" fontId="453" fillId="452" borderId="444" pivotButton="0" quotePrefix="0" xfId="0"/>
    <xf numFmtId="0" fontId="454" fillId="453" borderId="445" pivotButton="0" quotePrefix="0" xfId="0"/>
    <xf numFmtId="0" fontId="455" fillId="454" borderId="446" pivotButton="0" quotePrefix="0" xfId="0"/>
    <xf numFmtId="0" fontId="456" fillId="455" borderId="447" pivotButton="0" quotePrefix="0" xfId="0"/>
    <xf numFmtId="0" fontId="457" fillId="456" borderId="448" pivotButton="0" quotePrefix="0" xfId="0"/>
    <xf numFmtId="0" fontId="458" fillId="457" borderId="449" pivotButton="0" quotePrefix="0" xfId="0"/>
    <xf numFmtId="0" fontId="459" fillId="458" borderId="450" pivotButton="0" quotePrefix="0" xfId="0"/>
    <xf numFmtId="0" fontId="460" fillId="459" borderId="451" pivotButton="0" quotePrefix="0" xfId="0"/>
    <xf numFmtId="0" fontId="461" fillId="460" borderId="452" pivotButton="0" quotePrefix="0" xfId="0"/>
    <xf numFmtId="0" fontId="462" fillId="461" borderId="453" pivotButton="0" quotePrefix="0" xfId="0"/>
    <xf numFmtId="0" fontId="463" fillId="462" borderId="454" pivotButton="0" quotePrefix="0" xfId="0"/>
    <xf numFmtId="0" fontId="464" fillId="463" borderId="455" pivotButton="0" quotePrefix="0" xfId="0"/>
    <xf numFmtId="0" fontId="465" fillId="464" borderId="456" pivotButton="0" quotePrefix="0" xfId="0"/>
    <xf numFmtId="0" fontId="466" fillId="465" borderId="457" pivotButton="0" quotePrefix="0" xfId="0"/>
    <xf numFmtId="0" fontId="467" fillId="466" borderId="458" pivotButton="0" quotePrefix="0" xfId="0"/>
    <xf numFmtId="0" fontId="468" fillId="467" borderId="459" pivotButton="0" quotePrefix="0" xfId="0"/>
    <xf numFmtId="0" fontId="469" fillId="468" borderId="460" pivotButton="0" quotePrefix="0" xfId="0"/>
    <xf numFmtId="0" fontId="470" fillId="469" borderId="461" pivotButton="0" quotePrefix="0" xfId="0"/>
    <xf numFmtId="0" fontId="471" fillId="470" borderId="462" pivotButton="0" quotePrefix="0" xfId="0"/>
    <xf numFmtId="0" fontId="472" fillId="471" borderId="463" pivotButton="0" quotePrefix="0" xfId="0"/>
    <xf numFmtId="0" fontId="473" fillId="472" borderId="464" pivotButton="0" quotePrefix="0" xfId="0"/>
    <xf numFmtId="0" fontId="474" fillId="473" borderId="465" pivotButton="0" quotePrefix="0" xfId="0"/>
    <xf numFmtId="0" fontId="476" fillId="475" borderId="467" pivotButton="0" quotePrefix="0" xfId="0"/>
    <xf numFmtId="0" fontId="477" fillId="476" borderId="468" pivotButton="0" quotePrefix="0" xfId="0"/>
    <xf numFmtId="0" fontId="478" fillId="477" borderId="469" pivotButton="0" quotePrefix="0" xfId="0"/>
    <xf numFmtId="0" fontId="479" fillId="478" borderId="470" pivotButton="0" quotePrefix="0" xfId="0"/>
    <xf numFmtId="0" fontId="480" fillId="479" borderId="471" pivotButton="0" quotePrefix="0" xfId="0"/>
    <xf numFmtId="0" fontId="481" fillId="480" borderId="472" pivotButton="0" quotePrefix="0" xfId="0"/>
    <xf numFmtId="0" fontId="482" fillId="481" borderId="473" pivotButton="0" quotePrefix="0" xfId="0"/>
    <xf numFmtId="0" fontId="483" fillId="482" borderId="474" pivotButton="0" quotePrefix="0" xfId="0"/>
    <xf numFmtId="0" fontId="484" fillId="483" borderId="475" pivotButton="0" quotePrefix="0" xfId="0"/>
    <xf numFmtId="0" fontId="485" fillId="484" borderId="476" pivotButton="0" quotePrefix="0" xfId="0"/>
    <xf numFmtId="0" fontId="486" fillId="485" borderId="477" pivotButton="0" quotePrefix="0" xfId="0"/>
    <xf numFmtId="0" fontId="487" fillId="486" borderId="478" pivotButton="0" quotePrefix="0" xfId="0"/>
    <xf numFmtId="0" fontId="488" fillId="487" borderId="479" pivotButton="0" quotePrefix="0" xfId="0"/>
    <xf numFmtId="0" fontId="489" fillId="488" borderId="480" pivotButton="0" quotePrefix="0" xfId="0"/>
    <xf numFmtId="0" fontId="490" fillId="489" borderId="481" pivotButton="0" quotePrefix="0" xfId="0"/>
    <xf numFmtId="0" fontId="491" fillId="490" borderId="482" pivotButton="0" quotePrefix="0" xfId="0"/>
    <xf numFmtId="0" fontId="492" fillId="491" borderId="483" pivotButton="0" quotePrefix="0" xfId="0"/>
    <xf numFmtId="0" fontId="493" fillId="492" borderId="484" pivotButton="0" quotePrefix="0" xfId="0"/>
    <xf numFmtId="0" fontId="494" fillId="493" borderId="485" pivotButton="0" quotePrefix="0" xfId="0"/>
    <xf numFmtId="0" fontId="495" fillId="494" borderId="486" pivotButton="0" quotePrefix="0" xfId="0"/>
    <xf numFmtId="0" fontId="497" fillId="496" borderId="487" applyAlignment="1" pivotButton="0" quotePrefix="0" xfId="0">
      <alignment horizontal="right"/>
    </xf>
    <xf numFmtId="0" fontId="498" fillId="497" borderId="488" pivotButton="0" quotePrefix="0" xfId="0"/>
    <xf numFmtId="0" fontId="499" fillId="498" borderId="489" applyAlignment="1" pivotButton="0" quotePrefix="0" xfId="0">
      <alignment horizontal="right"/>
    </xf>
    <xf numFmtId="164" fontId="500" fillId="499" borderId="490" pivotButton="0" quotePrefix="0" xfId="0"/>
    <xf numFmtId="0" fontId="501" fillId="500" borderId="491" applyAlignment="1" pivotButton="0" quotePrefix="0" xfId="0">
      <alignment horizontal="center" vertical="center"/>
    </xf>
    <xf numFmtId="0" fontId="502" fillId="501" borderId="492" applyAlignment="1" pivotButton="0" quotePrefix="0" xfId="0">
      <alignment horizontal="center" vertical="center"/>
    </xf>
    <xf numFmtId="0" fontId="503" fillId="502" borderId="493" applyAlignment="1" pivotButton="0" quotePrefix="0" xfId="0">
      <alignment horizontal="center" vertical="center"/>
    </xf>
    <xf numFmtId="0" fontId="504" fillId="503" borderId="494" applyAlignment="1" pivotButton="0" quotePrefix="0" xfId="0">
      <alignment horizontal="center" vertical="center"/>
    </xf>
    <xf numFmtId="0" fontId="505" fillId="504" borderId="495" applyAlignment="1" pivotButton="0" quotePrefix="0" xfId="0">
      <alignment horizontal="center" vertical="center"/>
    </xf>
    <xf numFmtId="0" fontId="506" fillId="505" borderId="496" applyAlignment="1" pivotButton="0" quotePrefix="0" xfId="0">
      <alignment horizontal="center" vertical="center"/>
    </xf>
    <xf numFmtId="0" fontId="507" fillId="506" borderId="497" applyAlignment="1" pivotButton="0" quotePrefix="0" xfId="0">
      <alignment horizontal="center" vertical="center"/>
    </xf>
    <xf numFmtId="165" fontId="508" fillId="508" borderId="499" applyAlignment="1" pivotButton="0" quotePrefix="0" xfId="0">
      <alignment horizontal="center"/>
    </xf>
    <xf numFmtId="3" fontId="509" fillId="509" borderId="500" pivotButton="0" quotePrefix="0" xfId="0"/>
    <xf numFmtId="164" fontId="510" fillId="510" borderId="501" pivotButton="0" quotePrefix="0" xfId="0"/>
    <xf numFmtId="164" fontId="511" fillId="511" borderId="502" pivotButton="0" quotePrefix="0" xfId="0"/>
    <xf numFmtId="164" fontId="512" fillId="512" borderId="503" applyAlignment="1" pivotButton="0" quotePrefix="0" xfId="0">
      <alignment horizontal="right"/>
    </xf>
    <xf numFmtId="164" fontId="513" fillId="513" borderId="504" pivotButton="0" quotePrefix="0" xfId="0"/>
    <xf numFmtId="165" fontId="515" fillId="515" borderId="505" applyAlignment="1" pivotButton="0" quotePrefix="0" xfId="0">
      <alignment horizontal="center"/>
    </xf>
    <xf numFmtId="3" fontId="516" fillId="516" borderId="506" pivotButton="0" quotePrefix="0" xfId="0"/>
    <xf numFmtId="164" fontId="517" fillId="517" borderId="507" pivotButton="0" quotePrefix="0" xfId="0"/>
    <xf numFmtId="164" fontId="518" fillId="518" borderId="508" pivotButton="0" quotePrefix="0" xfId="0"/>
    <xf numFmtId="164" fontId="519" fillId="519" borderId="509" applyAlignment="1" pivotButton="0" quotePrefix="0" xfId="0">
      <alignment horizontal="right"/>
    </xf>
    <xf numFmtId="164" fontId="520" fillId="520" borderId="510" pivotButton="0" quotePrefix="0" xfId="0"/>
    <xf numFmtId="165" fontId="522" fillId="522" borderId="511" applyAlignment="1" pivotButton="0" quotePrefix="0" xfId="0">
      <alignment horizontal="center"/>
    </xf>
    <xf numFmtId="3" fontId="523" fillId="523" borderId="512" pivotButton="0" quotePrefix="0" xfId="0"/>
    <xf numFmtId="164" fontId="524" fillId="524" borderId="513" pivotButton="0" quotePrefix="0" xfId="0"/>
    <xf numFmtId="164" fontId="525" fillId="525" borderId="514" pivotButton="0" quotePrefix="0" xfId="0"/>
    <xf numFmtId="164" fontId="526" fillId="526" borderId="515" applyAlignment="1" pivotButton="0" quotePrefix="0" xfId="0">
      <alignment horizontal="right"/>
    </xf>
    <xf numFmtId="164" fontId="527" fillId="527" borderId="516" pivotButton="0" quotePrefix="0" xfId="0"/>
    <xf numFmtId="3" fontId="528" fillId="528" borderId="517" pivotButton="0" quotePrefix="0" xfId="0"/>
    <xf numFmtId="164" fontId="529" fillId="529" borderId="518" pivotButton="0" quotePrefix="0" xfId="0"/>
    <xf numFmtId="164" fontId="530" fillId="530" borderId="519" pivotButton="0" quotePrefix="0" xfId="0"/>
    <xf numFmtId="164" fontId="531" fillId="531" borderId="520" applyAlignment="1" pivotButton="0" quotePrefix="0" xfId="0">
      <alignment horizontal="right"/>
    </xf>
    <xf numFmtId="164" fontId="532" fillId="532" borderId="521" pivotButton="0" quotePrefix="0" xfId="0"/>
    <xf numFmtId="0" fontId="533" fillId="533" borderId="522" applyAlignment="1" pivotButton="0" quotePrefix="0" xfId="0">
      <alignment horizontal="center"/>
    </xf>
    <xf numFmtId="3" fontId="534" fillId="534" borderId="523" pivotButton="0" quotePrefix="0" xfId="0"/>
    <xf numFmtId="164" fontId="535" fillId="535" borderId="524" pivotButton="0" quotePrefix="0" xfId="0"/>
    <xf numFmtId="164" fontId="536" fillId="536" borderId="525" pivotButton="0" quotePrefix="0" xfId="0"/>
    <xf numFmtId="164" fontId="537" fillId="537" borderId="526" applyAlignment="1" pivotButton="0" quotePrefix="0" xfId="0">
      <alignment horizontal="right"/>
    </xf>
    <xf numFmtId="164" fontId="538" fillId="538" borderId="527" pivotButton="0" quotePrefix="0" xfId="0"/>
    <xf numFmtId="0" fontId="539" fillId="539" borderId="528" pivotButton="0" quotePrefix="0" xfId="0"/>
    <xf numFmtId="0" fontId="540" fillId="540" borderId="529" pivotButton="0" quotePrefix="0" xfId="0"/>
    <xf numFmtId="0" fontId="541" fillId="541" borderId="530" pivotButton="0" quotePrefix="0" xfId="0"/>
    <xf numFmtId="0" fontId="542" fillId="542" borderId="531" pivotButton="0" quotePrefix="0" xfId="0"/>
    <xf numFmtId="0" fontId="543" fillId="543" borderId="532" pivotButton="0" quotePrefix="0" xfId="0"/>
    <xf numFmtId="0" fontId="544" fillId="544" borderId="533" pivotButton="0" quotePrefix="0" xfId="0"/>
    <xf numFmtId="0" fontId="545" fillId="545" borderId="534" pivotButton="0" quotePrefix="0" xfId="0"/>
    <xf numFmtId="0" fontId="546" fillId="546" borderId="535" pivotButton="0" quotePrefix="0" xfId="0"/>
    <xf numFmtId="0" fontId="547" fillId="547" borderId="536" pivotButton="0" quotePrefix="0" xfId="0"/>
    <xf numFmtId="0" fontId="548" fillId="548" borderId="537" pivotButton="0" quotePrefix="0" xfId="0"/>
    <xf numFmtId="0" fontId="549" fillId="549" borderId="538" pivotButton="0" quotePrefix="0" xfId="0"/>
    <xf numFmtId="0" fontId="550" fillId="550" borderId="539" pivotButton="0" quotePrefix="0" xfId="0"/>
    <xf numFmtId="0" fontId="551" fillId="551" borderId="540" pivotButton="0" quotePrefix="0" xfId="0"/>
    <xf numFmtId="0" fontId="552" fillId="552" borderId="541" pivotButton="0" quotePrefix="0" xfId="0"/>
    <xf numFmtId="0" fontId="553" fillId="553" borderId="542" pivotButton="0" quotePrefix="0" xfId="0"/>
    <xf numFmtId="0" fontId="554" fillId="554" borderId="543" pivotButton="0" quotePrefix="0" xfId="0"/>
    <xf numFmtId="0" fontId="555" fillId="555" borderId="544" pivotButton="0" quotePrefix="0" xfId="0"/>
    <xf numFmtId="0" fontId="556" fillId="556" borderId="545" pivotButton="0" quotePrefix="0" xfId="0"/>
    <xf numFmtId="0" fontId="557" fillId="557" borderId="546" pivotButton="0" quotePrefix="0" xfId="0"/>
    <xf numFmtId="0" fontId="558" fillId="558" borderId="547" pivotButton="0" quotePrefix="0" xfId="0"/>
    <xf numFmtId="0" fontId="559" fillId="559" borderId="548" pivotButton="0" quotePrefix="0" xfId="0"/>
    <xf numFmtId="0" fontId="560" fillId="560" borderId="549" pivotButton="0" quotePrefix="0" xfId="0"/>
    <xf numFmtId="0" fontId="561" fillId="561" borderId="550" pivotButton="0" quotePrefix="0" xfId="0"/>
    <xf numFmtId="0" fontId="562" fillId="562" borderId="551" pivotButton="0" quotePrefix="0" xfId="0"/>
    <xf numFmtId="0" fontId="563" fillId="563" borderId="552" pivotButton="0" quotePrefix="0" xfId="0"/>
    <xf numFmtId="0" fontId="564" fillId="564" borderId="553" pivotButton="0" quotePrefix="0" xfId="0"/>
    <xf numFmtId="0" fontId="565" fillId="566" borderId="555" pivotButton="0" quotePrefix="0" xfId="0"/>
    <xf numFmtId="0" fontId="566" fillId="567" borderId="556" pivotButton="0" quotePrefix="0" xfId="0"/>
    <xf numFmtId="0" fontId="567" fillId="568" borderId="557" pivotButton="0" quotePrefix="0" xfId="0"/>
    <xf numFmtId="0" fontId="568" fillId="569" borderId="558" pivotButton="0" quotePrefix="0" xfId="0"/>
    <xf numFmtId="0" fontId="569" fillId="570" borderId="559" pivotButton="0" quotePrefix="0" xfId="0"/>
    <xf numFmtId="0" fontId="570" fillId="571" borderId="560" pivotButton="0" quotePrefix="0" xfId="0"/>
    <xf numFmtId="164" fontId="571" fillId="572" borderId="561" applyAlignment="1" pivotButton="0" quotePrefix="0" xfId="0">
      <alignment horizontal="right"/>
    </xf>
    <xf numFmtId="164" fontId="572" fillId="573" borderId="562" applyAlignment="1" pivotButton="0" quotePrefix="0" xfId="0">
      <alignment horizontal="right"/>
    </xf>
    <xf numFmtId="164" fontId="573" fillId="574" borderId="563" applyAlignment="1" pivotButton="0" quotePrefix="0" xfId="0">
      <alignment horizontal="right"/>
    </xf>
    <xf numFmtId="164" fontId="574" fillId="575" borderId="564" applyAlignment="1" pivotButton="0" quotePrefix="0" xfId="0">
      <alignment horizontal="right"/>
    </xf>
    <xf numFmtId="164" fontId="575" fillId="576" borderId="565" applyAlignment="1" pivotButton="0" quotePrefix="0" xfId="0">
      <alignment horizontal="right"/>
    </xf>
    <xf numFmtId="164" fontId="576" fillId="577" borderId="566" applyAlignment="1" pivotButton="0" quotePrefix="0" xfId="0">
      <alignment horizontal="right"/>
    </xf>
    <xf numFmtId="164" fontId="577" fillId="578" borderId="567" applyAlignment="1" pivotButton="0" quotePrefix="0" xfId="0">
      <alignment horizontal="right"/>
    </xf>
    <xf numFmtId="164" fontId="578" fillId="579" borderId="568" applyAlignment="1" pivotButton="0" quotePrefix="0" xfId="0">
      <alignment horizontal="right"/>
    </xf>
    <xf numFmtId="164" fontId="579" fillId="580" borderId="569" applyAlignment="1" pivotButton="0" quotePrefix="0" xfId="0">
      <alignment horizontal="right"/>
    </xf>
    <xf numFmtId="164" fontId="580" fillId="581" borderId="570" applyAlignment="1" pivotButton="0" quotePrefix="0" xfId="0">
      <alignment horizontal="right"/>
    </xf>
    <xf numFmtId="0" fontId="218" fillId="507" borderId="498" applyAlignment="1" pivotButton="0" quotePrefix="0" xfId="0">
      <alignment horizontal="center" vertical="center"/>
    </xf>
    <xf numFmtId="0" fontId="218" fillId="565" borderId="554" applyAlignment="1" pivotButton="0" quotePrefix="0" xfId="0">
      <alignment horizontal="center" vertical="center"/>
    </xf>
    <xf numFmtId="2" fontId="514" fillId="514" borderId="570" pivotButton="0" quotePrefix="0" xfId="0"/>
    <xf numFmtId="2" fontId="521" fillId="521" borderId="570" pivotButton="0" quotePrefix="0" xfId="0"/>
    <xf numFmtId="0" fontId="589" fillId="591" borderId="570" applyAlignment="1" pivotButton="0" quotePrefix="0" xfId="0">
      <alignment horizontal="left" vertical="center"/>
    </xf>
    <xf numFmtId="0" fontId="598" fillId="600" borderId="570" applyAlignment="1" pivotButton="0" quotePrefix="0" xfId="0">
      <alignment horizontal="left" vertical="center"/>
    </xf>
    <xf numFmtId="0" fontId="606" fillId="608" borderId="570" applyAlignment="1" pivotButton="0" quotePrefix="0" xfId="0">
      <alignment horizontal="left" vertical="center"/>
    </xf>
    <xf numFmtId="0" fontId="614" fillId="616" borderId="570" applyAlignment="1" pivotButton="0" quotePrefix="0" xfId="0">
      <alignment horizontal="left" vertical="center"/>
    </xf>
    <xf numFmtId="0" fontId="622" fillId="624" borderId="570" applyAlignment="1" pivotButton="0" quotePrefix="0" xfId="0">
      <alignment horizontal="left" vertical="center"/>
    </xf>
    <xf numFmtId="0" fontId="630" fillId="632" borderId="570" applyAlignment="1" pivotButton="0" quotePrefix="0" xfId="0">
      <alignment horizontal="center" vertical="center"/>
    </xf>
    <xf numFmtId="0" fontId="475" fillId="474" borderId="466" pivotButton="0" quotePrefix="0" xfId="0"/>
    <xf numFmtId="0" fontId="632" fillId="634" borderId="572" applyAlignment="1" pivotButton="0" quotePrefix="0" xfId="0">
      <alignment horizontal="center" vertical="center"/>
    </xf>
    <xf numFmtId="0" fontId="633" fillId="635" borderId="573" applyAlignment="1" pivotButton="0" quotePrefix="0" xfId="0">
      <alignment horizontal="center" vertical="center"/>
    </xf>
    <xf numFmtId="0" fontId="634" fillId="636" borderId="574" applyAlignment="1" pivotButton="0" quotePrefix="0" xfId="0">
      <alignment horizontal="center" vertical="center"/>
    </xf>
    <xf numFmtId="0" fontId="635" fillId="637" borderId="575" applyAlignment="1" pivotButton="0" quotePrefix="0" xfId="0">
      <alignment horizontal="center" vertical="center"/>
    </xf>
    <xf numFmtId="0" fontId="636" fillId="638" borderId="576" applyAlignment="1" pivotButton="0" quotePrefix="0" xfId="0">
      <alignment horizontal="center" vertical="center"/>
    </xf>
    <xf numFmtId="0" fontId="637" fillId="639" borderId="577" applyAlignment="1" pivotButton="0" quotePrefix="0" xfId="0">
      <alignment horizontal="center" vertical="center"/>
    </xf>
    <xf numFmtId="0" fontId="638" fillId="640" borderId="578" applyAlignment="1" pivotButton="0" quotePrefix="0" xfId="0">
      <alignment horizontal="center" vertical="center"/>
    </xf>
    <xf numFmtId="0" fontId="639" fillId="641" borderId="579" applyAlignment="1" pivotButton="0" quotePrefix="0" xfId="0">
      <alignment horizontal="center" vertical="center"/>
    </xf>
    <xf numFmtId="0" fontId="640" fillId="642" borderId="580" applyAlignment="1" pivotButton="0" quotePrefix="0" xfId="0">
      <alignment horizontal="center" vertical="center"/>
    </xf>
    <xf numFmtId="0" fontId="641" fillId="643" borderId="581" applyAlignment="1" pivotButton="0" quotePrefix="0" xfId="0">
      <alignment horizontal="center" vertical="center"/>
    </xf>
    <xf numFmtId="0" fontId="642" fillId="644" borderId="582" pivotButton="0" quotePrefix="0" xfId="0"/>
    <xf numFmtId="0" fontId="643" fillId="645" borderId="583" pivotButton="0" quotePrefix="0" xfId="0"/>
    <xf numFmtId="0" fontId="644" fillId="646" borderId="584" pivotButton="0" quotePrefix="0" xfId="0"/>
    <xf numFmtId="0" fontId="645" fillId="647" borderId="585" applyAlignment="1" pivotButton="0" quotePrefix="0" xfId="0">
      <alignment horizontal="center" vertical="center"/>
    </xf>
    <xf numFmtId="0" fontId="646" fillId="648" borderId="586" applyAlignment="1" pivotButton="0" quotePrefix="0" xfId="0">
      <alignment horizontal="center" vertical="center"/>
    </xf>
    <xf numFmtId="0" fontId="647" fillId="649" borderId="587" applyAlignment="1" pivotButton="0" quotePrefix="0" xfId="0">
      <alignment horizontal="center" vertical="center"/>
    </xf>
    <xf numFmtId="0" fontId="648" fillId="650" borderId="588" applyAlignment="1" pivotButton="0" quotePrefix="0" xfId="0">
      <alignment horizontal="center" vertical="center"/>
    </xf>
    <xf numFmtId="0" fontId="649" fillId="651" borderId="589" applyAlignment="1" pivotButton="0" quotePrefix="0" xfId="0">
      <alignment horizontal="center" vertical="center"/>
    </xf>
    <xf numFmtId="0" fontId="650" fillId="652" borderId="590" applyAlignment="1" pivotButton="0" quotePrefix="0" xfId="0">
      <alignment horizontal="center" vertical="center"/>
    </xf>
    <xf numFmtId="0" fontId="651" fillId="653" borderId="591" applyAlignment="1" pivotButton="0" quotePrefix="0" xfId="0">
      <alignment horizontal="center" vertical="center"/>
    </xf>
    <xf numFmtId="2" fontId="652" fillId="654" borderId="592" applyAlignment="1" pivotButton="0" quotePrefix="0" xfId="0">
      <alignment horizontal="center"/>
    </xf>
    <xf numFmtId="0" fontId="653" fillId="655" borderId="593" applyAlignment="1" pivotButton="0" quotePrefix="0" xfId="0">
      <alignment horizontal="center"/>
    </xf>
    <xf numFmtId="1" fontId="654" fillId="656" borderId="594" applyAlignment="1" pivotButton="0" quotePrefix="0" xfId="0">
      <alignment horizontal="center"/>
    </xf>
    <xf numFmtId="0" fontId="655" fillId="657" borderId="595" pivotButton="0" quotePrefix="0" xfId="0"/>
    <xf numFmtId="0" fontId="656" fillId="658" borderId="596" pivotButton="0" quotePrefix="0" xfId="0"/>
    <xf numFmtId="0" fontId="657" fillId="659" borderId="597" pivotButton="0" quotePrefix="0" xfId="0"/>
    <xf numFmtId="0" fontId="658" fillId="660" borderId="598" applyAlignment="1" pivotButton="0" quotePrefix="0" xfId="0">
      <alignment horizontal="center" vertical="center"/>
    </xf>
    <xf numFmtId="0" fontId="659" fillId="661" borderId="599" applyAlignment="1" pivotButton="0" quotePrefix="0" xfId="0">
      <alignment horizontal="center" vertical="center"/>
    </xf>
    <xf numFmtId="0" fontId="660" fillId="662" borderId="600" applyAlignment="1" pivotButton="0" quotePrefix="0" xfId="0">
      <alignment horizontal="center" vertical="center"/>
    </xf>
    <xf numFmtId="0" fontId="661" fillId="663" borderId="601" applyAlignment="1" pivotButton="0" quotePrefix="0" xfId="0">
      <alignment horizontal="center" vertical="center"/>
    </xf>
    <xf numFmtId="0" fontId="662" fillId="664" borderId="602" applyAlignment="1" pivotButton="0" quotePrefix="0" xfId="0">
      <alignment horizontal="center" vertical="center"/>
    </xf>
    <xf numFmtId="0" fontId="663" fillId="665" borderId="603" applyAlignment="1" pivotButton="0" quotePrefix="0" xfId="0">
      <alignment horizontal="center" vertical="center"/>
    </xf>
    <xf numFmtId="0" fontId="664" fillId="666" borderId="604" applyAlignment="1" pivotButton="0" quotePrefix="0" xfId="0">
      <alignment horizontal="center" vertical="center"/>
    </xf>
    <xf numFmtId="2" fontId="665" fillId="667" borderId="605" applyAlignment="1" pivotButton="0" quotePrefix="0" xfId="0">
      <alignment horizontal="center"/>
    </xf>
    <xf numFmtId="0" fontId="666" fillId="668" borderId="606" applyAlignment="1" pivotButton="0" quotePrefix="0" xfId="0">
      <alignment horizontal="center"/>
    </xf>
    <xf numFmtId="1" fontId="667" fillId="669" borderId="607" applyAlignment="1" pivotButton="0" quotePrefix="0" xfId="0">
      <alignment horizontal="center"/>
    </xf>
    <xf numFmtId="0" fontId="668" fillId="670" borderId="608" pivotButton="0" quotePrefix="0" xfId="0"/>
    <xf numFmtId="0" fontId="669" fillId="671" borderId="609" pivotButton="0" quotePrefix="0" xfId="0"/>
    <xf numFmtId="0" fontId="670" fillId="672" borderId="610" pivotButton="0" quotePrefix="0" xfId="0"/>
    <xf numFmtId="0" fontId="671" fillId="673" borderId="611" applyAlignment="1" pivotButton="0" quotePrefix="0" xfId="0">
      <alignment horizontal="center" vertical="center"/>
    </xf>
    <xf numFmtId="0" fontId="672" fillId="674" borderId="612" applyAlignment="1" pivotButton="0" quotePrefix="0" xfId="0">
      <alignment horizontal="center" vertical="center"/>
    </xf>
    <xf numFmtId="0" fontId="673" fillId="675" borderId="613" applyAlignment="1" pivotButton="0" quotePrefix="0" xfId="0">
      <alignment horizontal="center" vertical="center"/>
    </xf>
    <xf numFmtId="0" fontId="674" fillId="676" borderId="614" applyAlignment="1" pivotButton="0" quotePrefix="0" xfId="0">
      <alignment horizontal="center" vertical="center"/>
    </xf>
    <xf numFmtId="0" fontId="675" fillId="677" borderId="615" applyAlignment="1" pivotButton="0" quotePrefix="0" xfId="0">
      <alignment horizontal="center" vertical="center"/>
    </xf>
    <xf numFmtId="0" fontId="676" fillId="678" borderId="616" applyAlignment="1" pivotButton="0" quotePrefix="0" xfId="0">
      <alignment horizontal="center" vertical="center"/>
    </xf>
    <xf numFmtId="0" fontId="677" fillId="679" borderId="617" applyAlignment="1" pivotButton="0" quotePrefix="0" xfId="0">
      <alignment horizontal="center" vertical="center"/>
    </xf>
    <xf numFmtId="2" fontId="678" fillId="680" borderId="618" applyAlignment="1" pivotButton="0" quotePrefix="0" xfId="0">
      <alignment horizontal="center"/>
    </xf>
    <xf numFmtId="0" fontId="679" fillId="681" borderId="619" applyAlignment="1" pivotButton="0" quotePrefix="0" xfId="0">
      <alignment horizontal="center"/>
    </xf>
    <xf numFmtId="1" fontId="680" fillId="682" borderId="620" applyAlignment="1" pivotButton="0" quotePrefix="0" xfId="0">
      <alignment horizontal="center"/>
    </xf>
    <xf numFmtId="0" fontId="681" fillId="683" borderId="621" pivotButton="0" quotePrefix="0" xfId="0"/>
    <xf numFmtId="0" fontId="682" fillId="684" borderId="622" pivotButton="0" quotePrefix="0" xfId="0"/>
    <xf numFmtId="0" fontId="683" fillId="685" borderId="623" pivotButton="0" quotePrefix="0" xfId="0"/>
    <xf numFmtId="0" fontId="684" fillId="686" borderId="624" applyAlignment="1" pivotButton="0" quotePrefix="0" xfId="0">
      <alignment horizontal="center" vertical="center"/>
    </xf>
    <xf numFmtId="0" fontId="685" fillId="687" borderId="625" applyAlignment="1" pivotButton="0" quotePrefix="0" xfId="0">
      <alignment horizontal="center" vertical="center"/>
    </xf>
    <xf numFmtId="0" fontId="686" fillId="688" borderId="626" applyAlignment="1" pivotButton="0" quotePrefix="0" xfId="0">
      <alignment horizontal="center" vertical="center"/>
    </xf>
    <xf numFmtId="0" fontId="687" fillId="689" borderId="627" applyAlignment="1" pivotButton="0" quotePrefix="0" xfId="0">
      <alignment horizontal="center" vertical="center"/>
    </xf>
    <xf numFmtId="0" fontId="688" fillId="690" borderId="628" applyAlignment="1" pivotButton="0" quotePrefix="0" xfId="0">
      <alignment horizontal="center" vertical="center"/>
    </xf>
    <xf numFmtId="0" fontId="689" fillId="691" borderId="629" applyAlignment="1" pivotButton="0" quotePrefix="0" xfId="0">
      <alignment horizontal="center" vertical="center"/>
    </xf>
    <xf numFmtId="0" fontId="690" fillId="692" borderId="630" applyAlignment="1" pivotButton="0" quotePrefix="0" xfId="0">
      <alignment horizontal="center" vertical="center"/>
    </xf>
    <xf numFmtId="2" fontId="691" fillId="693" borderId="631" applyAlignment="1" pivotButton="0" quotePrefix="0" xfId="0">
      <alignment horizontal="center"/>
    </xf>
    <xf numFmtId="0" fontId="692" fillId="694" borderId="632" applyAlignment="1" pivotButton="0" quotePrefix="0" xfId="0">
      <alignment horizontal="center"/>
    </xf>
    <xf numFmtId="1" fontId="693" fillId="695" borderId="633" applyAlignment="1" pivotButton="0" quotePrefix="0" xfId="0">
      <alignment horizontal="center"/>
    </xf>
    <xf numFmtId="0" fontId="694" fillId="696" borderId="634" pivotButton="0" quotePrefix="0" xfId="0"/>
    <xf numFmtId="0" fontId="695" fillId="697" borderId="635" pivotButton="0" quotePrefix="0" xfId="0"/>
    <xf numFmtId="0" fontId="696" fillId="698" borderId="636" pivotButton="0" quotePrefix="0" xfId="0"/>
    <xf numFmtId="0" fontId="697" fillId="699" borderId="637" applyAlignment="1" pivotButton="0" quotePrefix="0" xfId="0">
      <alignment horizontal="center" vertical="center"/>
    </xf>
    <xf numFmtId="0" fontId="698" fillId="700" borderId="638" applyAlignment="1" pivotButton="0" quotePrefix="0" xfId="0">
      <alignment horizontal="center" vertical="center"/>
    </xf>
    <xf numFmtId="0" fontId="699" fillId="701" borderId="639" applyAlignment="1" pivotButton="0" quotePrefix="0" xfId="0">
      <alignment horizontal="center" vertical="center"/>
    </xf>
    <xf numFmtId="0" fontId="700" fillId="702" borderId="640" applyAlignment="1" pivotButton="0" quotePrefix="0" xfId="0">
      <alignment horizontal="center" vertical="center"/>
    </xf>
    <xf numFmtId="0" fontId="701" fillId="703" borderId="641" applyAlignment="1" pivotButton="0" quotePrefix="0" xfId="0">
      <alignment horizontal="center" vertical="center"/>
    </xf>
    <xf numFmtId="0" fontId="702" fillId="704" borderId="642" applyAlignment="1" pivotButton="0" quotePrefix="0" xfId="0">
      <alignment horizontal="center" vertical="center"/>
    </xf>
    <xf numFmtId="0" fontId="703" fillId="705" borderId="643" applyAlignment="1" pivotButton="0" quotePrefix="0" xfId="0">
      <alignment horizontal="center" vertical="center"/>
    </xf>
    <xf numFmtId="2" fontId="704" fillId="706" borderId="644" applyAlignment="1" pivotButton="0" quotePrefix="0" xfId="0">
      <alignment horizontal="center"/>
    </xf>
    <xf numFmtId="0" fontId="705" fillId="707" borderId="645" applyAlignment="1" pivotButton="0" quotePrefix="0" xfId="0">
      <alignment horizontal="center"/>
    </xf>
    <xf numFmtId="1" fontId="706" fillId="708" borderId="646" applyAlignment="1" pivotButton="0" quotePrefix="0" xfId="0">
      <alignment horizontal="center"/>
    </xf>
    <xf numFmtId="0" fontId="707" fillId="709" borderId="647" pivotButton="0" quotePrefix="0" xfId="0"/>
    <xf numFmtId="0" fontId="708" fillId="710" borderId="648" pivotButton="0" quotePrefix="0" xfId="0"/>
    <xf numFmtId="0" fontId="709" fillId="711" borderId="649" pivotButton="0" quotePrefix="0" xfId="0"/>
    <xf numFmtId="0" fontId="710" fillId="712" borderId="650" applyAlignment="1" pivotButton="0" quotePrefix="0" xfId="0">
      <alignment horizontal="center" vertical="center"/>
    </xf>
    <xf numFmtId="0" fontId="711" fillId="713" borderId="651" applyAlignment="1" pivotButton="0" quotePrefix="0" xfId="0">
      <alignment horizontal="center" vertical="center"/>
    </xf>
    <xf numFmtId="0" fontId="712" fillId="714" borderId="652" applyAlignment="1" pivotButton="0" quotePrefix="0" xfId="0">
      <alignment horizontal="center" vertical="center"/>
    </xf>
    <xf numFmtId="0" fontId="713" fillId="715" borderId="653" applyAlignment="1" pivotButton="0" quotePrefix="0" xfId="0">
      <alignment horizontal="center" vertical="center"/>
    </xf>
    <xf numFmtId="0" fontId="714" fillId="716" borderId="654" applyAlignment="1" pivotButton="0" quotePrefix="0" xfId="0">
      <alignment horizontal="center" vertical="center"/>
    </xf>
    <xf numFmtId="0" fontId="715" fillId="717" borderId="655" applyAlignment="1" pivotButton="0" quotePrefix="0" xfId="0">
      <alignment horizontal="center" vertical="center"/>
    </xf>
    <xf numFmtId="0" fontId="716" fillId="718" borderId="656" applyAlignment="1" pivotButton="0" quotePrefix="0" xfId="0">
      <alignment horizontal="center" vertical="center"/>
    </xf>
    <xf numFmtId="2" fontId="717" fillId="719" borderId="657" applyAlignment="1" pivotButton="0" quotePrefix="0" xfId="0">
      <alignment horizontal="center"/>
    </xf>
    <xf numFmtId="0" fontId="718" fillId="720" borderId="658" applyAlignment="1" pivotButton="0" quotePrefix="0" xfId="0">
      <alignment horizontal="center"/>
    </xf>
    <xf numFmtId="1" fontId="719" fillId="721" borderId="659" applyAlignment="1" pivotButton="0" quotePrefix="0" xfId="0">
      <alignment horizontal="center"/>
    </xf>
    <xf numFmtId="0" fontId="720" fillId="722" borderId="660" pivotButton="0" quotePrefix="0" xfId="0"/>
    <xf numFmtId="0" fontId="721" fillId="723" borderId="661" pivotButton="0" quotePrefix="0" xfId="0"/>
    <xf numFmtId="0" fontId="722" fillId="724" borderId="662" pivotButton="0" quotePrefix="0" xfId="0"/>
    <xf numFmtId="0" fontId="723" fillId="725" borderId="663" applyAlignment="1" pivotButton="0" quotePrefix="0" xfId="0">
      <alignment horizontal="center" vertical="center"/>
    </xf>
    <xf numFmtId="0" fontId="724" fillId="726" borderId="664" applyAlignment="1" pivotButton="0" quotePrefix="0" xfId="0">
      <alignment horizontal="center" vertical="center"/>
    </xf>
    <xf numFmtId="0" fontId="725" fillId="727" borderId="665" applyAlignment="1" pivotButton="0" quotePrefix="0" xfId="0">
      <alignment horizontal="center" vertical="center"/>
    </xf>
    <xf numFmtId="0" fontId="726" fillId="728" borderId="666" applyAlignment="1" pivotButton="0" quotePrefix="0" xfId="0">
      <alignment horizontal="center" vertical="center"/>
    </xf>
    <xf numFmtId="0" fontId="727" fillId="729" borderId="667" applyAlignment="1" pivotButton="0" quotePrefix="0" xfId="0">
      <alignment horizontal="center" vertical="center"/>
    </xf>
    <xf numFmtId="0" fontId="728" fillId="730" borderId="668" applyAlignment="1" pivotButton="0" quotePrefix="0" xfId="0">
      <alignment horizontal="center" vertical="center"/>
    </xf>
    <xf numFmtId="0" fontId="729" fillId="731" borderId="669" applyAlignment="1" pivotButton="0" quotePrefix="0" xfId="0">
      <alignment horizontal="center" vertical="center"/>
    </xf>
    <xf numFmtId="2" fontId="730" fillId="732" borderId="670" applyAlignment="1" pivotButton="0" quotePrefix="0" xfId="0">
      <alignment horizontal="center"/>
    </xf>
    <xf numFmtId="0" fontId="731" fillId="733" borderId="671" applyAlignment="1" pivotButton="0" quotePrefix="0" xfId="0">
      <alignment horizontal="center"/>
    </xf>
    <xf numFmtId="1" fontId="732" fillId="734" borderId="672" applyAlignment="1" pivotButton="0" quotePrefix="0" xfId="0">
      <alignment horizontal="center"/>
    </xf>
    <xf numFmtId="0" fontId="733" fillId="735" borderId="673" pivotButton="0" quotePrefix="0" xfId="0"/>
    <xf numFmtId="0" fontId="734" fillId="736" borderId="674" pivotButton="0" quotePrefix="0" xfId="0"/>
    <xf numFmtId="0" fontId="735" fillId="737" borderId="675" pivotButton="0" quotePrefix="0" xfId="0"/>
    <xf numFmtId="0" fontId="736" fillId="738" borderId="676" applyAlignment="1" pivotButton="0" quotePrefix="0" xfId="0">
      <alignment horizontal="center" vertical="center"/>
    </xf>
    <xf numFmtId="0" fontId="737" fillId="739" borderId="677" applyAlignment="1" pivotButton="0" quotePrefix="0" xfId="0">
      <alignment horizontal="center" vertical="center"/>
    </xf>
    <xf numFmtId="0" fontId="738" fillId="740" borderId="678" applyAlignment="1" pivotButton="0" quotePrefix="0" xfId="0">
      <alignment horizontal="center" vertical="center"/>
    </xf>
    <xf numFmtId="0" fontId="739" fillId="741" borderId="679" applyAlignment="1" pivotButton="0" quotePrefix="0" xfId="0">
      <alignment horizontal="center" vertical="center"/>
    </xf>
    <xf numFmtId="0" fontId="740" fillId="742" borderId="680" applyAlignment="1" pivotButton="0" quotePrefix="0" xfId="0">
      <alignment horizontal="center" vertical="center"/>
    </xf>
    <xf numFmtId="0" fontId="741" fillId="743" borderId="681" applyAlignment="1" pivotButton="0" quotePrefix="0" xfId="0">
      <alignment horizontal="center" vertical="center"/>
    </xf>
    <xf numFmtId="0" fontId="742" fillId="744" borderId="682" applyAlignment="1" pivotButton="0" quotePrefix="0" xfId="0">
      <alignment horizontal="center" vertical="center"/>
    </xf>
    <xf numFmtId="2" fontId="743" fillId="745" borderId="683" applyAlignment="1" pivotButton="0" quotePrefix="0" xfId="0">
      <alignment horizontal="center"/>
    </xf>
    <xf numFmtId="0" fontId="744" fillId="746" borderId="684" applyAlignment="1" pivotButton="0" quotePrefix="0" xfId="0">
      <alignment horizontal="center"/>
    </xf>
    <xf numFmtId="1" fontId="745" fillId="747" borderId="685" applyAlignment="1" pivotButton="0" quotePrefix="0" xfId="0">
      <alignment horizontal="center"/>
    </xf>
    <xf numFmtId="0" fontId="746" fillId="748" borderId="686" pivotButton="0" quotePrefix="0" xfId="0"/>
    <xf numFmtId="0" fontId="747" fillId="749" borderId="687" pivotButton="0" quotePrefix="0" xfId="0"/>
    <xf numFmtId="0" fontId="748" fillId="750" borderId="688" pivotButton="0" quotePrefix="0" xfId="0"/>
    <xf numFmtId="0" fontId="749" fillId="751" borderId="689" applyAlignment="1" pivotButton="0" quotePrefix="0" xfId="0">
      <alignment horizontal="center" vertical="center"/>
    </xf>
    <xf numFmtId="0" fontId="750" fillId="752" borderId="690" applyAlignment="1" pivotButton="0" quotePrefix="0" xfId="0">
      <alignment horizontal="center" vertical="center"/>
    </xf>
    <xf numFmtId="0" fontId="751" fillId="753" borderId="691" applyAlignment="1" pivotButton="0" quotePrefix="0" xfId="0">
      <alignment horizontal="center" vertical="center"/>
    </xf>
    <xf numFmtId="0" fontId="752" fillId="754" borderId="692" applyAlignment="1" pivotButton="0" quotePrefix="0" xfId="0">
      <alignment horizontal="center" vertical="center"/>
    </xf>
    <xf numFmtId="0" fontId="753" fillId="755" borderId="693" applyAlignment="1" pivotButton="0" quotePrefix="0" xfId="0">
      <alignment horizontal="center" vertical="center"/>
    </xf>
    <xf numFmtId="0" fontId="754" fillId="756" borderId="694" applyAlignment="1" pivotButton="0" quotePrefix="0" xfId="0">
      <alignment horizontal="center" vertical="center"/>
    </xf>
    <xf numFmtId="0" fontId="755" fillId="757" borderId="695" applyAlignment="1" pivotButton="0" quotePrefix="0" xfId="0">
      <alignment horizontal="center" vertical="center"/>
    </xf>
    <xf numFmtId="2" fontId="756" fillId="758" borderId="696" applyAlignment="1" pivotButton="0" quotePrefix="0" xfId="0">
      <alignment horizontal="center"/>
    </xf>
    <xf numFmtId="0" fontId="757" fillId="759" borderId="697" applyAlignment="1" pivotButton="0" quotePrefix="0" xfId="0">
      <alignment horizontal="center"/>
    </xf>
    <xf numFmtId="1" fontId="758" fillId="760" borderId="698" applyAlignment="1" pivotButton="0" quotePrefix="0" xfId="0">
      <alignment horizontal="center"/>
    </xf>
    <xf numFmtId="0" fontId="759" fillId="761" borderId="699" pivotButton="0" quotePrefix="0" xfId="0"/>
    <xf numFmtId="0" fontId="760" fillId="762" borderId="700" pivotButton="0" quotePrefix="0" xfId="0"/>
    <xf numFmtId="0" fontId="761" fillId="763" borderId="701" pivotButton="0" quotePrefix="0" xfId="0"/>
    <xf numFmtId="0" fontId="762" fillId="764" borderId="702" applyAlignment="1" pivotButton="0" quotePrefix="0" xfId="0">
      <alignment horizontal="center" vertical="center"/>
    </xf>
    <xf numFmtId="0" fontId="763" fillId="765" borderId="703" applyAlignment="1" pivotButton="0" quotePrefix="0" xfId="0">
      <alignment horizontal="center" vertical="center"/>
    </xf>
    <xf numFmtId="0" fontId="764" fillId="766" borderId="704" applyAlignment="1" pivotButton="0" quotePrefix="0" xfId="0">
      <alignment horizontal="center" vertical="center"/>
    </xf>
    <xf numFmtId="0" fontId="765" fillId="767" borderId="705" applyAlignment="1" pivotButton="0" quotePrefix="0" xfId="0">
      <alignment horizontal="center" vertical="center"/>
    </xf>
    <xf numFmtId="0" fontId="766" fillId="768" borderId="706" applyAlignment="1" pivotButton="0" quotePrefix="0" xfId="0">
      <alignment horizontal="center" vertical="center"/>
    </xf>
    <xf numFmtId="0" fontId="767" fillId="769" borderId="707" applyAlignment="1" pivotButton="0" quotePrefix="0" xfId="0">
      <alignment horizontal="center" vertical="center"/>
    </xf>
    <xf numFmtId="0" fontId="768" fillId="770" borderId="708" applyAlignment="1" pivotButton="0" quotePrefix="0" xfId="0">
      <alignment horizontal="center" vertical="center"/>
    </xf>
    <xf numFmtId="2" fontId="769" fillId="771" borderId="709" applyAlignment="1" pivotButton="0" quotePrefix="0" xfId="0">
      <alignment horizontal="center"/>
    </xf>
    <xf numFmtId="0" fontId="770" fillId="772" borderId="710" applyAlignment="1" pivotButton="0" quotePrefix="0" xfId="0">
      <alignment horizontal="center"/>
    </xf>
    <xf numFmtId="1" fontId="771" fillId="773" borderId="711" applyAlignment="1" pivotButton="0" quotePrefix="0" xfId="0">
      <alignment horizontal="center"/>
    </xf>
    <xf numFmtId="0" fontId="772" fillId="774" borderId="712" pivotButton="0" quotePrefix="0" xfId="0"/>
    <xf numFmtId="0" fontId="773" fillId="775" borderId="713" pivotButton="0" quotePrefix="0" xfId="0"/>
    <xf numFmtId="0" fontId="774" fillId="776" borderId="714" pivotButton="0" quotePrefix="0" xfId="0"/>
    <xf numFmtId="0" fontId="775" fillId="777" borderId="715" applyAlignment="1" pivotButton="0" quotePrefix="0" xfId="0">
      <alignment horizontal="center" vertical="center"/>
    </xf>
    <xf numFmtId="0" fontId="776" fillId="778" borderId="716" applyAlignment="1" pivotButton="0" quotePrefix="0" xfId="0">
      <alignment horizontal="center" vertical="center"/>
    </xf>
    <xf numFmtId="0" fontId="777" fillId="779" borderId="717" applyAlignment="1" pivotButton="0" quotePrefix="0" xfId="0">
      <alignment horizontal="center" vertical="center"/>
    </xf>
    <xf numFmtId="0" fontId="778" fillId="780" borderId="718" applyAlignment="1" pivotButton="0" quotePrefix="0" xfId="0">
      <alignment horizontal="center" vertical="center"/>
    </xf>
    <xf numFmtId="0" fontId="779" fillId="781" borderId="719" applyAlignment="1" pivotButton="0" quotePrefix="0" xfId="0">
      <alignment horizontal="center" vertical="center"/>
    </xf>
    <xf numFmtId="0" fontId="780" fillId="782" borderId="720" applyAlignment="1" pivotButton="0" quotePrefix="0" xfId="0">
      <alignment horizontal="center" vertical="center"/>
    </xf>
    <xf numFmtId="0" fontId="781" fillId="783" borderId="721" applyAlignment="1" pivotButton="0" quotePrefix="0" xfId="0">
      <alignment horizontal="center" vertical="center"/>
    </xf>
    <xf numFmtId="2" fontId="782" fillId="784" borderId="722" applyAlignment="1" pivotButton="0" quotePrefix="0" xfId="0">
      <alignment horizontal="center"/>
    </xf>
    <xf numFmtId="0" fontId="783" fillId="785" borderId="723" applyAlignment="1" pivotButton="0" quotePrefix="0" xfId="0">
      <alignment horizontal="center"/>
    </xf>
    <xf numFmtId="1" fontId="784" fillId="786" borderId="724" applyAlignment="1" pivotButton="0" quotePrefix="0" xfId="0">
      <alignment horizontal="center"/>
    </xf>
    <xf numFmtId="0" fontId="785" fillId="787" borderId="725" pivotButton="0" quotePrefix="0" xfId="0"/>
    <xf numFmtId="0" fontId="786" fillId="788" borderId="726" pivotButton="0" quotePrefix="0" xfId="0"/>
    <xf numFmtId="0" fontId="787" fillId="789" borderId="727" pivotButton="0" quotePrefix="0" xfId="0"/>
    <xf numFmtId="0" fontId="788" fillId="790" borderId="728" applyAlignment="1" pivotButton="0" quotePrefix="0" xfId="0">
      <alignment horizontal="center" vertical="center"/>
    </xf>
    <xf numFmtId="0" fontId="789" fillId="791" borderId="729" applyAlignment="1" pivotButton="0" quotePrefix="0" xfId="0">
      <alignment horizontal="center" vertical="center"/>
    </xf>
    <xf numFmtId="0" fontId="790" fillId="792" borderId="730" applyAlignment="1" pivotButton="0" quotePrefix="0" xfId="0">
      <alignment horizontal="center" vertical="center"/>
    </xf>
    <xf numFmtId="0" fontId="791" fillId="793" borderId="731" applyAlignment="1" pivotButton="0" quotePrefix="0" xfId="0">
      <alignment horizontal="center" vertical="center"/>
    </xf>
    <xf numFmtId="0" fontId="792" fillId="794" borderId="732" applyAlignment="1" pivotButton="0" quotePrefix="0" xfId="0">
      <alignment horizontal="center" vertical="center"/>
    </xf>
    <xf numFmtId="0" fontId="793" fillId="795" borderId="733" applyAlignment="1" pivotButton="0" quotePrefix="0" xfId="0">
      <alignment horizontal="center" vertical="center"/>
    </xf>
    <xf numFmtId="0" fontId="794" fillId="796" borderId="734" applyAlignment="1" pivotButton="0" quotePrefix="0" xfId="0">
      <alignment horizontal="center" vertical="center"/>
    </xf>
    <xf numFmtId="2" fontId="795" fillId="797" borderId="735" applyAlignment="1" pivotButton="0" quotePrefix="0" xfId="0">
      <alignment horizontal="center"/>
    </xf>
    <xf numFmtId="0" fontId="796" fillId="798" borderId="736" applyAlignment="1" pivotButton="0" quotePrefix="0" xfId="0">
      <alignment horizontal="center"/>
    </xf>
    <xf numFmtId="1" fontId="797" fillId="799" borderId="737" applyAlignment="1" pivotButton="0" quotePrefix="0" xfId="0">
      <alignment horizontal="center"/>
    </xf>
    <xf numFmtId="0" fontId="798" fillId="800" borderId="738" pivotButton="0" quotePrefix="0" xfId="0"/>
    <xf numFmtId="0" fontId="799" fillId="801" borderId="739" pivotButton="0" quotePrefix="0" xfId="0"/>
    <xf numFmtId="0" fontId="800" fillId="802" borderId="740" pivotButton="0" quotePrefix="0" xfId="0"/>
    <xf numFmtId="0" fontId="801" fillId="803" borderId="741" applyAlignment="1" pivotButton="0" quotePrefix="0" xfId="0">
      <alignment horizontal="center" vertical="center"/>
    </xf>
    <xf numFmtId="0" fontId="802" fillId="804" borderId="742" applyAlignment="1" pivotButton="0" quotePrefix="0" xfId="0">
      <alignment horizontal="center" vertical="center"/>
    </xf>
    <xf numFmtId="0" fontId="803" fillId="805" borderId="743" applyAlignment="1" pivotButton="0" quotePrefix="0" xfId="0">
      <alignment horizontal="center" vertical="center"/>
    </xf>
    <xf numFmtId="0" fontId="804" fillId="806" borderId="744" applyAlignment="1" pivotButton="0" quotePrefix="0" xfId="0">
      <alignment horizontal="center" vertical="center"/>
    </xf>
    <xf numFmtId="0" fontId="805" fillId="807" borderId="745" applyAlignment="1" pivotButton="0" quotePrefix="0" xfId="0">
      <alignment horizontal="center" vertical="center"/>
    </xf>
    <xf numFmtId="0" fontId="806" fillId="808" borderId="746" applyAlignment="1" pivotButton="0" quotePrefix="0" xfId="0">
      <alignment horizontal="center" vertical="center"/>
    </xf>
    <xf numFmtId="0" fontId="807" fillId="809" borderId="747" applyAlignment="1" pivotButton="0" quotePrefix="0" xfId="0">
      <alignment horizontal="center" vertical="center"/>
    </xf>
    <xf numFmtId="2" fontId="808" fillId="810" borderId="748" applyAlignment="1" pivotButton="0" quotePrefix="0" xfId="0">
      <alignment horizontal="center"/>
    </xf>
    <xf numFmtId="0" fontId="809" fillId="811" borderId="749" applyAlignment="1" pivotButton="0" quotePrefix="0" xfId="0">
      <alignment horizontal="center"/>
    </xf>
    <xf numFmtId="1" fontId="810" fillId="812" borderId="750" applyAlignment="1" pivotButton="0" quotePrefix="0" xfId="0">
      <alignment horizontal="center"/>
    </xf>
    <xf numFmtId="0" fontId="811" fillId="813" borderId="751" pivotButton="0" quotePrefix="0" xfId="0"/>
    <xf numFmtId="0" fontId="812" fillId="814" borderId="752" pivotButton="0" quotePrefix="0" xfId="0"/>
    <xf numFmtId="0" fontId="813" fillId="815" borderId="753" pivotButton="0" quotePrefix="0" xfId="0"/>
    <xf numFmtId="0" fontId="814" fillId="816" borderId="754" applyAlignment="1" pivotButton="0" quotePrefix="0" xfId="0">
      <alignment horizontal="center" vertical="center"/>
    </xf>
    <xf numFmtId="0" fontId="815" fillId="817" borderId="755" applyAlignment="1" pivotButton="0" quotePrefix="0" xfId="0">
      <alignment horizontal="center" vertical="center"/>
    </xf>
    <xf numFmtId="0" fontId="816" fillId="818" borderId="756" applyAlignment="1" pivotButton="0" quotePrefix="0" xfId="0">
      <alignment horizontal="center" vertical="center"/>
    </xf>
    <xf numFmtId="0" fontId="817" fillId="819" borderId="757" applyAlignment="1" pivotButton="0" quotePrefix="0" xfId="0">
      <alignment horizontal="center" vertical="center"/>
    </xf>
    <xf numFmtId="0" fontId="818" fillId="820" borderId="758" applyAlignment="1" pivotButton="0" quotePrefix="0" xfId="0">
      <alignment horizontal="center" vertical="center"/>
    </xf>
    <xf numFmtId="0" fontId="819" fillId="821" borderId="759" applyAlignment="1" pivotButton="0" quotePrefix="0" xfId="0">
      <alignment horizontal="center" vertical="center"/>
    </xf>
    <xf numFmtId="0" fontId="820" fillId="822" borderId="760" applyAlignment="1" pivotButton="0" quotePrefix="0" xfId="0">
      <alignment horizontal="center" vertical="center"/>
    </xf>
    <xf numFmtId="2" fontId="821" fillId="823" borderId="761" applyAlignment="1" pivotButton="0" quotePrefix="0" xfId="0">
      <alignment horizontal="center"/>
    </xf>
    <xf numFmtId="0" fontId="822" fillId="824" borderId="762" applyAlignment="1" pivotButton="0" quotePrefix="0" xfId="0">
      <alignment horizontal="center"/>
    </xf>
    <xf numFmtId="1" fontId="823" fillId="825" borderId="763" applyAlignment="1" pivotButton="0" quotePrefix="0" xfId="0">
      <alignment horizontal="center"/>
    </xf>
    <xf numFmtId="0" fontId="824" fillId="826" borderId="764" pivotButton="0" quotePrefix="0" xfId="0"/>
    <xf numFmtId="0" fontId="825" fillId="827" borderId="765" pivotButton="0" quotePrefix="0" xfId="0"/>
    <xf numFmtId="0" fontId="826" fillId="828" borderId="766" pivotButton="0" quotePrefix="0" xfId="0"/>
    <xf numFmtId="0" fontId="827" fillId="829" borderId="767" applyAlignment="1" pivotButton="0" quotePrefix="0" xfId="0">
      <alignment horizontal="center" vertical="center"/>
    </xf>
    <xf numFmtId="0" fontId="828" fillId="830" borderId="768" applyAlignment="1" pivotButton="0" quotePrefix="0" xfId="0">
      <alignment horizontal="center" vertical="center"/>
    </xf>
    <xf numFmtId="0" fontId="829" fillId="831" borderId="769" applyAlignment="1" pivotButton="0" quotePrefix="0" xfId="0">
      <alignment horizontal="center" vertical="center"/>
    </xf>
    <xf numFmtId="0" fontId="830" fillId="832" borderId="770" applyAlignment="1" pivotButton="0" quotePrefix="0" xfId="0">
      <alignment horizontal="center" vertical="center"/>
    </xf>
    <xf numFmtId="0" fontId="831" fillId="833" borderId="771" applyAlignment="1" pivotButton="0" quotePrefix="0" xfId="0">
      <alignment horizontal="center" vertical="center"/>
    </xf>
    <xf numFmtId="0" fontId="832" fillId="834" borderId="772" applyAlignment="1" pivotButton="0" quotePrefix="0" xfId="0">
      <alignment horizontal="center" vertical="center"/>
    </xf>
    <xf numFmtId="0" fontId="833" fillId="835" borderId="773" applyAlignment="1" pivotButton="0" quotePrefix="0" xfId="0">
      <alignment horizontal="center" vertical="center"/>
    </xf>
    <xf numFmtId="2" fontId="834" fillId="836" borderId="774" applyAlignment="1" pivotButton="0" quotePrefix="0" xfId="0">
      <alignment horizontal="center"/>
    </xf>
    <xf numFmtId="0" fontId="835" fillId="837" borderId="775" applyAlignment="1" pivotButton="0" quotePrefix="0" xfId="0">
      <alignment horizontal="center"/>
    </xf>
    <xf numFmtId="1" fontId="836" fillId="838" borderId="776" applyAlignment="1" pivotButton="0" quotePrefix="0" xfId="0">
      <alignment horizontal="center"/>
    </xf>
    <xf numFmtId="0" fontId="837" fillId="839" borderId="777" pivotButton="0" quotePrefix="0" xfId="0"/>
    <xf numFmtId="0" fontId="838" fillId="840" borderId="778" pivotButton="0" quotePrefix="0" xfId="0"/>
    <xf numFmtId="0" fontId="839" fillId="841" borderId="779" pivotButton="0" quotePrefix="0" xfId="0"/>
    <xf numFmtId="0" fontId="840" fillId="842" borderId="780" applyAlignment="1" pivotButton="0" quotePrefix="0" xfId="0">
      <alignment horizontal="center" vertical="center"/>
    </xf>
    <xf numFmtId="0" fontId="841" fillId="843" borderId="781" applyAlignment="1" pivotButton="0" quotePrefix="0" xfId="0">
      <alignment horizontal="center" vertical="center"/>
    </xf>
    <xf numFmtId="0" fontId="842" fillId="844" borderId="782" applyAlignment="1" pivotButton="0" quotePrefix="0" xfId="0">
      <alignment horizontal="center" vertical="center"/>
    </xf>
    <xf numFmtId="0" fontId="843" fillId="845" borderId="783" applyAlignment="1" pivotButton="0" quotePrefix="0" xfId="0">
      <alignment horizontal="center" vertical="center"/>
    </xf>
    <xf numFmtId="0" fontId="844" fillId="846" borderId="784" applyAlignment="1" pivotButton="0" quotePrefix="0" xfId="0">
      <alignment horizontal="center" vertical="center"/>
    </xf>
    <xf numFmtId="0" fontId="845" fillId="847" borderId="785" applyAlignment="1" pivotButton="0" quotePrefix="0" xfId="0">
      <alignment horizontal="center" vertical="center"/>
    </xf>
    <xf numFmtId="0" fontId="846" fillId="848" borderId="786" applyAlignment="1" pivotButton="0" quotePrefix="0" xfId="0">
      <alignment horizontal="center" vertical="center"/>
    </xf>
    <xf numFmtId="2" fontId="847" fillId="849" borderId="787" applyAlignment="1" pivotButton="0" quotePrefix="0" xfId="0">
      <alignment horizontal="center"/>
    </xf>
    <xf numFmtId="0" fontId="848" fillId="850" borderId="788" applyAlignment="1" pivotButton="0" quotePrefix="0" xfId="0">
      <alignment horizontal="center"/>
    </xf>
    <xf numFmtId="1" fontId="849" fillId="851" borderId="789" applyAlignment="1" pivotButton="0" quotePrefix="0" xfId="0">
      <alignment horizontal="center"/>
    </xf>
    <xf numFmtId="0" fontId="850" fillId="852" borderId="790" pivotButton="0" quotePrefix="0" xfId="0"/>
    <xf numFmtId="0" fontId="851" fillId="853" borderId="791" pivotButton="0" quotePrefix="0" xfId="0"/>
    <xf numFmtId="0" fontId="852" fillId="854" borderId="792" pivotButton="0" quotePrefix="0" xfId="0"/>
    <xf numFmtId="0" fontId="853" fillId="855" borderId="793" applyAlignment="1" pivotButton="0" quotePrefix="0" xfId="0">
      <alignment horizontal="center" vertical="center"/>
    </xf>
    <xf numFmtId="0" fontId="854" fillId="856" borderId="794" applyAlignment="1" pivotButton="0" quotePrefix="0" xfId="0">
      <alignment horizontal="center" vertical="center"/>
    </xf>
    <xf numFmtId="0" fontId="855" fillId="857" borderId="795" applyAlignment="1" pivotButton="0" quotePrefix="0" xfId="0">
      <alignment horizontal="center" vertical="center"/>
    </xf>
    <xf numFmtId="0" fontId="856" fillId="858" borderId="796" applyAlignment="1" pivotButton="0" quotePrefix="0" xfId="0">
      <alignment horizontal="center" vertical="center"/>
    </xf>
    <xf numFmtId="0" fontId="857" fillId="859" borderId="797" applyAlignment="1" pivotButton="0" quotePrefix="0" xfId="0">
      <alignment horizontal="center" vertical="center"/>
    </xf>
    <xf numFmtId="0" fontId="858" fillId="860" borderId="798" applyAlignment="1" pivotButton="0" quotePrefix="0" xfId="0">
      <alignment horizontal="center" vertical="center"/>
    </xf>
    <xf numFmtId="0" fontId="859" fillId="861" borderId="799" applyAlignment="1" pivotButton="0" quotePrefix="0" xfId="0">
      <alignment horizontal="center" vertical="center"/>
    </xf>
    <xf numFmtId="2" fontId="860" fillId="862" borderId="800" applyAlignment="1" pivotButton="0" quotePrefix="0" xfId="0">
      <alignment horizontal="center"/>
    </xf>
    <xf numFmtId="0" fontId="861" fillId="863" borderId="801" applyAlignment="1" pivotButton="0" quotePrefix="0" xfId="0">
      <alignment horizontal="center"/>
    </xf>
    <xf numFmtId="1" fontId="862" fillId="864" borderId="802" applyAlignment="1" pivotButton="0" quotePrefix="0" xfId="0">
      <alignment horizontal="center"/>
    </xf>
    <xf numFmtId="0" fontId="863" fillId="865" borderId="803" pivotButton="0" quotePrefix="0" xfId="0"/>
    <xf numFmtId="0" fontId="864" fillId="866" borderId="804" pivotButton="0" quotePrefix="0" xfId="0"/>
    <xf numFmtId="0" fontId="865" fillId="867" borderId="805" pivotButton="0" quotePrefix="0" xfId="0"/>
    <xf numFmtId="0" fontId="866" fillId="868" borderId="806" applyAlignment="1" pivotButton="0" quotePrefix="0" xfId="0">
      <alignment horizontal="center" vertical="center"/>
    </xf>
    <xf numFmtId="0" fontId="867" fillId="869" borderId="807" applyAlignment="1" pivotButton="0" quotePrefix="0" xfId="0">
      <alignment horizontal="center" vertical="center"/>
    </xf>
    <xf numFmtId="0" fontId="868" fillId="870" borderId="808" applyAlignment="1" pivotButton="0" quotePrefix="0" xfId="0">
      <alignment horizontal="center" vertical="center"/>
    </xf>
    <xf numFmtId="0" fontId="869" fillId="871" borderId="809" applyAlignment="1" pivotButton="0" quotePrefix="0" xfId="0">
      <alignment horizontal="center" vertical="center"/>
    </xf>
    <xf numFmtId="0" fontId="870" fillId="872" borderId="810" applyAlignment="1" pivotButton="0" quotePrefix="0" xfId="0">
      <alignment horizontal="center" vertical="center"/>
    </xf>
    <xf numFmtId="0" fontId="871" fillId="873" borderId="811" applyAlignment="1" pivotButton="0" quotePrefix="0" xfId="0">
      <alignment horizontal="center" vertical="center"/>
    </xf>
    <xf numFmtId="0" fontId="872" fillId="874" borderId="812" applyAlignment="1" pivotButton="0" quotePrefix="0" xfId="0">
      <alignment horizontal="center" vertical="center"/>
    </xf>
    <xf numFmtId="2" fontId="873" fillId="875" borderId="813" applyAlignment="1" pivotButton="0" quotePrefix="0" xfId="0">
      <alignment horizontal="center"/>
    </xf>
    <xf numFmtId="0" fontId="874" fillId="876" borderId="814" applyAlignment="1" pivotButton="0" quotePrefix="0" xfId="0">
      <alignment horizontal="center"/>
    </xf>
    <xf numFmtId="1" fontId="875" fillId="877" borderId="815" applyAlignment="1" pivotButton="0" quotePrefix="0" xfId="0">
      <alignment horizontal="center"/>
    </xf>
    <xf numFmtId="0" fontId="876" fillId="878" borderId="816" pivotButton="0" quotePrefix="0" xfId="0"/>
    <xf numFmtId="0" fontId="877" fillId="879" borderId="817" pivotButton="0" quotePrefix="0" xfId="0"/>
    <xf numFmtId="0" fontId="878" fillId="880" borderId="818" pivotButton="0" quotePrefix="0" xfId="0"/>
    <xf numFmtId="0" fontId="879" fillId="881" borderId="819" applyAlignment="1" pivotButton="0" quotePrefix="0" xfId="0">
      <alignment horizontal="center" vertical="center"/>
    </xf>
    <xf numFmtId="0" fontId="880" fillId="882" borderId="820" applyAlignment="1" pivotButton="0" quotePrefix="0" xfId="0">
      <alignment horizontal="center" vertical="center"/>
    </xf>
    <xf numFmtId="0" fontId="881" fillId="883" borderId="821" applyAlignment="1" pivotButton="0" quotePrefix="0" xfId="0">
      <alignment horizontal="center" vertical="center"/>
    </xf>
    <xf numFmtId="0" fontId="882" fillId="884" borderId="822" applyAlignment="1" pivotButton="0" quotePrefix="0" xfId="0">
      <alignment horizontal="center" vertical="center"/>
    </xf>
    <xf numFmtId="0" fontId="883" fillId="885" borderId="823" applyAlignment="1" pivotButton="0" quotePrefix="0" xfId="0">
      <alignment horizontal="center" vertical="center"/>
    </xf>
    <xf numFmtId="0" fontId="884" fillId="886" borderId="824" applyAlignment="1" pivotButton="0" quotePrefix="0" xfId="0">
      <alignment horizontal="center" vertical="center"/>
    </xf>
    <xf numFmtId="0" fontId="885" fillId="887" borderId="825" applyAlignment="1" pivotButton="0" quotePrefix="0" xfId="0">
      <alignment horizontal="center" vertical="center"/>
    </xf>
    <xf numFmtId="2" fontId="886" fillId="888" borderId="826" applyAlignment="1" pivotButton="0" quotePrefix="0" xfId="0">
      <alignment horizontal="center"/>
    </xf>
    <xf numFmtId="0" fontId="887" fillId="889" borderId="827" applyAlignment="1" pivotButton="0" quotePrefix="0" xfId="0">
      <alignment horizontal="center"/>
    </xf>
    <xf numFmtId="1" fontId="888" fillId="890" borderId="828" applyAlignment="1" pivotButton="0" quotePrefix="0" xfId="0">
      <alignment horizontal="center"/>
    </xf>
    <xf numFmtId="0" fontId="889" fillId="891" borderId="829" pivotButton="0" quotePrefix="0" xfId="0"/>
    <xf numFmtId="0" fontId="890" fillId="892" borderId="830" pivotButton="0" quotePrefix="0" xfId="0"/>
    <xf numFmtId="0" fontId="891" fillId="893" borderId="831" pivotButton="0" quotePrefix="0" xfId="0"/>
    <xf numFmtId="0" fontId="892" fillId="894" borderId="832" applyAlignment="1" pivotButton="0" quotePrefix="0" xfId="0">
      <alignment horizontal="center" vertical="center"/>
    </xf>
    <xf numFmtId="0" fontId="893" fillId="895" borderId="833" applyAlignment="1" pivotButton="0" quotePrefix="0" xfId="0">
      <alignment horizontal="center" vertical="center"/>
    </xf>
    <xf numFmtId="0" fontId="894" fillId="896" borderId="834" applyAlignment="1" pivotButton="0" quotePrefix="0" xfId="0">
      <alignment horizontal="center" vertical="center"/>
    </xf>
    <xf numFmtId="0" fontId="895" fillId="897" borderId="835" applyAlignment="1" pivotButton="0" quotePrefix="0" xfId="0">
      <alignment horizontal="center" vertical="center"/>
    </xf>
    <xf numFmtId="0" fontId="896" fillId="898" borderId="836" applyAlignment="1" pivotButton="0" quotePrefix="0" xfId="0">
      <alignment horizontal="center" vertical="center"/>
    </xf>
    <xf numFmtId="0" fontId="897" fillId="899" borderId="837" applyAlignment="1" pivotButton="0" quotePrefix="0" xfId="0">
      <alignment horizontal="center" vertical="center"/>
    </xf>
    <xf numFmtId="0" fontId="898" fillId="900" borderId="838" applyAlignment="1" pivotButton="0" quotePrefix="0" xfId="0">
      <alignment horizontal="center" vertical="center"/>
    </xf>
    <xf numFmtId="2" fontId="899" fillId="901" borderId="839" applyAlignment="1" pivotButton="0" quotePrefix="0" xfId="0">
      <alignment horizontal="center"/>
    </xf>
    <xf numFmtId="0" fontId="900" fillId="902" borderId="840" applyAlignment="1" pivotButton="0" quotePrefix="0" xfId="0">
      <alignment horizontal="center"/>
    </xf>
    <xf numFmtId="1" fontId="901" fillId="903" borderId="841" applyAlignment="1" pivotButton="0" quotePrefix="0" xfId="0">
      <alignment horizontal="center"/>
    </xf>
    <xf numFmtId="0" fontId="902" fillId="904" borderId="842" pivotButton="0" quotePrefix="0" xfId="0"/>
    <xf numFmtId="0" fontId="903" fillId="905" borderId="843" pivotButton="0" quotePrefix="0" xfId="0"/>
    <xf numFmtId="0" fontId="904" fillId="906" borderId="844" pivotButton="0" quotePrefix="0" xfId="0"/>
    <xf numFmtId="0" fontId="905" fillId="907" borderId="845" applyAlignment="1" pivotButton="0" quotePrefix="0" xfId="0">
      <alignment horizontal="center" vertical="center"/>
    </xf>
    <xf numFmtId="0" fontId="906" fillId="908" borderId="846" applyAlignment="1" pivotButton="0" quotePrefix="0" xfId="0">
      <alignment horizontal="center" vertical="center"/>
    </xf>
    <xf numFmtId="0" fontId="907" fillId="909" borderId="847" applyAlignment="1" pivotButton="0" quotePrefix="0" xfId="0">
      <alignment horizontal="center" vertical="center"/>
    </xf>
    <xf numFmtId="0" fontId="908" fillId="910" borderId="848" applyAlignment="1" pivotButton="0" quotePrefix="0" xfId="0">
      <alignment horizontal="center" vertical="center"/>
    </xf>
    <xf numFmtId="0" fontId="909" fillId="911" borderId="849" applyAlignment="1" pivotButton="0" quotePrefix="0" xfId="0">
      <alignment horizontal="center" vertical="center"/>
    </xf>
    <xf numFmtId="0" fontId="910" fillId="912" borderId="850" applyAlignment="1" pivotButton="0" quotePrefix="0" xfId="0">
      <alignment horizontal="center" vertical="center"/>
    </xf>
    <xf numFmtId="0" fontId="911" fillId="913" borderId="851" applyAlignment="1" pivotButton="0" quotePrefix="0" xfId="0">
      <alignment horizontal="center" vertical="center"/>
    </xf>
    <xf numFmtId="2" fontId="912" fillId="914" borderId="852" applyAlignment="1" pivotButton="0" quotePrefix="0" xfId="0">
      <alignment horizontal="center"/>
    </xf>
    <xf numFmtId="0" fontId="913" fillId="915" borderId="853" applyAlignment="1" pivotButton="0" quotePrefix="0" xfId="0">
      <alignment horizontal="center"/>
    </xf>
    <xf numFmtId="1" fontId="914" fillId="916" borderId="854" applyAlignment="1" pivotButton="0" quotePrefix="0" xfId="0">
      <alignment horizontal="center"/>
    </xf>
    <xf numFmtId="0" fontId="915" fillId="917" borderId="855" pivotButton="0" quotePrefix="0" xfId="0"/>
    <xf numFmtId="0" fontId="916" fillId="918" borderId="856" pivotButton="0" quotePrefix="0" xfId="0"/>
    <xf numFmtId="0" fontId="917" fillId="919" borderId="857" pivotButton="0" quotePrefix="0" xfId="0"/>
    <xf numFmtId="0" fontId="918" fillId="920" borderId="858" applyAlignment="1" pivotButton="0" quotePrefix="0" xfId="0">
      <alignment horizontal="center" vertical="center"/>
    </xf>
    <xf numFmtId="0" fontId="919" fillId="921" borderId="859" applyAlignment="1" pivotButton="0" quotePrefix="0" xfId="0">
      <alignment horizontal="center" vertical="center"/>
    </xf>
    <xf numFmtId="0" fontId="920" fillId="922" borderId="860" applyAlignment="1" pivotButton="0" quotePrefix="0" xfId="0">
      <alignment horizontal="center" vertical="center"/>
    </xf>
    <xf numFmtId="0" fontId="921" fillId="923" borderId="861" applyAlignment="1" pivotButton="0" quotePrefix="0" xfId="0">
      <alignment horizontal="center" vertical="center"/>
    </xf>
    <xf numFmtId="0" fontId="922" fillId="924" borderId="862" applyAlignment="1" pivotButton="0" quotePrefix="0" xfId="0">
      <alignment horizontal="center" vertical="center"/>
    </xf>
    <xf numFmtId="0" fontId="923" fillId="925" borderId="863" applyAlignment="1" pivotButton="0" quotePrefix="0" xfId="0">
      <alignment horizontal="center" vertical="center"/>
    </xf>
    <xf numFmtId="0" fontId="924" fillId="926" borderId="864" applyAlignment="1" pivotButton="0" quotePrefix="0" xfId="0">
      <alignment horizontal="center" vertical="center"/>
    </xf>
    <xf numFmtId="2" fontId="925" fillId="927" borderId="865" applyAlignment="1" pivotButton="0" quotePrefix="0" xfId="0">
      <alignment horizontal="center"/>
    </xf>
    <xf numFmtId="0" fontId="926" fillId="928" borderId="866" applyAlignment="1" pivotButton="0" quotePrefix="0" xfId="0">
      <alignment horizontal="center"/>
    </xf>
    <xf numFmtId="1" fontId="927" fillId="929" borderId="867" applyAlignment="1" pivotButton="0" quotePrefix="0" xfId="0">
      <alignment horizontal="center"/>
    </xf>
    <xf numFmtId="0" fontId="928" fillId="930" borderId="868" pivotButton="0" quotePrefix="0" xfId="0"/>
    <xf numFmtId="0" fontId="929" fillId="931" borderId="869" pivotButton="0" quotePrefix="0" xfId="0"/>
    <xf numFmtId="0" fontId="930" fillId="932" borderId="870" pivotButton="0" quotePrefix="0" xfId="0"/>
    <xf numFmtId="0" fontId="931" fillId="933" borderId="871" applyAlignment="1" pivotButton="0" quotePrefix="0" xfId="0">
      <alignment horizontal="center" vertical="center"/>
    </xf>
    <xf numFmtId="0" fontId="932" fillId="934" borderId="872" applyAlignment="1" pivotButton="0" quotePrefix="0" xfId="0">
      <alignment horizontal="center" vertical="center"/>
    </xf>
    <xf numFmtId="0" fontId="933" fillId="935" borderId="873" applyAlignment="1" pivotButton="0" quotePrefix="0" xfId="0">
      <alignment horizontal="center" vertical="center"/>
    </xf>
    <xf numFmtId="0" fontId="934" fillId="936" borderId="874" applyAlignment="1" pivotButton="0" quotePrefix="0" xfId="0">
      <alignment horizontal="center" vertical="center"/>
    </xf>
    <xf numFmtId="0" fontId="935" fillId="937" borderId="875" applyAlignment="1" pivotButton="0" quotePrefix="0" xfId="0">
      <alignment horizontal="center" vertical="center"/>
    </xf>
    <xf numFmtId="0" fontId="936" fillId="938" borderId="876" applyAlignment="1" pivotButton="0" quotePrefix="0" xfId="0">
      <alignment horizontal="center" vertical="center"/>
    </xf>
    <xf numFmtId="0" fontId="937" fillId="939" borderId="877" applyAlignment="1" pivotButton="0" quotePrefix="0" xfId="0">
      <alignment horizontal="center" vertical="center"/>
    </xf>
    <xf numFmtId="2" fontId="938" fillId="940" borderId="878" applyAlignment="1" pivotButton="0" quotePrefix="0" xfId="0">
      <alignment horizontal="center"/>
    </xf>
    <xf numFmtId="0" fontId="939" fillId="941" borderId="879" applyAlignment="1" pivotButton="0" quotePrefix="0" xfId="0">
      <alignment horizontal="center"/>
    </xf>
    <xf numFmtId="1" fontId="940" fillId="942" borderId="880" applyAlignment="1" pivotButton="0" quotePrefix="0" xfId="0">
      <alignment horizontal="center"/>
    </xf>
    <xf numFmtId="0" fontId="941" fillId="943" borderId="881" pivotButton="0" quotePrefix="0" xfId="0"/>
    <xf numFmtId="0" fontId="942" fillId="944" borderId="882" pivotButton="0" quotePrefix="0" xfId="0"/>
    <xf numFmtId="0" fontId="943" fillId="945" borderId="883" pivotButton="0" quotePrefix="0" xfId="0"/>
    <xf numFmtId="0" fontId="944" fillId="946" borderId="884" applyAlignment="1" pivotButton="0" quotePrefix="0" xfId="0">
      <alignment horizontal="center" vertical="center"/>
    </xf>
    <xf numFmtId="0" fontId="945" fillId="947" borderId="885" applyAlignment="1" pivotButton="0" quotePrefix="0" xfId="0">
      <alignment horizontal="center" vertical="center"/>
    </xf>
    <xf numFmtId="0" fontId="946" fillId="948" borderId="886" applyAlignment="1" pivotButton="0" quotePrefix="0" xfId="0">
      <alignment horizontal="center" vertical="center"/>
    </xf>
    <xf numFmtId="0" fontId="947" fillId="949" borderId="887" applyAlignment="1" pivotButton="0" quotePrefix="0" xfId="0">
      <alignment horizontal="center" vertical="center"/>
    </xf>
    <xf numFmtId="0" fontId="948" fillId="950" borderId="888" applyAlignment="1" pivotButton="0" quotePrefix="0" xfId="0">
      <alignment horizontal="center" vertical="center"/>
    </xf>
    <xf numFmtId="0" fontId="949" fillId="951" borderId="889" applyAlignment="1" pivotButton="0" quotePrefix="0" xfId="0">
      <alignment horizontal="center" vertical="center"/>
    </xf>
    <xf numFmtId="0" fontId="950" fillId="952" borderId="890" applyAlignment="1" pivotButton="0" quotePrefix="0" xfId="0">
      <alignment horizontal="center" vertical="center"/>
    </xf>
    <xf numFmtId="2" fontId="951" fillId="953" borderId="891" applyAlignment="1" pivotButton="0" quotePrefix="0" xfId="0">
      <alignment horizontal="center"/>
    </xf>
    <xf numFmtId="0" fontId="952" fillId="954" borderId="892" applyAlignment="1" pivotButton="0" quotePrefix="0" xfId="0">
      <alignment horizontal="center"/>
    </xf>
    <xf numFmtId="1" fontId="953" fillId="955" borderId="893" applyAlignment="1" pivotButton="0" quotePrefix="0" xfId="0">
      <alignment horizontal="center"/>
    </xf>
    <xf numFmtId="0" fontId="954" fillId="956" borderId="894" pivotButton="0" quotePrefix="0" xfId="0"/>
    <xf numFmtId="0" fontId="955" fillId="957" borderId="895" pivotButton="0" quotePrefix="0" xfId="0"/>
    <xf numFmtId="0" fontId="956" fillId="958" borderId="896" pivotButton="0" quotePrefix="0" xfId="0"/>
    <xf numFmtId="0" fontId="957" fillId="959" borderId="897" applyAlignment="1" pivotButton="0" quotePrefix="0" xfId="0">
      <alignment horizontal="center" vertical="center"/>
    </xf>
    <xf numFmtId="0" fontId="958" fillId="960" borderId="898" applyAlignment="1" pivotButton="0" quotePrefix="0" xfId="0">
      <alignment horizontal="center" vertical="center"/>
    </xf>
    <xf numFmtId="0" fontId="959" fillId="961" borderId="899" applyAlignment="1" pivotButton="0" quotePrefix="0" xfId="0">
      <alignment horizontal="center" vertical="center"/>
    </xf>
    <xf numFmtId="0" fontId="960" fillId="962" borderId="900" applyAlignment="1" pivotButton="0" quotePrefix="0" xfId="0">
      <alignment horizontal="center" vertical="center"/>
    </xf>
    <xf numFmtId="0" fontId="961" fillId="963" borderId="901" applyAlignment="1" pivotButton="0" quotePrefix="0" xfId="0">
      <alignment horizontal="center" vertical="center"/>
    </xf>
    <xf numFmtId="0" fontId="962" fillId="964" borderId="902" applyAlignment="1" pivotButton="0" quotePrefix="0" xfId="0">
      <alignment horizontal="center" vertical="center"/>
    </xf>
    <xf numFmtId="0" fontId="963" fillId="965" borderId="903" applyAlignment="1" pivotButton="0" quotePrefix="0" xfId="0">
      <alignment horizontal="center" vertical="center"/>
    </xf>
    <xf numFmtId="2" fontId="964" fillId="966" borderId="904" applyAlignment="1" pivotButton="0" quotePrefix="0" xfId="0">
      <alignment horizontal="center"/>
    </xf>
    <xf numFmtId="0" fontId="965" fillId="967" borderId="905" applyAlignment="1" pivotButton="0" quotePrefix="0" xfId="0">
      <alignment horizontal="center"/>
    </xf>
    <xf numFmtId="1" fontId="966" fillId="968" borderId="906" applyAlignment="1" pivotButton="0" quotePrefix="0" xfId="0">
      <alignment horizontal="center"/>
    </xf>
    <xf numFmtId="0" fontId="967" fillId="969" borderId="907" pivotButton="0" quotePrefix="0" xfId="0"/>
    <xf numFmtId="0" fontId="968" fillId="970" borderId="908" pivotButton="0" quotePrefix="0" xfId="0"/>
    <xf numFmtId="0" fontId="969" fillId="971" borderId="909" pivotButton="0" quotePrefix="0" xfId="0"/>
    <xf numFmtId="0" fontId="970" fillId="972" borderId="910" applyAlignment="1" pivotButton="0" quotePrefix="0" xfId="0">
      <alignment horizontal="center" vertical="center"/>
    </xf>
    <xf numFmtId="0" fontId="971" fillId="973" borderId="911" applyAlignment="1" pivotButton="0" quotePrefix="0" xfId="0">
      <alignment horizontal="center" vertical="center"/>
    </xf>
    <xf numFmtId="0" fontId="972" fillId="974" borderId="912" applyAlignment="1" pivotButton="0" quotePrefix="0" xfId="0">
      <alignment horizontal="center" vertical="center"/>
    </xf>
    <xf numFmtId="0" fontId="973" fillId="975" borderId="913" applyAlignment="1" pivotButton="0" quotePrefix="0" xfId="0">
      <alignment horizontal="center" vertical="center"/>
    </xf>
    <xf numFmtId="0" fontId="974" fillId="976" borderId="914" applyAlignment="1" pivotButton="0" quotePrefix="0" xfId="0">
      <alignment horizontal="center" vertical="center"/>
    </xf>
    <xf numFmtId="0" fontId="975" fillId="977" borderId="915" applyAlignment="1" pivotButton="0" quotePrefix="0" xfId="0">
      <alignment horizontal="center" vertical="center"/>
    </xf>
    <xf numFmtId="0" fontId="976" fillId="978" borderId="916" applyAlignment="1" pivotButton="0" quotePrefix="0" xfId="0">
      <alignment horizontal="center" vertical="center"/>
    </xf>
    <xf numFmtId="2" fontId="977" fillId="979" borderId="917" applyAlignment="1" pivotButton="0" quotePrefix="0" xfId="0">
      <alignment horizontal="center"/>
    </xf>
    <xf numFmtId="0" fontId="978" fillId="980" borderId="918" applyAlignment="1" pivotButton="0" quotePrefix="0" xfId="0">
      <alignment horizontal="center"/>
    </xf>
    <xf numFmtId="1" fontId="979" fillId="981" borderId="919" applyAlignment="1" pivotButton="0" quotePrefix="0" xfId="0">
      <alignment horizontal="center"/>
    </xf>
    <xf numFmtId="0" fontId="980" fillId="982" borderId="920" pivotButton="0" quotePrefix="0" xfId="0"/>
    <xf numFmtId="0" fontId="981" fillId="983" borderId="921" pivotButton="0" quotePrefix="0" xfId="0"/>
    <xf numFmtId="0" fontId="982" fillId="984" borderId="922" pivotButton="0" quotePrefix="0" xfId="0"/>
    <xf numFmtId="0" fontId="983" fillId="985" borderId="923" applyAlignment="1" pivotButton="0" quotePrefix="0" xfId="0">
      <alignment horizontal="center" vertical="center"/>
    </xf>
    <xf numFmtId="0" fontId="984" fillId="986" borderId="924" applyAlignment="1" pivotButton="0" quotePrefix="0" xfId="0">
      <alignment horizontal="center" vertical="center"/>
    </xf>
    <xf numFmtId="0" fontId="985" fillId="987" borderId="925" applyAlignment="1" pivotButton="0" quotePrefix="0" xfId="0">
      <alignment horizontal="center" vertical="center"/>
    </xf>
    <xf numFmtId="0" fontId="986" fillId="988" borderId="926" applyAlignment="1" pivotButton="0" quotePrefix="0" xfId="0">
      <alignment horizontal="center" vertical="center"/>
    </xf>
    <xf numFmtId="0" fontId="987" fillId="989" borderId="927" applyAlignment="1" pivotButton="0" quotePrefix="0" xfId="0">
      <alignment horizontal="center" vertical="center"/>
    </xf>
    <xf numFmtId="0" fontId="988" fillId="990" borderId="928" applyAlignment="1" pivotButton="0" quotePrefix="0" xfId="0">
      <alignment horizontal="center" vertical="center"/>
    </xf>
    <xf numFmtId="0" fontId="989" fillId="991" borderId="929" applyAlignment="1" pivotButton="0" quotePrefix="0" xfId="0">
      <alignment horizontal="center" vertical="center"/>
    </xf>
    <xf numFmtId="2" fontId="990" fillId="992" borderId="930" applyAlignment="1" pivotButton="0" quotePrefix="0" xfId="0">
      <alignment horizontal="center"/>
    </xf>
    <xf numFmtId="0" fontId="991" fillId="993" borderId="931" applyAlignment="1" pivotButton="0" quotePrefix="0" xfId="0">
      <alignment horizontal="center"/>
    </xf>
    <xf numFmtId="1" fontId="992" fillId="994" borderId="932" applyAlignment="1" pivotButton="0" quotePrefix="0" xfId="0">
      <alignment horizontal="center"/>
    </xf>
    <xf numFmtId="0" fontId="993" fillId="995" borderId="933" pivotButton="0" quotePrefix="0" xfId="0"/>
    <xf numFmtId="0" fontId="994" fillId="996" borderId="934" pivotButton="0" quotePrefix="0" xfId="0"/>
    <xf numFmtId="0" fontId="995" fillId="997" borderId="935" pivotButton="0" quotePrefix="0" xfId="0"/>
    <xf numFmtId="0" fontId="996" fillId="998" borderId="936" applyAlignment="1" pivotButton="0" quotePrefix="0" xfId="0">
      <alignment horizontal="center" vertical="center"/>
    </xf>
    <xf numFmtId="0" fontId="997" fillId="999" borderId="937" applyAlignment="1" pivotButton="0" quotePrefix="0" xfId="0">
      <alignment horizontal="center" vertical="center"/>
    </xf>
    <xf numFmtId="0" fontId="998" fillId="1000" borderId="938" applyAlignment="1" pivotButton="0" quotePrefix="0" xfId="0">
      <alignment horizontal="center" vertical="center"/>
    </xf>
    <xf numFmtId="0" fontId="999" fillId="1001" borderId="939" applyAlignment="1" pivotButton="0" quotePrefix="0" xfId="0">
      <alignment horizontal="center" vertical="center"/>
    </xf>
    <xf numFmtId="0" fontId="1000" fillId="1002" borderId="940" applyAlignment="1" pivotButton="0" quotePrefix="0" xfId="0">
      <alignment horizontal="center" vertical="center"/>
    </xf>
    <xf numFmtId="0" fontId="1001" fillId="1003" borderId="941" applyAlignment="1" pivotButton="0" quotePrefix="0" xfId="0">
      <alignment horizontal="center" vertical="center"/>
    </xf>
    <xf numFmtId="0" fontId="1002" fillId="1004" borderId="942" applyAlignment="1" pivotButton="0" quotePrefix="0" xfId="0">
      <alignment horizontal="center" vertical="center"/>
    </xf>
    <xf numFmtId="2" fontId="1003" fillId="1005" borderId="943" applyAlignment="1" pivotButton="0" quotePrefix="0" xfId="0">
      <alignment horizontal="center"/>
    </xf>
    <xf numFmtId="0" fontId="1004" fillId="1006" borderId="944" applyAlignment="1" pivotButton="0" quotePrefix="0" xfId="0">
      <alignment horizontal="center"/>
    </xf>
    <xf numFmtId="1" fontId="1005" fillId="1007" borderId="945" applyAlignment="1" pivotButton="0" quotePrefix="0" xfId="0">
      <alignment horizontal="center"/>
    </xf>
    <xf numFmtId="0" fontId="1006" fillId="1008" borderId="946" pivotButton="0" quotePrefix="0" xfId="0"/>
    <xf numFmtId="0" fontId="1007" fillId="1009" borderId="947" pivotButton="0" quotePrefix="0" xfId="0"/>
    <xf numFmtId="0" fontId="1008" fillId="1010" borderId="948" pivotButton="0" quotePrefix="0" xfId="0"/>
    <xf numFmtId="0" fontId="1009" fillId="1011" borderId="949" applyAlignment="1" pivotButton="0" quotePrefix="0" xfId="0">
      <alignment horizontal="center" vertical="center"/>
    </xf>
    <xf numFmtId="0" fontId="1010" fillId="1012" borderId="950" applyAlignment="1" pivotButton="0" quotePrefix="0" xfId="0">
      <alignment horizontal="center" vertical="center"/>
    </xf>
    <xf numFmtId="0" fontId="1011" fillId="1013" borderId="951" applyAlignment="1" pivotButton="0" quotePrefix="0" xfId="0">
      <alignment horizontal="center" vertical="center"/>
    </xf>
    <xf numFmtId="0" fontId="1012" fillId="1014" borderId="952" applyAlignment="1" pivotButton="0" quotePrefix="0" xfId="0">
      <alignment horizontal="center" vertical="center"/>
    </xf>
    <xf numFmtId="0" fontId="1013" fillId="1015" borderId="953" applyAlignment="1" pivotButton="0" quotePrefix="0" xfId="0">
      <alignment horizontal="center" vertical="center"/>
    </xf>
    <xf numFmtId="0" fontId="1014" fillId="1016" borderId="954" applyAlignment="1" pivotButton="0" quotePrefix="0" xfId="0">
      <alignment horizontal="center" vertical="center"/>
    </xf>
    <xf numFmtId="0" fontId="1015" fillId="1017" borderId="955" applyAlignment="1" pivotButton="0" quotePrefix="0" xfId="0">
      <alignment horizontal="center" vertical="center"/>
    </xf>
    <xf numFmtId="2" fontId="1016" fillId="1018" borderId="956" applyAlignment="1" pivotButton="0" quotePrefix="0" xfId="0">
      <alignment horizontal="center"/>
    </xf>
    <xf numFmtId="0" fontId="1017" fillId="1019" borderId="957" applyAlignment="1" pivotButton="0" quotePrefix="0" xfId="0">
      <alignment horizontal="center"/>
    </xf>
    <xf numFmtId="1" fontId="1018" fillId="1020" borderId="958" applyAlignment="1" pivotButton="0" quotePrefix="0" xfId="0">
      <alignment horizontal="center"/>
    </xf>
    <xf numFmtId="0" fontId="1019" fillId="1021" borderId="959" pivotButton="0" quotePrefix="0" xfId="0"/>
    <xf numFmtId="0" fontId="1020" fillId="1022" borderId="960" pivotButton="0" quotePrefix="0" xfId="0"/>
    <xf numFmtId="0" fontId="1021" fillId="1023" borderId="961" pivotButton="0" quotePrefix="0" xfId="0"/>
    <xf numFmtId="0" fontId="1022" fillId="1024" borderId="962" applyAlignment="1" pivotButton="0" quotePrefix="0" xfId="0">
      <alignment horizontal="center" vertical="center"/>
    </xf>
    <xf numFmtId="0" fontId="1023" fillId="1025" borderId="963" applyAlignment="1" pivotButton="0" quotePrefix="0" xfId="0">
      <alignment horizontal="center" vertical="center"/>
    </xf>
    <xf numFmtId="0" fontId="1024" fillId="1026" borderId="964" applyAlignment="1" pivotButton="0" quotePrefix="0" xfId="0">
      <alignment horizontal="center" vertical="center"/>
    </xf>
    <xf numFmtId="0" fontId="1025" fillId="1027" borderId="965" applyAlignment="1" pivotButton="0" quotePrefix="0" xfId="0">
      <alignment horizontal="center" vertical="center"/>
    </xf>
    <xf numFmtId="0" fontId="1026" fillId="1028" borderId="966" applyAlignment="1" pivotButton="0" quotePrefix="0" xfId="0">
      <alignment horizontal="center" vertical="center"/>
    </xf>
    <xf numFmtId="0" fontId="1027" fillId="1029" borderId="967" applyAlignment="1" pivotButton="0" quotePrefix="0" xfId="0">
      <alignment horizontal="center" vertical="center"/>
    </xf>
    <xf numFmtId="0" fontId="1028" fillId="1030" borderId="968" applyAlignment="1" pivotButton="0" quotePrefix="0" xfId="0">
      <alignment horizontal="center" vertical="center"/>
    </xf>
    <xf numFmtId="2" fontId="1029" fillId="1031" borderId="969" applyAlignment="1" pivotButton="0" quotePrefix="0" xfId="0">
      <alignment horizontal="center"/>
    </xf>
    <xf numFmtId="0" fontId="1030" fillId="1032" borderId="970" applyAlignment="1" pivotButton="0" quotePrefix="0" xfId="0">
      <alignment horizontal="center"/>
    </xf>
    <xf numFmtId="1" fontId="1031" fillId="1033" borderId="971" applyAlignment="1" pivotButton="0" quotePrefix="0" xfId="0">
      <alignment horizontal="center"/>
    </xf>
    <xf numFmtId="0" fontId="1032" fillId="1034" borderId="972" pivotButton="0" quotePrefix="0" xfId="0"/>
    <xf numFmtId="0" fontId="1033" fillId="1035" borderId="973" pivotButton="0" quotePrefix="0" xfId="0"/>
    <xf numFmtId="0" fontId="1034" fillId="1036" borderId="974" pivotButton="0" quotePrefix="0" xfId="0"/>
    <xf numFmtId="0" fontId="1035" fillId="1037" borderId="975" applyAlignment="1" pivotButton="0" quotePrefix="0" xfId="0">
      <alignment horizontal="center" vertical="center"/>
    </xf>
    <xf numFmtId="0" fontId="1036" fillId="1038" borderId="976" applyAlignment="1" pivotButton="0" quotePrefix="0" xfId="0">
      <alignment horizontal="center" vertical="center"/>
    </xf>
    <xf numFmtId="0" fontId="1037" fillId="1039" borderId="977" applyAlignment="1" pivotButton="0" quotePrefix="0" xfId="0">
      <alignment horizontal="center" vertical="center"/>
    </xf>
    <xf numFmtId="0" fontId="1038" fillId="1040" borderId="978" applyAlignment="1" pivotButton="0" quotePrefix="0" xfId="0">
      <alignment horizontal="center" vertical="center"/>
    </xf>
    <xf numFmtId="0" fontId="1039" fillId="1041" borderId="979" applyAlignment="1" pivotButton="0" quotePrefix="0" xfId="0">
      <alignment horizontal="center" vertical="center"/>
    </xf>
    <xf numFmtId="0" fontId="1040" fillId="1042" borderId="980" applyAlignment="1" pivotButton="0" quotePrefix="0" xfId="0">
      <alignment horizontal="center" vertical="center"/>
    </xf>
    <xf numFmtId="0" fontId="1041" fillId="1043" borderId="981" applyAlignment="1" pivotButton="0" quotePrefix="0" xfId="0">
      <alignment horizontal="center" vertical="center"/>
    </xf>
    <xf numFmtId="2" fontId="1042" fillId="1044" borderId="982" applyAlignment="1" pivotButton="0" quotePrefix="0" xfId="0">
      <alignment horizontal="center"/>
    </xf>
    <xf numFmtId="0" fontId="1043" fillId="1045" borderId="983" applyAlignment="1" pivotButton="0" quotePrefix="0" xfId="0">
      <alignment horizontal="center"/>
    </xf>
    <xf numFmtId="1" fontId="1044" fillId="1046" borderId="984" applyAlignment="1" pivotButton="0" quotePrefix="0" xfId="0">
      <alignment horizontal="center"/>
    </xf>
    <xf numFmtId="0" fontId="1045" fillId="1047" borderId="985" pivotButton="0" quotePrefix="0" xfId="0"/>
    <xf numFmtId="0" fontId="1046" fillId="1048" borderId="986" pivotButton="0" quotePrefix="0" xfId="0"/>
    <xf numFmtId="0" fontId="1047" fillId="1049" borderId="987" pivotButton="0" quotePrefix="0" xfId="0"/>
    <xf numFmtId="0" fontId="1048" fillId="1050" borderId="988" applyAlignment="1" pivotButton="0" quotePrefix="0" xfId="0">
      <alignment horizontal="center" vertical="center"/>
    </xf>
    <xf numFmtId="0" fontId="1049" fillId="1051" borderId="989" applyAlignment="1" pivotButton="0" quotePrefix="0" xfId="0">
      <alignment horizontal="center" vertical="center"/>
    </xf>
    <xf numFmtId="0" fontId="1050" fillId="1052" borderId="990" applyAlignment="1" pivotButton="0" quotePrefix="0" xfId="0">
      <alignment horizontal="center" vertical="center"/>
    </xf>
    <xf numFmtId="0" fontId="1051" fillId="1053" borderId="991" applyAlignment="1" pivotButton="0" quotePrefix="0" xfId="0">
      <alignment horizontal="center" vertical="center"/>
    </xf>
    <xf numFmtId="0" fontId="1052" fillId="1054" borderId="992" applyAlignment="1" pivotButton="0" quotePrefix="0" xfId="0">
      <alignment horizontal="center" vertical="center"/>
    </xf>
    <xf numFmtId="0" fontId="1053" fillId="1055" borderId="993" applyAlignment="1" pivotButton="0" quotePrefix="0" xfId="0">
      <alignment horizontal="center" vertical="center"/>
    </xf>
    <xf numFmtId="0" fontId="1054" fillId="1056" borderId="994" applyAlignment="1" pivotButton="0" quotePrefix="0" xfId="0">
      <alignment horizontal="center" vertical="center"/>
    </xf>
    <xf numFmtId="2" fontId="1055" fillId="1057" borderId="995" applyAlignment="1" pivotButton="0" quotePrefix="0" xfId="0">
      <alignment horizontal="center"/>
    </xf>
    <xf numFmtId="0" fontId="1056" fillId="1058" borderId="996" applyAlignment="1" pivotButton="0" quotePrefix="0" xfId="0">
      <alignment horizontal="center"/>
    </xf>
    <xf numFmtId="1" fontId="1057" fillId="1059" borderId="997" applyAlignment="1" pivotButton="0" quotePrefix="0" xfId="0">
      <alignment horizontal="center"/>
    </xf>
    <xf numFmtId="0" fontId="1058" fillId="1060" borderId="998" pivotButton="0" quotePrefix="0" xfId="0"/>
    <xf numFmtId="0" fontId="1059" fillId="1061" borderId="999" pivotButton="0" quotePrefix="0" xfId="0"/>
    <xf numFmtId="0" fontId="1060" fillId="1062" borderId="1000" pivotButton="0" quotePrefix="0" xfId="0"/>
    <xf numFmtId="0" fontId="1061" fillId="1063" borderId="1001" applyAlignment="1" pivotButton="0" quotePrefix="0" xfId="0">
      <alignment horizontal="center" vertical="center"/>
    </xf>
    <xf numFmtId="0" fontId="1062" fillId="1064" borderId="1002" applyAlignment="1" pivotButton="0" quotePrefix="0" xfId="0">
      <alignment horizontal="center" vertical="center"/>
    </xf>
    <xf numFmtId="0" fontId="1063" fillId="1065" borderId="1003" applyAlignment="1" pivotButton="0" quotePrefix="0" xfId="0">
      <alignment horizontal="center" vertical="center"/>
    </xf>
    <xf numFmtId="0" fontId="1064" fillId="1066" borderId="1004" applyAlignment="1" pivotButton="0" quotePrefix="0" xfId="0">
      <alignment horizontal="center" vertical="center"/>
    </xf>
    <xf numFmtId="0" fontId="1065" fillId="1067" borderId="1005" applyAlignment="1" pivotButton="0" quotePrefix="0" xfId="0">
      <alignment horizontal="center" vertical="center"/>
    </xf>
    <xf numFmtId="0" fontId="1066" fillId="1068" borderId="1006" applyAlignment="1" pivotButton="0" quotePrefix="0" xfId="0">
      <alignment horizontal="center" vertical="center"/>
    </xf>
    <xf numFmtId="0" fontId="1067" fillId="1069" borderId="1007" applyAlignment="1" pivotButton="0" quotePrefix="0" xfId="0">
      <alignment horizontal="center" vertical="center"/>
    </xf>
    <xf numFmtId="0" fontId="1068" fillId="1070" borderId="1008" pivotButton="0" quotePrefix="0" xfId="0"/>
    <xf numFmtId="0" fontId="1069" fillId="1071" borderId="1009" pivotButton="0" quotePrefix="0" xfId="0"/>
    <xf numFmtId="0" fontId="1070" fillId="1072" borderId="1010" pivotButton="0" quotePrefix="0" xfId="0"/>
    <xf numFmtId="0" fontId="1071" fillId="1073" borderId="1011" pivotButton="0" quotePrefix="0" xfId="0"/>
    <xf numFmtId="0" fontId="1072" fillId="1074" borderId="1012" pivotButton="0" quotePrefix="0" xfId="0"/>
    <xf numFmtId="0" fontId="1073" fillId="1075" borderId="1013" pivotButton="0" quotePrefix="0" xfId="0"/>
    <xf numFmtId="0" fontId="1074" fillId="1076" borderId="1014" pivotButton="0" quotePrefix="0" xfId="0"/>
    <xf numFmtId="0" fontId="1075" fillId="1077" borderId="1015" pivotButton="0" quotePrefix="0" xfId="0"/>
    <xf numFmtId="0" fontId="1076" fillId="1078" borderId="1016" applyAlignment="1" pivotButton="0" quotePrefix="0" xfId="0">
      <alignment horizontal="center" vertical="center"/>
    </xf>
    <xf numFmtId="0" fontId="1077" fillId="1079" borderId="1017" applyAlignment="1" pivotButton="0" quotePrefix="0" xfId="0">
      <alignment horizontal="center" vertical="center"/>
    </xf>
    <xf numFmtId="0" fontId="1078" fillId="1080" borderId="1018" applyAlignment="1" pivotButton="0" quotePrefix="0" xfId="0">
      <alignment horizontal="center" vertical="center"/>
    </xf>
    <xf numFmtId="0" fontId="1079" fillId="1081" borderId="1019" applyAlignment="1" pivotButton="0" quotePrefix="0" xfId="0">
      <alignment horizontal="center" vertical="center"/>
    </xf>
    <xf numFmtId="0" fontId="1080" fillId="1082" borderId="1020" applyAlignment="1" pivotButton="0" quotePrefix="0" xfId="0">
      <alignment horizontal="center" vertical="center"/>
    </xf>
    <xf numFmtId="0" fontId="1081" fillId="1083" borderId="1021" applyAlignment="1" pivotButton="0" quotePrefix="0" xfId="0">
      <alignment horizontal="center" vertical="center"/>
    </xf>
    <xf numFmtId="0" fontId="1082" fillId="1084" borderId="1022" applyAlignment="1" pivotButton="0" quotePrefix="0" xfId="0">
      <alignment horizontal="center" vertical="center"/>
    </xf>
    <xf numFmtId="0" fontId="1083" fillId="1085" borderId="1023" pivotButton="0" quotePrefix="0" xfId="0"/>
    <xf numFmtId="0" fontId="1084" fillId="1086" borderId="1024" pivotButton="0" quotePrefix="0" xfId="0"/>
    <xf numFmtId="0" fontId="1085" fillId="1087" borderId="1025" pivotButton="0" quotePrefix="0" xfId="0"/>
    <xf numFmtId="0" fontId="1086" fillId="1088" borderId="1026" pivotButton="0" quotePrefix="0" xfId="0"/>
    <xf numFmtId="0" fontId="1087" fillId="1089" borderId="1027" pivotButton="0" quotePrefix="0" xfId="0"/>
    <xf numFmtId="0" fontId="1088" fillId="1090" borderId="1028" pivotButton="0" quotePrefix="0" xfId="0"/>
    <xf numFmtId="0" fontId="1089" fillId="1091" borderId="1029" pivotButton="0" quotePrefix="0" xfId="0"/>
    <xf numFmtId="0" fontId="1090" fillId="1092" borderId="1030" pivotButton="0" quotePrefix="0" xfId="0"/>
    <xf numFmtId="0" fontId="1091" fillId="1093" borderId="1031" applyAlignment="1" pivotButton="0" quotePrefix="0" xfId="0">
      <alignment horizontal="center" vertical="center"/>
    </xf>
    <xf numFmtId="0" fontId="1092" fillId="1094" borderId="1032" applyAlignment="1" pivotButton="0" quotePrefix="0" xfId="0">
      <alignment horizontal="center" vertical="center"/>
    </xf>
    <xf numFmtId="0" fontId="1093" fillId="1095" borderId="1033" applyAlignment="1" pivotButton="0" quotePrefix="0" xfId="0">
      <alignment horizontal="center" vertical="center"/>
    </xf>
    <xf numFmtId="0" fontId="1094" fillId="1096" borderId="1034" applyAlignment="1" pivotButton="0" quotePrefix="0" xfId="0">
      <alignment horizontal="center" vertical="center"/>
    </xf>
    <xf numFmtId="0" fontId="1095" fillId="1097" borderId="1035" applyAlignment="1" pivotButton="0" quotePrefix="0" xfId="0">
      <alignment horizontal="center" vertical="center"/>
    </xf>
    <xf numFmtId="0" fontId="1096" fillId="1098" borderId="1036" applyAlignment="1" pivotButton="0" quotePrefix="0" xfId="0">
      <alignment horizontal="center" vertical="center"/>
    </xf>
    <xf numFmtId="0" fontId="1097" fillId="1099" borderId="1037" applyAlignment="1" pivotButton="0" quotePrefix="0" xfId="0">
      <alignment horizontal="center" vertical="center"/>
    </xf>
    <xf numFmtId="0" fontId="1098" fillId="1100" borderId="1038" pivotButton="0" quotePrefix="0" xfId="0"/>
    <xf numFmtId="0" fontId="1099" fillId="1101" borderId="1039" pivotButton="0" quotePrefix="0" xfId="0"/>
    <xf numFmtId="0" fontId="1100" fillId="1102" borderId="1040" pivotButton="0" quotePrefix="0" xfId="0"/>
    <xf numFmtId="0" fontId="1101" fillId="1103" borderId="1041" pivotButton="0" quotePrefix="0" xfId="0"/>
    <xf numFmtId="0" fontId="1102" fillId="1104" borderId="1042" pivotButton="0" quotePrefix="0" xfId="0"/>
    <xf numFmtId="0" fontId="1103" fillId="1105" borderId="1043" pivotButton="0" quotePrefix="0" xfId="0"/>
    <xf numFmtId="0" fontId="1104" fillId="1106" borderId="1044" pivotButton="0" quotePrefix="0" xfId="0"/>
    <xf numFmtId="0" fontId="1105" fillId="1107" borderId="1045" pivotButton="0" quotePrefix="0" xfId="0"/>
    <xf numFmtId="0" fontId="1106" fillId="1108" borderId="1046" applyAlignment="1" pivotButton="0" quotePrefix="0" xfId="0">
      <alignment horizontal="center" vertical="center"/>
    </xf>
    <xf numFmtId="0" fontId="1107" fillId="1109" borderId="1047" applyAlignment="1" pivotButton="0" quotePrefix="0" xfId="0">
      <alignment horizontal="center" vertical="center"/>
    </xf>
    <xf numFmtId="0" fontId="1108" fillId="1110" borderId="1048" applyAlignment="1" pivotButton="0" quotePrefix="0" xfId="0">
      <alignment horizontal="center" vertical="center"/>
    </xf>
    <xf numFmtId="0" fontId="1109" fillId="1111" borderId="1049" applyAlignment="1" pivotButton="0" quotePrefix="0" xfId="0">
      <alignment horizontal="center" vertical="center"/>
    </xf>
    <xf numFmtId="0" fontId="1110" fillId="1112" borderId="1050" applyAlignment="1" pivotButton="0" quotePrefix="0" xfId="0">
      <alignment horizontal="center" vertical="center"/>
    </xf>
    <xf numFmtId="0" fontId="1111" fillId="1113" borderId="1051" applyAlignment="1" pivotButton="0" quotePrefix="0" xfId="0">
      <alignment horizontal="center" vertical="center"/>
    </xf>
    <xf numFmtId="0" fontId="1112" fillId="1114" borderId="1052" applyAlignment="1" pivotButton="0" quotePrefix="0" xfId="0">
      <alignment horizontal="center" vertical="center"/>
    </xf>
    <xf numFmtId="0" fontId="1113" fillId="1115" borderId="1053" pivotButton="0" quotePrefix="0" xfId="0"/>
    <xf numFmtId="0" fontId="1114" fillId="1116" borderId="1054" pivotButton="0" quotePrefix="0" xfId="0"/>
    <xf numFmtId="0" fontId="1115" fillId="1117" borderId="1055" pivotButton="0" quotePrefix="0" xfId="0"/>
    <xf numFmtId="0" fontId="1116" fillId="1118" borderId="1056" pivotButton="0" quotePrefix="0" xfId="0"/>
    <xf numFmtId="0" fontId="1117" fillId="1119" borderId="1057" pivotButton="0" quotePrefix="0" xfId="0"/>
    <xf numFmtId="0" fontId="1118" fillId="1120" borderId="1058" pivotButton="0" quotePrefix="0" xfId="0"/>
    <xf numFmtId="0" fontId="1119" fillId="1121" borderId="1059" pivotButton="0" quotePrefix="0" xfId="0"/>
    <xf numFmtId="0" fontId="1120" fillId="1122" borderId="1060" pivotButton="0" quotePrefix="0" xfId="0"/>
    <xf numFmtId="0" fontId="1121" fillId="1123" borderId="1061" applyAlignment="1" pivotButton="0" quotePrefix="0" xfId="0">
      <alignment horizontal="center" vertical="center"/>
    </xf>
    <xf numFmtId="0" fontId="1122" fillId="1124" borderId="1062" applyAlignment="1" pivotButton="0" quotePrefix="0" xfId="0">
      <alignment horizontal="center" vertical="center"/>
    </xf>
    <xf numFmtId="0" fontId="1123" fillId="1125" borderId="1063" applyAlignment="1" pivotButton="0" quotePrefix="0" xfId="0">
      <alignment horizontal="center" vertical="center"/>
    </xf>
    <xf numFmtId="0" fontId="1124" fillId="1126" borderId="1064" applyAlignment="1" pivotButton="0" quotePrefix="0" xfId="0">
      <alignment horizontal="center" vertical="center"/>
    </xf>
    <xf numFmtId="0" fontId="1125" fillId="1127" borderId="1065" applyAlignment="1" pivotButton="0" quotePrefix="0" xfId="0">
      <alignment horizontal="center" vertical="center"/>
    </xf>
    <xf numFmtId="0" fontId="1126" fillId="1128" borderId="1066" applyAlignment="1" pivotButton="0" quotePrefix="0" xfId="0">
      <alignment horizontal="center" vertical="center"/>
    </xf>
    <xf numFmtId="0" fontId="1127" fillId="1129" borderId="1067" applyAlignment="1" pivotButton="0" quotePrefix="0" xfId="0">
      <alignment horizontal="center" vertical="center"/>
    </xf>
    <xf numFmtId="0" fontId="1128" fillId="1130" borderId="1068" pivotButton="0" quotePrefix="0" xfId="0"/>
    <xf numFmtId="0" fontId="1129" fillId="1131" borderId="1069" pivotButton="0" quotePrefix="0" xfId="0"/>
    <xf numFmtId="0" fontId="1130" fillId="1132" borderId="1070" pivotButton="0" quotePrefix="0" xfId="0"/>
    <xf numFmtId="0" fontId="1131" fillId="1133" borderId="1071" pivotButton="0" quotePrefix="0" xfId="0"/>
    <xf numFmtId="0" fontId="1132" fillId="1134" borderId="1072" pivotButton="0" quotePrefix="0" xfId="0"/>
    <xf numFmtId="0" fontId="1133" fillId="1135" borderId="1073" pivotButton="0" quotePrefix="0" xfId="0"/>
    <xf numFmtId="0" fontId="1134" fillId="1136" borderId="1074" pivotButton="0" quotePrefix="0" xfId="0"/>
    <xf numFmtId="0" fontId="1135" fillId="1137" borderId="1075" pivotButton="0" quotePrefix="0" xfId="0"/>
    <xf numFmtId="0" fontId="1136" fillId="1138" borderId="1076" applyAlignment="1" pivotButton="0" quotePrefix="0" xfId="0">
      <alignment horizontal="center" vertical="center"/>
    </xf>
    <xf numFmtId="0" fontId="1137" fillId="1139" borderId="1077" applyAlignment="1" pivotButton="0" quotePrefix="0" xfId="0">
      <alignment horizontal="center" vertical="center"/>
    </xf>
    <xf numFmtId="0" fontId="1138" fillId="1140" borderId="1078" applyAlignment="1" pivotButton="0" quotePrefix="0" xfId="0">
      <alignment horizontal="center" vertical="center"/>
    </xf>
    <xf numFmtId="0" fontId="1139" fillId="1141" borderId="1079" applyAlignment="1" pivotButton="0" quotePrefix="0" xfId="0">
      <alignment horizontal="center" vertical="center"/>
    </xf>
    <xf numFmtId="0" fontId="1140" fillId="1142" borderId="1080" applyAlignment="1" pivotButton="0" quotePrefix="0" xfId="0">
      <alignment horizontal="center" vertical="center"/>
    </xf>
    <xf numFmtId="0" fontId="1141" fillId="1143" borderId="1081" applyAlignment="1" pivotButton="0" quotePrefix="0" xfId="0">
      <alignment horizontal="center" vertical="center"/>
    </xf>
    <xf numFmtId="0" fontId="1142" fillId="1144" borderId="1082" applyAlignment="1" pivotButton="0" quotePrefix="0" xfId="0">
      <alignment horizontal="center" vertical="center"/>
    </xf>
    <xf numFmtId="0" fontId="1143" fillId="1145" borderId="1083" pivotButton="0" quotePrefix="0" xfId="0"/>
    <xf numFmtId="0" fontId="1144" fillId="1146" borderId="1084" pivotButton="0" quotePrefix="0" xfId="0"/>
    <xf numFmtId="0" fontId="1145" fillId="1147" borderId="1085" pivotButton="0" quotePrefix="0" xfId="0"/>
    <xf numFmtId="0" fontId="1146" fillId="1148" borderId="1086" pivotButton="0" quotePrefix="0" xfId="0"/>
    <xf numFmtId="0" fontId="1147" fillId="1149" borderId="1087" pivotButton="0" quotePrefix="0" xfId="0"/>
    <xf numFmtId="0" fontId="1148" fillId="1150" borderId="1088" pivotButton="0" quotePrefix="0" xfId="0"/>
    <xf numFmtId="0" fontId="1149" fillId="1151" borderId="1089" pivotButton="0" quotePrefix="0" xfId="0"/>
    <xf numFmtId="0" fontId="1150" fillId="1152" borderId="1090" pivotButton="0" quotePrefix="0" xfId="0"/>
    <xf numFmtId="0" fontId="1151" fillId="1153" borderId="1091" applyAlignment="1" pivotButton="0" quotePrefix="0" xfId="0">
      <alignment horizontal="center" vertical="center"/>
    </xf>
    <xf numFmtId="0" fontId="1152" fillId="1154" borderId="1092" applyAlignment="1" pivotButton="0" quotePrefix="0" xfId="0">
      <alignment horizontal="center" vertical="center"/>
    </xf>
    <xf numFmtId="0" fontId="1153" fillId="1155" borderId="1093" applyAlignment="1" pivotButton="0" quotePrefix="0" xfId="0">
      <alignment horizontal="center" vertical="center"/>
    </xf>
    <xf numFmtId="0" fontId="1154" fillId="1156" borderId="1094" applyAlignment="1" pivotButton="0" quotePrefix="0" xfId="0">
      <alignment horizontal="center" vertical="center"/>
    </xf>
    <xf numFmtId="0" fontId="1155" fillId="1157" borderId="1095" applyAlignment="1" pivotButton="0" quotePrefix="0" xfId="0">
      <alignment horizontal="center" vertical="center"/>
    </xf>
    <xf numFmtId="0" fontId="1156" fillId="1158" borderId="1096" applyAlignment="1" pivotButton="0" quotePrefix="0" xfId="0">
      <alignment horizontal="center" vertical="center"/>
    </xf>
    <xf numFmtId="0" fontId="1157" fillId="1159" borderId="1097" applyAlignment="1" pivotButton="0" quotePrefix="0" xfId="0">
      <alignment horizontal="center" vertical="center"/>
    </xf>
    <xf numFmtId="0" fontId="1158" fillId="1160" borderId="1098" pivotButton="0" quotePrefix="0" xfId="0"/>
    <xf numFmtId="0" fontId="1159" fillId="1161" borderId="1099" pivotButton="0" quotePrefix="0" xfId="0"/>
    <xf numFmtId="0" fontId="1160" fillId="1162" borderId="1100" pivotButton="0" quotePrefix="0" xfId="0"/>
    <xf numFmtId="0" fontId="1161" fillId="1163" borderId="1101" pivotButton="0" quotePrefix="0" xfId="0"/>
    <xf numFmtId="0" fontId="1162" fillId="1164" borderId="1102" pivotButton="0" quotePrefix="0" xfId="0"/>
    <xf numFmtId="0" fontId="1163" fillId="1165" borderId="1103" pivotButton="0" quotePrefix="0" xfId="0"/>
    <xf numFmtId="0" fontId="1164" fillId="1166" borderId="1104" pivotButton="0" quotePrefix="0" xfId="0"/>
    <xf numFmtId="0" fontId="1165" fillId="1167" borderId="1105" pivotButton="0" quotePrefix="0" xfId="0"/>
    <xf numFmtId="0" fontId="1166" fillId="1168" borderId="1106" applyAlignment="1" pivotButton="0" quotePrefix="0" xfId="0">
      <alignment horizontal="center" vertical="center"/>
    </xf>
    <xf numFmtId="0" fontId="1167" fillId="1169" borderId="1107" applyAlignment="1" pivotButton="0" quotePrefix="0" xfId="0">
      <alignment horizontal="center" vertical="center"/>
    </xf>
    <xf numFmtId="0" fontId="1168" fillId="1170" borderId="1108" applyAlignment="1" pivotButton="0" quotePrefix="0" xfId="0">
      <alignment horizontal="center" vertical="center"/>
    </xf>
    <xf numFmtId="0" fontId="1169" fillId="1171" borderId="1109" applyAlignment="1" pivotButton="0" quotePrefix="0" xfId="0">
      <alignment horizontal="center" vertical="center"/>
    </xf>
    <xf numFmtId="0" fontId="1170" fillId="1172" borderId="1110" applyAlignment="1" pivotButton="0" quotePrefix="0" xfId="0">
      <alignment horizontal="center" vertical="center"/>
    </xf>
    <xf numFmtId="0" fontId="1171" fillId="1173" borderId="1111" applyAlignment="1" pivotButton="0" quotePrefix="0" xfId="0">
      <alignment horizontal="center" vertical="center"/>
    </xf>
    <xf numFmtId="0" fontId="1172" fillId="1174" borderId="1112" applyAlignment="1" pivotButton="0" quotePrefix="0" xfId="0">
      <alignment horizontal="center" vertical="center"/>
    </xf>
    <xf numFmtId="0" fontId="1173" fillId="1175" borderId="1113" pivotButton="0" quotePrefix="0" xfId="0"/>
    <xf numFmtId="0" fontId="1174" fillId="1176" borderId="1114" pivotButton="0" quotePrefix="0" xfId="0"/>
    <xf numFmtId="0" fontId="1175" fillId="1177" borderId="1115" pivotButton="0" quotePrefix="0" xfId="0"/>
    <xf numFmtId="0" fontId="1176" fillId="1178" borderId="1116" pivotButton="0" quotePrefix="0" xfId="0"/>
    <xf numFmtId="0" fontId="1177" fillId="1179" borderId="1117" pivotButton="0" quotePrefix="0" xfId="0"/>
    <xf numFmtId="0" fontId="1178" fillId="1180" borderId="1118" pivotButton="0" quotePrefix="0" xfId="0"/>
    <xf numFmtId="0" fontId="1179" fillId="1181" borderId="1119" pivotButton="0" quotePrefix="0" xfId="0"/>
    <xf numFmtId="0" fontId="1180" fillId="1182" borderId="1120" pivotButton="0" quotePrefix="0" xfId="0"/>
    <xf numFmtId="0" fontId="1181" fillId="1183" borderId="1121" applyAlignment="1" pivotButton="0" quotePrefix="0" xfId="0">
      <alignment horizontal="center" vertical="center"/>
    </xf>
    <xf numFmtId="0" fontId="1182" fillId="1184" borderId="1122" applyAlignment="1" pivotButton="0" quotePrefix="0" xfId="0">
      <alignment horizontal="center" vertical="center"/>
    </xf>
    <xf numFmtId="0" fontId="1183" fillId="1185" borderId="1123" applyAlignment="1" pivotButton="0" quotePrefix="0" xfId="0">
      <alignment horizontal="center" vertical="center"/>
    </xf>
    <xf numFmtId="0" fontId="1184" fillId="1186" borderId="1124" applyAlignment="1" pivotButton="0" quotePrefix="0" xfId="0">
      <alignment horizontal="center" vertical="center"/>
    </xf>
    <xf numFmtId="0" fontId="1185" fillId="1187" borderId="1125" applyAlignment="1" pivotButton="0" quotePrefix="0" xfId="0">
      <alignment horizontal="center" vertical="center"/>
    </xf>
    <xf numFmtId="0" fontId="1186" fillId="1188" borderId="1126" applyAlignment="1" pivotButton="0" quotePrefix="0" xfId="0">
      <alignment horizontal="center" vertical="center"/>
    </xf>
    <xf numFmtId="0" fontId="1187" fillId="1189" borderId="1127" applyAlignment="1" pivotButton="0" quotePrefix="0" xfId="0">
      <alignment horizontal="center" vertical="center"/>
    </xf>
    <xf numFmtId="0" fontId="1188" fillId="1190" borderId="1128" pivotButton="0" quotePrefix="0" xfId="0"/>
    <xf numFmtId="0" fontId="1189" fillId="1191" borderId="1129" pivotButton="0" quotePrefix="0" xfId="0"/>
    <xf numFmtId="0" fontId="1190" fillId="1192" borderId="1130" pivotButton="0" quotePrefix="0" xfId="0"/>
    <xf numFmtId="0" fontId="1191" fillId="1193" borderId="1131" pivotButton="0" quotePrefix="0" xfId="0"/>
    <xf numFmtId="0" fontId="1192" fillId="1194" borderId="1132" pivotButton="0" quotePrefix="0" xfId="0"/>
    <xf numFmtId="0" fontId="1193" fillId="1195" borderId="1133" pivotButton="0" quotePrefix="0" xfId="0"/>
    <xf numFmtId="0" fontId="1194" fillId="1196" borderId="1134" pivotButton="0" quotePrefix="0" xfId="0"/>
    <xf numFmtId="0" fontId="1195" fillId="1197" borderId="1135" pivotButton="0" quotePrefix="0" xfId="0"/>
    <xf numFmtId="0" fontId="1196" fillId="1198" borderId="1136" applyAlignment="1" pivotButton="0" quotePrefix="0" xfId="0">
      <alignment horizontal="center" vertical="center"/>
    </xf>
    <xf numFmtId="0" fontId="1197" fillId="1199" borderId="1137" applyAlignment="1" pivotButton="0" quotePrefix="0" xfId="0">
      <alignment horizontal="center" vertical="center"/>
    </xf>
    <xf numFmtId="0" fontId="1198" fillId="1200" borderId="1138" applyAlignment="1" pivotButton="0" quotePrefix="0" xfId="0">
      <alignment horizontal="center" vertical="center"/>
    </xf>
    <xf numFmtId="0" fontId="1199" fillId="1201" borderId="1139" applyAlignment="1" pivotButton="0" quotePrefix="0" xfId="0">
      <alignment horizontal="center" vertical="center"/>
    </xf>
    <xf numFmtId="0" fontId="1200" fillId="1202" borderId="1140" applyAlignment="1" pivotButton="0" quotePrefix="0" xfId="0">
      <alignment horizontal="center" vertical="center"/>
    </xf>
    <xf numFmtId="0" fontId="1201" fillId="1203" borderId="1141" applyAlignment="1" pivotButton="0" quotePrefix="0" xfId="0">
      <alignment horizontal="center" vertical="center"/>
    </xf>
    <xf numFmtId="0" fontId="1202" fillId="1204" borderId="1142" applyAlignment="1" pivotButton="0" quotePrefix="0" xfId="0">
      <alignment horizontal="center" vertical="center"/>
    </xf>
    <xf numFmtId="0" fontId="1203" fillId="1205" borderId="1143" pivotButton="0" quotePrefix="0" xfId="0"/>
    <xf numFmtId="0" fontId="1204" fillId="1206" borderId="1144" pivotButton="0" quotePrefix="0" xfId="0"/>
    <xf numFmtId="0" fontId="1205" fillId="1207" borderId="1145" pivotButton="0" quotePrefix="0" xfId="0"/>
    <xf numFmtId="0" fontId="1206" fillId="1208" borderId="1146" pivotButton="0" quotePrefix="0" xfId="0"/>
    <xf numFmtId="0" fontId="1207" fillId="1209" borderId="1147" pivotButton="0" quotePrefix="0" xfId="0"/>
    <xf numFmtId="0" fontId="1208" fillId="1210" borderId="1148" pivotButton="0" quotePrefix="0" xfId="0"/>
    <xf numFmtId="0" fontId="1209" fillId="1211" borderId="1149" pivotButton="0" quotePrefix="0" xfId="0"/>
    <xf numFmtId="0" fontId="1210" fillId="1212" borderId="1150" pivotButton="0" quotePrefix="0" xfId="0"/>
    <xf numFmtId="0" fontId="1211" fillId="1213" borderId="1151" applyAlignment="1" pivotButton="0" quotePrefix="0" xfId="0">
      <alignment horizontal="center" vertical="center"/>
    </xf>
    <xf numFmtId="0" fontId="1212" fillId="1214" borderId="1152" applyAlignment="1" pivotButton="0" quotePrefix="0" xfId="0">
      <alignment horizontal="center" vertical="center"/>
    </xf>
    <xf numFmtId="0" fontId="1213" fillId="1215" borderId="1153" applyAlignment="1" pivotButton="0" quotePrefix="0" xfId="0">
      <alignment horizontal="center" vertical="center"/>
    </xf>
    <xf numFmtId="0" fontId="1214" fillId="1216" borderId="1154" applyAlignment="1" pivotButton="0" quotePrefix="0" xfId="0">
      <alignment horizontal="center" vertical="center"/>
    </xf>
    <xf numFmtId="0" fontId="1215" fillId="1217" borderId="1155" applyAlignment="1" pivotButton="0" quotePrefix="0" xfId="0">
      <alignment horizontal="center" vertical="center"/>
    </xf>
    <xf numFmtId="0" fontId="1216" fillId="1218" borderId="1156" applyAlignment="1" pivotButton="0" quotePrefix="0" xfId="0">
      <alignment horizontal="center" vertical="center"/>
    </xf>
    <xf numFmtId="0" fontId="1217" fillId="1219" borderId="1157" applyAlignment="1" pivotButton="0" quotePrefix="0" xfId="0">
      <alignment horizontal="center" vertical="center"/>
    </xf>
    <xf numFmtId="0" fontId="1218" fillId="1220" borderId="1158" pivotButton="0" quotePrefix="0" xfId="0"/>
    <xf numFmtId="0" fontId="1219" fillId="1221" borderId="1159" pivotButton="0" quotePrefix="0" xfId="0"/>
    <xf numFmtId="0" fontId="1220" fillId="1222" borderId="1160" pivotButton="0" quotePrefix="0" xfId="0"/>
    <xf numFmtId="0" fontId="1221" fillId="1223" borderId="1161" pivotButton="0" quotePrefix="0" xfId="0"/>
    <xf numFmtId="0" fontId="1222" fillId="1224" borderId="1162" pivotButton="0" quotePrefix="0" xfId="0"/>
    <xf numFmtId="0" fontId="1223" fillId="1225" borderId="1163" pivotButton="0" quotePrefix="0" xfId="0"/>
    <xf numFmtId="0" fontId="1224" fillId="1226" borderId="1164" pivotButton="0" quotePrefix="0" xfId="0"/>
    <xf numFmtId="0" fontId="1225" fillId="1227" borderId="1165" pivotButton="0" quotePrefix="0" xfId="0"/>
    <xf numFmtId="0" fontId="1226" fillId="1228" borderId="1166" applyAlignment="1" pivotButton="0" quotePrefix="0" xfId="0">
      <alignment horizontal="center" vertical="center"/>
    </xf>
    <xf numFmtId="0" fontId="1227" fillId="1229" borderId="1167" applyAlignment="1" pivotButton="0" quotePrefix="0" xfId="0">
      <alignment horizontal="center" vertical="center"/>
    </xf>
    <xf numFmtId="0" fontId="1228" fillId="1230" borderId="1168" applyAlignment="1" pivotButton="0" quotePrefix="0" xfId="0">
      <alignment horizontal="center" vertical="center"/>
    </xf>
    <xf numFmtId="0" fontId="1229" fillId="1231" borderId="1169" applyAlignment="1" pivotButton="0" quotePrefix="0" xfId="0">
      <alignment horizontal="center" vertical="center"/>
    </xf>
    <xf numFmtId="0" fontId="1230" fillId="1232" borderId="1170" applyAlignment="1" pivotButton="0" quotePrefix="0" xfId="0">
      <alignment horizontal="center" vertical="center"/>
    </xf>
    <xf numFmtId="0" fontId="1231" fillId="1233" borderId="1171" applyAlignment="1" pivotButton="0" quotePrefix="0" xfId="0">
      <alignment horizontal="center" vertical="center"/>
    </xf>
    <xf numFmtId="0" fontId="1232" fillId="1234" borderId="1172" applyAlignment="1" pivotButton="0" quotePrefix="0" xfId="0">
      <alignment horizontal="center" vertical="center"/>
    </xf>
    <xf numFmtId="0" fontId="1233" fillId="1235" borderId="1173" pivotButton="0" quotePrefix="0" xfId="0"/>
    <xf numFmtId="0" fontId="1234" fillId="1236" borderId="1174" pivotButton="0" quotePrefix="0" xfId="0"/>
    <xf numFmtId="0" fontId="1235" fillId="1237" borderId="1175" pivotButton="0" quotePrefix="0" xfId="0"/>
    <xf numFmtId="0" fontId="1236" fillId="1238" borderId="1176" pivotButton="0" quotePrefix="0" xfId="0"/>
    <xf numFmtId="0" fontId="1237" fillId="1239" borderId="1177" pivotButton="0" quotePrefix="0" xfId="0"/>
    <xf numFmtId="0" fontId="1238" fillId="1240" borderId="1178" pivotButton="0" quotePrefix="0" xfId="0"/>
    <xf numFmtId="0" fontId="1239" fillId="1241" borderId="1179" pivotButton="0" quotePrefix="0" xfId="0"/>
    <xf numFmtId="0" fontId="1240" fillId="1242" borderId="1180" pivotButton="0" quotePrefix="0" xfId="0"/>
    <xf numFmtId="0" fontId="1241" fillId="1243" borderId="1181" applyAlignment="1" pivotButton="0" quotePrefix="0" xfId="0">
      <alignment horizontal="center" vertical="center"/>
    </xf>
    <xf numFmtId="0" fontId="1242" fillId="1244" borderId="1182" applyAlignment="1" pivotButton="0" quotePrefix="0" xfId="0">
      <alignment horizontal="center" vertical="center"/>
    </xf>
    <xf numFmtId="0" fontId="1243" fillId="1245" borderId="1183" applyAlignment="1" pivotButton="0" quotePrefix="0" xfId="0">
      <alignment horizontal="center" vertical="center"/>
    </xf>
    <xf numFmtId="0" fontId="1244" fillId="1246" borderId="1184" applyAlignment="1" pivotButton="0" quotePrefix="0" xfId="0">
      <alignment horizontal="center" vertical="center"/>
    </xf>
    <xf numFmtId="0" fontId="1245" fillId="1247" borderId="1185" applyAlignment="1" pivotButton="0" quotePrefix="0" xfId="0">
      <alignment horizontal="center" vertical="center"/>
    </xf>
    <xf numFmtId="0" fontId="1246" fillId="1248" borderId="1186" applyAlignment="1" pivotButton="0" quotePrefix="0" xfId="0">
      <alignment horizontal="center" vertical="center"/>
    </xf>
    <xf numFmtId="0" fontId="1247" fillId="1249" borderId="1187" applyAlignment="1" pivotButton="0" quotePrefix="0" xfId="0">
      <alignment horizontal="center" vertical="center"/>
    </xf>
    <xf numFmtId="0" fontId="1248" fillId="1250" borderId="1188" pivotButton="0" quotePrefix="0" xfId="0"/>
    <xf numFmtId="0" fontId="1249" fillId="1251" borderId="1189" pivotButton="0" quotePrefix="0" xfId="0"/>
    <xf numFmtId="0" fontId="1250" fillId="1252" borderId="1190" pivotButton="0" quotePrefix="0" xfId="0"/>
    <xf numFmtId="0" fontId="1251" fillId="1253" borderId="1191" pivotButton="0" quotePrefix="0" xfId="0"/>
    <xf numFmtId="0" fontId="1252" fillId="1254" borderId="1192" pivotButton="0" quotePrefix="0" xfId="0"/>
    <xf numFmtId="0" fontId="1253" fillId="1255" borderId="1193" pivotButton="0" quotePrefix="0" xfId="0"/>
    <xf numFmtId="0" fontId="1254" fillId="1256" borderId="1194" pivotButton="0" quotePrefix="0" xfId="0"/>
    <xf numFmtId="0" fontId="1255" fillId="1257" borderId="1195" pivotButton="0" quotePrefix="0" xfId="0"/>
    <xf numFmtId="0" fontId="1256" fillId="1258" borderId="1196" applyAlignment="1" pivotButton="0" quotePrefix="0" xfId="0">
      <alignment horizontal="center" vertical="center"/>
    </xf>
    <xf numFmtId="0" fontId="1257" fillId="1259" borderId="1197" applyAlignment="1" pivotButton="0" quotePrefix="0" xfId="0">
      <alignment horizontal="center" vertical="center"/>
    </xf>
    <xf numFmtId="0" fontId="1258" fillId="1260" borderId="1198" applyAlignment="1" pivotButton="0" quotePrefix="0" xfId="0">
      <alignment horizontal="center" vertical="center"/>
    </xf>
    <xf numFmtId="0" fontId="1259" fillId="1261" borderId="1199" applyAlignment="1" pivotButton="0" quotePrefix="0" xfId="0">
      <alignment horizontal="center" vertical="center"/>
    </xf>
    <xf numFmtId="0" fontId="1260" fillId="1262" borderId="1200" applyAlignment="1" pivotButton="0" quotePrefix="0" xfId="0">
      <alignment horizontal="center" vertical="center"/>
    </xf>
    <xf numFmtId="0" fontId="1261" fillId="1263" borderId="1201" applyAlignment="1" pivotButton="0" quotePrefix="0" xfId="0">
      <alignment horizontal="center" vertical="center"/>
    </xf>
    <xf numFmtId="0" fontId="1262" fillId="1264" borderId="1202" applyAlignment="1" pivotButton="0" quotePrefix="0" xfId="0">
      <alignment horizontal="center" vertical="center"/>
    </xf>
    <xf numFmtId="0" fontId="1263" fillId="1265" borderId="1203" pivotButton="0" quotePrefix="0" xfId="0"/>
    <xf numFmtId="0" fontId="1264" fillId="1266" borderId="1204" pivotButton="0" quotePrefix="0" xfId="0"/>
    <xf numFmtId="0" fontId="1265" fillId="1267" borderId="1205" pivotButton="0" quotePrefix="0" xfId="0"/>
    <xf numFmtId="0" fontId="1266" fillId="1268" borderId="1206" pivotButton="0" quotePrefix="0" xfId="0"/>
    <xf numFmtId="0" fontId="1267" fillId="1269" borderId="1207" pivotButton="0" quotePrefix="0" xfId="0"/>
    <xf numFmtId="0" fontId="1268" fillId="1270" borderId="1208" pivotButton="0" quotePrefix="0" xfId="0"/>
    <xf numFmtId="0" fontId="1269" fillId="1271" borderId="1209" pivotButton="0" quotePrefix="0" xfId="0"/>
    <xf numFmtId="0" fontId="1270" fillId="1272" borderId="1210" pivotButton="0" quotePrefix="0" xfId="0"/>
    <xf numFmtId="0" fontId="1271" fillId="1273" borderId="1211" applyAlignment="1" pivotButton="0" quotePrefix="0" xfId="0">
      <alignment horizontal="center" vertical="center"/>
    </xf>
    <xf numFmtId="0" fontId="1272" fillId="1274" borderId="1212" applyAlignment="1" pivotButton="0" quotePrefix="0" xfId="0">
      <alignment horizontal="center" vertical="center"/>
    </xf>
    <xf numFmtId="0" fontId="1273" fillId="1275" borderId="1213" applyAlignment="1" pivotButton="0" quotePrefix="0" xfId="0">
      <alignment horizontal="center" vertical="center"/>
    </xf>
    <xf numFmtId="0" fontId="1274" fillId="1276" borderId="1214" applyAlignment="1" pivotButton="0" quotePrefix="0" xfId="0">
      <alignment horizontal="center" vertical="center"/>
    </xf>
    <xf numFmtId="0" fontId="1275" fillId="1277" borderId="1215" applyAlignment="1" pivotButton="0" quotePrefix="0" xfId="0">
      <alignment horizontal="center" vertical="center"/>
    </xf>
    <xf numFmtId="0" fontId="1276" fillId="1278" borderId="1216" applyAlignment="1" pivotButton="0" quotePrefix="0" xfId="0">
      <alignment horizontal="center" vertical="center"/>
    </xf>
    <xf numFmtId="0" fontId="1277" fillId="1279" borderId="1217" applyAlignment="1" pivotButton="0" quotePrefix="0" xfId="0">
      <alignment horizontal="center" vertical="center"/>
    </xf>
    <xf numFmtId="0" fontId="1278" fillId="1280" borderId="1218" pivotButton="0" quotePrefix="0" xfId="0"/>
    <xf numFmtId="0" fontId="1279" fillId="1281" borderId="1219" pivotButton="0" quotePrefix="0" xfId="0"/>
    <xf numFmtId="0" fontId="1280" fillId="1282" borderId="1220" pivotButton="0" quotePrefix="0" xfId="0"/>
    <xf numFmtId="0" fontId="1281" fillId="1283" borderId="1221" pivotButton="0" quotePrefix="0" xfId="0"/>
    <xf numFmtId="0" fontId="1282" fillId="1284" borderId="1222" pivotButton="0" quotePrefix="0" xfId="0"/>
    <xf numFmtId="0" fontId="1283" fillId="1285" borderId="1223" pivotButton="0" quotePrefix="0" xfId="0"/>
    <xf numFmtId="0" fontId="1284" fillId="1286" borderId="1224" pivotButton="0" quotePrefix="0" xfId="0"/>
    <xf numFmtId="0" fontId="1285" fillId="1287" borderId="1225" pivotButton="0" quotePrefix="0" xfId="0"/>
    <xf numFmtId="0" fontId="1286" fillId="1288" borderId="1226" applyAlignment="1" pivotButton="0" quotePrefix="0" xfId="0">
      <alignment horizontal="center" vertical="center"/>
    </xf>
    <xf numFmtId="0" fontId="1287" fillId="1289" borderId="1227" applyAlignment="1" pivotButton="0" quotePrefix="0" xfId="0">
      <alignment horizontal="center" vertical="center"/>
    </xf>
    <xf numFmtId="0" fontId="1288" fillId="1290" borderId="1228" applyAlignment="1" pivotButton="0" quotePrefix="0" xfId="0">
      <alignment horizontal="center" vertical="center"/>
    </xf>
    <xf numFmtId="0" fontId="1289" fillId="1291" borderId="1229" applyAlignment="1" pivotButton="0" quotePrefix="0" xfId="0">
      <alignment horizontal="center" vertical="center"/>
    </xf>
    <xf numFmtId="0" fontId="1290" fillId="1292" borderId="1230" applyAlignment="1" pivotButton="0" quotePrefix="0" xfId="0">
      <alignment horizontal="center" vertical="center"/>
    </xf>
    <xf numFmtId="0" fontId="1291" fillId="1293" borderId="1231" applyAlignment="1" pivotButton="0" quotePrefix="0" xfId="0">
      <alignment horizontal="center" vertical="center"/>
    </xf>
    <xf numFmtId="0" fontId="1292" fillId="1294" borderId="1232" applyAlignment="1" pivotButton="0" quotePrefix="0" xfId="0">
      <alignment horizontal="center" vertical="center"/>
    </xf>
    <xf numFmtId="0" fontId="1293" fillId="1295" borderId="1233" pivotButton="0" quotePrefix="0" xfId="0"/>
    <xf numFmtId="0" fontId="1294" fillId="1296" borderId="1234" pivotButton="0" quotePrefix="0" xfId="0"/>
    <xf numFmtId="0" fontId="1295" fillId="1297" borderId="1235" pivotButton="0" quotePrefix="0" xfId="0"/>
    <xf numFmtId="0" fontId="1296" fillId="1298" borderId="1236" pivotButton="0" quotePrefix="0" xfId="0"/>
    <xf numFmtId="0" fontId="1297" fillId="1299" borderId="1237" pivotButton="0" quotePrefix="0" xfId="0"/>
    <xf numFmtId="0" fontId="1298" fillId="1300" borderId="1238" pivotButton="0" quotePrefix="0" xfId="0"/>
    <xf numFmtId="0" fontId="1299" fillId="1301" borderId="1239" pivotButton="0" quotePrefix="0" xfId="0"/>
    <xf numFmtId="0" fontId="1300" fillId="1302" borderId="1240" pivotButton="0" quotePrefix="0" xfId="0"/>
    <xf numFmtId="0" fontId="1301" fillId="1303" borderId="1241" applyAlignment="1" pivotButton="0" quotePrefix="0" xfId="0">
      <alignment horizontal="center" vertical="center"/>
    </xf>
    <xf numFmtId="0" fontId="1302" fillId="1304" borderId="1242" applyAlignment="1" pivotButton="0" quotePrefix="0" xfId="0">
      <alignment horizontal="center" vertical="center"/>
    </xf>
    <xf numFmtId="0" fontId="1303" fillId="1305" borderId="1243" applyAlignment="1" pivotButton="0" quotePrefix="0" xfId="0">
      <alignment horizontal="center" vertical="center"/>
    </xf>
    <xf numFmtId="0" fontId="1304" fillId="1306" borderId="1244" applyAlignment="1" pivotButton="0" quotePrefix="0" xfId="0">
      <alignment horizontal="center" vertical="center"/>
    </xf>
    <xf numFmtId="0" fontId="1305" fillId="1307" borderId="1245" applyAlignment="1" pivotButton="0" quotePrefix="0" xfId="0">
      <alignment horizontal="center" vertical="center"/>
    </xf>
    <xf numFmtId="0" fontId="1306" fillId="1308" borderId="1246" applyAlignment="1" pivotButton="0" quotePrefix="0" xfId="0">
      <alignment horizontal="center" vertical="center"/>
    </xf>
    <xf numFmtId="0" fontId="1307" fillId="1309" borderId="1247" applyAlignment="1" pivotButton="0" quotePrefix="0" xfId="0">
      <alignment horizontal="center" vertical="center"/>
    </xf>
    <xf numFmtId="0" fontId="1308" fillId="1310" borderId="1248" pivotButton="0" quotePrefix="0" xfId="0"/>
    <xf numFmtId="0" fontId="1309" fillId="1311" borderId="1249" pivotButton="0" quotePrefix="0" xfId="0"/>
    <xf numFmtId="0" fontId="1310" fillId="1312" borderId="1250" pivotButton="0" quotePrefix="0" xfId="0"/>
    <xf numFmtId="0" fontId="1311" fillId="1313" borderId="1251" pivotButton="0" quotePrefix="0" xfId="0"/>
    <xf numFmtId="0" fontId="1312" fillId="1314" borderId="1252" pivotButton="0" quotePrefix="0" xfId="0"/>
    <xf numFmtId="0" fontId="1313" fillId="1315" borderId="1253" pivotButton="0" quotePrefix="0" xfId="0"/>
    <xf numFmtId="0" fontId="1314" fillId="1316" borderId="1254" pivotButton="0" quotePrefix="0" xfId="0"/>
    <xf numFmtId="0" fontId="1315" fillId="1317" borderId="1255" pivotButton="0" quotePrefix="0" xfId="0"/>
    <xf numFmtId="0" fontId="1316" fillId="1318" borderId="1256" applyAlignment="1" pivotButton="0" quotePrefix="0" xfId="0">
      <alignment horizontal="center" vertical="center"/>
    </xf>
    <xf numFmtId="0" fontId="1317" fillId="1319" borderId="1257" applyAlignment="1" pivotButton="0" quotePrefix="0" xfId="0">
      <alignment horizontal="center" vertical="center"/>
    </xf>
    <xf numFmtId="0" fontId="1318" fillId="1320" borderId="1258" applyAlignment="1" pivotButton="0" quotePrefix="0" xfId="0">
      <alignment horizontal="center" vertical="center"/>
    </xf>
    <xf numFmtId="0" fontId="1319" fillId="1321" borderId="1259" applyAlignment="1" pivotButton="0" quotePrefix="0" xfId="0">
      <alignment horizontal="center" vertical="center"/>
    </xf>
    <xf numFmtId="0" fontId="1320" fillId="1322" borderId="1260" applyAlignment="1" pivotButton="0" quotePrefix="0" xfId="0">
      <alignment horizontal="center" vertical="center"/>
    </xf>
    <xf numFmtId="0" fontId="1321" fillId="1323" borderId="1261" applyAlignment="1" pivotButton="0" quotePrefix="0" xfId="0">
      <alignment horizontal="center" vertical="center"/>
    </xf>
    <xf numFmtId="0" fontId="1322" fillId="1324" borderId="1262" applyAlignment="1" pivotButton="0" quotePrefix="0" xfId="0">
      <alignment horizontal="center" vertical="center"/>
    </xf>
    <xf numFmtId="0" fontId="1323" fillId="1325" borderId="1263" pivotButton="0" quotePrefix="0" xfId="0"/>
    <xf numFmtId="0" fontId="1324" fillId="1326" borderId="1264" pivotButton="0" quotePrefix="0" xfId="0"/>
    <xf numFmtId="0" fontId="1325" fillId="1327" borderId="1265" pivotButton="0" quotePrefix="0" xfId="0"/>
    <xf numFmtId="0" fontId="1326" fillId="1328" borderId="1266" pivotButton="0" quotePrefix="0" xfId="0"/>
    <xf numFmtId="0" fontId="1327" fillId="1329" borderId="1267" pivotButton="0" quotePrefix="0" xfId="0"/>
    <xf numFmtId="0" fontId="1328" fillId="1330" borderId="1268" pivotButton="0" quotePrefix="0" xfId="0"/>
    <xf numFmtId="0" fontId="1329" fillId="1331" borderId="1269" pivotButton="0" quotePrefix="0" xfId="0"/>
    <xf numFmtId="0" fontId="1330" fillId="1332" borderId="1270" pivotButton="0" quotePrefix="0" xfId="0"/>
    <xf numFmtId="0" fontId="1331" fillId="1333" borderId="1271" applyAlignment="1" pivotButton="0" quotePrefix="0" xfId="0">
      <alignment horizontal="center" vertical="center"/>
    </xf>
    <xf numFmtId="0" fontId="1332" fillId="1334" borderId="1272" applyAlignment="1" pivotButton="0" quotePrefix="0" xfId="0">
      <alignment horizontal="center" vertical="center"/>
    </xf>
    <xf numFmtId="0" fontId="1333" fillId="1335" borderId="1273" applyAlignment="1" pivotButton="0" quotePrefix="0" xfId="0">
      <alignment horizontal="center" vertical="center"/>
    </xf>
    <xf numFmtId="0" fontId="1334" fillId="1336" borderId="1274" applyAlignment="1" pivotButton="0" quotePrefix="0" xfId="0">
      <alignment horizontal="center" vertical="center"/>
    </xf>
    <xf numFmtId="0" fontId="1335" fillId="1337" borderId="1275" applyAlignment="1" pivotButton="0" quotePrefix="0" xfId="0">
      <alignment horizontal="center" vertical="center"/>
    </xf>
    <xf numFmtId="0" fontId="1336" fillId="1338" borderId="1276" applyAlignment="1" pivotButton="0" quotePrefix="0" xfId="0">
      <alignment horizontal="center" vertical="center"/>
    </xf>
    <xf numFmtId="0" fontId="1337" fillId="1339" borderId="1277" applyAlignment="1" pivotButton="0" quotePrefix="0" xfId="0">
      <alignment horizontal="center" vertical="center"/>
    </xf>
    <xf numFmtId="0" fontId="1338" fillId="1340" borderId="1278" pivotButton="0" quotePrefix="0" xfId="0"/>
    <xf numFmtId="0" fontId="1339" fillId="1341" borderId="1279" pivotButton="0" quotePrefix="0" xfId="0"/>
    <xf numFmtId="0" fontId="1340" fillId="1342" borderId="1280" pivotButton="0" quotePrefix="0" xfId="0"/>
    <xf numFmtId="0" fontId="1341" fillId="1343" borderId="1281" pivotButton="0" quotePrefix="0" xfId="0"/>
    <xf numFmtId="0" fontId="1342" fillId="1344" borderId="1282" pivotButton="0" quotePrefix="0" xfId="0"/>
    <xf numFmtId="0" fontId="1343" fillId="1345" borderId="1283" pivotButton="0" quotePrefix="0" xfId="0"/>
    <xf numFmtId="0" fontId="1344" fillId="1346" borderId="1284" pivotButton="0" quotePrefix="0" xfId="0"/>
    <xf numFmtId="0" fontId="1345" fillId="1347" borderId="1285" pivotButton="0" quotePrefix="0" xfId="0"/>
    <xf numFmtId="0" fontId="1346" fillId="1348" borderId="1286" applyAlignment="1" pivotButton="0" quotePrefix="0" xfId="0">
      <alignment horizontal="center" vertical="center"/>
    </xf>
    <xf numFmtId="0" fontId="1347" fillId="1349" borderId="1287" applyAlignment="1" pivotButton="0" quotePrefix="0" xfId="0">
      <alignment horizontal="center" vertical="center"/>
    </xf>
    <xf numFmtId="0" fontId="1348" fillId="1350" borderId="1288" applyAlignment="1" pivotButton="0" quotePrefix="0" xfId="0">
      <alignment horizontal="center" vertical="center"/>
    </xf>
    <xf numFmtId="0" fontId="1349" fillId="1351" borderId="1289" applyAlignment="1" pivotButton="0" quotePrefix="0" xfId="0">
      <alignment horizontal="center" vertical="center"/>
    </xf>
    <xf numFmtId="0" fontId="1350" fillId="1352" borderId="1290" applyAlignment="1" pivotButton="0" quotePrefix="0" xfId="0">
      <alignment horizontal="center" vertical="center"/>
    </xf>
    <xf numFmtId="0" fontId="1351" fillId="1353" borderId="1291" applyAlignment="1" pivotButton="0" quotePrefix="0" xfId="0">
      <alignment horizontal="center" vertical="center"/>
    </xf>
    <xf numFmtId="0" fontId="1352" fillId="1354" borderId="1292" applyAlignment="1" pivotButton="0" quotePrefix="0" xfId="0">
      <alignment horizontal="center" vertical="center"/>
    </xf>
    <xf numFmtId="0" fontId="1353" fillId="1355" borderId="1293" pivotButton="0" quotePrefix="0" xfId="0"/>
    <xf numFmtId="0" fontId="1354" fillId="1356" borderId="1294" pivotButton="0" quotePrefix="0" xfId="0"/>
    <xf numFmtId="0" fontId="1355" fillId="1357" borderId="1295" pivotButton="0" quotePrefix="0" xfId="0"/>
    <xf numFmtId="0" fontId="1356" fillId="1358" borderId="1296" pivotButton="0" quotePrefix="0" xfId="0"/>
    <xf numFmtId="0" fontId="1357" fillId="1359" borderId="1297" pivotButton="0" quotePrefix="0" xfId="0"/>
    <xf numFmtId="0" fontId="1358" fillId="1360" borderId="1298" pivotButton="0" quotePrefix="0" xfId="0"/>
    <xf numFmtId="0" fontId="1359" fillId="1361" borderId="1299" pivotButton="0" quotePrefix="0" xfId="0"/>
    <xf numFmtId="0" fontId="1360" fillId="1362" borderId="1300" pivotButton="0" quotePrefix="0" xfId="0"/>
    <xf numFmtId="0" fontId="1361" fillId="1363" borderId="1301" applyAlignment="1" pivotButton="0" quotePrefix="0" xfId="0">
      <alignment horizontal="center" vertical="center"/>
    </xf>
    <xf numFmtId="0" fontId="1362" fillId="1364" borderId="1302" applyAlignment="1" pivotButton="0" quotePrefix="0" xfId="0">
      <alignment horizontal="center" vertical="center"/>
    </xf>
    <xf numFmtId="0" fontId="1363" fillId="1365" borderId="1303" applyAlignment="1" pivotButton="0" quotePrefix="0" xfId="0">
      <alignment horizontal="center" vertical="center"/>
    </xf>
    <xf numFmtId="0" fontId="1364" fillId="1366" borderId="1304" applyAlignment="1" pivotButton="0" quotePrefix="0" xfId="0">
      <alignment horizontal="center" vertical="center"/>
    </xf>
    <xf numFmtId="0" fontId="1365" fillId="1367" borderId="1305" applyAlignment="1" pivotButton="0" quotePrefix="0" xfId="0">
      <alignment horizontal="center" vertical="center"/>
    </xf>
    <xf numFmtId="0" fontId="1366" fillId="1368" borderId="1306" applyAlignment="1" pivotButton="0" quotePrefix="0" xfId="0">
      <alignment horizontal="center" vertical="center"/>
    </xf>
    <xf numFmtId="0" fontId="1367" fillId="1369" borderId="1307" applyAlignment="1" pivotButton="0" quotePrefix="0" xfId="0">
      <alignment horizontal="center" vertical="center"/>
    </xf>
    <xf numFmtId="0" fontId="1368" fillId="1370" borderId="1308" pivotButton="0" quotePrefix="0" xfId="0"/>
    <xf numFmtId="0" fontId="1369" fillId="1371" borderId="1309" pivotButton="0" quotePrefix="0" xfId="0"/>
    <xf numFmtId="0" fontId="1370" fillId="1372" borderId="1310" pivotButton="0" quotePrefix="0" xfId="0"/>
    <xf numFmtId="0" fontId="1371" fillId="1373" borderId="1311" pivotButton="0" quotePrefix="0" xfId="0"/>
    <xf numFmtId="0" fontId="1372" fillId="1374" borderId="1312" pivotButton="0" quotePrefix="0" xfId="0"/>
    <xf numFmtId="0" fontId="1373" fillId="1375" borderId="1313" pivotButton="0" quotePrefix="0" xfId="0"/>
    <xf numFmtId="0" fontId="1374" fillId="1376" borderId="1314" pivotButton="0" quotePrefix="0" xfId="0"/>
    <xf numFmtId="0" fontId="1375" fillId="1377" borderId="1315" pivotButton="0" quotePrefix="0" xfId="0"/>
    <xf numFmtId="0" fontId="1376" fillId="1378" borderId="1316" applyAlignment="1" pivotButton="0" quotePrefix="0" xfId="0">
      <alignment horizontal="center" vertical="center"/>
    </xf>
    <xf numFmtId="0" fontId="1377" fillId="1379" borderId="1317" applyAlignment="1" pivotButton="0" quotePrefix="0" xfId="0">
      <alignment horizontal="center" vertical="center"/>
    </xf>
    <xf numFmtId="0" fontId="1378" fillId="1380" borderId="1318" applyAlignment="1" pivotButton="0" quotePrefix="0" xfId="0">
      <alignment horizontal="center" vertical="center"/>
    </xf>
    <xf numFmtId="0" fontId="1379" fillId="1381" borderId="1319" applyAlignment="1" pivotButton="0" quotePrefix="0" xfId="0">
      <alignment horizontal="center" vertical="center"/>
    </xf>
    <xf numFmtId="0" fontId="1380" fillId="1382" borderId="1320" applyAlignment="1" pivotButton="0" quotePrefix="0" xfId="0">
      <alignment horizontal="center" vertical="center"/>
    </xf>
    <xf numFmtId="0" fontId="1381" fillId="1383" borderId="1321" applyAlignment="1" pivotButton="0" quotePrefix="0" xfId="0">
      <alignment horizontal="center" vertical="center"/>
    </xf>
    <xf numFmtId="0" fontId="1382" fillId="1384" borderId="1322" applyAlignment="1" pivotButton="0" quotePrefix="0" xfId="0">
      <alignment horizontal="center" vertical="center"/>
    </xf>
    <xf numFmtId="0" fontId="1383" fillId="1385" borderId="1323" pivotButton="0" quotePrefix="0" xfId="0"/>
    <xf numFmtId="0" fontId="1384" fillId="1386" borderId="1324" pivotButton="0" quotePrefix="0" xfId="0"/>
    <xf numFmtId="0" fontId="1385" fillId="1387" borderId="1325" pivotButton="0" quotePrefix="0" xfId="0"/>
    <xf numFmtId="0" fontId="1386" fillId="1388" borderId="1326" pivotButton="0" quotePrefix="0" xfId="0"/>
    <xf numFmtId="0" fontId="1387" fillId="1389" borderId="1327" pivotButton="0" quotePrefix="0" xfId="0"/>
    <xf numFmtId="0" fontId="1388" fillId="1390" borderId="1328" pivotButton="0" quotePrefix="0" xfId="0"/>
    <xf numFmtId="0" fontId="1389" fillId="1391" borderId="1329" pivotButton="0" quotePrefix="0" xfId="0"/>
    <xf numFmtId="0" fontId="1390" fillId="1392" borderId="1330" pivotButton="0" quotePrefix="0" xfId="0"/>
    <xf numFmtId="0" fontId="1391" fillId="1393" borderId="1331" applyAlignment="1" pivotButton="0" quotePrefix="0" xfId="0">
      <alignment horizontal="center" vertical="center"/>
    </xf>
    <xf numFmtId="0" fontId="1392" fillId="1394" borderId="1332" applyAlignment="1" pivotButton="0" quotePrefix="0" xfId="0">
      <alignment horizontal="center" vertical="center"/>
    </xf>
    <xf numFmtId="0" fontId="1393" fillId="1395" borderId="1333" applyAlignment="1" pivotButton="0" quotePrefix="0" xfId="0">
      <alignment horizontal="center" vertical="center"/>
    </xf>
    <xf numFmtId="0" fontId="1394" fillId="1396" borderId="1334" applyAlignment="1" pivotButton="0" quotePrefix="0" xfId="0">
      <alignment horizontal="center" vertical="center"/>
    </xf>
    <xf numFmtId="0" fontId="1395" fillId="1397" borderId="1335" applyAlignment="1" pivotButton="0" quotePrefix="0" xfId="0">
      <alignment horizontal="center" vertical="center"/>
    </xf>
    <xf numFmtId="0" fontId="1396" fillId="1398" borderId="1336" applyAlignment="1" pivotButton="0" quotePrefix="0" xfId="0">
      <alignment horizontal="center" vertical="center"/>
    </xf>
    <xf numFmtId="0" fontId="1397" fillId="1399" borderId="1337" applyAlignment="1" pivotButton="0" quotePrefix="0" xfId="0">
      <alignment horizontal="center" vertical="center"/>
    </xf>
    <xf numFmtId="0" fontId="1398" fillId="1400" borderId="1338" pivotButton="0" quotePrefix="0" xfId="0"/>
    <xf numFmtId="0" fontId="1399" fillId="1401" borderId="1339" pivotButton="0" quotePrefix="0" xfId="0"/>
    <xf numFmtId="0" fontId="1400" fillId="1402" borderId="1340" pivotButton="0" quotePrefix="0" xfId="0"/>
    <xf numFmtId="0" fontId="1401" fillId="1403" borderId="1341" pivotButton="0" quotePrefix="0" xfId="0"/>
    <xf numFmtId="0" fontId="1402" fillId="1404" borderId="1342" pivotButton="0" quotePrefix="0" xfId="0"/>
    <xf numFmtId="0" fontId="1403" fillId="1405" borderId="1343" pivotButton="0" quotePrefix="0" xfId="0"/>
    <xf numFmtId="0" fontId="1404" fillId="1406" borderId="1344" pivotButton="0" quotePrefix="0" xfId="0"/>
    <xf numFmtId="0" fontId="1405" fillId="1407" borderId="1345" pivotButton="0" quotePrefix="0" xfId="0"/>
    <xf numFmtId="0" fontId="1406" fillId="1408" borderId="1346" applyAlignment="1" pivotButton="0" quotePrefix="0" xfId="0">
      <alignment horizontal="center" vertical="center"/>
    </xf>
    <xf numFmtId="0" fontId="1407" fillId="1409" borderId="1347" applyAlignment="1" pivotButton="0" quotePrefix="0" xfId="0">
      <alignment horizontal="center" vertical="center"/>
    </xf>
    <xf numFmtId="0" fontId="1408" fillId="1410" borderId="1348" applyAlignment="1" pivotButton="0" quotePrefix="0" xfId="0">
      <alignment horizontal="center" vertical="center"/>
    </xf>
    <xf numFmtId="0" fontId="1409" fillId="1411" borderId="1349" applyAlignment="1" pivotButton="0" quotePrefix="0" xfId="0">
      <alignment horizontal="center" vertical="center"/>
    </xf>
    <xf numFmtId="0" fontId="1410" fillId="1412" borderId="1350" applyAlignment="1" pivotButton="0" quotePrefix="0" xfId="0">
      <alignment horizontal="center" vertical="center"/>
    </xf>
    <xf numFmtId="0" fontId="1411" fillId="1413" borderId="1351" applyAlignment="1" pivotButton="0" quotePrefix="0" xfId="0">
      <alignment horizontal="center" vertical="center"/>
    </xf>
    <xf numFmtId="0" fontId="1412" fillId="1414" borderId="1352" applyAlignment="1" pivotButton="0" quotePrefix="0" xfId="0">
      <alignment horizontal="center" vertical="center"/>
    </xf>
    <xf numFmtId="0" fontId="1413" fillId="1415" borderId="1353" pivotButton="0" quotePrefix="0" xfId="0"/>
    <xf numFmtId="0" fontId="1414" fillId="1416" borderId="1354" pivotButton="0" quotePrefix="0" xfId="0"/>
    <xf numFmtId="0" fontId="1415" fillId="1417" borderId="1355" pivotButton="0" quotePrefix="0" xfId="0"/>
    <xf numFmtId="0" fontId="1416" fillId="1418" borderId="1356" pivotButton="0" quotePrefix="0" xfId="0"/>
    <xf numFmtId="0" fontId="1417" fillId="1419" borderId="1357" pivotButton="0" quotePrefix="0" xfId="0"/>
    <xf numFmtId="0" fontId="1418" fillId="1420" borderId="1358" pivotButton="0" quotePrefix="0" xfId="0"/>
    <xf numFmtId="0" fontId="1419" fillId="1421" borderId="1359" pivotButton="0" quotePrefix="0" xfId="0"/>
    <xf numFmtId="0" fontId="1420" fillId="1422" borderId="1360" pivotButton="0" quotePrefix="0" xfId="0"/>
    <xf numFmtId="0" fontId="1421" fillId="1423" borderId="1361" applyAlignment="1" pivotButton="0" quotePrefix="0" xfId="0">
      <alignment horizontal="center" vertical="center"/>
    </xf>
    <xf numFmtId="0" fontId="1422" fillId="1424" borderId="1362" applyAlignment="1" pivotButton="0" quotePrefix="0" xfId="0">
      <alignment horizontal="center" vertical="center"/>
    </xf>
    <xf numFmtId="0" fontId="1423" fillId="1425" borderId="1363" applyAlignment="1" pivotButton="0" quotePrefix="0" xfId="0">
      <alignment horizontal="center" vertical="center"/>
    </xf>
    <xf numFmtId="0" fontId="1424" fillId="1426" borderId="1364" applyAlignment="1" pivotButton="0" quotePrefix="0" xfId="0">
      <alignment horizontal="center" vertical="center"/>
    </xf>
    <xf numFmtId="0" fontId="1425" fillId="1427" borderId="1365" applyAlignment="1" pivotButton="0" quotePrefix="0" xfId="0">
      <alignment horizontal="center" vertical="center"/>
    </xf>
    <xf numFmtId="0" fontId="1426" fillId="1428" borderId="1366" applyAlignment="1" pivotButton="0" quotePrefix="0" xfId="0">
      <alignment horizontal="center" vertical="center"/>
    </xf>
    <xf numFmtId="0" fontId="1427" fillId="1429" borderId="1367" applyAlignment="1" pivotButton="0" quotePrefix="0" xfId="0">
      <alignment horizontal="center" vertical="center"/>
    </xf>
    <xf numFmtId="0" fontId="1428" fillId="1430" borderId="1368" pivotButton="0" quotePrefix="0" xfId="0"/>
    <xf numFmtId="0" fontId="1429" fillId="1431" borderId="1369" pivotButton="0" quotePrefix="0" xfId="0"/>
    <xf numFmtId="0" fontId="1430" fillId="1432" borderId="1370" pivotButton="0" quotePrefix="0" xfId="0"/>
    <xf numFmtId="0" fontId="1431" fillId="1433" borderId="1371" pivotButton="0" quotePrefix="0" xfId="0"/>
    <xf numFmtId="0" fontId="1432" fillId="1434" borderId="1372" pivotButton="0" quotePrefix="0" xfId="0"/>
    <xf numFmtId="0" fontId="1433" fillId="1435" borderId="1373" pivotButton="0" quotePrefix="0" xfId="0"/>
    <xf numFmtId="0" fontId="1434" fillId="1436" borderId="1374" pivotButton="0" quotePrefix="0" xfId="0"/>
    <xf numFmtId="0" fontId="1435" fillId="1437" borderId="1375" pivotButton="0" quotePrefix="0" xfId="0"/>
    <xf numFmtId="0" fontId="1436" fillId="1438" borderId="1376" applyAlignment="1" pivotButton="0" quotePrefix="0" xfId="0">
      <alignment horizontal="center" vertical="center"/>
    </xf>
    <xf numFmtId="0" fontId="1437" fillId="1439" borderId="1377" applyAlignment="1" pivotButton="0" quotePrefix="0" xfId="0">
      <alignment horizontal="center" vertical="center"/>
    </xf>
    <xf numFmtId="0" fontId="1438" fillId="1440" borderId="1378" applyAlignment="1" pivotButton="0" quotePrefix="0" xfId="0">
      <alignment horizontal="center" vertical="center"/>
    </xf>
    <xf numFmtId="0" fontId="1439" fillId="1441" borderId="1379" applyAlignment="1" pivotButton="0" quotePrefix="0" xfId="0">
      <alignment horizontal="center" vertical="center"/>
    </xf>
    <xf numFmtId="0" fontId="1440" fillId="1442" borderId="1380" applyAlignment="1" pivotButton="0" quotePrefix="0" xfId="0">
      <alignment horizontal="center" vertical="center"/>
    </xf>
    <xf numFmtId="0" fontId="1441" fillId="1443" borderId="1381" applyAlignment="1" pivotButton="0" quotePrefix="0" xfId="0">
      <alignment horizontal="center" vertical="center"/>
    </xf>
    <xf numFmtId="0" fontId="1442" fillId="1444" borderId="1382" applyAlignment="1" pivotButton="0" quotePrefix="0" xfId="0">
      <alignment horizontal="center" vertical="center"/>
    </xf>
    <xf numFmtId="0" fontId="1443" fillId="1445" borderId="1383" pivotButton="0" quotePrefix="0" xfId="0"/>
    <xf numFmtId="0" fontId="1444" fillId="1446" borderId="1384" pivotButton="0" quotePrefix="0" xfId="0"/>
    <xf numFmtId="0" fontId="1445" fillId="1447" borderId="1385" pivotButton="0" quotePrefix="0" xfId="0"/>
    <xf numFmtId="0" fontId="1446" fillId="1448" borderId="1386" pivotButton="0" quotePrefix="0" xfId="0"/>
    <xf numFmtId="0" fontId="1447" fillId="1449" borderId="1387" pivotButton="0" quotePrefix="0" xfId="0"/>
    <xf numFmtId="0" fontId="1448" fillId="1450" borderId="1388" pivotButton="0" quotePrefix="0" xfId="0"/>
    <xf numFmtId="0" fontId="1449" fillId="1451" borderId="1389" pivotButton="0" quotePrefix="0" xfId="0"/>
    <xf numFmtId="0" fontId="1450" fillId="1452" borderId="1390" pivotButton="0" quotePrefix="0" xfId="0"/>
    <xf numFmtId="0" fontId="1451" fillId="1453" borderId="1391" applyAlignment="1" pivotButton="0" quotePrefix="0" xfId="0">
      <alignment horizontal="center" vertical="center"/>
    </xf>
    <xf numFmtId="0" fontId="1452" fillId="1454" borderId="1392" applyAlignment="1" pivotButton="0" quotePrefix="0" xfId="0">
      <alignment horizontal="center" vertical="center"/>
    </xf>
    <xf numFmtId="0" fontId="1453" fillId="1455" borderId="1393" applyAlignment="1" pivotButton="0" quotePrefix="0" xfId="0">
      <alignment horizontal="center" vertical="center"/>
    </xf>
    <xf numFmtId="0" fontId="1454" fillId="1456" borderId="1394" applyAlignment="1" pivotButton="0" quotePrefix="0" xfId="0">
      <alignment horizontal="center" vertical="center"/>
    </xf>
    <xf numFmtId="0" fontId="1455" fillId="1457" borderId="1395" applyAlignment="1" pivotButton="0" quotePrefix="0" xfId="0">
      <alignment horizontal="center" vertical="center"/>
    </xf>
    <xf numFmtId="0" fontId="1456" fillId="1458" borderId="1396" applyAlignment="1" pivotButton="0" quotePrefix="0" xfId="0">
      <alignment horizontal="center" vertical="center"/>
    </xf>
    <xf numFmtId="0" fontId="1457" fillId="1459" borderId="1397" applyAlignment="1" pivotButton="0" quotePrefix="0" xfId="0">
      <alignment horizontal="center" vertical="center"/>
    </xf>
    <xf numFmtId="0" fontId="1458" fillId="1460" borderId="1398" pivotButton="0" quotePrefix="0" xfId="0"/>
    <xf numFmtId="0" fontId="1459" fillId="1461" borderId="1399" pivotButton="0" quotePrefix="0" xfId="0"/>
    <xf numFmtId="0" fontId="1460" fillId="1462" borderId="1400" pivotButton="0" quotePrefix="0" xfId="0"/>
    <xf numFmtId="0" fontId="1461" fillId="1463" borderId="1401" pivotButton="0" quotePrefix="0" xfId="0"/>
    <xf numFmtId="0" fontId="1462" fillId="1464" borderId="1402" pivotButton="0" quotePrefix="0" xfId="0"/>
    <xf numFmtId="0" fontId="1463" fillId="1465" borderId="1403" pivotButton="0" quotePrefix="0" xfId="0"/>
    <xf numFmtId="0" fontId="1464" fillId="1466" borderId="1404" pivotButton="0" quotePrefix="0" xfId="0"/>
    <xf numFmtId="0" fontId="1465" fillId="1467" borderId="1405" pivotButton="0" quotePrefix="0" xfId="0"/>
    <xf numFmtId="0" fontId="1466" fillId="1468" borderId="1406" applyAlignment="1" pivotButton="0" quotePrefix="0" xfId="0">
      <alignment horizontal="center" vertical="center"/>
    </xf>
    <xf numFmtId="0" fontId="1467" fillId="1469" borderId="1407" applyAlignment="1" pivotButton="0" quotePrefix="0" xfId="0">
      <alignment horizontal="center" vertical="center"/>
    </xf>
    <xf numFmtId="0" fontId="1468" fillId="1470" borderId="1408" applyAlignment="1" pivotButton="0" quotePrefix="0" xfId="0">
      <alignment horizontal="center" vertical="center"/>
    </xf>
    <xf numFmtId="0" fontId="1469" fillId="1471" borderId="1409" applyAlignment="1" pivotButton="0" quotePrefix="0" xfId="0">
      <alignment horizontal="center" vertical="center"/>
    </xf>
    <xf numFmtId="0" fontId="1470" fillId="1472" borderId="1410" applyAlignment="1" pivotButton="0" quotePrefix="0" xfId="0">
      <alignment horizontal="center" vertical="center"/>
    </xf>
    <xf numFmtId="0" fontId="1471" fillId="1473" borderId="1411" applyAlignment="1" pivotButton="0" quotePrefix="0" xfId="0">
      <alignment horizontal="center" vertical="center"/>
    </xf>
    <xf numFmtId="0" fontId="1472" fillId="1474" borderId="1412" applyAlignment="1" pivotButton="0" quotePrefix="0" xfId="0">
      <alignment horizontal="center" vertical="center"/>
    </xf>
    <xf numFmtId="0" fontId="1473" fillId="1475" borderId="1413" pivotButton="0" quotePrefix="0" xfId="0"/>
    <xf numFmtId="0" fontId="1474" fillId="1476" borderId="1414" pivotButton="0" quotePrefix="0" xfId="0"/>
    <xf numFmtId="0" fontId="1475" fillId="1477" borderId="1415" pivotButton="0" quotePrefix="0" xfId="0"/>
    <xf numFmtId="0" fontId="1476" fillId="1478" borderId="1416" pivotButton="0" quotePrefix="0" xfId="0"/>
    <xf numFmtId="0" fontId="1477" fillId="1479" borderId="1417" pivotButton="0" quotePrefix="0" xfId="0"/>
    <xf numFmtId="0" fontId="1478" fillId="1480" borderId="1418" pivotButton="0" quotePrefix="0" xfId="0"/>
    <xf numFmtId="0" fontId="1479" fillId="1481" borderId="1419" pivotButton="0" quotePrefix="0" xfId="0"/>
    <xf numFmtId="0" fontId="1480" fillId="1482" borderId="1420" pivotButton="0" quotePrefix="0" xfId="0"/>
    <xf numFmtId="0" fontId="1481" fillId="1483" borderId="1421" applyAlignment="1" pivotButton="0" quotePrefix="0" xfId="0">
      <alignment horizontal="center" vertical="center"/>
    </xf>
    <xf numFmtId="0" fontId="1482" fillId="1484" borderId="1422" applyAlignment="1" pivotButton="0" quotePrefix="0" xfId="0">
      <alignment horizontal="center" vertical="center"/>
    </xf>
    <xf numFmtId="0" fontId="1483" fillId="1485" borderId="1423" applyAlignment="1" pivotButton="0" quotePrefix="0" xfId="0">
      <alignment horizontal="center" vertical="center"/>
    </xf>
    <xf numFmtId="0" fontId="1484" fillId="1486" borderId="1424" applyAlignment="1" pivotButton="0" quotePrefix="0" xfId="0">
      <alignment horizontal="center" vertical="center"/>
    </xf>
    <xf numFmtId="0" fontId="1485" fillId="1487" borderId="1425" applyAlignment="1" pivotButton="0" quotePrefix="0" xfId="0">
      <alignment horizontal="center" vertical="center"/>
    </xf>
    <xf numFmtId="0" fontId="1486" fillId="1488" borderId="1426" applyAlignment="1" pivotButton="0" quotePrefix="0" xfId="0">
      <alignment horizontal="center" vertical="center"/>
    </xf>
    <xf numFmtId="0" fontId="1487" fillId="1489" borderId="1427" applyAlignment="1" pivotButton="0" quotePrefix="0" xfId="0">
      <alignment horizontal="center" vertical="center"/>
    </xf>
    <xf numFmtId="0" fontId="1488" fillId="1490" borderId="1428" pivotButton="0" quotePrefix="0" xfId="0"/>
    <xf numFmtId="0" fontId="1489" fillId="1491" borderId="1429" pivotButton="0" quotePrefix="0" xfId="0"/>
    <xf numFmtId="0" fontId="1490" fillId="1492" borderId="1430" pivotButton="0" quotePrefix="0" xfId="0"/>
    <xf numFmtId="0" fontId="1491" fillId="1493" borderId="1431" pivotButton="0" quotePrefix="0" xfId="0"/>
    <xf numFmtId="0" fontId="1492" fillId="1494" borderId="1432" pivotButton="0" quotePrefix="0" xfId="0"/>
    <xf numFmtId="0" fontId="1493" fillId="1495" borderId="1433" pivotButton="0" quotePrefix="0" xfId="0"/>
    <xf numFmtId="0" fontId="1494" fillId="1496" borderId="1434" pivotButton="0" quotePrefix="0" xfId="0"/>
    <xf numFmtId="0" fontId="1495" fillId="1497" borderId="1435" pivotButton="0" quotePrefix="0" xfId="0"/>
    <xf numFmtId="0" fontId="1496" fillId="1498" borderId="1436" applyAlignment="1" pivotButton="0" quotePrefix="0" xfId="0">
      <alignment horizontal="center" vertical="center"/>
    </xf>
    <xf numFmtId="0" fontId="1497" fillId="1499" borderId="1437" applyAlignment="1" pivotButton="0" quotePrefix="0" xfId="0">
      <alignment horizontal="center" vertical="center"/>
    </xf>
    <xf numFmtId="0" fontId="1498" fillId="1500" borderId="1438" applyAlignment="1" pivotButton="0" quotePrefix="0" xfId="0">
      <alignment horizontal="center" vertical="center"/>
    </xf>
    <xf numFmtId="0" fontId="1499" fillId="1501" borderId="1439" applyAlignment="1" pivotButton="0" quotePrefix="0" xfId="0">
      <alignment horizontal="center" vertical="center"/>
    </xf>
    <xf numFmtId="0" fontId="1500" fillId="1502" borderId="1440" applyAlignment="1" pivotButton="0" quotePrefix="0" xfId="0">
      <alignment horizontal="center" vertical="center"/>
    </xf>
    <xf numFmtId="0" fontId="1501" fillId="1503" borderId="1441" applyAlignment="1" pivotButton="0" quotePrefix="0" xfId="0">
      <alignment horizontal="center" vertical="center"/>
    </xf>
    <xf numFmtId="0" fontId="1502" fillId="1504" borderId="1442" applyAlignment="1" pivotButton="0" quotePrefix="0" xfId="0">
      <alignment horizontal="center" vertical="center"/>
    </xf>
    <xf numFmtId="0" fontId="1503" fillId="1505" borderId="1443" pivotButton="0" quotePrefix="0" xfId="0"/>
    <xf numFmtId="0" fontId="1504" fillId="1506" borderId="1444" pivotButton="0" quotePrefix="0" xfId="0"/>
    <xf numFmtId="0" fontId="1505" fillId="1507" borderId="1445" pivotButton="0" quotePrefix="0" xfId="0"/>
    <xf numFmtId="0" fontId="1506" fillId="1508" borderId="1446" pivotButton="0" quotePrefix="0" xfId="0"/>
    <xf numFmtId="0" fontId="1507" fillId="1509" borderId="1447" pivotButton="0" quotePrefix="0" xfId="0"/>
    <xf numFmtId="0" fontId="1508" fillId="1510" borderId="1448" pivotButton="0" quotePrefix="0" xfId="0"/>
    <xf numFmtId="0" fontId="1509" fillId="1511" borderId="1449" pivotButton="0" quotePrefix="0" xfId="0"/>
    <xf numFmtId="0" fontId="1510" fillId="1512" borderId="1450" pivotButton="0" quotePrefix="0" xfId="0"/>
    <xf numFmtId="0" fontId="1511" fillId="1513" borderId="1451" applyAlignment="1" pivotButton="0" quotePrefix="0" xfId="0">
      <alignment horizontal="center" vertical="center"/>
    </xf>
    <xf numFmtId="0" fontId="1512" fillId="1514" borderId="1452" applyAlignment="1" pivotButton="0" quotePrefix="0" xfId="0">
      <alignment horizontal="center" vertical="center"/>
    </xf>
    <xf numFmtId="0" fontId="1513" fillId="1515" borderId="1453" applyAlignment="1" pivotButton="0" quotePrefix="0" xfId="0">
      <alignment horizontal="center" vertical="center"/>
    </xf>
    <xf numFmtId="0" fontId="1514" fillId="1516" borderId="1454" applyAlignment="1" pivotButton="0" quotePrefix="0" xfId="0">
      <alignment horizontal="center" vertical="center"/>
    </xf>
    <xf numFmtId="0" fontId="1515" fillId="1517" borderId="1455" applyAlignment="1" pivotButton="0" quotePrefix="0" xfId="0">
      <alignment horizontal="center" vertical="center"/>
    </xf>
    <xf numFmtId="0" fontId="1516" fillId="1518" borderId="1456" applyAlignment="1" pivotButton="0" quotePrefix="0" xfId="0">
      <alignment horizontal="center" vertical="center"/>
    </xf>
    <xf numFmtId="0" fontId="1517" fillId="1519" borderId="1457" applyAlignment="1" pivotButton="0" quotePrefix="0" xfId="0">
      <alignment horizontal="center" vertical="center"/>
    </xf>
    <xf numFmtId="0" fontId="1518" fillId="1520" borderId="1458" pivotButton="0" quotePrefix="0" xfId="0"/>
    <xf numFmtId="0" fontId="1519" fillId="1521" borderId="1459" pivotButton="0" quotePrefix="0" xfId="0"/>
    <xf numFmtId="0" fontId="1520" fillId="1522" borderId="1460" pivotButton="0" quotePrefix="0" xfId="0"/>
    <xf numFmtId="0" fontId="1521" fillId="1523" borderId="1461" pivotButton="0" quotePrefix="0" xfId="0"/>
    <xf numFmtId="0" fontId="1522" fillId="1524" borderId="1462" pivotButton="0" quotePrefix="0" xfId="0"/>
    <xf numFmtId="0" fontId="1523" fillId="1525" borderId="1463" pivotButton="0" quotePrefix="0" xfId="0"/>
    <xf numFmtId="0" fontId="1524" fillId="1526" borderId="1464" pivotButton="0" quotePrefix="0" xfId="0"/>
    <xf numFmtId="0" fontId="1525" fillId="1527" borderId="1465" pivotButton="0" quotePrefix="0" xfId="0"/>
    <xf numFmtId="0" fontId="1526" fillId="1528" borderId="1466" applyAlignment="1" pivotButton="0" quotePrefix="0" xfId="0">
      <alignment horizontal="center" vertical="center"/>
    </xf>
    <xf numFmtId="0" fontId="1527" fillId="1529" borderId="1467" applyAlignment="1" pivotButton="0" quotePrefix="0" xfId="0">
      <alignment horizontal="center" vertical="center"/>
    </xf>
    <xf numFmtId="0" fontId="1528" fillId="1530" borderId="1468" applyAlignment="1" pivotButton="0" quotePrefix="0" xfId="0">
      <alignment horizontal="center" vertical="center"/>
    </xf>
    <xf numFmtId="0" fontId="1529" fillId="1531" borderId="1469" applyAlignment="1" pivotButton="0" quotePrefix="0" xfId="0">
      <alignment horizontal="center" vertical="center"/>
    </xf>
    <xf numFmtId="0" fontId="1530" fillId="1532" borderId="1470" applyAlignment="1" pivotButton="0" quotePrefix="0" xfId="0">
      <alignment horizontal="center" vertical="center"/>
    </xf>
    <xf numFmtId="0" fontId="1531" fillId="1533" borderId="1471" applyAlignment="1" pivotButton="0" quotePrefix="0" xfId="0">
      <alignment horizontal="center" vertical="center"/>
    </xf>
    <xf numFmtId="0" fontId="1532" fillId="1534" borderId="1472" applyAlignment="1" pivotButton="0" quotePrefix="0" xfId="0">
      <alignment horizontal="center" vertical="center"/>
    </xf>
    <xf numFmtId="0" fontId="1533" fillId="1535" borderId="1473" pivotButton="0" quotePrefix="0" xfId="0"/>
    <xf numFmtId="0" fontId="1534" fillId="1536" borderId="1474" pivotButton="0" quotePrefix="0" xfId="0"/>
    <xf numFmtId="0" fontId="1535" fillId="1537" borderId="1475" pivotButton="0" quotePrefix="0" xfId="0"/>
    <xf numFmtId="0" fontId="1536" fillId="1538" borderId="1476" pivotButton="0" quotePrefix="0" xfId="0"/>
    <xf numFmtId="0" fontId="1537" fillId="1539" borderId="1477" pivotButton="0" quotePrefix="0" xfId="0"/>
    <xf numFmtId="0" fontId="1538" fillId="1540" borderId="1478" pivotButton="0" quotePrefix="0" xfId="0"/>
    <xf numFmtId="0" fontId="1539" fillId="1541" borderId="1479" pivotButton="0" quotePrefix="0" xfId="0"/>
    <xf numFmtId="0" fontId="1540" fillId="1542" borderId="1480" pivotButton="0" quotePrefix="0" xfId="0"/>
    <xf numFmtId="0" fontId="1541" fillId="1543" borderId="1481" applyAlignment="1" pivotButton="0" quotePrefix="0" xfId="0">
      <alignment horizontal="center" vertical="center"/>
    </xf>
    <xf numFmtId="0" fontId="1542" fillId="1544" borderId="1482" applyAlignment="1" pivotButton="0" quotePrefix="0" xfId="0">
      <alignment horizontal="center" vertical="center"/>
    </xf>
    <xf numFmtId="0" fontId="1543" fillId="1545" borderId="1483" applyAlignment="1" pivotButton="0" quotePrefix="0" xfId="0">
      <alignment horizontal="center" vertical="center"/>
    </xf>
    <xf numFmtId="0" fontId="1544" fillId="1546" borderId="1484" applyAlignment="1" pivotButton="0" quotePrefix="0" xfId="0">
      <alignment horizontal="center" vertical="center"/>
    </xf>
    <xf numFmtId="0" fontId="1545" fillId="1547" borderId="1485" applyAlignment="1" pivotButton="0" quotePrefix="0" xfId="0">
      <alignment horizontal="center" vertical="center"/>
    </xf>
    <xf numFmtId="0" fontId="1546" fillId="1548" borderId="1486" applyAlignment="1" pivotButton="0" quotePrefix="0" xfId="0">
      <alignment horizontal="center" vertical="center"/>
    </xf>
    <xf numFmtId="0" fontId="1547" fillId="1549" borderId="1487" applyAlignment="1" pivotButton="0" quotePrefix="0" xfId="0">
      <alignment horizontal="center" vertical="center"/>
    </xf>
    <xf numFmtId="0" fontId="1548" fillId="1550" borderId="1488" pivotButton="0" quotePrefix="0" xfId="0"/>
    <xf numFmtId="0" fontId="1549" fillId="1551" borderId="1489" pivotButton="0" quotePrefix="0" xfId="0"/>
    <xf numFmtId="0" fontId="1550" fillId="1552" borderId="1490" pivotButton="0" quotePrefix="0" xfId="0"/>
    <xf numFmtId="0" fontId="1551" fillId="1553" borderId="1491" pivotButton="0" quotePrefix="0" xfId="0"/>
    <xf numFmtId="0" fontId="1552" fillId="1554" borderId="1492" pivotButton="0" quotePrefix="0" xfId="0"/>
    <xf numFmtId="0" fontId="1553" fillId="1555" borderId="1493" pivotButton="0" quotePrefix="0" xfId="0"/>
    <xf numFmtId="0" fontId="1554" fillId="1556" borderId="1494" pivotButton="0" quotePrefix="0" xfId="0"/>
    <xf numFmtId="0" fontId="1555" fillId="1557" borderId="1495" pivotButton="0" quotePrefix="0" xfId="0"/>
    <xf numFmtId="0" fontId="1556" fillId="1558" borderId="1496" applyAlignment="1" pivotButton="0" quotePrefix="0" xfId="0">
      <alignment horizontal="center" vertical="center"/>
    </xf>
    <xf numFmtId="0" fontId="1557" fillId="1559" borderId="1497" applyAlignment="1" pivotButton="0" quotePrefix="0" xfId="0">
      <alignment horizontal="center" vertical="center"/>
    </xf>
    <xf numFmtId="0" fontId="1558" fillId="1560" borderId="1498" applyAlignment="1" pivotButton="0" quotePrefix="0" xfId="0">
      <alignment horizontal="center" vertical="center"/>
    </xf>
    <xf numFmtId="0" fontId="1559" fillId="1561" borderId="1499" applyAlignment="1" pivotButton="0" quotePrefix="0" xfId="0">
      <alignment horizontal="center" vertical="center"/>
    </xf>
    <xf numFmtId="0" fontId="1560" fillId="1562" borderId="1500" applyAlignment="1" pivotButton="0" quotePrefix="0" xfId="0">
      <alignment horizontal="center" vertical="center"/>
    </xf>
    <xf numFmtId="0" fontId="1561" fillId="1563" borderId="1501" applyAlignment="1" pivotButton="0" quotePrefix="0" xfId="0">
      <alignment horizontal="center" vertical="center"/>
    </xf>
    <xf numFmtId="0" fontId="1562" fillId="1564" borderId="1502" applyAlignment="1" pivotButton="0" quotePrefix="0" xfId="0">
      <alignment horizontal="center" vertical="center"/>
    </xf>
    <xf numFmtId="0" fontId="1563" fillId="1565" borderId="1503" pivotButton="0" quotePrefix="0" xfId="0"/>
    <xf numFmtId="0" fontId="1564" fillId="1566" borderId="1504" pivotButton="0" quotePrefix="0" xfId="0"/>
    <xf numFmtId="0" fontId="1565" fillId="1567" borderId="1505" pivotButton="0" quotePrefix="0" xfId="0"/>
    <xf numFmtId="0" fontId="1566" fillId="1568" borderId="1506" pivotButton="0" quotePrefix="0" xfId="0"/>
    <xf numFmtId="0" fontId="1567" fillId="1569" borderId="1507" pivotButton="0" quotePrefix="0" xfId="0"/>
    <xf numFmtId="0" fontId="1568" fillId="1570" borderId="1508" pivotButton="0" quotePrefix="0" xfId="0"/>
    <xf numFmtId="0" fontId="1569" fillId="1571" borderId="1509" pivotButton="0" quotePrefix="0" xfId="0"/>
    <xf numFmtId="0" fontId="1570" fillId="1572" borderId="1510" pivotButton="0" quotePrefix="0" xfId="0"/>
    <xf numFmtId="0" fontId="1571" fillId="1573" borderId="1511" applyAlignment="1" pivotButton="0" quotePrefix="0" xfId="0">
      <alignment horizontal="center" vertical="center"/>
    </xf>
    <xf numFmtId="0" fontId="1572" fillId="1574" borderId="1512" applyAlignment="1" pivotButton="0" quotePrefix="0" xfId="0">
      <alignment horizontal="center" vertical="center"/>
    </xf>
    <xf numFmtId="0" fontId="1573" fillId="1575" borderId="1513" applyAlignment="1" pivotButton="0" quotePrefix="0" xfId="0">
      <alignment horizontal="center" vertical="center"/>
    </xf>
    <xf numFmtId="0" fontId="1574" fillId="1576" borderId="1514" applyAlignment="1" pivotButton="0" quotePrefix="0" xfId="0">
      <alignment horizontal="center" vertical="center"/>
    </xf>
    <xf numFmtId="0" fontId="1575" fillId="1577" borderId="1515" applyAlignment="1" pivotButton="0" quotePrefix="0" xfId="0">
      <alignment horizontal="center" vertical="center"/>
    </xf>
    <xf numFmtId="0" fontId="1576" fillId="1578" borderId="1516" applyAlignment="1" pivotButton="0" quotePrefix="0" xfId="0">
      <alignment horizontal="center" vertical="center"/>
    </xf>
    <xf numFmtId="0" fontId="1577" fillId="1579" borderId="1517" applyAlignment="1" pivotButton="0" quotePrefix="0" xfId="0">
      <alignment horizontal="center" vertical="center"/>
    </xf>
    <xf numFmtId="0" fontId="1578" fillId="1580" borderId="1518" pivotButton="0" quotePrefix="0" xfId="0"/>
    <xf numFmtId="0" fontId="1579" fillId="1581" borderId="1519" pivotButton="0" quotePrefix="0" xfId="0"/>
    <xf numFmtId="0" fontId="1580" fillId="1582" borderId="1520" pivotButton="0" quotePrefix="0" xfId="0"/>
    <xf numFmtId="0" fontId="1581" fillId="1583" borderId="1521" pivotButton="0" quotePrefix="0" xfId="0"/>
    <xf numFmtId="0" fontId="1582" fillId="1584" borderId="1522" pivotButton="0" quotePrefix="0" xfId="0"/>
    <xf numFmtId="0" fontId="1583" fillId="1585" borderId="1523" pivotButton="0" quotePrefix="0" xfId="0"/>
    <xf numFmtId="0" fontId="1584" fillId="1586" borderId="1524" pivotButton="0" quotePrefix="0" xfId="0"/>
    <xf numFmtId="0" fontId="1585" fillId="1587" borderId="1525" pivotButton="0" quotePrefix="0" xfId="0"/>
    <xf numFmtId="0" fontId="1586" fillId="1588" borderId="1526" applyAlignment="1" pivotButton="0" quotePrefix="0" xfId="0">
      <alignment horizontal="center" vertical="center"/>
    </xf>
    <xf numFmtId="0" fontId="1587" fillId="1589" borderId="1527" applyAlignment="1" pivotButton="0" quotePrefix="0" xfId="0">
      <alignment horizontal="center" vertical="center"/>
    </xf>
    <xf numFmtId="0" fontId="1588" fillId="1590" borderId="1528" applyAlignment="1" pivotButton="0" quotePrefix="0" xfId="0">
      <alignment horizontal="center" vertical="center"/>
    </xf>
    <xf numFmtId="0" fontId="1589" fillId="1591" borderId="1529" applyAlignment="1" pivotButton="0" quotePrefix="0" xfId="0">
      <alignment horizontal="center" vertical="center"/>
    </xf>
    <xf numFmtId="0" fontId="1590" fillId="1592" borderId="1530" applyAlignment="1" pivotButton="0" quotePrefix="0" xfId="0">
      <alignment horizontal="center" vertical="center"/>
    </xf>
    <xf numFmtId="0" fontId="1591" fillId="1593" borderId="1531" applyAlignment="1" pivotButton="0" quotePrefix="0" xfId="0">
      <alignment horizontal="center" vertical="center"/>
    </xf>
    <xf numFmtId="0" fontId="1592" fillId="1594" borderId="1532" applyAlignment="1" pivotButton="0" quotePrefix="0" xfId="0">
      <alignment horizontal="center" vertical="center"/>
    </xf>
    <xf numFmtId="0" fontId="1593" fillId="1595" borderId="1533" pivotButton="0" quotePrefix="0" xfId="0"/>
    <xf numFmtId="0" fontId="1594" fillId="1596" borderId="1534" pivotButton="0" quotePrefix="0" xfId="0"/>
    <xf numFmtId="0" fontId="1595" fillId="1597" borderId="1535" pivotButton="0" quotePrefix="0" xfId="0"/>
    <xf numFmtId="0" fontId="1596" fillId="1598" borderId="1536" pivotButton="0" quotePrefix="0" xfId="0"/>
    <xf numFmtId="0" fontId="1597" fillId="1599" borderId="1537" pivotButton="0" quotePrefix="0" xfId="0"/>
    <xf numFmtId="0" fontId="1598" fillId="1600" borderId="1538" pivotButton="0" quotePrefix="0" xfId="0"/>
    <xf numFmtId="0" fontId="1599" fillId="1601" borderId="1539" pivotButton="0" quotePrefix="0" xfId="0"/>
    <xf numFmtId="0" fontId="1600" fillId="1602" borderId="1540" pivotButton="0" quotePrefix="0" xfId="0"/>
    <xf numFmtId="0" fontId="1601" fillId="1603" borderId="1541" applyAlignment="1" pivotButton="0" quotePrefix="0" xfId="0">
      <alignment horizontal="center" vertical="center"/>
    </xf>
    <xf numFmtId="0" fontId="1602" fillId="1604" borderId="1542" applyAlignment="1" pivotButton="0" quotePrefix="0" xfId="0">
      <alignment horizontal="center" vertical="center"/>
    </xf>
    <xf numFmtId="0" fontId="1603" fillId="1605" borderId="1543" applyAlignment="1" pivotButton="0" quotePrefix="0" xfId="0">
      <alignment horizontal="center" vertical="center"/>
    </xf>
    <xf numFmtId="0" fontId="1604" fillId="1606" borderId="1544" applyAlignment="1" pivotButton="0" quotePrefix="0" xfId="0">
      <alignment horizontal="center" vertical="center"/>
    </xf>
    <xf numFmtId="0" fontId="1605" fillId="1607" borderId="1545" applyAlignment="1" pivotButton="0" quotePrefix="0" xfId="0">
      <alignment horizontal="center" vertical="center"/>
    </xf>
    <xf numFmtId="0" fontId="1606" fillId="1608" borderId="1546" applyAlignment="1" pivotButton="0" quotePrefix="0" xfId="0">
      <alignment horizontal="center" vertical="center"/>
    </xf>
    <xf numFmtId="0" fontId="1607" fillId="1609" borderId="1547" applyAlignment="1" pivotButton="0" quotePrefix="0" xfId="0">
      <alignment horizontal="center" vertical="center"/>
    </xf>
    <xf numFmtId="0" fontId="1608" fillId="1610" borderId="1548" pivotButton="0" quotePrefix="0" xfId="0"/>
    <xf numFmtId="0" fontId="1609" fillId="1611" borderId="1549" pivotButton="0" quotePrefix="0" xfId="0"/>
    <xf numFmtId="0" fontId="1610" fillId="1612" borderId="1550" pivotButton="0" quotePrefix="0" xfId="0"/>
    <xf numFmtId="0" fontId="1611" fillId="1613" borderId="1551" pivotButton="0" quotePrefix="0" xfId="0"/>
    <xf numFmtId="0" fontId="1612" fillId="1614" borderId="1552" pivotButton="0" quotePrefix="0" xfId="0"/>
    <xf numFmtId="0" fontId="1613" fillId="1615" borderId="1553" pivotButton="0" quotePrefix="0" xfId="0"/>
    <xf numFmtId="0" fontId="1614" fillId="1616" borderId="1554" pivotButton="0" quotePrefix="0" xfId="0"/>
    <xf numFmtId="0" fontId="1615" fillId="1617" borderId="1555" pivotButton="0" quotePrefix="0" xfId="0"/>
    <xf numFmtId="0" fontId="1616" fillId="1618" borderId="1556" applyAlignment="1" pivotButton="0" quotePrefix="0" xfId="0">
      <alignment horizontal="center" vertical="center"/>
    </xf>
    <xf numFmtId="0" fontId="1617" fillId="1619" borderId="1557" applyAlignment="1" pivotButton="0" quotePrefix="0" xfId="0">
      <alignment horizontal="center" vertical="center"/>
    </xf>
    <xf numFmtId="0" fontId="1618" fillId="1620" borderId="1558" applyAlignment="1" pivotButton="0" quotePrefix="0" xfId="0">
      <alignment horizontal="center" vertical="center"/>
    </xf>
    <xf numFmtId="0" fontId="1619" fillId="1621" borderId="1559" applyAlignment="1" pivotButton="0" quotePrefix="0" xfId="0">
      <alignment horizontal="center" vertical="center"/>
    </xf>
    <xf numFmtId="0" fontId="1620" fillId="1622" borderId="1560" applyAlignment="1" pivotButton="0" quotePrefix="0" xfId="0">
      <alignment horizontal="center" vertical="center"/>
    </xf>
    <xf numFmtId="0" fontId="1621" fillId="1623" borderId="1561" applyAlignment="1" pivotButton="0" quotePrefix="0" xfId="0">
      <alignment horizontal="center" vertical="center"/>
    </xf>
    <xf numFmtId="0" fontId="1622" fillId="1624" borderId="1562" applyAlignment="1" pivotButton="0" quotePrefix="0" xfId="0">
      <alignment horizontal="center" vertical="center"/>
    </xf>
    <xf numFmtId="0" fontId="1623" fillId="1625" borderId="1563" pivotButton="0" quotePrefix="0" xfId="0"/>
    <xf numFmtId="0" fontId="1624" fillId="1626" borderId="1564" pivotButton="0" quotePrefix="0" xfId="0"/>
    <xf numFmtId="0" fontId="1625" fillId="1627" borderId="1565" pivotButton="0" quotePrefix="0" xfId="0"/>
    <xf numFmtId="0" fontId="1626" fillId="1628" borderId="1566" pivotButton="0" quotePrefix="0" xfId="0"/>
    <xf numFmtId="0" fontId="1627" fillId="1629" borderId="1567" pivotButton="0" quotePrefix="0" xfId="0"/>
    <xf numFmtId="0" fontId="1628" fillId="1630" borderId="1568" pivotButton="0" quotePrefix="0" xfId="0"/>
    <xf numFmtId="0" fontId="1629" fillId="1631" borderId="1569" pivotButton="0" quotePrefix="0" xfId="0"/>
    <xf numFmtId="0" fontId="1630" fillId="1632" borderId="1570" pivotButton="0" quotePrefix="0" xfId="0"/>
    <xf numFmtId="0" fontId="1631" fillId="1633" borderId="1571" applyAlignment="1" pivotButton="0" quotePrefix="0" xfId="0">
      <alignment horizontal="center" vertical="center"/>
    </xf>
    <xf numFmtId="0" fontId="1632" fillId="1634" borderId="1572" applyAlignment="1" pivotButton="0" quotePrefix="0" xfId="0">
      <alignment horizontal="center" vertical="center"/>
    </xf>
    <xf numFmtId="0" fontId="1633" fillId="1635" borderId="1573" applyAlignment="1" pivotButton="0" quotePrefix="0" xfId="0">
      <alignment horizontal="center" vertical="center"/>
    </xf>
    <xf numFmtId="0" fontId="1634" fillId="1636" borderId="1574" applyAlignment="1" pivotButton="0" quotePrefix="0" xfId="0">
      <alignment horizontal="center" vertical="center"/>
    </xf>
    <xf numFmtId="0" fontId="1635" fillId="1637" borderId="1575" applyAlignment="1" pivotButton="0" quotePrefix="0" xfId="0">
      <alignment horizontal="center" vertical="center"/>
    </xf>
    <xf numFmtId="0" fontId="1636" fillId="1638" borderId="1576" applyAlignment="1" pivotButton="0" quotePrefix="0" xfId="0">
      <alignment horizontal="center" vertical="center"/>
    </xf>
    <xf numFmtId="0" fontId="1637" fillId="1639" borderId="1577" applyAlignment="1" pivotButton="0" quotePrefix="0" xfId="0">
      <alignment horizontal="center" vertical="center"/>
    </xf>
    <xf numFmtId="0" fontId="1638" fillId="1640" borderId="1578" pivotButton="0" quotePrefix="0" xfId="0"/>
    <xf numFmtId="0" fontId="1639" fillId="1641" borderId="1579" pivotButton="0" quotePrefix="0" xfId="0"/>
    <xf numFmtId="0" fontId="1640" fillId="1642" borderId="1580" pivotButton="0" quotePrefix="0" xfId="0"/>
    <xf numFmtId="0" fontId="1641" fillId="1643" borderId="1581" pivotButton="0" quotePrefix="0" xfId="0"/>
    <xf numFmtId="0" fontId="1642" fillId="1644" borderId="1582" pivotButton="0" quotePrefix="0" xfId="0"/>
    <xf numFmtId="0" fontId="1643" fillId="1645" borderId="1583" pivotButton="0" quotePrefix="0" xfId="0"/>
    <xf numFmtId="0" fontId="1644" fillId="1646" borderId="1584" pivotButton="0" quotePrefix="0" xfId="0"/>
    <xf numFmtId="0" fontId="1645" fillId="1647" borderId="1585" pivotButton="0" quotePrefix="0" xfId="0"/>
    <xf numFmtId="0" fontId="1646" fillId="1648" borderId="1586" applyAlignment="1" pivotButton="0" quotePrefix="0" xfId="0">
      <alignment horizontal="center" vertical="center"/>
    </xf>
    <xf numFmtId="0" fontId="1647" fillId="1649" borderId="1587" applyAlignment="1" pivotButton="0" quotePrefix="0" xfId="0">
      <alignment horizontal="center" vertical="center"/>
    </xf>
    <xf numFmtId="0" fontId="1648" fillId="1650" borderId="1588" applyAlignment="1" pivotButton="0" quotePrefix="0" xfId="0">
      <alignment horizontal="center" vertical="center"/>
    </xf>
    <xf numFmtId="0" fontId="1649" fillId="1651" borderId="1589" applyAlignment="1" pivotButton="0" quotePrefix="0" xfId="0">
      <alignment horizontal="center" vertical="center"/>
    </xf>
    <xf numFmtId="0" fontId="1650" fillId="1652" borderId="1590" applyAlignment="1" pivotButton="0" quotePrefix="0" xfId="0">
      <alignment horizontal="center" vertical="center"/>
    </xf>
    <xf numFmtId="0" fontId="1651" fillId="1653" borderId="1591" applyAlignment="1" pivotButton="0" quotePrefix="0" xfId="0">
      <alignment horizontal="center" vertical="center"/>
    </xf>
    <xf numFmtId="0" fontId="1652" fillId="1654" borderId="1592" applyAlignment="1" pivotButton="0" quotePrefix="0" xfId="0">
      <alignment horizontal="center" vertical="center"/>
    </xf>
    <xf numFmtId="0" fontId="1653" fillId="1655" borderId="1593" pivotButton="0" quotePrefix="0" xfId="0"/>
    <xf numFmtId="0" fontId="1654" fillId="1656" borderId="1594" pivotButton="0" quotePrefix="0" xfId="0"/>
    <xf numFmtId="0" fontId="1655" fillId="1657" borderId="1595" pivotButton="0" quotePrefix="0" xfId="0"/>
    <xf numFmtId="0" fontId="1656" fillId="1658" borderId="1596" pivotButton="0" quotePrefix="0" xfId="0"/>
    <xf numFmtId="0" fontId="1657" fillId="1659" borderId="1597" pivotButton="0" quotePrefix="0" xfId="0"/>
    <xf numFmtId="0" fontId="1658" fillId="1660" borderId="1598" pivotButton="0" quotePrefix="0" xfId="0"/>
    <xf numFmtId="0" fontId="1659" fillId="1661" borderId="1599" pivotButton="0" quotePrefix="0" xfId="0"/>
    <xf numFmtId="0" fontId="1660" fillId="1662" borderId="1600" pivotButton="0" quotePrefix="0" xfId="0"/>
    <xf numFmtId="0" fontId="1661" fillId="1663" borderId="1601" applyAlignment="1" pivotButton="0" quotePrefix="0" xfId="0">
      <alignment horizontal="center" vertical="center"/>
    </xf>
    <xf numFmtId="0" fontId="1662" fillId="1664" borderId="1602" applyAlignment="1" pivotButton="0" quotePrefix="0" xfId="0">
      <alignment horizontal="center" vertical="center"/>
    </xf>
    <xf numFmtId="0" fontId="1663" fillId="1665" borderId="1603" applyAlignment="1" pivotButton="0" quotePrefix="0" xfId="0">
      <alignment horizontal="center" vertical="center"/>
    </xf>
    <xf numFmtId="0" fontId="1664" fillId="1666" borderId="1604" applyAlignment="1" pivotButton="0" quotePrefix="0" xfId="0">
      <alignment horizontal="center" vertical="center"/>
    </xf>
    <xf numFmtId="0" fontId="1665" fillId="1667" borderId="1605" applyAlignment="1" pivotButton="0" quotePrefix="0" xfId="0">
      <alignment horizontal="center" vertical="center"/>
    </xf>
    <xf numFmtId="0" fontId="1666" fillId="1668" borderId="1606" applyAlignment="1" pivotButton="0" quotePrefix="0" xfId="0">
      <alignment horizontal="center" vertical="center"/>
    </xf>
    <xf numFmtId="0" fontId="1667" fillId="1669" borderId="1607" applyAlignment="1" pivotButton="0" quotePrefix="0" xfId="0">
      <alignment horizontal="center" vertical="center"/>
    </xf>
    <xf numFmtId="0" fontId="1668" fillId="1670" borderId="1608" pivotButton="0" quotePrefix="0" xfId="0"/>
    <xf numFmtId="0" fontId="1669" fillId="1671" borderId="1609" pivotButton="0" quotePrefix="0" xfId="0"/>
    <xf numFmtId="0" fontId="1670" fillId="1672" borderId="1610" pivotButton="0" quotePrefix="0" xfId="0"/>
    <xf numFmtId="0" fontId="1671" fillId="1673" borderId="1611" pivotButton="0" quotePrefix="0" xfId="0"/>
    <xf numFmtId="0" fontId="1672" fillId="1674" borderId="1612" pivotButton="0" quotePrefix="0" xfId="0"/>
    <xf numFmtId="0" fontId="1673" fillId="1675" borderId="1613" pivotButton="0" quotePrefix="0" xfId="0"/>
    <xf numFmtId="0" fontId="1674" fillId="1676" borderId="1614" pivotButton="0" quotePrefix="0" xfId="0"/>
    <xf numFmtId="0" fontId="1675" fillId="1677" borderId="1615" pivotButton="0" quotePrefix="0" xfId="0"/>
    <xf numFmtId="0" fontId="1676" fillId="1678" borderId="1616" applyAlignment="1" pivotButton="0" quotePrefix="0" xfId="0">
      <alignment horizontal="center" vertical="center"/>
    </xf>
    <xf numFmtId="0" fontId="1677" fillId="1679" borderId="1617" applyAlignment="1" pivotButton="0" quotePrefix="0" xfId="0">
      <alignment horizontal="center" vertical="center"/>
    </xf>
    <xf numFmtId="0" fontId="1678" fillId="1680" borderId="1618" applyAlignment="1" pivotButton="0" quotePrefix="0" xfId="0">
      <alignment horizontal="center" vertical="center"/>
    </xf>
    <xf numFmtId="0" fontId="1679" fillId="1681" borderId="1619" applyAlignment="1" pivotButton="0" quotePrefix="0" xfId="0">
      <alignment horizontal="center" vertical="center"/>
    </xf>
    <xf numFmtId="0" fontId="1680" fillId="1682" borderId="1620" applyAlignment="1" pivotButton="0" quotePrefix="0" xfId="0">
      <alignment horizontal="center" vertical="center"/>
    </xf>
    <xf numFmtId="0" fontId="1681" fillId="1683" borderId="1621" applyAlignment="1" pivotButton="0" quotePrefix="0" xfId="0">
      <alignment horizontal="center" vertical="center"/>
    </xf>
    <xf numFmtId="0" fontId="1682" fillId="1684" borderId="1622" applyAlignment="1" pivotButton="0" quotePrefix="0" xfId="0">
      <alignment horizontal="center" vertical="center"/>
    </xf>
    <xf numFmtId="0" fontId="1683" fillId="1685" borderId="1623" pivotButton="0" quotePrefix="0" xfId="0"/>
    <xf numFmtId="0" fontId="1684" fillId="1686" borderId="1624" pivotButton="0" quotePrefix="0" xfId="0"/>
    <xf numFmtId="0" fontId="1685" fillId="1687" borderId="1625" pivotButton="0" quotePrefix="0" xfId="0"/>
    <xf numFmtId="0" fontId="1686" fillId="1688" borderId="1626" pivotButton="0" quotePrefix="0" xfId="0"/>
    <xf numFmtId="0" fontId="1687" fillId="1689" borderId="1627" pivotButton="0" quotePrefix="0" xfId="0"/>
    <xf numFmtId="0" fontId="1688" fillId="1690" borderId="1628" pivotButton="0" quotePrefix="0" xfId="0"/>
    <xf numFmtId="0" fontId="1689" fillId="1691" borderId="1629" pivotButton="0" quotePrefix="0" xfId="0"/>
    <xf numFmtId="0" fontId="1690" fillId="1692" borderId="1630" pivotButton="0" quotePrefix="0" xfId="0"/>
    <xf numFmtId="0" fontId="1691" fillId="1693" borderId="1631" applyAlignment="1" pivotButton="0" quotePrefix="0" xfId="0">
      <alignment horizontal="center" vertical="center"/>
    </xf>
    <xf numFmtId="0" fontId="1692" fillId="1694" borderId="1632" applyAlignment="1" pivotButton="0" quotePrefix="0" xfId="0">
      <alignment horizontal="center" vertical="center"/>
    </xf>
    <xf numFmtId="0" fontId="1693" fillId="1695" borderId="1633" applyAlignment="1" pivotButton="0" quotePrefix="0" xfId="0">
      <alignment horizontal="center" vertical="center"/>
    </xf>
    <xf numFmtId="0" fontId="1694" fillId="1696" borderId="1634" applyAlignment="1" pivotButton="0" quotePrefix="0" xfId="0">
      <alignment horizontal="center" vertical="center"/>
    </xf>
    <xf numFmtId="0" fontId="1695" fillId="1697" borderId="1635" applyAlignment="1" pivotButton="0" quotePrefix="0" xfId="0">
      <alignment horizontal="center" vertical="center"/>
    </xf>
    <xf numFmtId="0" fontId="1696" fillId="1698" borderId="1636" applyAlignment="1" pivotButton="0" quotePrefix="0" xfId="0">
      <alignment horizontal="center" vertical="center"/>
    </xf>
    <xf numFmtId="0" fontId="1697" fillId="1699" borderId="1637" applyAlignment="1" pivotButton="0" quotePrefix="0" xfId="0">
      <alignment horizontal="center" vertical="center"/>
    </xf>
    <xf numFmtId="0" fontId="1698" fillId="1700" borderId="1638" pivotButton="0" quotePrefix="0" xfId="0"/>
    <xf numFmtId="0" fontId="1699" fillId="1701" borderId="1639" pivotButton="0" quotePrefix="0" xfId="0"/>
    <xf numFmtId="0" fontId="1700" fillId="1702" borderId="1640" pivotButton="0" quotePrefix="0" xfId="0"/>
    <xf numFmtId="0" fontId="1701" fillId="1703" borderId="1641" pivotButton="0" quotePrefix="0" xfId="0"/>
    <xf numFmtId="0" fontId="1702" fillId="1704" borderId="1642" pivotButton="0" quotePrefix="0" xfId="0"/>
    <xf numFmtId="0" fontId="1703" fillId="1705" borderId="1643" pivotButton="0" quotePrefix="0" xfId="0"/>
    <xf numFmtId="0" fontId="1704" fillId="1706" borderId="1644" pivotButton="0" quotePrefix="0" xfId="0"/>
    <xf numFmtId="0" fontId="1705" fillId="1707" borderId="1645" pivotButton="0" quotePrefix="0" xfId="0"/>
    <xf numFmtId="0" fontId="1706" fillId="1708" borderId="1646" applyAlignment="1" pivotButton="0" quotePrefix="0" xfId="0">
      <alignment horizontal="center" vertical="center"/>
    </xf>
    <xf numFmtId="0" fontId="1707" fillId="1709" borderId="1647" applyAlignment="1" pivotButton="0" quotePrefix="0" xfId="0">
      <alignment horizontal="center" vertical="center"/>
    </xf>
    <xf numFmtId="0" fontId="1708" fillId="1710" borderId="1648" applyAlignment="1" pivotButton="0" quotePrefix="0" xfId="0">
      <alignment horizontal="center" vertical="center"/>
    </xf>
    <xf numFmtId="0" fontId="1709" fillId="1711" borderId="1649" applyAlignment="1" pivotButton="0" quotePrefix="0" xfId="0">
      <alignment horizontal="center" vertical="center"/>
    </xf>
    <xf numFmtId="0" fontId="1710" fillId="1712" borderId="1650" applyAlignment="1" pivotButton="0" quotePrefix="0" xfId="0">
      <alignment horizontal="center" vertical="center"/>
    </xf>
    <xf numFmtId="0" fontId="1711" fillId="1713" borderId="1651" applyAlignment="1" pivotButton="0" quotePrefix="0" xfId="0">
      <alignment horizontal="center" vertical="center"/>
    </xf>
    <xf numFmtId="0" fontId="1712" fillId="1714" borderId="1652" applyAlignment="1" pivotButton="0" quotePrefix="0" xfId="0">
      <alignment horizontal="center" vertical="center"/>
    </xf>
    <xf numFmtId="0" fontId="1713" fillId="1715" borderId="1653" pivotButton="0" quotePrefix="0" xfId="0"/>
    <xf numFmtId="0" fontId="1714" fillId="1716" borderId="1654" pivotButton="0" quotePrefix="0" xfId="0"/>
    <xf numFmtId="0" fontId="1715" fillId="1717" borderId="1655" pivotButton="0" quotePrefix="0" xfId="0"/>
    <xf numFmtId="0" fontId="1716" fillId="1718" borderId="1656" pivotButton="0" quotePrefix="0" xfId="0"/>
    <xf numFmtId="0" fontId="1717" fillId="1719" borderId="1657" pivotButton="0" quotePrefix="0" xfId="0"/>
    <xf numFmtId="0" fontId="1718" fillId="1720" borderId="1658" pivotButton="0" quotePrefix="0" xfId="0"/>
    <xf numFmtId="0" fontId="1719" fillId="1721" borderId="1659" pivotButton="0" quotePrefix="0" xfId="0"/>
    <xf numFmtId="0" fontId="1720" fillId="1722" borderId="1660" pivotButton="0" quotePrefix="0" xfId="0"/>
    <xf numFmtId="0" fontId="1721" fillId="1723" borderId="1661" applyAlignment="1" pivotButton="0" quotePrefix="0" xfId="0">
      <alignment horizontal="center" vertical="center"/>
    </xf>
    <xf numFmtId="0" fontId="1722" fillId="1724" borderId="1662" applyAlignment="1" pivotButton="0" quotePrefix="0" xfId="0">
      <alignment horizontal="center" vertical="center"/>
    </xf>
    <xf numFmtId="0" fontId="1723" fillId="1725" borderId="1663" applyAlignment="1" pivotButton="0" quotePrefix="0" xfId="0">
      <alignment horizontal="center" vertical="center"/>
    </xf>
    <xf numFmtId="0" fontId="1724" fillId="1726" borderId="1664" applyAlignment="1" pivotButton="0" quotePrefix="0" xfId="0">
      <alignment horizontal="center" vertical="center"/>
    </xf>
    <xf numFmtId="0" fontId="1725" fillId="1727" borderId="1665" applyAlignment="1" pivotButton="0" quotePrefix="0" xfId="0">
      <alignment horizontal="center" vertical="center"/>
    </xf>
    <xf numFmtId="0" fontId="1726" fillId="1728" borderId="1666" applyAlignment="1" pivotButton="0" quotePrefix="0" xfId="0">
      <alignment horizontal="center" vertical="center"/>
    </xf>
    <xf numFmtId="0" fontId="1727" fillId="1729" borderId="1667" applyAlignment="1" pivotButton="0" quotePrefix="0" xfId="0">
      <alignment horizontal="center" vertical="center"/>
    </xf>
    <xf numFmtId="0" fontId="1728" fillId="1730" borderId="1668" pivotButton="0" quotePrefix="0" xfId="0"/>
    <xf numFmtId="0" fontId="1729" fillId="1731" borderId="1669" pivotButton="0" quotePrefix="0" xfId="0"/>
    <xf numFmtId="0" fontId="1730" fillId="1732" borderId="1670" pivotButton="0" quotePrefix="0" xfId="0"/>
    <xf numFmtId="0" fontId="1731" fillId="1733" borderId="1671" pivotButton="0" quotePrefix="0" xfId="0"/>
    <xf numFmtId="0" fontId="1732" fillId="1734" borderId="1672" pivotButton="0" quotePrefix="0" xfId="0"/>
    <xf numFmtId="0" fontId="1733" fillId="1735" borderId="1673" pivotButton="0" quotePrefix="0" xfId="0"/>
    <xf numFmtId="0" fontId="1734" fillId="1736" borderId="1674" pivotButton="0" quotePrefix="0" xfId="0"/>
    <xf numFmtId="0" fontId="1735" fillId="1737" borderId="1675" pivotButton="0" quotePrefix="0" xfId="0"/>
    <xf numFmtId="0" fontId="1736" fillId="1738" borderId="1676" applyAlignment="1" pivotButton="0" quotePrefix="0" xfId="0">
      <alignment horizontal="center" vertical="center"/>
    </xf>
    <xf numFmtId="0" fontId="1737" fillId="1739" borderId="1677" applyAlignment="1" pivotButton="0" quotePrefix="0" xfId="0">
      <alignment horizontal="center" vertical="center"/>
    </xf>
    <xf numFmtId="0" fontId="1738" fillId="1740" borderId="1678" applyAlignment="1" pivotButton="0" quotePrefix="0" xfId="0">
      <alignment horizontal="center" vertical="center"/>
    </xf>
    <xf numFmtId="0" fontId="1739" fillId="1741" borderId="1679" applyAlignment="1" pivotButton="0" quotePrefix="0" xfId="0">
      <alignment horizontal="center" vertical="center"/>
    </xf>
    <xf numFmtId="0" fontId="1740" fillId="1742" borderId="1680" applyAlignment="1" pivotButton="0" quotePrefix="0" xfId="0">
      <alignment horizontal="center" vertical="center"/>
    </xf>
    <xf numFmtId="0" fontId="1741" fillId="1743" borderId="1681" applyAlignment="1" pivotButton="0" quotePrefix="0" xfId="0">
      <alignment horizontal="center" vertical="center"/>
    </xf>
    <xf numFmtId="0" fontId="1742" fillId="1744" borderId="1682" applyAlignment="1" pivotButton="0" quotePrefix="0" xfId="0">
      <alignment horizontal="center" vertical="center"/>
    </xf>
    <xf numFmtId="0" fontId="1743" fillId="1745" borderId="1683" pivotButton="0" quotePrefix="0" xfId="0"/>
    <xf numFmtId="0" fontId="1744" fillId="1746" borderId="1684" pivotButton="0" quotePrefix="0" xfId="0"/>
    <xf numFmtId="0" fontId="1745" fillId="1747" borderId="1685" pivotButton="0" quotePrefix="0" xfId="0"/>
    <xf numFmtId="0" fontId="1746" fillId="1748" borderId="1686" pivotButton="0" quotePrefix="0" xfId="0"/>
    <xf numFmtId="0" fontId="1747" fillId="1749" borderId="1687" pivotButton="0" quotePrefix="0" xfId="0"/>
    <xf numFmtId="0" fontId="1748" fillId="1750" borderId="1688" pivotButton="0" quotePrefix="0" xfId="0"/>
    <xf numFmtId="0" fontId="1749" fillId="1751" borderId="1689" pivotButton="0" quotePrefix="0" xfId="0"/>
    <xf numFmtId="0" fontId="1750" fillId="1752" borderId="1690" pivotButton="0" quotePrefix="0" xfId="0"/>
    <xf numFmtId="0" fontId="1751" fillId="1753" borderId="1691" applyAlignment="1" pivotButton="0" quotePrefix="0" xfId="0">
      <alignment horizontal="center" vertical="center"/>
    </xf>
    <xf numFmtId="0" fontId="1752" fillId="1754" borderId="1692" applyAlignment="1" pivotButton="0" quotePrefix="0" xfId="0">
      <alignment horizontal="center" vertical="center"/>
    </xf>
    <xf numFmtId="0" fontId="1753" fillId="1755" borderId="1693" applyAlignment="1" pivotButton="0" quotePrefix="0" xfId="0">
      <alignment horizontal="center" vertical="center"/>
    </xf>
    <xf numFmtId="0" fontId="1754" fillId="1756" borderId="1694" applyAlignment="1" pivotButton="0" quotePrefix="0" xfId="0">
      <alignment horizontal="center" vertical="center"/>
    </xf>
    <xf numFmtId="0" fontId="1755" fillId="1757" borderId="1695" applyAlignment="1" pivotButton="0" quotePrefix="0" xfId="0">
      <alignment horizontal="center" vertical="center"/>
    </xf>
    <xf numFmtId="0" fontId="1756" fillId="1758" borderId="1696" applyAlignment="1" pivotButton="0" quotePrefix="0" xfId="0">
      <alignment horizontal="center" vertical="center"/>
    </xf>
    <xf numFmtId="0" fontId="1757" fillId="1759" borderId="1697" applyAlignment="1" pivotButton="0" quotePrefix="0" xfId="0">
      <alignment horizontal="center" vertical="center"/>
    </xf>
    <xf numFmtId="0" fontId="1758" fillId="1760" borderId="1698" pivotButton="0" quotePrefix="0" xfId="0"/>
    <xf numFmtId="0" fontId="1759" fillId="1761" borderId="1699" pivotButton="0" quotePrefix="0" xfId="0"/>
    <xf numFmtId="0" fontId="1760" fillId="1762" borderId="1700" pivotButton="0" quotePrefix="0" xfId="0"/>
    <xf numFmtId="0" fontId="1761" fillId="1763" borderId="1701" pivotButton="0" quotePrefix="0" xfId="0"/>
    <xf numFmtId="0" fontId="1762" fillId="1764" borderId="1702" pivotButton="0" quotePrefix="0" xfId="0"/>
    <xf numFmtId="0" fontId="1763" fillId="1765" borderId="1703" pivotButton="0" quotePrefix="0" xfId="0"/>
    <xf numFmtId="0" fontId="1764" fillId="1766" borderId="1704" pivotButton="0" quotePrefix="0" xfId="0"/>
    <xf numFmtId="0" fontId="1765" fillId="1767" borderId="1705" pivotButton="0" quotePrefix="0" xfId="0"/>
    <xf numFmtId="0" fontId="1766" fillId="1768" borderId="1706" applyAlignment="1" pivotButton="0" quotePrefix="0" xfId="0">
      <alignment horizontal="center" vertical="center"/>
    </xf>
    <xf numFmtId="0" fontId="1767" fillId="1769" borderId="1707" applyAlignment="1" pivotButton="0" quotePrefix="0" xfId="0">
      <alignment horizontal="center" vertical="center"/>
    </xf>
    <xf numFmtId="0" fontId="1768" fillId="1770" borderId="1708" applyAlignment="1" pivotButton="0" quotePrefix="0" xfId="0">
      <alignment horizontal="center" vertical="center"/>
    </xf>
    <xf numFmtId="0" fontId="1769" fillId="1771" borderId="1709" applyAlignment="1" pivotButton="0" quotePrefix="0" xfId="0">
      <alignment horizontal="center" vertical="center"/>
    </xf>
    <xf numFmtId="0" fontId="1770" fillId="1772" borderId="1710" applyAlignment="1" pivotButton="0" quotePrefix="0" xfId="0">
      <alignment horizontal="center" vertical="center"/>
    </xf>
    <xf numFmtId="0" fontId="1771" fillId="1773" borderId="1711" applyAlignment="1" pivotButton="0" quotePrefix="0" xfId="0">
      <alignment horizontal="center" vertical="center"/>
    </xf>
    <xf numFmtId="0" fontId="1772" fillId="1774" borderId="1712" applyAlignment="1" pivotButton="0" quotePrefix="0" xfId="0">
      <alignment horizontal="center" vertical="center"/>
    </xf>
    <xf numFmtId="0" fontId="1773" fillId="1775" borderId="1713" pivotButton="0" quotePrefix="0" xfId="0"/>
    <xf numFmtId="0" fontId="1774" fillId="1776" borderId="1714" pivotButton="0" quotePrefix="0" xfId="0"/>
    <xf numFmtId="0" fontId="1775" fillId="1777" borderId="1715" pivotButton="0" quotePrefix="0" xfId="0"/>
    <xf numFmtId="0" fontId="1776" fillId="1778" borderId="1716" pivotButton="0" quotePrefix="0" xfId="0"/>
    <xf numFmtId="0" fontId="1777" fillId="1779" borderId="1717" pivotButton="0" quotePrefix="0" xfId="0"/>
    <xf numFmtId="0" fontId="1778" fillId="1780" borderId="1718" pivotButton="0" quotePrefix="0" xfId="0"/>
    <xf numFmtId="0" fontId="1779" fillId="1781" borderId="1719" pivotButton="0" quotePrefix="0" xfId="0"/>
    <xf numFmtId="0" fontId="1780" fillId="1782" borderId="1720" pivotButton="0" quotePrefix="0" xfId="0"/>
    <xf numFmtId="0" fontId="1781" fillId="1783" borderId="1721" applyAlignment="1" pivotButton="0" quotePrefix="0" xfId="0">
      <alignment horizontal="center" vertical="center"/>
    </xf>
    <xf numFmtId="0" fontId="1782" fillId="1784" borderId="1722" applyAlignment="1" pivotButton="0" quotePrefix="0" xfId="0">
      <alignment horizontal="center" vertical="center"/>
    </xf>
    <xf numFmtId="0" fontId="1783" fillId="1785" borderId="1723" applyAlignment="1" pivotButton="0" quotePrefix="0" xfId="0">
      <alignment horizontal="center" vertical="center"/>
    </xf>
    <xf numFmtId="0" fontId="1784" fillId="1786" borderId="1724" applyAlignment="1" pivotButton="0" quotePrefix="0" xfId="0">
      <alignment horizontal="center" vertical="center"/>
    </xf>
    <xf numFmtId="0" fontId="1785" fillId="1787" borderId="1725" applyAlignment="1" pivotButton="0" quotePrefix="0" xfId="0">
      <alignment horizontal="center" vertical="center"/>
    </xf>
    <xf numFmtId="0" fontId="1786" fillId="1788" borderId="1726" applyAlignment="1" pivotButton="0" quotePrefix="0" xfId="0">
      <alignment horizontal="center" vertical="center"/>
    </xf>
    <xf numFmtId="0" fontId="1787" fillId="1789" borderId="1727" applyAlignment="1" pivotButton="0" quotePrefix="0" xfId="0">
      <alignment horizontal="center" vertical="center"/>
    </xf>
    <xf numFmtId="0" fontId="1788" fillId="1790" borderId="1728" pivotButton="0" quotePrefix="0" xfId="0"/>
    <xf numFmtId="0" fontId="1789" fillId="1791" borderId="1729" pivotButton="0" quotePrefix="0" xfId="0"/>
    <xf numFmtId="0" fontId="1790" fillId="1792" borderId="1730" pivotButton="0" quotePrefix="0" xfId="0"/>
    <xf numFmtId="0" fontId="1791" fillId="1793" borderId="1731" pivotButton="0" quotePrefix="0" xfId="0"/>
    <xf numFmtId="0" fontId="1792" fillId="1794" borderId="1732" pivotButton="0" quotePrefix="0" xfId="0"/>
    <xf numFmtId="0" fontId="1793" fillId="1795" borderId="1733" pivotButton="0" quotePrefix="0" xfId="0"/>
    <xf numFmtId="0" fontId="1794" fillId="1796" borderId="1734" pivotButton="0" quotePrefix="0" xfId="0"/>
    <xf numFmtId="0" fontId="1795" fillId="1797" borderId="1735" pivotButton="0" quotePrefix="0" xfId="0"/>
    <xf numFmtId="0" fontId="1796" fillId="1798" borderId="1736" applyAlignment="1" pivotButton="0" quotePrefix="0" xfId="0">
      <alignment horizontal="center" vertical="center"/>
    </xf>
    <xf numFmtId="0" fontId="1797" fillId="1799" borderId="1737" applyAlignment="1" pivotButton="0" quotePrefix="0" xfId="0">
      <alignment horizontal="center" vertical="center"/>
    </xf>
    <xf numFmtId="0" fontId="1798" fillId="1800" borderId="1738" applyAlignment="1" pivotButton="0" quotePrefix="0" xfId="0">
      <alignment horizontal="center" vertical="center"/>
    </xf>
    <xf numFmtId="0" fontId="1799" fillId="1801" borderId="1739" applyAlignment="1" pivotButton="0" quotePrefix="0" xfId="0">
      <alignment horizontal="center" vertical="center"/>
    </xf>
    <xf numFmtId="0" fontId="1800" fillId="1802" borderId="1740" applyAlignment="1" pivotButton="0" quotePrefix="0" xfId="0">
      <alignment horizontal="center" vertical="center"/>
    </xf>
    <xf numFmtId="0" fontId="1801" fillId="1803" borderId="1741" applyAlignment="1" pivotButton="0" quotePrefix="0" xfId="0">
      <alignment horizontal="center" vertical="center"/>
    </xf>
    <xf numFmtId="0" fontId="1802" fillId="1804" borderId="1742" applyAlignment="1" pivotButton="0" quotePrefix="0" xfId="0">
      <alignment horizontal="center" vertical="center"/>
    </xf>
    <xf numFmtId="0" fontId="1803" fillId="1805" borderId="1743" pivotButton="0" quotePrefix="0" xfId="0"/>
    <xf numFmtId="0" fontId="1804" fillId="1806" borderId="1744" pivotButton="0" quotePrefix="0" xfId="0"/>
    <xf numFmtId="0" fontId="1805" fillId="1807" borderId="1745" pivotButton="0" quotePrefix="0" xfId="0"/>
    <xf numFmtId="0" fontId="1806" fillId="1808" borderId="1746" pivotButton="0" quotePrefix="0" xfId="0"/>
    <xf numFmtId="0" fontId="1807" fillId="1809" borderId="1747" pivotButton="0" quotePrefix="0" xfId="0"/>
    <xf numFmtId="0" fontId="1808" fillId="1810" borderId="1748" pivotButton="0" quotePrefix="0" xfId="0"/>
    <xf numFmtId="0" fontId="1809" fillId="1811" borderId="1749" pivotButton="0" quotePrefix="0" xfId="0"/>
    <xf numFmtId="0" fontId="1810" fillId="1812" borderId="1750" pivotButton="0" quotePrefix="0" xfId="0"/>
    <xf numFmtId="0" fontId="1811" fillId="1813" borderId="1751" applyAlignment="1" pivotButton="0" quotePrefix="0" xfId="0">
      <alignment horizontal="center" vertical="center"/>
    </xf>
    <xf numFmtId="0" fontId="1812" fillId="1814" borderId="1752" applyAlignment="1" pivotButton="0" quotePrefix="0" xfId="0">
      <alignment horizontal="center" vertical="center"/>
    </xf>
    <xf numFmtId="0" fontId="1813" fillId="1815" borderId="1753" applyAlignment="1" pivotButton="0" quotePrefix="0" xfId="0">
      <alignment horizontal="center" vertical="center"/>
    </xf>
    <xf numFmtId="0" fontId="1814" fillId="1816" borderId="1754" applyAlignment="1" pivotButton="0" quotePrefix="0" xfId="0">
      <alignment horizontal="center" vertical="center"/>
    </xf>
    <xf numFmtId="0" fontId="1815" fillId="1817" borderId="1755" applyAlignment="1" pivotButton="0" quotePrefix="0" xfId="0">
      <alignment horizontal="center" vertical="center"/>
    </xf>
    <xf numFmtId="0" fontId="1816" fillId="1818" borderId="1756" applyAlignment="1" pivotButton="0" quotePrefix="0" xfId="0">
      <alignment horizontal="center" vertical="center"/>
    </xf>
    <xf numFmtId="0" fontId="1817" fillId="1819" borderId="1757" applyAlignment="1" pivotButton="0" quotePrefix="0" xfId="0">
      <alignment horizontal="center" vertical="center"/>
    </xf>
    <xf numFmtId="0" fontId="1818" fillId="1820" borderId="1758" pivotButton="0" quotePrefix="0" xfId="0"/>
    <xf numFmtId="0" fontId="1819" fillId="1821" borderId="1759" pivotButton="0" quotePrefix="0" xfId="0"/>
    <xf numFmtId="0" fontId="1820" fillId="1822" borderId="1760" pivotButton="0" quotePrefix="0" xfId="0"/>
    <xf numFmtId="0" fontId="1821" fillId="1823" borderId="1761" pivotButton="0" quotePrefix="0" xfId="0"/>
    <xf numFmtId="0" fontId="1822" fillId="1824" borderId="1762" pivotButton="0" quotePrefix="0" xfId="0"/>
    <xf numFmtId="0" fontId="1823" fillId="1825" borderId="1763" pivotButton="0" quotePrefix="0" xfId="0"/>
    <xf numFmtId="0" fontId="1824" fillId="1826" borderId="1764" pivotButton="0" quotePrefix="0" xfId="0"/>
    <xf numFmtId="0" fontId="1825" fillId="1827" borderId="1765" pivotButton="0" quotePrefix="0" xfId="0"/>
    <xf numFmtId="0" fontId="1826" fillId="1828" borderId="1766" applyAlignment="1" pivotButton="0" quotePrefix="0" xfId="0">
      <alignment horizontal="center" vertical="center"/>
    </xf>
    <xf numFmtId="0" fontId="1827" fillId="1829" borderId="1767" applyAlignment="1" pivotButton="0" quotePrefix="0" xfId="0">
      <alignment horizontal="center" vertical="center"/>
    </xf>
    <xf numFmtId="0" fontId="1828" fillId="1830" borderId="1768" applyAlignment="1" pivotButton="0" quotePrefix="0" xfId="0">
      <alignment horizontal="center" vertical="center"/>
    </xf>
    <xf numFmtId="0" fontId="1829" fillId="1831" borderId="1769" applyAlignment="1" pivotButton="0" quotePrefix="0" xfId="0">
      <alignment horizontal="center" vertical="center"/>
    </xf>
    <xf numFmtId="0" fontId="1830" fillId="1832" borderId="1770" applyAlignment="1" pivotButton="0" quotePrefix="0" xfId="0">
      <alignment horizontal="center" vertical="center"/>
    </xf>
    <xf numFmtId="0" fontId="1831" fillId="1833" borderId="1771" applyAlignment="1" pivotButton="0" quotePrefix="0" xfId="0">
      <alignment horizontal="center" vertical="center"/>
    </xf>
    <xf numFmtId="0" fontId="1832" fillId="1834" borderId="1772" applyAlignment="1" pivotButton="0" quotePrefix="0" xfId="0">
      <alignment horizontal="center" vertical="center"/>
    </xf>
    <xf numFmtId="0" fontId="1833" fillId="1835" borderId="1773" pivotButton="0" quotePrefix="0" xfId="0"/>
    <xf numFmtId="0" fontId="1834" fillId="1836" borderId="1774" pivotButton="0" quotePrefix="0" xfId="0"/>
    <xf numFmtId="0" fontId="1835" fillId="1837" borderId="1775" pivotButton="0" quotePrefix="0" xfId="0"/>
    <xf numFmtId="0" fontId="1836" fillId="1838" borderId="1776" pivotButton="0" quotePrefix="0" xfId="0"/>
    <xf numFmtId="0" fontId="1837" fillId="1839" borderId="1777" pivotButton="0" quotePrefix="0" xfId="0"/>
    <xf numFmtId="0" fontId="1838" fillId="1840" borderId="1778" pivotButton="0" quotePrefix="0" xfId="0"/>
    <xf numFmtId="0" fontId="1839" fillId="1841" borderId="1779" pivotButton="0" quotePrefix="0" xfId="0"/>
    <xf numFmtId="0" fontId="1840" fillId="1842" borderId="1780" pivotButton="0" quotePrefix="0" xfId="0"/>
    <xf numFmtId="0" fontId="1841" fillId="1843" borderId="1781" applyAlignment="1" pivotButton="0" quotePrefix="0" xfId="0">
      <alignment horizontal="center" vertical="center"/>
    </xf>
    <xf numFmtId="0" fontId="1842" fillId="1844" borderId="1782" applyAlignment="1" pivotButton="0" quotePrefix="0" xfId="0">
      <alignment horizontal="center" vertical="center"/>
    </xf>
    <xf numFmtId="0" fontId="1843" fillId="1845" borderId="1783" applyAlignment="1" pivotButton="0" quotePrefix="0" xfId="0">
      <alignment horizontal="center" vertical="center"/>
    </xf>
    <xf numFmtId="0" fontId="1844" fillId="1846" borderId="1784" applyAlignment="1" pivotButton="0" quotePrefix="0" xfId="0">
      <alignment horizontal="center" vertical="center"/>
    </xf>
    <xf numFmtId="0" fontId="1845" fillId="1847" borderId="1785" applyAlignment="1" pivotButton="0" quotePrefix="0" xfId="0">
      <alignment horizontal="center" vertical="center"/>
    </xf>
    <xf numFmtId="0" fontId="1846" fillId="1848" borderId="1786" applyAlignment="1" pivotButton="0" quotePrefix="0" xfId="0">
      <alignment horizontal="center" vertical="center"/>
    </xf>
    <xf numFmtId="0" fontId="1847" fillId="1849" borderId="1787" applyAlignment="1" pivotButton="0" quotePrefix="0" xfId="0">
      <alignment horizontal="center" vertical="center"/>
    </xf>
    <xf numFmtId="0" fontId="1848" fillId="1850" borderId="1788" pivotButton="0" quotePrefix="0" xfId="0"/>
    <xf numFmtId="0" fontId="1849" fillId="1851" borderId="1789" pivotButton="0" quotePrefix="0" xfId="0"/>
    <xf numFmtId="0" fontId="1850" fillId="1852" borderId="1790" pivotButton="0" quotePrefix="0" xfId="0"/>
    <xf numFmtId="0" fontId="1851" fillId="1853" borderId="1791" pivotButton="0" quotePrefix="0" xfId="0"/>
    <xf numFmtId="0" fontId="1852" fillId="1854" borderId="1792" pivotButton="0" quotePrefix="0" xfId="0"/>
    <xf numFmtId="0" fontId="1853" fillId="1855" borderId="1793" pivotButton="0" quotePrefix="0" xfId="0"/>
    <xf numFmtId="0" fontId="1854" fillId="1856" borderId="1794" pivotButton="0" quotePrefix="0" xfId="0"/>
    <xf numFmtId="0" fontId="1855" fillId="1857" borderId="1795" pivotButton="0" quotePrefix="0" xfId="0"/>
    <xf numFmtId="0" fontId="1856" fillId="1858" borderId="1796" applyAlignment="1" pivotButton="0" quotePrefix="0" xfId="0">
      <alignment horizontal="center" vertical="center"/>
    </xf>
    <xf numFmtId="0" fontId="1857" fillId="1859" borderId="1797" applyAlignment="1" pivotButton="0" quotePrefix="0" xfId="0">
      <alignment horizontal="center" vertical="center"/>
    </xf>
    <xf numFmtId="0" fontId="1858" fillId="1860" borderId="1798" applyAlignment="1" pivotButton="0" quotePrefix="0" xfId="0">
      <alignment horizontal="center" vertical="center"/>
    </xf>
    <xf numFmtId="0" fontId="1859" fillId="1861" borderId="1799" applyAlignment="1" pivotButton="0" quotePrefix="0" xfId="0">
      <alignment horizontal="center" vertical="center"/>
    </xf>
    <xf numFmtId="0" fontId="1860" fillId="1862" borderId="1800" applyAlignment="1" pivotButton="0" quotePrefix="0" xfId="0">
      <alignment horizontal="center" vertical="center"/>
    </xf>
    <xf numFmtId="0" fontId="1861" fillId="1863" borderId="1801" applyAlignment="1" pivotButton="0" quotePrefix="0" xfId="0">
      <alignment horizontal="center" vertical="center"/>
    </xf>
    <xf numFmtId="0" fontId="1862" fillId="1864" borderId="1802" applyAlignment="1" pivotButton="0" quotePrefix="0" xfId="0">
      <alignment horizontal="center" vertical="center"/>
    </xf>
    <xf numFmtId="0" fontId="1863" fillId="1865" borderId="1803" pivotButton="0" quotePrefix="0" xfId="0"/>
    <xf numFmtId="0" fontId="1864" fillId="1866" borderId="1804" pivotButton="0" quotePrefix="0" xfId="0"/>
    <xf numFmtId="0" fontId="1865" fillId="1867" borderId="1805" pivotButton="0" quotePrefix="0" xfId="0"/>
    <xf numFmtId="0" fontId="1866" fillId="1868" borderId="1806" pivotButton="0" quotePrefix="0" xfId="0"/>
    <xf numFmtId="0" fontId="1867" fillId="1869" borderId="1807" pivotButton="0" quotePrefix="0" xfId="0"/>
    <xf numFmtId="0" fontId="1868" fillId="1870" borderId="1808" pivotButton="0" quotePrefix="0" xfId="0"/>
    <xf numFmtId="0" fontId="1869" fillId="1871" borderId="1809" pivotButton="0" quotePrefix="0" xfId="0"/>
    <xf numFmtId="0" fontId="1870" fillId="1872" borderId="1810" pivotButton="0" quotePrefix="0" xfId="0"/>
    <xf numFmtId="0" fontId="1871" fillId="1873" borderId="1811" applyAlignment="1" pivotButton="0" quotePrefix="0" xfId="0">
      <alignment horizontal="center" vertical="center"/>
    </xf>
    <xf numFmtId="0" fontId="1872" fillId="1874" borderId="1812" applyAlignment="1" pivotButton="0" quotePrefix="0" xfId="0">
      <alignment horizontal="center" vertical="center"/>
    </xf>
    <xf numFmtId="0" fontId="1873" fillId="1875" borderId="1813" applyAlignment="1" pivotButton="0" quotePrefix="0" xfId="0">
      <alignment horizontal="center" vertical="center"/>
    </xf>
    <xf numFmtId="0" fontId="1874" fillId="1876" borderId="1814" applyAlignment="1" pivotButton="0" quotePrefix="0" xfId="0">
      <alignment horizontal="center" vertical="center"/>
    </xf>
    <xf numFmtId="0" fontId="1875" fillId="1877" borderId="1815" applyAlignment="1" pivotButton="0" quotePrefix="0" xfId="0">
      <alignment horizontal="center" vertical="center"/>
    </xf>
    <xf numFmtId="0" fontId="1876" fillId="1878" borderId="1816" applyAlignment="1" pivotButton="0" quotePrefix="0" xfId="0">
      <alignment horizontal="center" vertical="center"/>
    </xf>
    <xf numFmtId="0" fontId="1877" fillId="1879" borderId="1817" applyAlignment="1" pivotButton="0" quotePrefix="0" xfId="0">
      <alignment horizontal="center" vertical="center"/>
    </xf>
    <xf numFmtId="0" fontId="1878" fillId="1880" borderId="1818" pivotButton="0" quotePrefix="0" xfId="0"/>
    <xf numFmtId="0" fontId="1879" fillId="1881" borderId="1819" pivotButton="0" quotePrefix="0" xfId="0"/>
    <xf numFmtId="0" fontId="1880" fillId="1882" borderId="1820" pivotButton="0" quotePrefix="0" xfId="0"/>
    <xf numFmtId="0" fontId="1881" fillId="1883" borderId="1821" pivotButton="0" quotePrefix="0" xfId="0"/>
    <xf numFmtId="0" fontId="1882" fillId="1884" borderId="1822" pivotButton="0" quotePrefix="0" xfId="0"/>
    <xf numFmtId="0" fontId="1883" fillId="1885" borderId="1823" pivotButton="0" quotePrefix="0" xfId="0"/>
    <xf numFmtId="0" fontId="1884" fillId="1886" borderId="1824" pivotButton="0" quotePrefix="0" xfId="0"/>
    <xf numFmtId="0" fontId="1885" fillId="1887" borderId="1825" pivotButton="0" quotePrefix="0" xfId="0"/>
    <xf numFmtId="0" fontId="1886" fillId="1888" borderId="1826" applyAlignment="1" pivotButton="0" quotePrefix="0" xfId="0">
      <alignment horizontal="center" vertical="center"/>
    </xf>
    <xf numFmtId="0" fontId="1887" fillId="1889" borderId="1827" applyAlignment="1" pivotButton="0" quotePrefix="0" xfId="0">
      <alignment horizontal="center" vertical="center"/>
    </xf>
    <xf numFmtId="0" fontId="1888" fillId="1890" borderId="1828" applyAlignment="1" pivotButton="0" quotePrefix="0" xfId="0">
      <alignment horizontal="center" vertical="center"/>
    </xf>
    <xf numFmtId="0" fontId="1889" fillId="1891" borderId="1829" applyAlignment="1" pivotButton="0" quotePrefix="0" xfId="0">
      <alignment horizontal="center" vertical="center"/>
    </xf>
    <xf numFmtId="0" fontId="1890" fillId="1892" borderId="1830" applyAlignment="1" pivotButton="0" quotePrefix="0" xfId="0">
      <alignment horizontal="center" vertical="center"/>
    </xf>
    <xf numFmtId="0" fontId="1891" fillId="1893" borderId="1831" applyAlignment="1" pivotButton="0" quotePrefix="0" xfId="0">
      <alignment horizontal="center" vertical="center"/>
    </xf>
    <xf numFmtId="0" fontId="1892" fillId="1894" borderId="1832" applyAlignment="1" pivotButton="0" quotePrefix="0" xfId="0">
      <alignment horizontal="center" vertical="center"/>
    </xf>
    <xf numFmtId="0" fontId="1893" fillId="1895" borderId="1833" pivotButton="0" quotePrefix="0" xfId="0"/>
    <xf numFmtId="0" fontId="1894" fillId="1896" borderId="1834" pivotButton="0" quotePrefix="0" xfId="0"/>
    <xf numFmtId="0" fontId="1895" fillId="1897" borderId="1835" pivotButton="0" quotePrefix="0" xfId="0"/>
    <xf numFmtId="0" fontId="1896" fillId="1898" borderId="1836" pivotButton="0" quotePrefix="0" xfId="0"/>
    <xf numFmtId="0" fontId="1897" fillId="1899" borderId="1837" pivotButton="0" quotePrefix="0" xfId="0"/>
    <xf numFmtId="0" fontId="1898" fillId="1900" borderId="1838" pivotButton="0" quotePrefix="0" xfId="0"/>
    <xf numFmtId="0" fontId="1899" fillId="1901" borderId="1839" pivotButton="0" quotePrefix="0" xfId="0"/>
    <xf numFmtId="0" fontId="1900" fillId="1902" borderId="1840" pivotButton="0" quotePrefix="0" xfId="0"/>
    <xf numFmtId="0" fontId="1901" fillId="1903" borderId="1841" applyAlignment="1" pivotButton="0" quotePrefix="0" xfId="0">
      <alignment horizontal="center" vertical="center"/>
    </xf>
    <xf numFmtId="0" fontId="1902" fillId="1904" borderId="1842" applyAlignment="1" pivotButton="0" quotePrefix="0" xfId="0">
      <alignment horizontal="center" vertical="center"/>
    </xf>
    <xf numFmtId="0" fontId="1903" fillId="1905" borderId="1843" applyAlignment="1" pivotButton="0" quotePrefix="0" xfId="0">
      <alignment horizontal="center" vertical="center"/>
    </xf>
    <xf numFmtId="0" fontId="1904" fillId="1906" borderId="1844" applyAlignment="1" pivotButton="0" quotePrefix="0" xfId="0">
      <alignment horizontal="center" vertical="center"/>
    </xf>
    <xf numFmtId="0" fontId="1905" fillId="1907" borderId="1845" applyAlignment="1" pivotButton="0" quotePrefix="0" xfId="0">
      <alignment horizontal="center" vertical="center"/>
    </xf>
    <xf numFmtId="0" fontId="1906" fillId="1908" borderId="1846" applyAlignment="1" pivotButton="0" quotePrefix="0" xfId="0">
      <alignment horizontal="center" vertical="center"/>
    </xf>
    <xf numFmtId="0" fontId="1907" fillId="1909" borderId="1847" applyAlignment="1" pivotButton="0" quotePrefix="0" xfId="0">
      <alignment horizontal="center" vertical="center"/>
    </xf>
    <xf numFmtId="0" fontId="1908" fillId="1910" borderId="1848" pivotButton="0" quotePrefix="0" xfId="0"/>
    <xf numFmtId="0" fontId="1909" fillId="1911" borderId="1849" pivotButton="0" quotePrefix="0" xfId="0"/>
    <xf numFmtId="0" fontId="1910" fillId="1912" borderId="1850" pivotButton="0" quotePrefix="0" xfId="0"/>
    <xf numFmtId="0" fontId="1911" fillId="1913" borderId="1851" pivotButton="0" quotePrefix="0" xfId="0"/>
    <xf numFmtId="0" fontId="1912" fillId="1914" borderId="1852" pivotButton="0" quotePrefix="0" xfId="0"/>
    <xf numFmtId="0" fontId="1913" fillId="1915" borderId="1853" pivotButton="0" quotePrefix="0" xfId="0"/>
    <xf numFmtId="0" fontId="1914" fillId="1916" borderId="1854" pivotButton="0" quotePrefix="0" xfId="0"/>
    <xf numFmtId="0" fontId="1915" fillId="1917" borderId="1855" pivotButton="0" quotePrefix="0" xfId="0"/>
    <xf numFmtId="0" fontId="1916" fillId="1918" borderId="1856" applyAlignment="1" pivotButton="0" quotePrefix="0" xfId="0">
      <alignment horizontal="center" vertical="center"/>
    </xf>
    <xf numFmtId="0" fontId="1917" fillId="1919" borderId="1857" applyAlignment="1" pivotButton="0" quotePrefix="0" xfId="0">
      <alignment horizontal="center" vertical="center"/>
    </xf>
    <xf numFmtId="0" fontId="1918" fillId="1920" borderId="1858" applyAlignment="1" pivotButton="0" quotePrefix="0" xfId="0">
      <alignment horizontal="center" vertical="center"/>
    </xf>
    <xf numFmtId="0" fontId="1919" fillId="1921" borderId="1859" applyAlignment="1" pivotButton="0" quotePrefix="0" xfId="0">
      <alignment horizontal="center" vertical="center"/>
    </xf>
    <xf numFmtId="0" fontId="1920" fillId="1922" borderId="1860" applyAlignment="1" pivotButton="0" quotePrefix="0" xfId="0">
      <alignment horizontal="center" vertical="center"/>
    </xf>
    <xf numFmtId="0" fontId="1921" fillId="1923" borderId="1861" applyAlignment="1" pivotButton="0" quotePrefix="0" xfId="0">
      <alignment horizontal="center" vertical="center"/>
    </xf>
    <xf numFmtId="0" fontId="1922" fillId="1924" borderId="1862" applyAlignment="1" pivotButton="0" quotePrefix="0" xfId="0">
      <alignment horizontal="center" vertical="center"/>
    </xf>
    <xf numFmtId="0" fontId="1923" fillId="1925" borderId="1863" pivotButton="0" quotePrefix="0" xfId="0"/>
    <xf numFmtId="0" fontId="1924" fillId="1926" borderId="1864" pivotButton="0" quotePrefix="0" xfId="0"/>
    <xf numFmtId="0" fontId="1925" fillId="1927" borderId="1865" pivotButton="0" quotePrefix="0" xfId="0"/>
    <xf numFmtId="0" fontId="1926" fillId="1928" borderId="1866" pivotButton="0" quotePrefix="0" xfId="0"/>
    <xf numFmtId="0" fontId="1927" fillId="1929" borderId="1867" pivotButton="0" quotePrefix="0" xfId="0"/>
    <xf numFmtId="0" fontId="1928" fillId="1930" borderId="1868" pivotButton="0" quotePrefix="0" xfId="0"/>
    <xf numFmtId="0" fontId="1929" fillId="1931" borderId="1869" pivotButton="0" quotePrefix="0" xfId="0"/>
    <xf numFmtId="0" fontId="1930" fillId="1932" borderId="1870" pivotButton="0" quotePrefix="0" xfId="0"/>
    <xf numFmtId="0" fontId="1931" fillId="1933" borderId="1871" applyAlignment="1" pivotButton="0" quotePrefix="0" xfId="0">
      <alignment horizontal="center" vertical="center"/>
    </xf>
    <xf numFmtId="0" fontId="1932" fillId="1934" borderId="1872" applyAlignment="1" pivotButton="0" quotePrefix="0" xfId="0">
      <alignment horizontal="center" vertical="center"/>
    </xf>
    <xf numFmtId="0" fontId="1933" fillId="1935" borderId="1873" applyAlignment="1" pivotButton="0" quotePrefix="0" xfId="0">
      <alignment horizontal="center" vertical="center"/>
    </xf>
    <xf numFmtId="0" fontId="1934" fillId="1936" borderId="1874" applyAlignment="1" pivotButton="0" quotePrefix="0" xfId="0">
      <alignment horizontal="center" vertical="center"/>
    </xf>
    <xf numFmtId="0" fontId="1935" fillId="1937" borderId="1875" applyAlignment="1" pivotButton="0" quotePrefix="0" xfId="0">
      <alignment horizontal="center" vertical="center"/>
    </xf>
    <xf numFmtId="0" fontId="1936" fillId="1938" borderId="1876" applyAlignment="1" pivotButton="0" quotePrefix="0" xfId="0">
      <alignment horizontal="center" vertical="center"/>
    </xf>
    <xf numFmtId="0" fontId="1937" fillId="1939" borderId="1877" applyAlignment="1" pivotButton="0" quotePrefix="0" xfId="0">
      <alignment horizontal="center" vertical="center"/>
    </xf>
    <xf numFmtId="0" fontId="1938" fillId="1940" borderId="1878" pivotButton="0" quotePrefix="0" xfId="0"/>
    <xf numFmtId="0" fontId="1939" fillId="1941" borderId="1879" pivotButton="0" quotePrefix="0" xfId="0"/>
    <xf numFmtId="0" fontId="1940" fillId="1942" borderId="1880" pivotButton="0" quotePrefix="0" xfId="0"/>
    <xf numFmtId="0" fontId="1941" fillId="1943" borderId="1881" pivotButton="0" quotePrefix="0" xfId="0"/>
    <xf numFmtId="0" fontId="1942" fillId="1944" borderId="1882" pivotButton="0" quotePrefix="0" xfId="0"/>
    <xf numFmtId="0" fontId="1943" fillId="1945" borderId="1883" pivotButton="0" quotePrefix="0" xfId="0"/>
    <xf numFmtId="0" fontId="1944" fillId="1946" borderId="1884" pivotButton="0" quotePrefix="0" xfId="0"/>
    <xf numFmtId="0" fontId="1945" fillId="1947" borderId="1885" pivotButton="0" quotePrefix="0" xfId="0"/>
    <xf numFmtId="0" fontId="1946" fillId="1948" borderId="1886" applyAlignment="1" pivotButton="0" quotePrefix="0" xfId="0">
      <alignment horizontal="center" vertical="center"/>
    </xf>
    <xf numFmtId="0" fontId="1947" fillId="1949" borderId="1887" applyAlignment="1" pivotButton="0" quotePrefix="0" xfId="0">
      <alignment horizontal="center" vertical="center"/>
    </xf>
    <xf numFmtId="0" fontId="1948" fillId="1950" borderId="1888" applyAlignment="1" pivotButton="0" quotePrefix="0" xfId="0">
      <alignment horizontal="center" vertical="center"/>
    </xf>
    <xf numFmtId="0" fontId="1949" fillId="1951" borderId="1889" applyAlignment="1" pivotButton="0" quotePrefix="0" xfId="0">
      <alignment horizontal="center" vertical="center"/>
    </xf>
    <xf numFmtId="0" fontId="1950" fillId="1952" borderId="1890" applyAlignment="1" pivotButton="0" quotePrefix="0" xfId="0">
      <alignment horizontal="center" vertical="center"/>
    </xf>
    <xf numFmtId="0" fontId="1951" fillId="1953" borderId="1891" applyAlignment="1" pivotButton="0" quotePrefix="0" xfId="0">
      <alignment horizontal="center" vertical="center"/>
    </xf>
    <xf numFmtId="0" fontId="1952" fillId="1954" borderId="1892" applyAlignment="1" pivotButton="0" quotePrefix="0" xfId="0">
      <alignment horizontal="center" vertical="center"/>
    </xf>
    <xf numFmtId="0" fontId="1953" fillId="1955" borderId="1893" pivotButton="0" quotePrefix="0" xfId="0"/>
    <xf numFmtId="0" fontId="1954" fillId="1956" borderId="1894" pivotButton="0" quotePrefix="0" xfId="0"/>
    <xf numFmtId="0" fontId="1955" fillId="1957" borderId="1895" pivotButton="0" quotePrefix="0" xfId="0"/>
    <xf numFmtId="0" fontId="1956" fillId="1958" borderId="1896" pivotButton="0" quotePrefix="0" xfId="0"/>
    <xf numFmtId="0" fontId="1957" fillId="1959" borderId="1897" pivotButton="0" quotePrefix="0" xfId="0"/>
    <xf numFmtId="0" fontId="1958" fillId="1960" borderId="1898" pivotButton="0" quotePrefix="0" xfId="0"/>
    <xf numFmtId="0" fontId="1959" fillId="1961" borderId="1899" pivotButton="0" quotePrefix="0" xfId="0"/>
    <xf numFmtId="0" fontId="1960" fillId="1962" borderId="1900" pivotButton="0" quotePrefix="0" xfId="0"/>
    <xf numFmtId="0" fontId="1961" fillId="1963" borderId="1901" applyAlignment="1" pivotButton="0" quotePrefix="0" xfId="0">
      <alignment horizontal="center" vertical="center"/>
    </xf>
    <xf numFmtId="0" fontId="1962" fillId="1964" borderId="1902" applyAlignment="1" pivotButton="0" quotePrefix="0" xfId="0">
      <alignment horizontal="center" vertical="center"/>
    </xf>
    <xf numFmtId="0" fontId="1963" fillId="1965" borderId="1903" applyAlignment="1" pivotButton="0" quotePrefix="0" xfId="0">
      <alignment horizontal="center" vertical="center"/>
    </xf>
    <xf numFmtId="0" fontId="1964" fillId="1966" borderId="1904" applyAlignment="1" pivotButton="0" quotePrefix="0" xfId="0">
      <alignment horizontal="center" vertical="center"/>
    </xf>
    <xf numFmtId="0" fontId="1965" fillId="1967" borderId="1905" applyAlignment="1" pivotButton="0" quotePrefix="0" xfId="0">
      <alignment horizontal="center" vertical="center"/>
    </xf>
    <xf numFmtId="0" fontId="1966" fillId="1968" borderId="1906" applyAlignment="1" pivotButton="0" quotePrefix="0" xfId="0">
      <alignment horizontal="center" vertical="center"/>
    </xf>
    <xf numFmtId="0" fontId="1967" fillId="1969" borderId="1907" applyAlignment="1" pivotButton="0" quotePrefix="0" xfId="0">
      <alignment horizontal="center" vertical="center"/>
    </xf>
    <xf numFmtId="0" fontId="1968" fillId="1970" borderId="1908" pivotButton="0" quotePrefix="0" xfId="0"/>
    <xf numFmtId="0" fontId="1969" fillId="1971" borderId="1909" pivotButton="0" quotePrefix="0" xfId="0"/>
    <xf numFmtId="0" fontId="1970" fillId="1972" borderId="1910" pivotButton="0" quotePrefix="0" xfId="0"/>
    <xf numFmtId="0" fontId="1971" fillId="1973" borderId="1911" pivotButton="0" quotePrefix="0" xfId="0"/>
    <xf numFmtId="0" fontId="1972" fillId="1974" borderId="1912" pivotButton="0" quotePrefix="0" xfId="0"/>
    <xf numFmtId="0" fontId="1973" fillId="1975" borderId="1913" pivotButton="0" quotePrefix="0" xfId="0"/>
    <xf numFmtId="0" fontId="1974" fillId="1976" borderId="1914" pivotButton="0" quotePrefix="0" xfId="0"/>
    <xf numFmtId="0" fontId="1975" fillId="1977" borderId="1915" pivotButton="0" quotePrefix="0" xfId="0"/>
    <xf numFmtId="0" fontId="1976" fillId="1978" borderId="1916" applyAlignment="1" pivotButton="0" quotePrefix="0" xfId="0">
      <alignment horizontal="center" vertical="center"/>
    </xf>
    <xf numFmtId="0" fontId="1977" fillId="1979" borderId="1917" applyAlignment="1" pivotButton="0" quotePrefix="0" xfId="0">
      <alignment horizontal="center" vertical="center"/>
    </xf>
    <xf numFmtId="0" fontId="1978" fillId="1980" borderId="1918" applyAlignment="1" pivotButton="0" quotePrefix="0" xfId="0">
      <alignment horizontal="center" vertical="center"/>
    </xf>
    <xf numFmtId="0" fontId="1979" fillId="1981" borderId="1919" applyAlignment="1" pivotButton="0" quotePrefix="0" xfId="0">
      <alignment horizontal="center" vertical="center"/>
    </xf>
    <xf numFmtId="0" fontId="1980" fillId="1982" borderId="1920" applyAlignment="1" pivotButton="0" quotePrefix="0" xfId="0">
      <alignment horizontal="center" vertical="center"/>
    </xf>
    <xf numFmtId="0" fontId="1981" fillId="1983" borderId="1921" applyAlignment="1" pivotButton="0" quotePrefix="0" xfId="0">
      <alignment horizontal="center" vertical="center"/>
    </xf>
    <xf numFmtId="0" fontId="1982" fillId="1984" borderId="1922" applyAlignment="1" pivotButton="0" quotePrefix="0" xfId="0">
      <alignment horizontal="center" vertical="center"/>
    </xf>
    <xf numFmtId="0" fontId="1983" fillId="1985" borderId="1923" pivotButton="0" quotePrefix="0" xfId="0"/>
    <xf numFmtId="0" fontId="1984" fillId="1986" borderId="1924" pivotButton="0" quotePrefix="0" xfId="0"/>
    <xf numFmtId="0" fontId="1985" fillId="1987" borderId="1925" pivotButton="0" quotePrefix="0" xfId="0"/>
    <xf numFmtId="0" fontId="1986" fillId="1988" borderId="1926" pivotButton="0" quotePrefix="0" xfId="0"/>
    <xf numFmtId="0" fontId="1987" fillId="1989" borderId="1927" pivotButton="0" quotePrefix="0" xfId="0"/>
    <xf numFmtId="0" fontId="1988" fillId="1990" borderId="1928" pivotButton="0" quotePrefix="0" xfId="0"/>
    <xf numFmtId="0" fontId="1989" fillId="1991" borderId="1929" pivotButton="0" quotePrefix="0" xfId="0"/>
    <xf numFmtId="0" fontId="1990" fillId="1992" borderId="1930" pivotButton="0" quotePrefix="0" xfId="0"/>
    <xf numFmtId="0" fontId="1991" fillId="1993" borderId="1931" applyAlignment="1" pivotButton="0" quotePrefix="0" xfId="0">
      <alignment horizontal="center" vertical="center"/>
    </xf>
    <xf numFmtId="0" fontId="1992" fillId="1994" borderId="1932" applyAlignment="1" pivotButton="0" quotePrefix="0" xfId="0">
      <alignment horizontal="center" vertical="center"/>
    </xf>
    <xf numFmtId="0" fontId="1993" fillId="1995" borderId="1933" applyAlignment="1" pivotButton="0" quotePrefix="0" xfId="0">
      <alignment horizontal="center" vertical="center"/>
    </xf>
    <xf numFmtId="0" fontId="1994" fillId="1996" borderId="1934" applyAlignment="1" pivotButton="0" quotePrefix="0" xfId="0">
      <alignment horizontal="center" vertical="center"/>
    </xf>
    <xf numFmtId="0" fontId="1995" fillId="1997" borderId="1935" applyAlignment="1" pivotButton="0" quotePrefix="0" xfId="0">
      <alignment horizontal="center" vertical="center"/>
    </xf>
    <xf numFmtId="0" fontId="1996" fillId="1998" borderId="1936" applyAlignment="1" pivotButton="0" quotePrefix="0" xfId="0">
      <alignment horizontal="center" vertical="center"/>
    </xf>
    <xf numFmtId="0" fontId="1997" fillId="1999" borderId="1937" applyAlignment="1" pivotButton="0" quotePrefix="0" xfId="0">
      <alignment horizontal="center" vertical="center"/>
    </xf>
    <xf numFmtId="0" fontId="1998" fillId="2000" borderId="1938" pivotButton="0" quotePrefix="0" xfId="0"/>
    <xf numFmtId="0" fontId="1999" fillId="2001" borderId="1939" pivotButton="0" quotePrefix="0" xfId="0"/>
    <xf numFmtId="0" fontId="2000" fillId="2002" borderId="1940" pivotButton="0" quotePrefix="0" xfId="0"/>
    <xf numFmtId="0" fontId="2001" fillId="2003" borderId="1941" pivotButton="0" quotePrefix="0" xfId="0"/>
    <xf numFmtId="0" fontId="2002" fillId="2004" borderId="1942" pivotButton="0" quotePrefix="0" xfId="0"/>
    <xf numFmtId="0" fontId="2003" fillId="2005" borderId="1943" pivotButton="0" quotePrefix="0" xfId="0"/>
    <xf numFmtId="0" fontId="2004" fillId="2006" borderId="1944" pivotButton="0" quotePrefix="0" xfId="0"/>
    <xf numFmtId="0" fontId="2005" fillId="2007" borderId="1945" pivotButton="0" quotePrefix="0" xfId="0"/>
    <xf numFmtId="0" fontId="2006" fillId="2008" borderId="1946" applyAlignment="1" pivotButton="0" quotePrefix="0" xfId="0">
      <alignment horizontal="center" vertical="center"/>
    </xf>
    <xf numFmtId="0" fontId="2007" fillId="2009" borderId="1947" applyAlignment="1" pivotButton="0" quotePrefix="0" xfId="0">
      <alignment horizontal="center" vertical="center"/>
    </xf>
    <xf numFmtId="0" fontId="2008" fillId="2010" borderId="1948" applyAlignment="1" pivotButton="0" quotePrefix="0" xfId="0">
      <alignment horizontal="center" vertical="center"/>
    </xf>
    <xf numFmtId="0" fontId="2009" fillId="2011" borderId="1949" applyAlignment="1" pivotButton="0" quotePrefix="0" xfId="0">
      <alignment horizontal="center" vertical="center"/>
    </xf>
    <xf numFmtId="0" fontId="2010" fillId="2012" borderId="1950" applyAlignment="1" pivotButton="0" quotePrefix="0" xfId="0">
      <alignment horizontal="center" vertical="center"/>
    </xf>
    <xf numFmtId="0" fontId="2011" fillId="2013" borderId="1951" applyAlignment="1" pivotButton="0" quotePrefix="0" xfId="0">
      <alignment horizontal="center" vertical="center"/>
    </xf>
    <xf numFmtId="0" fontId="2012" fillId="2014" borderId="1952" applyAlignment="1" pivotButton="0" quotePrefix="0" xfId="0">
      <alignment horizontal="center" vertical="center"/>
    </xf>
    <xf numFmtId="0" fontId="2013" fillId="2015" borderId="1953" pivotButton="0" quotePrefix="0" xfId="0"/>
    <xf numFmtId="0" fontId="2014" fillId="2016" borderId="1954" pivotButton="0" quotePrefix="0" xfId="0"/>
    <xf numFmtId="0" fontId="2015" fillId="2017" borderId="1955" pivotButton="0" quotePrefix="0" xfId="0"/>
    <xf numFmtId="0" fontId="2016" fillId="2018" borderId="1956" pivotButton="0" quotePrefix="0" xfId="0"/>
    <xf numFmtId="0" fontId="2017" fillId="2019" borderId="1957" pivotButton="0" quotePrefix="0" xfId="0"/>
    <xf numFmtId="0" fontId="2018" fillId="2020" borderId="1958" pivotButton="0" quotePrefix="0" xfId="0"/>
    <xf numFmtId="0" fontId="2019" fillId="2021" borderId="1959" pivotButton="0" quotePrefix="0" xfId="0"/>
    <xf numFmtId="0" fontId="2020" fillId="2022" borderId="1960" pivotButton="0" quotePrefix="0" xfId="0"/>
    <xf numFmtId="0" fontId="2021" fillId="2023" borderId="1961" applyAlignment="1" pivotButton="0" quotePrefix="0" xfId="0">
      <alignment horizontal="center" vertical="center"/>
    </xf>
    <xf numFmtId="0" fontId="2022" fillId="2024" borderId="1962" applyAlignment="1" pivotButton="0" quotePrefix="0" xfId="0">
      <alignment horizontal="center" vertical="center"/>
    </xf>
    <xf numFmtId="0" fontId="2023" fillId="2025" borderId="1963" applyAlignment="1" pivotButton="0" quotePrefix="0" xfId="0">
      <alignment horizontal="center" vertical="center"/>
    </xf>
    <xf numFmtId="0" fontId="2024" fillId="2026" borderId="1964" applyAlignment="1" pivotButton="0" quotePrefix="0" xfId="0">
      <alignment horizontal="center" vertical="center"/>
    </xf>
    <xf numFmtId="0" fontId="2025" fillId="2027" borderId="1965" applyAlignment="1" pivotButton="0" quotePrefix="0" xfId="0">
      <alignment horizontal="center" vertical="center"/>
    </xf>
    <xf numFmtId="0" fontId="2026" fillId="2028" borderId="1966" applyAlignment="1" pivotButton="0" quotePrefix="0" xfId="0">
      <alignment horizontal="center" vertical="center"/>
    </xf>
    <xf numFmtId="0" fontId="2027" fillId="2029" borderId="1967" applyAlignment="1" pivotButton="0" quotePrefix="0" xfId="0">
      <alignment horizontal="center" vertical="center"/>
    </xf>
    <xf numFmtId="0" fontId="2028" fillId="2030" borderId="1968" pivotButton="0" quotePrefix="0" xfId="0"/>
    <xf numFmtId="0" fontId="2029" fillId="2031" borderId="1969" pivotButton="0" quotePrefix="0" xfId="0"/>
    <xf numFmtId="0" fontId="2030" fillId="2032" borderId="1970" pivotButton="0" quotePrefix="0" xfId="0"/>
    <xf numFmtId="0" fontId="2031" fillId="2033" borderId="1971" pivotButton="0" quotePrefix="0" xfId="0"/>
    <xf numFmtId="0" fontId="2032" fillId="2034" borderId="1972" pivotButton="0" quotePrefix="0" xfId="0"/>
    <xf numFmtId="0" fontId="2033" fillId="2035" borderId="1973" pivotButton="0" quotePrefix="0" xfId="0"/>
    <xf numFmtId="0" fontId="2034" fillId="2036" borderId="1974" pivotButton="0" quotePrefix="0" xfId="0"/>
    <xf numFmtId="0" fontId="2035" fillId="2037" borderId="1975" pivotButton="0" quotePrefix="0" xfId="0"/>
    <xf numFmtId="0" fontId="2036" fillId="2038" borderId="1976" applyAlignment="1" pivotButton="0" quotePrefix="0" xfId="0">
      <alignment horizontal="center" vertical="center"/>
    </xf>
    <xf numFmtId="0" fontId="2037" fillId="2039" borderId="1977" applyAlignment="1" pivotButton="0" quotePrefix="0" xfId="0">
      <alignment horizontal="center" vertical="center"/>
    </xf>
    <xf numFmtId="0" fontId="2038" fillId="2040" borderId="1978" applyAlignment="1" pivotButton="0" quotePrefix="0" xfId="0">
      <alignment horizontal="center" vertical="center"/>
    </xf>
    <xf numFmtId="0" fontId="2039" fillId="2041" borderId="1979" applyAlignment="1" pivotButton="0" quotePrefix="0" xfId="0">
      <alignment horizontal="center" vertical="center"/>
    </xf>
    <xf numFmtId="0" fontId="2040" fillId="2042" borderId="1980" applyAlignment="1" pivotButton="0" quotePrefix="0" xfId="0">
      <alignment horizontal="center" vertical="center"/>
    </xf>
    <xf numFmtId="0" fontId="2041" fillId="2043" borderId="1981" applyAlignment="1" pivotButton="0" quotePrefix="0" xfId="0">
      <alignment horizontal="center" vertical="center"/>
    </xf>
    <xf numFmtId="0" fontId="2042" fillId="2044" borderId="1982" applyAlignment="1" pivotButton="0" quotePrefix="0" xfId="0">
      <alignment horizontal="center" vertical="center"/>
    </xf>
    <xf numFmtId="0" fontId="2043" fillId="2045" borderId="1983" applyAlignment="1" pivotButton="0" quotePrefix="0" xfId="0">
      <alignment horizontal="center" vertical="center"/>
    </xf>
    <xf numFmtId="0" fontId="2044" fillId="2046" borderId="1984" applyAlignment="1" pivotButton="0" quotePrefix="0" xfId="0">
      <alignment horizontal="center" vertical="center"/>
    </xf>
    <xf numFmtId="0" fontId="2045" fillId="2047" borderId="1985" applyAlignment="1" pivotButton="0" quotePrefix="0" xfId="0">
      <alignment horizontal="center" vertical="center"/>
    </xf>
    <xf numFmtId="0" fontId="2046" fillId="2048" borderId="1986" applyAlignment="1" pivotButton="0" quotePrefix="0" xfId="0">
      <alignment horizontal="center" vertical="center"/>
    </xf>
    <xf numFmtId="0" fontId="2047" fillId="2049" borderId="1987" applyAlignment="1" pivotButton="0" quotePrefix="0" xfId="0">
      <alignment horizontal="center" vertical="center"/>
    </xf>
    <xf numFmtId="0" fontId="2048" fillId="2050" borderId="1988" applyAlignment="1" pivotButton="0" quotePrefix="0" xfId="0">
      <alignment horizontal="center" vertical="center"/>
    </xf>
    <xf numFmtId="0" fontId="2049" fillId="2051" borderId="1989" applyAlignment="1" pivotButton="0" quotePrefix="0" xfId="0">
      <alignment horizontal="center" vertical="center"/>
    </xf>
    <xf numFmtId="0" fontId="2050" fillId="2052" borderId="1990" applyAlignment="1" pivotButton="0" quotePrefix="0" xfId="0">
      <alignment horizontal="center" vertical="center"/>
    </xf>
    <xf numFmtId="0" fontId="2051" fillId="2053" borderId="1991" applyAlignment="1" pivotButton="0" quotePrefix="0" xfId="0">
      <alignment horizontal="center" vertical="center"/>
    </xf>
    <xf numFmtId="0" fontId="2052" fillId="2054" borderId="1992" applyAlignment="1" pivotButton="0" quotePrefix="0" xfId="0">
      <alignment horizontal="center" vertical="center"/>
    </xf>
    <xf numFmtId="0" fontId="2053" fillId="2055" borderId="1993" applyAlignment="1" pivotButton="0" quotePrefix="0" xfId="0">
      <alignment horizontal="center" vertical="center"/>
    </xf>
    <xf numFmtId="0" fontId="2054" fillId="2056" borderId="1994" applyAlignment="1" pivotButton="0" quotePrefix="0" xfId="0">
      <alignment horizontal="center" vertical="center"/>
    </xf>
    <xf numFmtId="0" fontId="2055" fillId="2057" borderId="1995" applyAlignment="1" pivotButton="0" quotePrefix="0" xfId="0">
      <alignment horizontal="center" vertical="center"/>
    </xf>
    <xf numFmtId="0" fontId="2056" fillId="2058" borderId="1996" applyAlignment="1" pivotButton="0" quotePrefix="0" xfId="0">
      <alignment horizontal="center" vertical="center"/>
    </xf>
    <xf numFmtId="0" fontId="2057" fillId="2059" borderId="1997" applyAlignment="1" pivotButton="0" quotePrefix="0" xfId="0">
      <alignment horizontal="center" vertical="center"/>
    </xf>
    <xf numFmtId="0" fontId="2058" fillId="2060" borderId="1998" applyAlignment="1" pivotButton="0" quotePrefix="0" xfId="0">
      <alignment horizontal="center" vertical="center"/>
    </xf>
    <xf numFmtId="0" fontId="2059" fillId="2061" borderId="1999" applyAlignment="1" pivotButton="0" quotePrefix="0" xfId="0">
      <alignment horizontal="center" vertical="center"/>
    </xf>
    <xf numFmtId="0" fontId="2060" fillId="2062" borderId="2000" applyAlignment="1" pivotButton="0" quotePrefix="0" xfId="0">
      <alignment horizontal="center" vertical="center"/>
    </xf>
    <xf numFmtId="0" fontId="2061" fillId="2063" borderId="2001" applyAlignment="1" pivotButton="0" quotePrefix="0" xfId="0">
      <alignment horizontal="center" vertical="center"/>
    </xf>
    <xf numFmtId="0" fontId="2062" fillId="2064" borderId="2002" applyAlignment="1" pivotButton="0" quotePrefix="0" xfId="0">
      <alignment horizontal="center" vertical="center"/>
    </xf>
    <xf numFmtId="0" fontId="2063" fillId="2065" borderId="2003" applyAlignment="1" pivotButton="0" quotePrefix="0" xfId="0">
      <alignment horizontal="center" vertical="center"/>
    </xf>
    <xf numFmtId="0" fontId="2064" fillId="2066" borderId="2004" applyAlignment="1" pivotButton="0" quotePrefix="0" xfId="0">
      <alignment horizontal="center" vertical="center"/>
    </xf>
    <xf numFmtId="0" fontId="2065" fillId="2067" borderId="2005" applyAlignment="1" pivotButton="0" quotePrefix="0" xfId="0">
      <alignment horizontal="center" vertical="center"/>
    </xf>
    <xf numFmtId="0" fontId="2066" fillId="2068" borderId="2006" applyAlignment="1" pivotButton="0" quotePrefix="0" xfId="0">
      <alignment horizontal="center" vertical="center"/>
    </xf>
    <xf numFmtId="0" fontId="2067" fillId="2069" borderId="2007" applyAlignment="1" pivotButton="0" quotePrefix="0" xfId="0">
      <alignment horizontal="center" vertical="center"/>
    </xf>
    <xf numFmtId="0" fontId="2068" fillId="2070" borderId="2008" applyAlignment="1" pivotButton="0" quotePrefix="0" xfId="0">
      <alignment horizontal="center" vertical="center"/>
    </xf>
    <xf numFmtId="0" fontId="2069" fillId="2071" borderId="2009" applyAlignment="1" pivotButton="0" quotePrefix="0" xfId="0">
      <alignment horizontal="center" vertical="center"/>
    </xf>
    <xf numFmtId="0" fontId="2070" fillId="2072" borderId="2011" pivotButton="0" quotePrefix="0" xfId="0"/>
    <xf numFmtId="0" fontId="2071" fillId="2073" borderId="2012" applyAlignment="1" pivotButton="0" quotePrefix="0" xfId="0">
      <alignment horizontal="center" vertical="center"/>
    </xf>
    <xf numFmtId="0" fontId="2072" fillId="2074" borderId="2013" applyAlignment="1" pivotButton="0" quotePrefix="0" xfId="0">
      <alignment horizontal="left" vertical="center"/>
    </xf>
    <xf numFmtId="3" fontId="2073" fillId="2075" borderId="2014" applyAlignment="1" pivotButton="0" quotePrefix="0" xfId="0">
      <alignment horizontal="right" vertical="center"/>
    </xf>
    <xf numFmtId="3" fontId="2074" fillId="2076" borderId="2015" applyAlignment="1" pivotButton="0" quotePrefix="0" xfId="0">
      <alignment horizontal="right" vertical="center"/>
    </xf>
    <xf numFmtId="164" fontId="2075" fillId="2077" borderId="2016" applyAlignment="1" pivotButton="0" quotePrefix="0" xfId="0">
      <alignment horizontal="right" vertical="center"/>
    </xf>
    <xf numFmtId="164" fontId="2076" fillId="2078" borderId="2017" applyAlignment="1" pivotButton="0" quotePrefix="0" xfId="0">
      <alignment horizontal="right" vertical="center"/>
    </xf>
    <xf numFmtId="3" fontId="2077" fillId="2079" borderId="2018" applyAlignment="1" pivotButton="0" quotePrefix="0" xfId="0">
      <alignment horizontal="right" vertical="center"/>
    </xf>
    <xf numFmtId="2" fontId="2078" fillId="2080" borderId="2019" applyAlignment="1" pivotButton="0" quotePrefix="0" xfId="0">
      <alignment horizontal="right" vertical="center"/>
    </xf>
    <xf numFmtId="2" fontId="2079" fillId="2081" borderId="2020" applyAlignment="1" pivotButton="0" quotePrefix="0" xfId="0">
      <alignment horizontal="right" vertical="center"/>
    </xf>
    <xf numFmtId="0" fontId="2080" fillId="2082" borderId="2021" applyAlignment="1" pivotButton="0" quotePrefix="0" xfId="0">
      <alignment horizontal="center" vertical="center"/>
    </xf>
    <xf numFmtId="0" fontId="2081" fillId="2083" borderId="2022" pivotButton="0" quotePrefix="0" xfId="0"/>
    <xf numFmtId="0" fontId="2082" fillId="2084" borderId="2023" applyAlignment="1" pivotButton="0" quotePrefix="0" xfId="0">
      <alignment horizontal="center" vertical="center"/>
    </xf>
    <xf numFmtId="0" fontId="2083" fillId="2085" borderId="2024" applyAlignment="1" pivotButton="0" quotePrefix="0" xfId="0">
      <alignment horizontal="left" vertical="center"/>
    </xf>
    <xf numFmtId="3" fontId="2084" fillId="2086" borderId="2025" applyAlignment="1" pivotButton="0" quotePrefix="0" xfId="0">
      <alignment horizontal="right" vertical="center"/>
    </xf>
    <xf numFmtId="3" fontId="2085" fillId="2087" borderId="2026" applyAlignment="1" pivotButton="0" quotePrefix="0" xfId="0">
      <alignment horizontal="right" vertical="center"/>
    </xf>
    <xf numFmtId="164" fontId="2086" fillId="2088" borderId="2027" applyAlignment="1" pivotButton="0" quotePrefix="0" xfId="0">
      <alignment horizontal="right" vertical="center"/>
    </xf>
    <xf numFmtId="164" fontId="2087" fillId="2089" borderId="2028" applyAlignment="1" pivotButton="0" quotePrefix="0" xfId="0">
      <alignment horizontal="right" vertical="center"/>
    </xf>
    <xf numFmtId="3" fontId="2088" fillId="2090" borderId="2029" applyAlignment="1" pivotButton="0" quotePrefix="0" xfId="0">
      <alignment horizontal="right" vertical="center"/>
    </xf>
    <xf numFmtId="2" fontId="2089" fillId="2091" borderId="2030" applyAlignment="1" pivotButton="0" quotePrefix="0" xfId="0">
      <alignment horizontal="right" vertical="center"/>
    </xf>
    <xf numFmtId="2" fontId="2090" fillId="2092" borderId="2031" applyAlignment="1" pivotButton="0" quotePrefix="0" xfId="0">
      <alignment horizontal="right" vertical="center"/>
    </xf>
    <xf numFmtId="0" fontId="2091" fillId="2093" borderId="2032" applyAlignment="1" pivotButton="0" quotePrefix="0" xfId="0">
      <alignment horizontal="center" vertical="center"/>
    </xf>
    <xf numFmtId="0" fontId="2092" fillId="2094" borderId="2033" pivotButton="0" quotePrefix="0" xfId="0"/>
    <xf numFmtId="0" fontId="2093" fillId="2095" borderId="2034" applyAlignment="1" pivotButton="0" quotePrefix="0" xfId="0">
      <alignment horizontal="center" vertical="center"/>
    </xf>
    <xf numFmtId="0" fontId="2094" fillId="2096" borderId="2035" applyAlignment="1" pivotButton="0" quotePrefix="0" xfId="0">
      <alignment horizontal="left" vertical="center"/>
    </xf>
    <xf numFmtId="3" fontId="2095" fillId="2097" borderId="2036" applyAlignment="1" pivotButton="0" quotePrefix="0" xfId="0">
      <alignment horizontal="right" vertical="center"/>
    </xf>
    <xf numFmtId="3" fontId="2096" fillId="2098" borderId="2037" applyAlignment="1" pivotButton="0" quotePrefix="0" xfId="0">
      <alignment horizontal="right" vertical="center"/>
    </xf>
    <xf numFmtId="164" fontId="2097" fillId="2099" borderId="2038" applyAlignment="1" pivotButton="0" quotePrefix="0" xfId="0">
      <alignment horizontal="right" vertical="center"/>
    </xf>
    <xf numFmtId="164" fontId="2098" fillId="2100" borderId="2039" applyAlignment="1" pivotButton="0" quotePrefix="0" xfId="0">
      <alignment horizontal="right" vertical="center"/>
    </xf>
    <xf numFmtId="3" fontId="2099" fillId="2101" borderId="2040" applyAlignment="1" pivotButton="0" quotePrefix="0" xfId="0">
      <alignment horizontal="right" vertical="center"/>
    </xf>
    <xf numFmtId="2" fontId="2100" fillId="2102" borderId="2041" applyAlignment="1" pivotButton="0" quotePrefix="0" xfId="0">
      <alignment horizontal="right" vertical="center"/>
    </xf>
    <xf numFmtId="2" fontId="2101" fillId="2103" borderId="2042" applyAlignment="1" pivotButton="0" quotePrefix="0" xfId="0">
      <alignment horizontal="right" vertical="center"/>
    </xf>
    <xf numFmtId="0" fontId="2102" fillId="2104" borderId="2043" applyAlignment="1" pivotButton="0" quotePrefix="0" xfId="0">
      <alignment horizontal="center" vertical="center"/>
    </xf>
    <xf numFmtId="0" fontId="2103" fillId="2105" borderId="2044" pivotButton="0" quotePrefix="0" xfId="0"/>
    <xf numFmtId="0" fontId="2104" fillId="2106" borderId="2045" applyAlignment="1" pivotButton="0" quotePrefix="0" xfId="0">
      <alignment horizontal="center" vertical="center"/>
    </xf>
    <xf numFmtId="0" fontId="2105" fillId="2107" borderId="2046" applyAlignment="1" pivotButton="0" quotePrefix="0" xfId="0">
      <alignment horizontal="left" vertical="center"/>
    </xf>
    <xf numFmtId="3" fontId="2106" fillId="2108" borderId="2047" applyAlignment="1" pivotButton="0" quotePrefix="0" xfId="0">
      <alignment horizontal="right" vertical="center"/>
    </xf>
    <xf numFmtId="3" fontId="2107" fillId="2109" borderId="2048" applyAlignment="1" pivotButton="0" quotePrefix="0" xfId="0">
      <alignment horizontal="right" vertical="center"/>
    </xf>
    <xf numFmtId="164" fontId="2108" fillId="2110" borderId="2049" applyAlignment="1" pivotButton="0" quotePrefix="0" xfId="0">
      <alignment horizontal="right" vertical="center"/>
    </xf>
    <xf numFmtId="164" fontId="2109" fillId="2111" borderId="2050" applyAlignment="1" pivotButton="0" quotePrefix="0" xfId="0">
      <alignment horizontal="right" vertical="center"/>
    </xf>
    <xf numFmtId="3" fontId="2110" fillId="2112" borderId="2051" applyAlignment="1" pivotButton="0" quotePrefix="0" xfId="0">
      <alignment horizontal="right" vertical="center"/>
    </xf>
    <xf numFmtId="2" fontId="2111" fillId="2113" borderId="2052" applyAlignment="1" pivotButton="0" quotePrefix="0" xfId="0">
      <alignment horizontal="right" vertical="center"/>
    </xf>
    <xf numFmtId="2" fontId="2112" fillId="2114" borderId="2053" applyAlignment="1" pivotButton="0" quotePrefix="0" xfId="0">
      <alignment horizontal="right" vertical="center"/>
    </xf>
    <xf numFmtId="0" fontId="2113" fillId="2115" borderId="2054" applyAlignment="1" pivotButton="0" quotePrefix="0" xfId="0">
      <alignment horizontal="center" vertical="center"/>
    </xf>
    <xf numFmtId="0" fontId="2114" fillId="2116" borderId="2055" pivotButton="0" quotePrefix="0" xfId="0"/>
    <xf numFmtId="0" fontId="2115" fillId="2117" borderId="2056" applyAlignment="1" pivotButton="0" quotePrefix="0" xfId="0">
      <alignment horizontal="center" vertical="center"/>
    </xf>
    <xf numFmtId="0" fontId="2116" fillId="2118" borderId="2057" applyAlignment="1" pivotButton="0" quotePrefix="0" xfId="0">
      <alignment horizontal="left" vertical="center"/>
    </xf>
    <xf numFmtId="3" fontId="2117" fillId="2119" borderId="2058" applyAlignment="1" pivotButton="0" quotePrefix="0" xfId="0">
      <alignment horizontal="right" vertical="center"/>
    </xf>
    <xf numFmtId="3" fontId="2118" fillId="2120" borderId="2059" applyAlignment="1" pivotButton="0" quotePrefix="0" xfId="0">
      <alignment horizontal="right" vertical="center"/>
    </xf>
    <xf numFmtId="164" fontId="2119" fillId="2121" borderId="2060" applyAlignment="1" pivotButton="0" quotePrefix="0" xfId="0">
      <alignment horizontal="right" vertical="center"/>
    </xf>
    <xf numFmtId="164" fontId="2120" fillId="2122" borderId="2061" applyAlignment="1" pivotButton="0" quotePrefix="0" xfId="0">
      <alignment horizontal="right" vertical="center"/>
    </xf>
    <xf numFmtId="3" fontId="2121" fillId="2123" borderId="2062" applyAlignment="1" pivotButton="0" quotePrefix="0" xfId="0">
      <alignment horizontal="right" vertical="center"/>
    </xf>
    <xf numFmtId="2" fontId="2122" fillId="2124" borderId="2063" applyAlignment="1" pivotButton="0" quotePrefix="0" xfId="0">
      <alignment horizontal="right" vertical="center"/>
    </xf>
    <xf numFmtId="2" fontId="2123" fillId="2125" borderId="2064" applyAlignment="1" pivotButton="0" quotePrefix="0" xfId="0">
      <alignment horizontal="right" vertical="center"/>
    </xf>
    <xf numFmtId="0" fontId="2124" fillId="2126" borderId="2065" applyAlignment="1" pivotButton="0" quotePrefix="0" xfId="0">
      <alignment horizontal="center" vertical="center"/>
    </xf>
    <xf numFmtId="0" fontId="2125" fillId="2127" borderId="2066" pivotButton="0" quotePrefix="0" xfId="0"/>
    <xf numFmtId="0" fontId="2126" fillId="2128" borderId="2067" applyAlignment="1" pivotButton="0" quotePrefix="0" xfId="0">
      <alignment horizontal="center" vertical="center"/>
    </xf>
    <xf numFmtId="0" fontId="2127" fillId="2129" borderId="2068" applyAlignment="1" pivotButton="0" quotePrefix="0" xfId="0">
      <alignment horizontal="left" vertical="center"/>
    </xf>
    <xf numFmtId="3" fontId="2128" fillId="2130" borderId="2069" applyAlignment="1" pivotButton="0" quotePrefix="0" xfId="0">
      <alignment horizontal="right" vertical="center"/>
    </xf>
    <xf numFmtId="3" fontId="2129" fillId="2131" borderId="2070" applyAlignment="1" pivotButton="0" quotePrefix="0" xfId="0">
      <alignment horizontal="right" vertical="center"/>
    </xf>
    <xf numFmtId="164" fontId="2130" fillId="2132" borderId="2071" applyAlignment="1" pivotButton="0" quotePrefix="0" xfId="0">
      <alignment horizontal="right" vertical="center"/>
    </xf>
    <xf numFmtId="164" fontId="2131" fillId="2133" borderId="2072" applyAlignment="1" pivotButton="0" quotePrefix="0" xfId="0">
      <alignment horizontal="right" vertical="center"/>
    </xf>
    <xf numFmtId="3" fontId="2132" fillId="2134" borderId="2073" applyAlignment="1" pivotButton="0" quotePrefix="0" xfId="0">
      <alignment horizontal="right" vertical="center"/>
    </xf>
    <xf numFmtId="2" fontId="2133" fillId="2135" borderId="2074" applyAlignment="1" pivotButton="0" quotePrefix="0" xfId="0">
      <alignment horizontal="right" vertical="center"/>
    </xf>
    <xf numFmtId="2" fontId="2134" fillId="2136" borderId="2075" applyAlignment="1" pivotButton="0" quotePrefix="0" xfId="0">
      <alignment horizontal="right" vertical="center"/>
    </xf>
    <xf numFmtId="0" fontId="2135" fillId="2137" borderId="2076" applyAlignment="1" pivotButton="0" quotePrefix="0" xfId="0">
      <alignment horizontal="center" vertical="center"/>
    </xf>
    <xf numFmtId="0" fontId="2136" fillId="2138" borderId="2077" pivotButton="0" quotePrefix="0" xfId="0"/>
    <xf numFmtId="0" fontId="2137" fillId="2139" borderId="2078" applyAlignment="1" pivotButton="0" quotePrefix="0" xfId="0">
      <alignment horizontal="center" vertical="center"/>
    </xf>
    <xf numFmtId="0" fontId="2138" fillId="2140" borderId="2079" applyAlignment="1" pivotButton="0" quotePrefix="0" xfId="0">
      <alignment horizontal="left" vertical="center"/>
    </xf>
    <xf numFmtId="3" fontId="2139" fillId="2141" borderId="2080" applyAlignment="1" pivotButton="0" quotePrefix="0" xfId="0">
      <alignment horizontal="right" vertical="center"/>
    </xf>
    <xf numFmtId="3" fontId="2140" fillId="2142" borderId="2081" applyAlignment="1" pivotButton="0" quotePrefix="0" xfId="0">
      <alignment horizontal="right" vertical="center"/>
    </xf>
    <xf numFmtId="164" fontId="2141" fillId="2143" borderId="2082" applyAlignment="1" pivotButton="0" quotePrefix="0" xfId="0">
      <alignment horizontal="right" vertical="center"/>
    </xf>
    <xf numFmtId="164" fontId="2142" fillId="2144" borderId="2083" applyAlignment="1" pivotButton="0" quotePrefix="0" xfId="0">
      <alignment horizontal="right" vertical="center"/>
    </xf>
    <xf numFmtId="3" fontId="2143" fillId="2145" borderId="2084" applyAlignment="1" pivotButton="0" quotePrefix="0" xfId="0">
      <alignment horizontal="right" vertical="center"/>
    </xf>
    <xf numFmtId="2" fontId="2144" fillId="2146" borderId="2085" applyAlignment="1" pivotButton="0" quotePrefix="0" xfId="0">
      <alignment horizontal="right" vertical="center"/>
    </xf>
    <xf numFmtId="2" fontId="2145" fillId="2147" borderId="2086" applyAlignment="1" pivotButton="0" quotePrefix="0" xfId="0">
      <alignment horizontal="right" vertical="center"/>
    </xf>
    <xf numFmtId="0" fontId="2146" fillId="2148" borderId="2087" applyAlignment="1" pivotButton="0" quotePrefix="0" xfId="0">
      <alignment horizontal="center" vertical="center"/>
    </xf>
    <xf numFmtId="0" fontId="2147" fillId="2149" borderId="2088" pivotButton="0" quotePrefix="0" xfId="0"/>
    <xf numFmtId="0" fontId="2148" fillId="2150" borderId="2089" applyAlignment="1" pivotButton="0" quotePrefix="0" xfId="0">
      <alignment horizontal="center" vertical="center"/>
    </xf>
    <xf numFmtId="0" fontId="2149" fillId="2151" borderId="2090" applyAlignment="1" pivotButton="0" quotePrefix="0" xfId="0">
      <alignment horizontal="left" vertical="center"/>
    </xf>
    <xf numFmtId="3" fontId="2150" fillId="2152" borderId="2091" applyAlignment="1" pivotButton="0" quotePrefix="0" xfId="0">
      <alignment horizontal="right" vertical="center"/>
    </xf>
    <xf numFmtId="3" fontId="2151" fillId="2153" borderId="2092" applyAlignment="1" pivotButton="0" quotePrefix="0" xfId="0">
      <alignment horizontal="right" vertical="center"/>
    </xf>
    <xf numFmtId="164" fontId="2152" fillId="2154" borderId="2093" applyAlignment="1" pivotButton="0" quotePrefix="0" xfId="0">
      <alignment horizontal="right" vertical="center"/>
    </xf>
    <xf numFmtId="164" fontId="2153" fillId="2155" borderId="2094" applyAlignment="1" pivotButton="0" quotePrefix="0" xfId="0">
      <alignment horizontal="right" vertical="center"/>
    </xf>
    <xf numFmtId="3" fontId="2154" fillId="2156" borderId="2095" applyAlignment="1" pivotButton="0" quotePrefix="0" xfId="0">
      <alignment horizontal="right" vertical="center"/>
    </xf>
    <xf numFmtId="2" fontId="2155" fillId="2157" borderId="2096" applyAlignment="1" pivotButton="0" quotePrefix="0" xfId="0">
      <alignment horizontal="right" vertical="center"/>
    </xf>
    <xf numFmtId="2" fontId="2156" fillId="2158" borderId="2097" applyAlignment="1" pivotButton="0" quotePrefix="0" xfId="0">
      <alignment horizontal="right" vertical="center"/>
    </xf>
    <xf numFmtId="0" fontId="2157" fillId="2159" borderId="2098" applyAlignment="1" pivotButton="0" quotePrefix="0" xfId="0">
      <alignment horizontal="center" vertical="center"/>
    </xf>
    <xf numFmtId="0" fontId="2158" fillId="2160" borderId="2099" pivotButton="0" quotePrefix="0" xfId="0"/>
    <xf numFmtId="0" fontId="2159" fillId="2161" borderId="2100" applyAlignment="1" pivotButton="0" quotePrefix="0" xfId="0">
      <alignment horizontal="center" vertical="center"/>
    </xf>
    <xf numFmtId="0" fontId="2160" fillId="2162" borderId="2101" applyAlignment="1" pivotButton="0" quotePrefix="0" xfId="0">
      <alignment horizontal="left" vertical="center"/>
    </xf>
    <xf numFmtId="3" fontId="2161" fillId="2163" borderId="2102" applyAlignment="1" pivotButton="0" quotePrefix="0" xfId="0">
      <alignment horizontal="right" vertical="center"/>
    </xf>
    <xf numFmtId="3" fontId="2162" fillId="2164" borderId="2103" applyAlignment="1" pivotButton="0" quotePrefix="0" xfId="0">
      <alignment horizontal="right" vertical="center"/>
    </xf>
    <xf numFmtId="164" fontId="2163" fillId="2165" borderId="2104" applyAlignment="1" pivotButton="0" quotePrefix="0" xfId="0">
      <alignment horizontal="right" vertical="center"/>
    </xf>
    <xf numFmtId="164" fontId="2164" fillId="2166" borderId="2105" applyAlignment="1" pivotButton="0" quotePrefix="0" xfId="0">
      <alignment horizontal="right" vertical="center"/>
    </xf>
    <xf numFmtId="3" fontId="2165" fillId="2167" borderId="2106" applyAlignment="1" pivotButton="0" quotePrefix="0" xfId="0">
      <alignment horizontal="right" vertical="center"/>
    </xf>
    <xf numFmtId="2" fontId="2166" fillId="2168" borderId="2107" applyAlignment="1" pivotButton="0" quotePrefix="0" xfId="0">
      <alignment horizontal="right" vertical="center"/>
    </xf>
    <xf numFmtId="2" fontId="2167" fillId="2169" borderId="2108" applyAlignment="1" pivotButton="0" quotePrefix="0" xfId="0">
      <alignment horizontal="right" vertical="center"/>
    </xf>
    <xf numFmtId="0" fontId="2168" fillId="2170" borderId="2109" applyAlignment="1" pivotButton="0" quotePrefix="0" xfId="0">
      <alignment horizontal="center" vertical="center"/>
    </xf>
    <xf numFmtId="0" fontId="2169" fillId="2171" borderId="2110" pivotButton="0" quotePrefix="0" xfId="0"/>
    <xf numFmtId="0" fontId="2170" fillId="2172" borderId="2111" applyAlignment="1" pivotButton="0" quotePrefix="0" xfId="0">
      <alignment horizontal="center" vertical="center"/>
    </xf>
    <xf numFmtId="0" fontId="2171" fillId="2173" borderId="2112" applyAlignment="1" pivotButton="0" quotePrefix="0" xfId="0">
      <alignment horizontal="left" vertical="center"/>
    </xf>
    <xf numFmtId="3" fontId="2172" fillId="2174" borderId="2113" applyAlignment="1" pivotButton="0" quotePrefix="0" xfId="0">
      <alignment horizontal="right" vertical="center"/>
    </xf>
    <xf numFmtId="3" fontId="2173" fillId="2175" borderId="2114" applyAlignment="1" pivotButton="0" quotePrefix="0" xfId="0">
      <alignment horizontal="right" vertical="center"/>
    </xf>
    <xf numFmtId="164" fontId="2174" fillId="2176" borderId="2115" applyAlignment="1" pivotButton="0" quotePrefix="0" xfId="0">
      <alignment horizontal="right" vertical="center"/>
    </xf>
    <xf numFmtId="164" fontId="2175" fillId="2177" borderId="2116" applyAlignment="1" pivotButton="0" quotePrefix="0" xfId="0">
      <alignment horizontal="right" vertical="center"/>
    </xf>
    <xf numFmtId="3" fontId="2176" fillId="2178" borderId="2117" applyAlignment="1" pivotButton="0" quotePrefix="0" xfId="0">
      <alignment horizontal="right" vertical="center"/>
    </xf>
    <xf numFmtId="2" fontId="2177" fillId="2179" borderId="2118" applyAlignment="1" pivotButton="0" quotePrefix="0" xfId="0">
      <alignment horizontal="right" vertical="center"/>
    </xf>
    <xf numFmtId="2" fontId="2178" fillId="2180" borderId="2119" applyAlignment="1" pivotButton="0" quotePrefix="0" xfId="0">
      <alignment horizontal="right" vertical="center"/>
    </xf>
    <xf numFmtId="0" fontId="2179" fillId="2181" borderId="2120" applyAlignment="1" pivotButton="0" quotePrefix="0" xfId="0">
      <alignment horizontal="center" vertical="center"/>
    </xf>
    <xf numFmtId="0" fontId="2180" fillId="2182" borderId="2121" pivotButton="0" quotePrefix="0" xfId="0"/>
    <xf numFmtId="0" fontId="2181" fillId="2183" borderId="2122" applyAlignment="1" pivotButton="0" quotePrefix="0" xfId="0">
      <alignment horizontal="center" vertical="center"/>
    </xf>
    <xf numFmtId="0" fontId="2182" fillId="2184" borderId="2123" applyAlignment="1" pivotButton="0" quotePrefix="0" xfId="0">
      <alignment horizontal="left" vertical="center"/>
    </xf>
    <xf numFmtId="3" fontId="2183" fillId="2185" borderId="2124" applyAlignment="1" pivotButton="0" quotePrefix="0" xfId="0">
      <alignment horizontal="right" vertical="center"/>
    </xf>
    <xf numFmtId="3" fontId="2184" fillId="2186" borderId="2125" applyAlignment="1" pivotButton="0" quotePrefix="0" xfId="0">
      <alignment horizontal="right" vertical="center"/>
    </xf>
    <xf numFmtId="164" fontId="2185" fillId="2187" borderId="2126" applyAlignment="1" pivotButton="0" quotePrefix="0" xfId="0">
      <alignment horizontal="right" vertical="center"/>
    </xf>
    <xf numFmtId="164" fontId="2186" fillId="2188" borderId="2127" applyAlignment="1" pivotButton="0" quotePrefix="0" xfId="0">
      <alignment horizontal="right" vertical="center"/>
    </xf>
    <xf numFmtId="3" fontId="2187" fillId="2189" borderId="2128" applyAlignment="1" pivotButton="0" quotePrefix="0" xfId="0">
      <alignment horizontal="right" vertical="center"/>
    </xf>
    <xf numFmtId="2" fontId="2188" fillId="2190" borderId="2129" applyAlignment="1" pivotButton="0" quotePrefix="0" xfId="0">
      <alignment horizontal="right" vertical="center"/>
    </xf>
    <xf numFmtId="2" fontId="2189" fillId="2191" borderId="2130" applyAlignment="1" pivotButton="0" quotePrefix="0" xfId="0">
      <alignment horizontal="right" vertical="center"/>
    </xf>
    <xf numFmtId="0" fontId="2190" fillId="2192" borderId="2131" applyAlignment="1" pivotButton="0" quotePrefix="0" xfId="0">
      <alignment horizontal="center" vertical="center"/>
    </xf>
    <xf numFmtId="0" fontId="2191" fillId="2193" borderId="2132" pivotButton="0" quotePrefix="0" xfId="0"/>
    <xf numFmtId="0" fontId="2192" fillId="2194" borderId="2133" applyAlignment="1" pivotButton="0" quotePrefix="0" xfId="0">
      <alignment horizontal="center" vertical="center"/>
    </xf>
    <xf numFmtId="0" fontId="2193" fillId="2195" borderId="2134" applyAlignment="1" pivotButton="0" quotePrefix="0" xfId="0">
      <alignment horizontal="left" vertical="center"/>
    </xf>
    <xf numFmtId="3" fontId="2194" fillId="2196" borderId="2135" applyAlignment="1" pivotButton="0" quotePrefix="0" xfId="0">
      <alignment horizontal="right" vertical="center"/>
    </xf>
    <xf numFmtId="3" fontId="2195" fillId="2197" borderId="2136" applyAlignment="1" pivotButton="0" quotePrefix="0" xfId="0">
      <alignment horizontal="right" vertical="center"/>
    </xf>
    <xf numFmtId="164" fontId="2196" fillId="2198" borderId="2137" applyAlignment="1" pivotButton="0" quotePrefix="0" xfId="0">
      <alignment horizontal="right" vertical="center"/>
    </xf>
    <xf numFmtId="164" fontId="2197" fillId="2199" borderId="2138" applyAlignment="1" pivotButton="0" quotePrefix="0" xfId="0">
      <alignment horizontal="right" vertical="center"/>
    </xf>
    <xf numFmtId="3" fontId="2198" fillId="2200" borderId="2139" applyAlignment="1" pivotButton="0" quotePrefix="0" xfId="0">
      <alignment horizontal="right" vertical="center"/>
    </xf>
    <xf numFmtId="2" fontId="2199" fillId="2201" borderId="2140" applyAlignment="1" pivotButton="0" quotePrefix="0" xfId="0">
      <alignment horizontal="right" vertical="center"/>
    </xf>
    <xf numFmtId="2" fontId="2200" fillId="2202" borderId="2141" applyAlignment="1" pivotButton="0" quotePrefix="0" xfId="0">
      <alignment horizontal="right" vertical="center"/>
    </xf>
    <xf numFmtId="0" fontId="2201" fillId="2203" borderId="2142" applyAlignment="1" pivotButton="0" quotePrefix="0" xfId="0">
      <alignment horizontal="center" vertical="center"/>
    </xf>
    <xf numFmtId="0" fontId="2202" fillId="2204" borderId="2143" pivotButton="0" quotePrefix="0" xfId="0"/>
    <xf numFmtId="0" fontId="2203" fillId="2205" borderId="2144" applyAlignment="1" pivotButton="0" quotePrefix="0" xfId="0">
      <alignment horizontal="center" vertical="center"/>
    </xf>
    <xf numFmtId="0" fontId="2204" fillId="2206" borderId="2145" applyAlignment="1" pivotButton="0" quotePrefix="0" xfId="0">
      <alignment horizontal="left" vertical="center"/>
    </xf>
    <xf numFmtId="3" fontId="2205" fillId="2207" borderId="2146" applyAlignment="1" pivotButton="0" quotePrefix="0" xfId="0">
      <alignment horizontal="right" vertical="center"/>
    </xf>
    <xf numFmtId="3" fontId="2206" fillId="2208" borderId="2147" applyAlignment="1" pivotButton="0" quotePrefix="0" xfId="0">
      <alignment horizontal="right" vertical="center"/>
    </xf>
    <xf numFmtId="164" fontId="2207" fillId="2209" borderId="2148" applyAlignment="1" pivotButton="0" quotePrefix="0" xfId="0">
      <alignment horizontal="right" vertical="center"/>
    </xf>
    <xf numFmtId="164" fontId="2208" fillId="2210" borderId="2149" applyAlignment="1" pivotButton="0" quotePrefix="0" xfId="0">
      <alignment horizontal="right" vertical="center"/>
    </xf>
    <xf numFmtId="3" fontId="2209" fillId="2211" borderId="2150" applyAlignment="1" pivotButton="0" quotePrefix="0" xfId="0">
      <alignment horizontal="right" vertical="center"/>
    </xf>
    <xf numFmtId="2" fontId="2210" fillId="2212" borderId="2151" applyAlignment="1" pivotButton="0" quotePrefix="0" xfId="0">
      <alignment horizontal="right" vertical="center"/>
    </xf>
    <xf numFmtId="2" fontId="2211" fillId="2213" borderId="2152" applyAlignment="1" pivotButton="0" quotePrefix="0" xfId="0">
      <alignment horizontal="right" vertical="center"/>
    </xf>
    <xf numFmtId="0" fontId="2212" fillId="2214" borderId="2153" applyAlignment="1" pivotButton="0" quotePrefix="0" xfId="0">
      <alignment horizontal="center" vertical="center"/>
    </xf>
    <xf numFmtId="0" fontId="2213" fillId="2215" borderId="2154" pivotButton="0" quotePrefix="0" xfId="0"/>
    <xf numFmtId="0" fontId="2214" fillId="2216" borderId="2155" applyAlignment="1" pivotButton="0" quotePrefix="0" xfId="0">
      <alignment horizontal="center" vertical="center"/>
    </xf>
    <xf numFmtId="0" fontId="2215" fillId="2217" borderId="2156" applyAlignment="1" pivotButton="0" quotePrefix="0" xfId="0">
      <alignment horizontal="left" vertical="center"/>
    </xf>
    <xf numFmtId="3" fontId="2216" fillId="2218" borderId="2157" applyAlignment="1" pivotButton="0" quotePrefix="0" xfId="0">
      <alignment horizontal="right" vertical="center"/>
    </xf>
    <xf numFmtId="3" fontId="2217" fillId="2219" borderId="2158" applyAlignment="1" pivotButton="0" quotePrefix="0" xfId="0">
      <alignment horizontal="right" vertical="center"/>
    </xf>
    <xf numFmtId="164" fontId="2218" fillId="2220" borderId="2159" applyAlignment="1" pivotButton="0" quotePrefix="0" xfId="0">
      <alignment horizontal="right" vertical="center"/>
    </xf>
    <xf numFmtId="164" fontId="2219" fillId="2221" borderId="2160" applyAlignment="1" pivotButton="0" quotePrefix="0" xfId="0">
      <alignment horizontal="right" vertical="center"/>
    </xf>
    <xf numFmtId="3" fontId="2220" fillId="2222" borderId="2161" applyAlignment="1" pivotButton="0" quotePrefix="0" xfId="0">
      <alignment horizontal="right" vertical="center"/>
    </xf>
    <xf numFmtId="2" fontId="2221" fillId="2223" borderId="2162" applyAlignment="1" pivotButton="0" quotePrefix="0" xfId="0">
      <alignment horizontal="right" vertical="center"/>
    </xf>
    <xf numFmtId="2" fontId="2222" fillId="2224" borderId="2163" applyAlignment="1" pivotButton="0" quotePrefix="0" xfId="0">
      <alignment horizontal="right" vertical="center"/>
    </xf>
    <xf numFmtId="0" fontId="2223" fillId="2225" borderId="2164" applyAlignment="1" pivotButton="0" quotePrefix="0" xfId="0">
      <alignment horizontal="center" vertical="center"/>
    </xf>
    <xf numFmtId="0" fontId="2224" fillId="2226" borderId="2165" pivotButton="0" quotePrefix="0" xfId="0"/>
    <xf numFmtId="0" fontId="2225" fillId="2227" borderId="2166" applyAlignment="1" pivotButton="0" quotePrefix="0" xfId="0">
      <alignment horizontal="center" vertical="center"/>
    </xf>
    <xf numFmtId="0" fontId="2226" fillId="2228" borderId="2167" applyAlignment="1" pivotButton="0" quotePrefix="0" xfId="0">
      <alignment horizontal="left" vertical="center"/>
    </xf>
    <xf numFmtId="3" fontId="2227" fillId="2229" borderId="2168" applyAlignment="1" pivotButton="0" quotePrefix="0" xfId="0">
      <alignment horizontal="right" vertical="center"/>
    </xf>
    <xf numFmtId="3" fontId="2228" fillId="2230" borderId="2169" applyAlignment="1" pivotButton="0" quotePrefix="0" xfId="0">
      <alignment horizontal="right" vertical="center"/>
    </xf>
    <xf numFmtId="164" fontId="2229" fillId="2231" borderId="2170" applyAlignment="1" pivotButton="0" quotePrefix="0" xfId="0">
      <alignment horizontal="right" vertical="center"/>
    </xf>
    <xf numFmtId="164" fontId="2230" fillId="2232" borderId="2171" applyAlignment="1" pivotButton="0" quotePrefix="0" xfId="0">
      <alignment horizontal="right" vertical="center"/>
    </xf>
    <xf numFmtId="3" fontId="2231" fillId="2233" borderId="2172" applyAlignment="1" pivotButton="0" quotePrefix="0" xfId="0">
      <alignment horizontal="right" vertical="center"/>
    </xf>
    <xf numFmtId="2" fontId="2232" fillId="2234" borderId="2173" applyAlignment="1" pivotButton="0" quotePrefix="0" xfId="0">
      <alignment horizontal="right" vertical="center"/>
    </xf>
    <xf numFmtId="2" fontId="2233" fillId="2235" borderId="2174" applyAlignment="1" pivotButton="0" quotePrefix="0" xfId="0">
      <alignment horizontal="right" vertical="center"/>
    </xf>
    <xf numFmtId="0" fontId="2234" fillId="2236" borderId="2175" applyAlignment="1" pivotButton="0" quotePrefix="0" xfId="0">
      <alignment horizontal="center" vertical="center"/>
    </xf>
    <xf numFmtId="0" fontId="2235" fillId="2237" borderId="2176" pivotButton="0" quotePrefix="0" xfId="0"/>
    <xf numFmtId="0" fontId="2236" fillId="2238" borderId="2177" applyAlignment="1" pivotButton="0" quotePrefix="0" xfId="0">
      <alignment horizontal="center" vertical="center"/>
    </xf>
    <xf numFmtId="0" fontId="2237" fillId="2239" borderId="2178" applyAlignment="1" pivotButton="0" quotePrefix="0" xfId="0">
      <alignment horizontal="left" vertical="center"/>
    </xf>
    <xf numFmtId="3" fontId="2238" fillId="2240" borderId="2179" applyAlignment="1" pivotButton="0" quotePrefix="0" xfId="0">
      <alignment horizontal="right" vertical="center"/>
    </xf>
    <xf numFmtId="3" fontId="2239" fillId="2241" borderId="2180" applyAlignment="1" pivotButton="0" quotePrefix="0" xfId="0">
      <alignment horizontal="right" vertical="center"/>
    </xf>
    <xf numFmtId="164" fontId="2240" fillId="2242" borderId="2181" applyAlignment="1" pivotButton="0" quotePrefix="0" xfId="0">
      <alignment horizontal="right" vertical="center"/>
    </xf>
    <xf numFmtId="164" fontId="2241" fillId="2243" borderId="2182" applyAlignment="1" pivotButton="0" quotePrefix="0" xfId="0">
      <alignment horizontal="right" vertical="center"/>
    </xf>
    <xf numFmtId="3" fontId="2242" fillId="2244" borderId="2183" applyAlignment="1" pivotButton="0" quotePrefix="0" xfId="0">
      <alignment horizontal="right" vertical="center"/>
    </xf>
    <xf numFmtId="2" fontId="2243" fillId="2245" borderId="2184" applyAlignment="1" pivotButton="0" quotePrefix="0" xfId="0">
      <alignment horizontal="right" vertical="center"/>
    </xf>
    <xf numFmtId="2" fontId="2244" fillId="2246" borderId="2185" applyAlignment="1" pivotButton="0" quotePrefix="0" xfId="0">
      <alignment horizontal="right" vertical="center"/>
    </xf>
    <xf numFmtId="0" fontId="2245" fillId="2247" borderId="2186" applyAlignment="1" pivotButton="0" quotePrefix="0" xfId="0">
      <alignment horizontal="center" vertical="center"/>
    </xf>
    <xf numFmtId="0" fontId="2246" fillId="2248" borderId="2187" pivotButton="0" quotePrefix="0" xfId="0"/>
    <xf numFmtId="0" fontId="2247" fillId="2249" borderId="2188" applyAlignment="1" pivotButton="0" quotePrefix="0" xfId="0">
      <alignment horizontal="center" vertical="center"/>
    </xf>
    <xf numFmtId="0" fontId="2248" fillId="2250" borderId="2189" applyAlignment="1" pivotButton="0" quotePrefix="0" xfId="0">
      <alignment horizontal="left" vertical="center"/>
    </xf>
    <xf numFmtId="3" fontId="2249" fillId="2251" borderId="2190" applyAlignment="1" pivotButton="0" quotePrefix="0" xfId="0">
      <alignment horizontal="right" vertical="center"/>
    </xf>
    <xf numFmtId="3" fontId="2250" fillId="2252" borderId="2191" applyAlignment="1" pivotButton="0" quotePrefix="0" xfId="0">
      <alignment horizontal="right" vertical="center"/>
    </xf>
    <xf numFmtId="164" fontId="2251" fillId="2253" borderId="2192" applyAlignment="1" pivotButton="0" quotePrefix="0" xfId="0">
      <alignment horizontal="right" vertical="center"/>
    </xf>
    <xf numFmtId="164" fontId="2252" fillId="2254" borderId="2193" applyAlignment="1" pivotButton="0" quotePrefix="0" xfId="0">
      <alignment horizontal="right" vertical="center"/>
    </xf>
    <xf numFmtId="3" fontId="2253" fillId="2255" borderId="2194" applyAlignment="1" pivotButton="0" quotePrefix="0" xfId="0">
      <alignment horizontal="right" vertical="center"/>
    </xf>
    <xf numFmtId="2" fontId="2254" fillId="2256" borderId="2195" applyAlignment="1" pivotButton="0" quotePrefix="0" xfId="0">
      <alignment horizontal="right" vertical="center"/>
    </xf>
    <xf numFmtId="2" fontId="2255" fillId="2257" borderId="2196" applyAlignment="1" pivotButton="0" quotePrefix="0" xfId="0">
      <alignment horizontal="right" vertical="center"/>
    </xf>
    <xf numFmtId="0" fontId="2256" fillId="2258" borderId="2197" applyAlignment="1" pivotButton="0" quotePrefix="0" xfId="0">
      <alignment horizontal="center" vertical="center"/>
    </xf>
    <xf numFmtId="0" fontId="2257" fillId="2259" borderId="2198" pivotButton="0" quotePrefix="0" xfId="0"/>
    <xf numFmtId="0" fontId="2258" fillId="2260" borderId="2199" applyAlignment="1" pivotButton="0" quotePrefix="0" xfId="0">
      <alignment horizontal="center" vertical="center"/>
    </xf>
    <xf numFmtId="0" fontId="2259" fillId="2261" borderId="2200" applyAlignment="1" pivotButton="0" quotePrefix="0" xfId="0">
      <alignment horizontal="left" vertical="center"/>
    </xf>
    <xf numFmtId="3" fontId="2260" fillId="2262" borderId="2201" applyAlignment="1" pivotButton="0" quotePrefix="0" xfId="0">
      <alignment horizontal="right" vertical="center"/>
    </xf>
    <xf numFmtId="3" fontId="2261" fillId="2263" borderId="2202" applyAlignment="1" pivotButton="0" quotePrefix="0" xfId="0">
      <alignment horizontal="right" vertical="center"/>
    </xf>
    <xf numFmtId="164" fontId="2262" fillId="2264" borderId="2203" applyAlignment="1" pivotButton="0" quotePrefix="0" xfId="0">
      <alignment horizontal="right" vertical="center"/>
    </xf>
    <xf numFmtId="164" fontId="2263" fillId="2265" borderId="2204" applyAlignment="1" pivotButton="0" quotePrefix="0" xfId="0">
      <alignment horizontal="right" vertical="center"/>
    </xf>
    <xf numFmtId="3" fontId="2264" fillId="2266" borderId="2205" applyAlignment="1" pivotButton="0" quotePrefix="0" xfId="0">
      <alignment horizontal="right" vertical="center"/>
    </xf>
    <xf numFmtId="2" fontId="2265" fillId="2267" borderId="2206" applyAlignment="1" pivotButton="0" quotePrefix="0" xfId="0">
      <alignment horizontal="right" vertical="center"/>
    </xf>
    <xf numFmtId="2" fontId="2266" fillId="2268" borderId="2207" applyAlignment="1" pivotButton="0" quotePrefix="0" xfId="0">
      <alignment horizontal="right" vertical="center"/>
    </xf>
    <xf numFmtId="0" fontId="2267" fillId="2269" borderId="2208" applyAlignment="1" pivotButton="0" quotePrefix="0" xfId="0">
      <alignment horizontal="center" vertical="center"/>
    </xf>
    <xf numFmtId="0" fontId="2268" fillId="2270" borderId="2209" pivotButton="0" quotePrefix="0" xfId="0"/>
    <xf numFmtId="0" fontId="2269" fillId="2271" borderId="2210" applyAlignment="1" pivotButton="0" quotePrefix="0" xfId="0">
      <alignment horizontal="center" vertical="center"/>
    </xf>
    <xf numFmtId="0" fontId="2270" fillId="2272" borderId="2211" applyAlignment="1" pivotButton="0" quotePrefix="0" xfId="0">
      <alignment horizontal="left" vertical="center"/>
    </xf>
    <xf numFmtId="3" fontId="2271" fillId="2273" borderId="2212" applyAlignment="1" pivotButton="0" quotePrefix="0" xfId="0">
      <alignment horizontal="right" vertical="center"/>
    </xf>
    <xf numFmtId="3" fontId="2272" fillId="2274" borderId="2213" applyAlignment="1" pivotButton="0" quotePrefix="0" xfId="0">
      <alignment horizontal="right" vertical="center"/>
    </xf>
    <xf numFmtId="164" fontId="2273" fillId="2275" borderId="2214" applyAlignment="1" pivotButton="0" quotePrefix="0" xfId="0">
      <alignment horizontal="right" vertical="center"/>
    </xf>
    <xf numFmtId="164" fontId="2274" fillId="2276" borderId="2215" applyAlignment="1" pivotButton="0" quotePrefix="0" xfId="0">
      <alignment horizontal="right" vertical="center"/>
    </xf>
    <xf numFmtId="3" fontId="2275" fillId="2277" borderId="2216" applyAlignment="1" pivotButton="0" quotePrefix="0" xfId="0">
      <alignment horizontal="right" vertical="center"/>
    </xf>
    <xf numFmtId="2" fontId="2276" fillId="2278" borderId="2217" applyAlignment="1" pivotButton="0" quotePrefix="0" xfId="0">
      <alignment horizontal="right" vertical="center"/>
    </xf>
    <xf numFmtId="2" fontId="2277" fillId="2279" borderId="2218" applyAlignment="1" pivotButton="0" quotePrefix="0" xfId="0">
      <alignment horizontal="right" vertical="center"/>
    </xf>
    <xf numFmtId="0" fontId="2278" fillId="2280" borderId="2219" applyAlignment="1" pivotButton="0" quotePrefix="0" xfId="0">
      <alignment horizontal="center" vertical="center"/>
    </xf>
    <xf numFmtId="0" fontId="2279" fillId="2281" borderId="2220" pivotButton="0" quotePrefix="0" xfId="0"/>
    <xf numFmtId="0" fontId="2280" fillId="2282" borderId="2221" applyAlignment="1" pivotButton="0" quotePrefix="0" xfId="0">
      <alignment horizontal="center" vertical="center"/>
    </xf>
    <xf numFmtId="0" fontId="2281" fillId="2283" borderId="2222" applyAlignment="1" pivotButton="0" quotePrefix="0" xfId="0">
      <alignment horizontal="left" vertical="center"/>
    </xf>
    <xf numFmtId="3" fontId="2282" fillId="2284" borderId="2223" applyAlignment="1" pivotButton="0" quotePrefix="0" xfId="0">
      <alignment horizontal="right" vertical="center"/>
    </xf>
    <xf numFmtId="3" fontId="2283" fillId="2285" borderId="2224" applyAlignment="1" pivotButton="0" quotePrefix="0" xfId="0">
      <alignment horizontal="right" vertical="center"/>
    </xf>
    <xf numFmtId="164" fontId="2284" fillId="2286" borderId="2225" applyAlignment="1" pivotButton="0" quotePrefix="0" xfId="0">
      <alignment horizontal="right" vertical="center"/>
    </xf>
    <xf numFmtId="164" fontId="2285" fillId="2287" borderId="2226" applyAlignment="1" pivotButton="0" quotePrefix="0" xfId="0">
      <alignment horizontal="right" vertical="center"/>
    </xf>
    <xf numFmtId="3" fontId="2286" fillId="2288" borderId="2227" applyAlignment="1" pivotButton="0" quotePrefix="0" xfId="0">
      <alignment horizontal="right" vertical="center"/>
    </xf>
    <xf numFmtId="2" fontId="2287" fillId="2289" borderId="2228" applyAlignment="1" pivotButton="0" quotePrefix="0" xfId="0">
      <alignment horizontal="right" vertical="center"/>
    </xf>
    <xf numFmtId="2" fontId="2288" fillId="2290" borderId="2229" applyAlignment="1" pivotButton="0" quotePrefix="0" xfId="0">
      <alignment horizontal="right" vertical="center"/>
    </xf>
    <xf numFmtId="0" fontId="2289" fillId="2291" borderId="2230" applyAlignment="1" pivotButton="0" quotePrefix="0" xfId="0">
      <alignment horizontal="center" vertical="center"/>
    </xf>
    <xf numFmtId="0" fontId="2290" fillId="2292" borderId="2231" pivotButton="0" quotePrefix="0" xfId="0"/>
    <xf numFmtId="0" fontId="2291" fillId="2293" borderId="2232" applyAlignment="1" pivotButton="0" quotePrefix="0" xfId="0">
      <alignment horizontal="center" vertical="center"/>
    </xf>
    <xf numFmtId="0" fontId="2292" fillId="2294" borderId="2233" applyAlignment="1" pivotButton="0" quotePrefix="0" xfId="0">
      <alignment horizontal="left" vertical="center"/>
    </xf>
    <xf numFmtId="3" fontId="2293" fillId="2295" borderId="2234" applyAlignment="1" pivotButton="0" quotePrefix="0" xfId="0">
      <alignment horizontal="right" vertical="center"/>
    </xf>
    <xf numFmtId="3" fontId="2294" fillId="2296" borderId="2235" applyAlignment="1" pivotButton="0" quotePrefix="0" xfId="0">
      <alignment horizontal="right" vertical="center"/>
    </xf>
    <xf numFmtId="164" fontId="2295" fillId="2297" borderId="2236" applyAlignment="1" pivotButton="0" quotePrefix="0" xfId="0">
      <alignment horizontal="right" vertical="center"/>
    </xf>
    <xf numFmtId="164" fontId="2296" fillId="2298" borderId="2237" applyAlignment="1" pivotButton="0" quotePrefix="0" xfId="0">
      <alignment horizontal="right" vertical="center"/>
    </xf>
    <xf numFmtId="3" fontId="2297" fillId="2299" borderId="2238" applyAlignment="1" pivotButton="0" quotePrefix="0" xfId="0">
      <alignment horizontal="right" vertical="center"/>
    </xf>
    <xf numFmtId="2" fontId="2298" fillId="2300" borderId="2239" applyAlignment="1" pivotButton="0" quotePrefix="0" xfId="0">
      <alignment horizontal="right" vertical="center"/>
    </xf>
    <xf numFmtId="2" fontId="2299" fillId="2301" borderId="2240" applyAlignment="1" pivotButton="0" quotePrefix="0" xfId="0">
      <alignment horizontal="right" vertical="center"/>
    </xf>
    <xf numFmtId="0" fontId="2300" fillId="2302" borderId="2241" applyAlignment="1" pivotButton="0" quotePrefix="0" xfId="0">
      <alignment horizontal="center" vertical="center"/>
    </xf>
    <xf numFmtId="0" fontId="2301" fillId="2303" borderId="2242" pivotButton="0" quotePrefix="0" xfId="0"/>
    <xf numFmtId="0" fontId="2302" fillId="2304" borderId="2243" applyAlignment="1" pivotButton="0" quotePrefix="0" xfId="0">
      <alignment horizontal="center" vertical="center"/>
    </xf>
    <xf numFmtId="0" fontId="2303" fillId="2305" borderId="2244" applyAlignment="1" pivotButton="0" quotePrefix="0" xfId="0">
      <alignment horizontal="left" vertical="center"/>
    </xf>
    <xf numFmtId="3" fontId="2304" fillId="2306" borderId="2245" applyAlignment="1" pivotButton="0" quotePrefix="0" xfId="0">
      <alignment horizontal="right" vertical="center"/>
    </xf>
    <xf numFmtId="3" fontId="2305" fillId="2307" borderId="2246" applyAlignment="1" pivotButton="0" quotePrefix="0" xfId="0">
      <alignment horizontal="right" vertical="center"/>
    </xf>
    <xf numFmtId="164" fontId="2306" fillId="2308" borderId="2247" applyAlignment="1" pivotButton="0" quotePrefix="0" xfId="0">
      <alignment horizontal="right" vertical="center"/>
    </xf>
    <xf numFmtId="164" fontId="2307" fillId="2309" borderId="2248" applyAlignment="1" pivotButton="0" quotePrefix="0" xfId="0">
      <alignment horizontal="right" vertical="center"/>
    </xf>
    <xf numFmtId="3" fontId="2308" fillId="2310" borderId="2249" applyAlignment="1" pivotButton="0" quotePrefix="0" xfId="0">
      <alignment horizontal="right" vertical="center"/>
    </xf>
    <xf numFmtId="2" fontId="2309" fillId="2311" borderId="2250" applyAlignment="1" pivotButton="0" quotePrefix="0" xfId="0">
      <alignment horizontal="right" vertical="center"/>
    </xf>
    <xf numFmtId="2" fontId="2310" fillId="2312" borderId="2251" applyAlignment="1" pivotButton="0" quotePrefix="0" xfId="0">
      <alignment horizontal="right" vertical="center"/>
    </xf>
    <xf numFmtId="0" fontId="2311" fillId="2313" borderId="2252" applyAlignment="1" pivotButton="0" quotePrefix="0" xfId="0">
      <alignment horizontal="center" vertical="center"/>
    </xf>
    <xf numFmtId="0" fontId="2312" fillId="2314" borderId="2253" pivotButton="0" quotePrefix="0" xfId="0"/>
    <xf numFmtId="3" fontId="2314" fillId="2316" borderId="2254" applyAlignment="1" pivotButton="0" quotePrefix="0" xfId="0">
      <alignment horizontal="right" vertical="center"/>
    </xf>
    <xf numFmtId="3" fontId="2315" fillId="2317" borderId="2255" applyAlignment="1" pivotButton="0" quotePrefix="0" xfId="0">
      <alignment horizontal="right" vertical="center"/>
    </xf>
    <xf numFmtId="164" fontId="2316" fillId="2318" borderId="2256" applyAlignment="1" pivotButton="0" quotePrefix="0" xfId="0">
      <alignment horizontal="right" vertical="center"/>
    </xf>
    <xf numFmtId="164" fontId="2317" fillId="2319" borderId="2257" applyAlignment="1" pivotButton="0" quotePrefix="0" xfId="0">
      <alignment horizontal="right" vertical="center"/>
    </xf>
    <xf numFmtId="0" fontId="2318" fillId="2320" borderId="2258" applyAlignment="1" pivotButton="0" quotePrefix="0" xfId="0">
      <alignment horizontal="center" vertical="center"/>
    </xf>
    <xf numFmtId="0" fontId="2319" fillId="2321" borderId="2259" applyAlignment="1" pivotButton="0" quotePrefix="0" xfId="0">
      <alignment horizontal="center" vertical="center"/>
    </xf>
    <xf numFmtId="0" fontId="2320" fillId="2322" borderId="2260" applyAlignment="1" pivotButton="0" quotePrefix="0" xfId="0">
      <alignment horizontal="center" vertical="center"/>
    </xf>
    <xf numFmtId="0" fontId="2321" fillId="2323" borderId="2261" applyAlignment="1" pivotButton="0" quotePrefix="0" xfId="0">
      <alignment horizontal="center" vertical="center"/>
    </xf>
    <xf numFmtId="0" fontId="2322" fillId="2324" borderId="2262" pivotButton="0" quotePrefix="0" xfId="0"/>
    <xf numFmtId="3" fontId="590" fillId="592" borderId="2263" applyAlignment="1" pivotButton="0" quotePrefix="0" xfId="0">
      <alignment horizontal="right" vertical="center"/>
    </xf>
    <xf numFmtId="3" fontId="631" fillId="633" borderId="2263" applyAlignment="1" pivotButton="0" quotePrefix="0" xfId="0">
      <alignment horizontal="right" vertical="center"/>
    </xf>
    <xf numFmtId="0" fontId="0" fillId="0" borderId="2010" pivotButton="0" quotePrefix="0" xfId="0"/>
    <xf numFmtId="3" fontId="590" fillId="592" borderId="2010" applyAlignment="1" pivotButton="0" quotePrefix="0" xfId="0">
      <alignment horizontal="right" vertical="center"/>
    </xf>
    <xf numFmtId="3" fontId="591" fillId="593" borderId="2010" applyAlignment="1" pivotButton="0" quotePrefix="0" xfId="0">
      <alignment horizontal="right" vertical="center"/>
    </xf>
    <xf numFmtId="3" fontId="592" fillId="594" borderId="2010" applyAlignment="1" pivotButton="0" quotePrefix="0" xfId="0">
      <alignment horizontal="right" vertical="center"/>
    </xf>
    <xf numFmtId="3" fontId="593" fillId="595" borderId="2010" applyAlignment="1" pivotButton="0" quotePrefix="0" xfId="0">
      <alignment horizontal="right" vertical="center"/>
    </xf>
    <xf numFmtId="3" fontId="594" fillId="596" borderId="2010" applyAlignment="1" pivotButton="0" quotePrefix="0" xfId="0">
      <alignment horizontal="right" vertical="center"/>
    </xf>
    <xf numFmtId="3" fontId="595" fillId="597" borderId="2010" applyAlignment="1" pivotButton="0" quotePrefix="0" xfId="0">
      <alignment horizontal="right" vertical="center"/>
    </xf>
    <xf numFmtId="3" fontId="596" fillId="598" borderId="2010" applyAlignment="1" pivotButton="0" quotePrefix="0" xfId="0">
      <alignment horizontal="right" vertical="center"/>
    </xf>
    <xf numFmtId="3" fontId="597" fillId="599" borderId="2010" applyAlignment="1" pivotButton="0" quotePrefix="0" xfId="0">
      <alignment horizontal="right" vertical="center"/>
    </xf>
    <xf numFmtId="3" fontId="599" fillId="601" borderId="2010" applyAlignment="1" pivotButton="0" quotePrefix="0" xfId="0">
      <alignment horizontal="right" vertical="center"/>
    </xf>
    <xf numFmtId="3" fontId="600" fillId="602" borderId="2010" applyAlignment="1" pivotButton="0" quotePrefix="0" xfId="0">
      <alignment horizontal="right" vertical="center"/>
    </xf>
    <xf numFmtId="3" fontId="601" fillId="603" borderId="2010" applyAlignment="1" pivotButton="0" quotePrefix="0" xfId="0">
      <alignment horizontal="right" vertical="center"/>
    </xf>
    <xf numFmtId="3" fontId="602" fillId="604" borderId="2010" applyAlignment="1" pivotButton="0" quotePrefix="0" xfId="0">
      <alignment horizontal="right" vertical="center"/>
    </xf>
    <xf numFmtId="3" fontId="603" fillId="605" borderId="2010" applyAlignment="1" pivotButton="0" quotePrefix="0" xfId="0">
      <alignment horizontal="right" vertical="center"/>
    </xf>
    <xf numFmtId="3" fontId="604" fillId="606" borderId="2010" applyAlignment="1" pivotButton="0" quotePrefix="0" xfId="0">
      <alignment horizontal="right" vertical="center"/>
    </xf>
    <xf numFmtId="3" fontId="605" fillId="607" borderId="2010" applyAlignment="1" pivotButton="0" quotePrefix="0" xfId="0">
      <alignment horizontal="right" vertical="center"/>
    </xf>
    <xf numFmtId="3" fontId="607" fillId="609" borderId="2010" applyAlignment="1" pivotButton="0" quotePrefix="0" xfId="0">
      <alignment horizontal="right" vertical="center"/>
    </xf>
    <xf numFmtId="3" fontId="608" fillId="610" borderId="2010" applyAlignment="1" pivotButton="0" quotePrefix="0" xfId="0">
      <alignment horizontal="right" vertical="center"/>
    </xf>
    <xf numFmtId="3" fontId="609" fillId="611" borderId="2010" applyAlignment="1" pivotButton="0" quotePrefix="0" xfId="0">
      <alignment horizontal="right" vertical="center"/>
    </xf>
    <xf numFmtId="3" fontId="610" fillId="612" borderId="2010" applyAlignment="1" pivotButton="0" quotePrefix="0" xfId="0">
      <alignment horizontal="right" vertical="center"/>
    </xf>
    <xf numFmtId="3" fontId="611" fillId="613" borderId="2010" applyAlignment="1" pivotButton="0" quotePrefix="0" xfId="0">
      <alignment horizontal="right" vertical="center"/>
    </xf>
    <xf numFmtId="3" fontId="612" fillId="614" borderId="2010" applyAlignment="1" pivotButton="0" quotePrefix="0" xfId="0">
      <alignment horizontal="right" vertical="center"/>
    </xf>
    <xf numFmtId="3" fontId="613" fillId="615" borderId="2010" applyAlignment="1" pivotButton="0" quotePrefix="0" xfId="0">
      <alignment horizontal="right" vertical="center"/>
    </xf>
    <xf numFmtId="3" fontId="615" fillId="617" borderId="2010" applyAlignment="1" pivotButton="0" quotePrefix="0" xfId="0">
      <alignment horizontal="right" vertical="center"/>
    </xf>
    <xf numFmtId="3" fontId="616" fillId="618" borderId="2010" applyAlignment="1" pivotButton="0" quotePrefix="0" xfId="0">
      <alignment horizontal="right" vertical="center"/>
    </xf>
    <xf numFmtId="3" fontId="617" fillId="619" borderId="2010" applyAlignment="1" pivotButton="0" quotePrefix="0" xfId="0">
      <alignment horizontal="right" vertical="center"/>
    </xf>
    <xf numFmtId="3" fontId="618" fillId="620" borderId="2010" applyAlignment="1" pivotButton="0" quotePrefix="0" xfId="0">
      <alignment horizontal="right" vertical="center"/>
    </xf>
    <xf numFmtId="3" fontId="619" fillId="621" borderId="2010" applyAlignment="1" pivotButton="0" quotePrefix="0" xfId="0">
      <alignment horizontal="right" vertical="center"/>
    </xf>
    <xf numFmtId="3" fontId="620" fillId="622" borderId="2010" applyAlignment="1" pivotButton="0" quotePrefix="0" xfId="0">
      <alignment horizontal="right" vertical="center"/>
    </xf>
    <xf numFmtId="3" fontId="621" fillId="623" borderId="2010" applyAlignment="1" pivotButton="0" quotePrefix="0" xfId="0">
      <alignment horizontal="right" vertical="center"/>
    </xf>
    <xf numFmtId="3" fontId="623" fillId="625" borderId="2010" applyAlignment="1" pivotButton="0" quotePrefix="0" xfId="0">
      <alignment horizontal="right" vertical="center"/>
    </xf>
    <xf numFmtId="3" fontId="624" fillId="626" borderId="2010" applyAlignment="1" pivotButton="0" quotePrefix="0" xfId="0">
      <alignment horizontal="right" vertical="center"/>
    </xf>
    <xf numFmtId="3" fontId="625" fillId="627" borderId="2010" applyAlignment="1" pivotButton="0" quotePrefix="0" xfId="0">
      <alignment horizontal="right" vertical="center"/>
    </xf>
    <xf numFmtId="3" fontId="626" fillId="628" borderId="2010" applyAlignment="1" pivotButton="0" quotePrefix="0" xfId="0">
      <alignment horizontal="right" vertical="center"/>
    </xf>
    <xf numFmtId="3" fontId="627" fillId="629" borderId="2010" applyAlignment="1" pivotButton="0" quotePrefix="0" xfId="0">
      <alignment horizontal="right" vertical="center"/>
    </xf>
    <xf numFmtId="3" fontId="628" fillId="630" borderId="2010" applyAlignment="1" pivotButton="0" quotePrefix="0" xfId="0">
      <alignment horizontal="right" vertical="center"/>
    </xf>
    <xf numFmtId="3" fontId="629" fillId="631" borderId="2010" applyAlignment="1" pivotButton="0" quotePrefix="0" xfId="0">
      <alignment horizontal="right" vertical="center"/>
    </xf>
    <xf numFmtId="3" fontId="631" fillId="633" borderId="2010" applyAlignment="1" pivotButton="0" quotePrefix="0" xfId="0">
      <alignment horizontal="right" vertical="center"/>
    </xf>
    <xf numFmtId="0" fontId="583" fillId="584" borderId="2010" applyAlignment="1" pivotButton="0" quotePrefix="0" xfId="0">
      <alignment vertical="center"/>
    </xf>
    <xf numFmtId="3" fontId="6" fillId="2326" borderId="2265" applyAlignment="1" pivotButton="0" quotePrefix="0" xfId="0">
      <alignment horizontal="right" vertical="center"/>
    </xf>
    <xf numFmtId="2" fontId="2324" fillId="2327" borderId="2266" applyAlignment="1" pivotButton="0" quotePrefix="0" xfId="0">
      <alignment horizontal="center"/>
    </xf>
    <xf numFmtId="2" fontId="2325" fillId="2328" borderId="2267" applyAlignment="1" pivotButton="0" quotePrefix="0" xfId="0">
      <alignment horizontal="center"/>
    </xf>
    <xf numFmtId="2" fontId="2326" fillId="2329" borderId="2268" applyAlignment="1" pivotButton="0" quotePrefix="0" xfId="0">
      <alignment horizontal="center"/>
    </xf>
    <xf numFmtId="2" fontId="2327" fillId="2330" borderId="2269" applyAlignment="1" pivotButton="0" quotePrefix="0" xfId="0">
      <alignment horizontal="center"/>
    </xf>
    <xf numFmtId="2" fontId="2328" fillId="2331" borderId="2270" applyAlignment="1" pivotButton="0" quotePrefix="0" xfId="0">
      <alignment horizontal="center"/>
    </xf>
    <xf numFmtId="2" fontId="2329" fillId="2332" borderId="2271" applyAlignment="1" pivotButton="0" quotePrefix="0" xfId="0">
      <alignment horizontal="center"/>
    </xf>
    <xf numFmtId="2" fontId="2330" fillId="2333" borderId="2272" applyAlignment="1" pivotButton="0" quotePrefix="0" xfId="0">
      <alignment horizontal="center"/>
    </xf>
    <xf numFmtId="2" fontId="2331" fillId="2334" borderId="2273" applyAlignment="1" pivotButton="0" quotePrefix="0" xfId="0">
      <alignment horizontal="center"/>
    </xf>
    <xf numFmtId="2" fontId="2332" fillId="2335" borderId="2274" applyAlignment="1" pivotButton="0" quotePrefix="0" xfId="0">
      <alignment horizontal="center"/>
    </xf>
    <xf numFmtId="2" fontId="2333" fillId="2336" borderId="2275" applyAlignment="1" pivotButton="0" quotePrefix="0" xfId="0">
      <alignment horizontal="center"/>
    </xf>
    <xf numFmtId="2" fontId="2334" fillId="2337" borderId="2276" applyAlignment="1" pivotButton="0" quotePrefix="0" xfId="0">
      <alignment horizontal="center"/>
    </xf>
    <xf numFmtId="2" fontId="2335" fillId="2338" borderId="2277" applyAlignment="1" pivotButton="0" quotePrefix="0" xfId="0">
      <alignment horizontal="center"/>
    </xf>
    <xf numFmtId="2" fontId="2336" fillId="2339" borderId="2278" applyAlignment="1" pivotButton="0" quotePrefix="0" xfId="0">
      <alignment horizontal="center"/>
    </xf>
    <xf numFmtId="2" fontId="2337" fillId="2340" borderId="2279" applyAlignment="1" pivotButton="0" quotePrefix="0" xfId="0">
      <alignment horizontal="center"/>
    </xf>
    <xf numFmtId="2" fontId="2338" fillId="2341" borderId="2280" applyAlignment="1" pivotButton="0" quotePrefix="0" xfId="0">
      <alignment horizontal="center"/>
    </xf>
    <xf numFmtId="2" fontId="2339" fillId="2342" borderId="2281" applyAlignment="1" pivotButton="0" quotePrefix="0" xfId="0">
      <alignment horizontal="center"/>
    </xf>
    <xf numFmtId="2" fontId="2340" fillId="2343" borderId="2282" applyAlignment="1" pivotButton="0" quotePrefix="0" xfId="0">
      <alignment horizontal="center"/>
    </xf>
    <xf numFmtId="2" fontId="2341" fillId="2344" borderId="2283" applyAlignment="1" pivotButton="0" quotePrefix="0" xfId="0">
      <alignment horizontal="center"/>
    </xf>
    <xf numFmtId="2" fontId="2342" fillId="2345" borderId="2284" applyAlignment="1" pivotButton="0" quotePrefix="0" xfId="0">
      <alignment horizontal="center"/>
    </xf>
    <xf numFmtId="2" fontId="2343" fillId="2346" borderId="2285" applyAlignment="1" pivotButton="0" quotePrefix="0" xfId="0">
      <alignment horizontal="center"/>
    </xf>
    <xf numFmtId="2" fontId="2344" fillId="2347" borderId="2286" applyAlignment="1" pivotButton="0" quotePrefix="0" xfId="0">
      <alignment horizontal="center"/>
    </xf>
    <xf numFmtId="2" fontId="2345" fillId="2348" borderId="2287" applyAlignment="1" pivotButton="0" quotePrefix="0" xfId="0">
      <alignment horizontal="center"/>
    </xf>
    <xf numFmtId="2" fontId="2346" fillId="2349" borderId="2288" applyAlignment="1" pivotButton="0" quotePrefix="0" xfId="0">
      <alignment horizontal="center"/>
    </xf>
    <xf numFmtId="2" fontId="2347" fillId="2350" borderId="2289" applyAlignment="1" pivotButton="0" quotePrefix="0" xfId="0">
      <alignment horizontal="center"/>
    </xf>
    <xf numFmtId="2" fontId="2348" fillId="2351" borderId="2290" applyAlignment="1" pivotButton="0" quotePrefix="0" xfId="0">
      <alignment horizontal="center"/>
    </xf>
    <xf numFmtId="2" fontId="2349" fillId="2352" borderId="2291" applyAlignment="1" pivotButton="0" quotePrefix="0" xfId="0">
      <alignment horizontal="center"/>
    </xf>
    <xf numFmtId="2" fontId="2350" fillId="2353" borderId="2292" applyAlignment="1" pivotButton="0" quotePrefix="0" xfId="0">
      <alignment horizontal="center"/>
    </xf>
    <xf numFmtId="2" fontId="2351" fillId="2354" borderId="2293" applyAlignment="1" pivotButton="0" quotePrefix="0" xfId="0">
      <alignment horizontal="center"/>
    </xf>
    <xf numFmtId="2" fontId="2352" fillId="2355" borderId="2294" applyAlignment="1" pivotButton="0" quotePrefix="0" xfId="0">
      <alignment horizontal="center"/>
    </xf>
    <xf numFmtId="2" fontId="2353" fillId="2356" borderId="2295" applyAlignment="1" pivotButton="0" quotePrefix="0" xfId="0">
      <alignment horizontal="center"/>
    </xf>
    <xf numFmtId="2" fontId="2354" fillId="2357" borderId="2296" applyAlignment="1" pivotButton="0" quotePrefix="0" xfId="0">
      <alignment horizontal="center"/>
    </xf>
    <xf numFmtId="2" fontId="2355" fillId="2358" borderId="2297" applyAlignment="1" pivotButton="0" quotePrefix="0" xfId="0">
      <alignment horizontal="center"/>
    </xf>
    <xf numFmtId="0" fontId="2357" fillId="2360" borderId="2298" applyAlignment="1" pivotButton="0" quotePrefix="0" xfId="0">
      <alignment horizontal="center" vertical="center"/>
    </xf>
    <xf numFmtId="0" fontId="2358" fillId="2361" borderId="2299" applyAlignment="1" pivotButton="0" quotePrefix="0" xfId="0">
      <alignment horizontal="center" vertical="center"/>
    </xf>
    <xf numFmtId="0" fontId="2359" fillId="2362" borderId="2300" applyAlignment="1" pivotButton="0" quotePrefix="0" xfId="0">
      <alignment horizontal="center" vertical="center"/>
    </xf>
    <xf numFmtId="0" fontId="2360" fillId="2363" borderId="2301" applyAlignment="1" pivotButton="0" quotePrefix="0" xfId="0">
      <alignment horizontal="center" vertical="center"/>
    </xf>
    <xf numFmtId="0" fontId="2361" fillId="2364" borderId="2302" applyAlignment="1" pivotButton="0" quotePrefix="0" xfId="0">
      <alignment vertical="center"/>
    </xf>
    <xf numFmtId="0" fontId="2362" fillId="2365" borderId="2303" applyAlignment="1" pivotButton="0" quotePrefix="0" xfId="0">
      <alignment vertical="center"/>
    </xf>
    <xf numFmtId="0" fontId="2363" fillId="2366" borderId="2304" applyAlignment="1" pivotButton="0" quotePrefix="0" xfId="0">
      <alignment vertical="center"/>
    </xf>
    <xf numFmtId="0" fontId="2364" fillId="2367" borderId="2305" applyAlignment="1" pivotButton="0" quotePrefix="0" xfId="0">
      <alignment vertical="center"/>
    </xf>
    <xf numFmtId="0" fontId="2365" fillId="2368" borderId="2306" applyAlignment="1" pivotButton="0" quotePrefix="0" xfId="0">
      <alignment vertical="center"/>
    </xf>
    <xf numFmtId="0" fontId="2366" fillId="2369" borderId="2307" applyAlignment="1" pivotButton="0" quotePrefix="0" xfId="0">
      <alignment vertical="center"/>
    </xf>
    <xf numFmtId="0" fontId="2367" fillId="2370" borderId="2308" applyAlignment="1" pivotButton="0" quotePrefix="0" xfId="0">
      <alignment vertical="center"/>
    </xf>
    <xf numFmtId="0" fontId="2368" fillId="2371" borderId="2309" applyAlignment="1" pivotButton="0" quotePrefix="0" xfId="0">
      <alignment vertical="center"/>
    </xf>
    <xf numFmtId="0" fontId="2369" fillId="2372" borderId="2310" applyAlignment="1" pivotButton="0" quotePrefix="0" xfId="0">
      <alignment vertical="center"/>
    </xf>
    <xf numFmtId="0" fontId="2370" fillId="2373" borderId="2311" applyAlignment="1" pivotButton="0" quotePrefix="0" xfId="0">
      <alignment vertical="center"/>
    </xf>
    <xf numFmtId="0" fontId="2371" fillId="2374" borderId="2312" applyAlignment="1" pivotButton="0" quotePrefix="0" xfId="0">
      <alignment vertical="center"/>
    </xf>
    <xf numFmtId="0" fontId="2372" fillId="2375" borderId="2313" applyAlignment="1" pivotButton="0" quotePrefix="0" xfId="0">
      <alignment vertical="center"/>
    </xf>
    <xf numFmtId="0" fontId="2373" fillId="2376" borderId="2314" applyAlignment="1" pivotButton="0" quotePrefix="0" xfId="0">
      <alignment vertical="center"/>
    </xf>
    <xf numFmtId="0" fontId="2374" fillId="2377" borderId="2315" applyAlignment="1" pivotButton="0" quotePrefix="0" xfId="0">
      <alignment vertical="center"/>
    </xf>
    <xf numFmtId="0" fontId="2375" fillId="2378" borderId="2316" applyAlignment="1" pivotButton="0" quotePrefix="0" xfId="0">
      <alignment vertical="center"/>
    </xf>
    <xf numFmtId="0" fontId="2376" fillId="2379" borderId="2317" applyAlignment="1" pivotButton="0" quotePrefix="0" xfId="0">
      <alignment vertical="center"/>
    </xf>
    <xf numFmtId="0" fontId="2377" fillId="2380" borderId="2318" applyAlignment="1" pivotButton="0" quotePrefix="0" xfId="0">
      <alignment vertical="center"/>
    </xf>
    <xf numFmtId="0" fontId="2378" fillId="2381" borderId="2319" applyAlignment="1" pivotButton="0" quotePrefix="0" xfId="0">
      <alignment vertical="center"/>
    </xf>
    <xf numFmtId="0" fontId="2379" fillId="2382" borderId="2320" applyAlignment="1" pivotButton="0" quotePrefix="0" xfId="0">
      <alignment vertical="center"/>
    </xf>
    <xf numFmtId="0" fontId="2380" fillId="2383" borderId="2321" applyAlignment="1" pivotButton="0" quotePrefix="0" xfId="0">
      <alignment vertical="center"/>
    </xf>
    <xf numFmtId="0" fontId="2381" fillId="2384" borderId="2322" applyAlignment="1" pivotButton="0" quotePrefix="0" xfId="0">
      <alignment vertical="center"/>
    </xf>
    <xf numFmtId="0" fontId="2382" fillId="2385" borderId="2323" applyAlignment="1" pivotButton="0" quotePrefix="0" xfId="0">
      <alignment vertical="center"/>
    </xf>
    <xf numFmtId="0" fontId="2383" fillId="2386" borderId="2324" applyAlignment="1" pivotButton="0" quotePrefix="0" xfId="0">
      <alignment vertical="center"/>
    </xf>
    <xf numFmtId="0" fontId="2384" fillId="2387" borderId="2325" applyAlignment="1" pivotButton="0" quotePrefix="0" xfId="0">
      <alignment vertical="center"/>
    </xf>
    <xf numFmtId="0" fontId="2385" fillId="2388" borderId="2326" applyAlignment="1" pivotButton="0" quotePrefix="0" xfId="0">
      <alignment vertical="center"/>
    </xf>
    <xf numFmtId="0" fontId="2386" fillId="2389" borderId="2327" applyAlignment="1" pivotButton="0" quotePrefix="0" xfId="0">
      <alignment vertical="center"/>
    </xf>
    <xf numFmtId="0" fontId="2387" fillId="2390" borderId="2328" applyAlignment="1" pivotButton="0" quotePrefix="0" xfId="0">
      <alignment vertical="center"/>
    </xf>
    <xf numFmtId="0" fontId="2388" fillId="2391" borderId="2329" applyAlignment="1" pivotButton="0" quotePrefix="0" xfId="0">
      <alignment vertical="center"/>
    </xf>
    <xf numFmtId="0" fontId="2389" fillId="2392" borderId="2330" applyAlignment="1" pivotButton="0" quotePrefix="0" xfId="0">
      <alignment vertical="center"/>
    </xf>
    <xf numFmtId="0" fontId="2390" fillId="2393" borderId="2331" applyAlignment="1" pivotButton="0" quotePrefix="0" xfId="0">
      <alignment vertical="center"/>
    </xf>
    <xf numFmtId="0" fontId="2391" fillId="2394" borderId="2332" applyAlignment="1" pivotButton="0" quotePrefix="0" xfId="0">
      <alignment vertical="center"/>
    </xf>
    <xf numFmtId="0" fontId="2392" fillId="2395" borderId="2333" applyAlignment="1" pivotButton="0" quotePrefix="0" xfId="0">
      <alignment vertical="center"/>
    </xf>
    <xf numFmtId="0" fontId="2393" fillId="2396" borderId="2334" applyAlignment="1" pivotButton="0" quotePrefix="0" xfId="0">
      <alignment vertical="center"/>
    </xf>
    <xf numFmtId="0" fontId="2394" fillId="2397" borderId="2335" applyAlignment="1" pivotButton="0" quotePrefix="0" xfId="0">
      <alignment vertical="center"/>
    </xf>
    <xf numFmtId="0" fontId="2395" fillId="2398" borderId="2336" applyAlignment="1" pivotButton="0" quotePrefix="0" xfId="0">
      <alignment vertical="center"/>
    </xf>
    <xf numFmtId="0" fontId="2396" fillId="2399" borderId="2337" applyAlignment="1" pivotButton="0" quotePrefix="0" xfId="0">
      <alignment vertical="center"/>
    </xf>
    <xf numFmtId="0" fontId="2397" fillId="2400" borderId="2338" applyAlignment="1" pivotButton="0" quotePrefix="0" xfId="0">
      <alignment vertical="center"/>
    </xf>
    <xf numFmtId="0" fontId="2398" fillId="2401" borderId="2339" applyAlignment="1" pivotButton="0" quotePrefix="0" xfId="0">
      <alignment vertical="center"/>
    </xf>
    <xf numFmtId="0" fontId="2399" fillId="2402" borderId="2340" applyAlignment="1" pivotButton="0" quotePrefix="0" xfId="0">
      <alignment vertical="center"/>
    </xf>
    <xf numFmtId="0" fontId="2400" fillId="2403" borderId="2341" applyAlignment="1" pivotButton="0" quotePrefix="0" xfId="0">
      <alignment vertical="center"/>
    </xf>
    <xf numFmtId="0" fontId="2401" fillId="2404" borderId="2342" applyAlignment="1" pivotButton="0" quotePrefix="0" xfId="0">
      <alignment vertical="center"/>
    </xf>
    <xf numFmtId="0" fontId="2402" fillId="2405" borderId="2343" applyAlignment="1" pivotButton="0" quotePrefix="0" xfId="0">
      <alignment vertical="center"/>
    </xf>
    <xf numFmtId="0" fontId="2403" fillId="2406" borderId="2344" applyAlignment="1" pivotButton="0" quotePrefix="0" xfId="0">
      <alignment vertical="center"/>
    </xf>
    <xf numFmtId="0" fontId="2404" fillId="2407" borderId="2345" applyAlignment="1" pivotButton="0" quotePrefix="0" xfId="0">
      <alignment vertical="center"/>
    </xf>
    <xf numFmtId="0" fontId="2405" fillId="2408" borderId="2346" applyAlignment="1" pivotButton="0" quotePrefix="0" xfId="0">
      <alignment vertical="center"/>
    </xf>
    <xf numFmtId="0" fontId="2406" fillId="2409" borderId="2347" applyAlignment="1" pivotButton="0" quotePrefix="0" xfId="0">
      <alignment vertical="center"/>
    </xf>
    <xf numFmtId="0" fontId="2407" fillId="2410" borderId="2348" applyAlignment="1" pivotButton="0" quotePrefix="0" xfId="0">
      <alignment vertical="center"/>
    </xf>
    <xf numFmtId="0" fontId="2408" fillId="2411" borderId="2349" applyAlignment="1" pivotButton="0" quotePrefix="0" xfId="0">
      <alignment vertical="center"/>
    </xf>
    <xf numFmtId="0" fontId="2409" fillId="2412" borderId="2350" applyAlignment="1" pivotButton="0" quotePrefix="0" xfId="0">
      <alignment vertical="center"/>
    </xf>
    <xf numFmtId="0" fontId="2410" fillId="2413" borderId="2351" applyAlignment="1" pivotButton="0" quotePrefix="0" xfId="0">
      <alignment vertical="center"/>
    </xf>
    <xf numFmtId="0" fontId="2411" fillId="2414" borderId="2352" applyAlignment="1" pivotButton="0" quotePrefix="0" xfId="0">
      <alignment vertical="center"/>
    </xf>
    <xf numFmtId="0" fontId="2412" fillId="2415" borderId="2353" applyAlignment="1" pivotButton="0" quotePrefix="0" xfId="0">
      <alignment vertical="center"/>
    </xf>
    <xf numFmtId="0" fontId="2413" fillId="2416" borderId="2354" applyAlignment="1" pivotButton="0" quotePrefix="0" xfId="0">
      <alignment vertical="center"/>
    </xf>
    <xf numFmtId="0" fontId="2414" fillId="2417" borderId="2355" applyAlignment="1" pivotButton="0" quotePrefix="0" xfId="0">
      <alignment vertical="center"/>
    </xf>
    <xf numFmtId="0" fontId="2415" fillId="2418" borderId="2356" applyAlignment="1" pivotButton="0" quotePrefix="0" xfId="0">
      <alignment vertical="center"/>
    </xf>
    <xf numFmtId="0" fontId="2416" fillId="2419" borderId="2357" applyAlignment="1" pivotButton="0" quotePrefix="0" xfId="0">
      <alignment vertical="center"/>
    </xf>
    <xf numFmtId="0" fontId="2417" fillId="2420" borderId="2358" applyAlignment="1" pivotButton="0" quotePrefix="0" xfId="0">
      <alignment vertical="center"/>
    </xf>
    <xf numFmtId="0" fontId="2418" fillId="2421" borderId="2359" applyAlignment="1" pivotButton="0" quotePrefix="0" xfId="0">
      <alignment vertical="center"/>
    </xf>
    <xf numFmtId="0" fontId="2419" fillId="2422" borderId="2360" applyAlignment="1" pivotButton="0" quotePrefix="0" xfId="0">
      <alignment vertical="center"/>
    </xf>
    <xf numFmtId="0" fontId="2420" fillId="2423" borderId="2361" applyAlignment="1" pivotButton="0" quotePrefix="0" xfId="0">
      <alignment vertical="center"/>
    </xf>
    <xf numFmtId="0" fontId="2421" fillId="2424" borderId="2362" applyAlignment="1" pivotButton="0" quotePrefix="0" xfId="0">
      <alignment vertical="center"/>
    </xf>
    <xf numFmtId="0" fontId="2422" fillId="2425" borderId="2363" applyAlignment="1" pivotButton="0" quotePrefix="0" xfId="0">
      <alignment vertical="center"/>
    </xf>
    <xf numFmtId="0" fontId="2423" fillId="2426" borderId="2364" applyAlignment="1" pivotButton="0" quotePrefix="0" xfId="0">
      <alignment vertical="center"/>
    </xf>
    <xf numFmtId="0" fontId="2424" fillId="2427" borderId="2365" applyAlignment="1" pivotButton="0" quotePrefix="0" xfId="0">
      <alignment vertical="center"/>
    </xf>
    <xf numFmtId="0" fontId="2425" fillId="2428" borderId="2366" applyAlignment="1" pivotButton="0" quotePrefix="0" xfId="0">
      <alignment vertical="center"/>
    </xf>
    <xf numFmtId="0" fontId="2426" fillId="2429" borderId="2367" applyAlignment="1" pivotButton="0" quotePrefix="0" xfId="0">
      <alignment vertical="center"/>
    </xf>
    <xf numFmtId="0" fontId="2427" fillId="2430" borderId="2368" applyAlignment="1" pivotButton="0" quotePrefix="0" xfId="0">
      <alignment vertical="center"/>
    </xf>
    <xf numFmtId="0" fontId="2428" fillId="2431" borderId="2369" applyAlignment="1" pivotButton="0" quotePrefix="0" xfId="0">
      <alignment vertical="center"/>
    </xf>
    <xf numFmtId="0" fontId="2429" fillId="2432" borderId="2370" applyAlignment="1" pivotButton="0" quotePrefix="0" xfId="0">
      <alignment vertical="center"/>
    </xf>
    <xf numFmtId="0" fontId="2430" fillId="2433" borderId="2371" applyAlignment="1" pivotButton="0" quotePrefix="0" xfId="0">
      <alignment vertical="center"/>
    </xf>
    <xf numFmtId="0" fontId="2431" fillId="2434" borderId="2372" applyAlignment="1" pivotButton="0" quotePrefix="0" xfId="0">
      <alignment vertical="center"/>
    </xf>
    <xf numFmtId="0" fontId="2432" fillId="2435" borderId="2373" applyAlignment="1" pivotButton="0" quotePrefix="0" xfId="0">
      <alignment vertical="center"/>
    </xf>
    <xf numFmtId="0" fontId="2433" fillId="2436" borderId="2374" applyAlignment="1" pivotButton="0" quotePrefix="0" xfId="0">
      <alignment vertical="center"/>
    </xf>
    <xf numFmtId="0" fontId="2434" fillId="2437" borderId="2375" applyAlignment="1" pivotButton="0" quotePrefix="0" xfId="0">
      <alignment vertical="center"/>
    </xf>
    <xf numFmtId="0" fontId="2435" fillId="2438" borderId="2376" applyAlignment="1" pivotButton="0" quotePrefix="0" xfId="0">
      <alignment vertical="center"/>
    </xf>
    <xf numFmtId="0" fontId="2436" fillId="2439" borderId="2377" applyAlignment="1" pivotButton="0" quotePrefix="0" xfId="0">
      <alignment vertical="center"/>
    </xf>
    <xf numFmtId="0" fontId="2437" fillId="2440" borderId="2378" applyAlignment="1" pivotButton="0" quotePrefix="0" xfId="0">
      <alignment vertical="center"/>
    </xf>
    <xf numFmtId="0" fontId="2438" fillId="2441" borderId="2379" applyAlignment="1" pivotButton="0" quotePrefix="0" xfId="0">
      <alignment vertical="center"/>
    </xf>
    <xf numFmtId="0" fontId="2439" fillId="2442" borderId="2380" applyAlignment="1" pivotButton="0" quotePrefix="0" xfId="0">
      <alignment vertical="center"/>
    </xf>
    <xf numFmtId="0" fontId="2440" fillId="2443" borderId="2381" applyAlignment="1" pivotButton="0" quotePrefix="0" xfId="0">
      <alignment vertical="center"/>
    </xf>
    <xf numFmtId="0" fontId="2441" fillId="2444" borderId="2382" applyAlignment="1" pivotButton="0" quotePrefix="0" xfId="0">
      <alignment vertical="center"/>
    </xf>
    <xf numFmtId="0" fontId="2442" fillId="2445" borderId="2383" applyAlignment="1" pivotButton="0" quotePrefix="0" xfId="0">
      <alignment vertical="center"/>
    </xf>
    <xf numFmtId="0" fontId="2443" fillId="2446" borderId="2384" applyAlignment="1" pivotButton="0" quotePrefix="0" xfId="0">
      <alignment vertical="center"/>
    </xf>
    <xf numFmtId="0" fontId="2444" fillId="2447" borderId="2385" applyAlignment="1" pivotButton="0" quotePrefix="0" xfId="0">
      <alignment vertical="center"/>
    </xf>
    <xf numFmtId="0" fontId="2445" fillId="2448" borderId="2386" applyAlignment="1" pivotButton="0" quotePrefix="0" xfId="0">
      <alignment vertical="center"/>
    </xf>
    <xf numFmtId="0" fontId="2446" fillId="2449" borderId="2387" applyAlignment="1" pivotButton="0" quotePrefix="0" xfId="0">
      <alignment vertical="center"/>
    </xf>
    <xf numFmtId="0" fontId="2447" fillId="2450" borderId="2388" applyAlignment="1" pivotButton="0" quotePrefix="0" xfId="0">
      <alignment vertical="center"/>
    </xf>
    <xf numFmtId="0" fontId="2448" fillId="2451" borderId="2389" applyAlignment="1" pivotButton="0" quotePrefix="0" xfId="0">
      <alignment vertical="center"/>
    </xf>
    <xf numFmtId="0" fontId="2449" fillId="2452" borderId="2390" applyAlignment="1" pivotButton="0" quotePrefix="0" xfId="0">
      <alignment vertical="center"/>
    </xf>
    <xf numFmtId="0" fontId="2450" fillId="2453" borderId="2391" applyAlignment="1" pivotButton="0" quotePrefix="0" xfId="0">
      <alignment vertical="center"/>
    </xf>
    <xf numFmtId="0" fontId="2451" fillId="2454" borderId="2392" applyAlignment="1" pivotButton="0" quotePrefix="0" xfId="0">
      <alignment vertical="center"/>
    </xf>
    <xf numFmtId="0" fontId="2452" fillId="2455" borderId="2393" applyAlignment="1" pivotButton="0" quotePrefix="0" xfId="0">
      <alignment vertical="center"/>
    </xf>
    <xf numFmtId="0" fontId="2453" fillId="2456" borderId="2394" applyAlignment="1" pivotButton="0" quotePrefix="0" xfId="0">
      <alignment vertical="center"/>
    </xf>
    <xf numFmtId="0" fontId="2454" fillId="2457" borderId="2395" applyAlignment="1" pivotButton="0" quotePrefix="0" xfId="0">
      <alignment vertical="center"/>
    </xf>
    <xf numFmtId="0" fontId="2455" fillId="2458" borderId="2396" applyAlignment="1" pivotButton="0" quotePrefix="0" xfId="0">
      <alignment vertical="center"/>
    </xf>
    <xf numFmtId="0" fontId="2456" fillId="2459" borderId="2397" applyAlignment="1" pivotButton="0" quotePrefix="0" xfId="0">
      <alignment vertical="center"/>
    </xf>
    <xf numFmtId="0" fontId="2457" fillId="2460" borderId="2398" applyAlignment="1" pivotButton="0" quotePrefix="0" xfId="0">
      <alignment vertical="center"/>
    </xf>
    <xf numFmtId="0" fontId="2458" fillId="2461" borderId="2399" applyAlignment="1" pivotButton="0" quotePrefix="0" xfId="0">
      <alignment vertical="center"/>
    </xf>
    <xf numFmtId="0" fontId="2459" fillId="2462" borderId="2400" applyAlignment="1" pivotButton="0" quotePrefix="0" xfId="0">
      <alignment vertical="center"/>
    </xf>
    <xf numFmtId="0" fontId="2460" fillId="2463" borderId="2401" applyAlignment="1" pivotButton="0" quotePrefix="0" xfId="0">
      <alignment vertical="center"/>
    </xf>
    <xf numFmtId="0" fontId="2461" fillId="2464" borderId="2402" applyAlignment="1" pivotButton="0" quotePrefix="0" xfId="0">
      <alignment vertical="center"/>
    </xf>
    <xf numFmtId="0" fontId="2462" fillId="2465" borderId="2403" applyAlignment="1" pivotButton="0" quotePrefix="0" xfId="0">
      <alignment vertical="center"/>
    </xf>
    <xf numFmtId="0" fontId="2463" fillId="2466" borderId="2404" applyAlignment="1" pivotButton="0" quotePrefix="0" xfId="0">
      <alignment vertical="center"/>
    </xf>
    <xf numFmtId="0" fontId="2464" fillId="2467" borderId="2405" applyAlignment="1" pivotButton="0" quotePrefix="0" xfId="0">
      <alignment vertical="center"/>
    </xf>
    <xf numFmtId="0" fontId="2465" fillId="2468" borderId="2406" applyAlignment="1" pivotButton="0" quotePrefix="0" xfId="0">
      <alignment vertical="center"/>
    </xf>
    <xf numFmtId="0" fontId="2466" fillId="2469" borderId="2407" applyAlignment="1" pivotButton="0" quotePrefix="0" xfId="0">
      <alignment vertical="center"/>
    </xf>
    <xf numFmtId="0" fontId="2467" fillId="2470" borderId="2408" applyAlignment="1" pivotButton="0" quotePrefix="0" xfId="0">
      <alignment vertical="center"/>
    </xf>
    <xf numFmtId="0" fontId="2468" fillId="2471" borderId="2409" applyAlignment="1" pivotButton="0" quotePrefix="0" xfId="0">
      <alignment vertical="center"/>
    </xf>
    <xf numFmtId="0" fontId="2469" fillId="2472" borderId="2410" applyAlignment="1" pivotButton="0" quotePrefix="0" xfId="0">
      <alignment vertical="center"/>
    </xf>
    <xf numFmtId="0" fontId="2470" fillId="2473" borderId="2411" applyAlignment="1" pivotButton="0" quotePrefix="0" xfId="0">
      <alignment vertical="center"/>
    </xf>
    <xf numFmtId="0" fontId="2471" fillId="2474" borderId="2412" applyAlignment="1" pivotButton="0" quotePrefix="0" xfId="0">
      <alignment vertical="center"/>
    </xf>
    <xf numFmtId="0" fontId="2472" fillId="2475" borderId="2413" applyAlignment="1" pivotButton="0" quotePrefix="0" xfId="0">
      <alignment vertical="center"/>
    </xf>
    <xf numFmtId="0" fontId="2473" fillId="2476" borderId="2414" applyAlignment="1" pivotButton="0" quotePrefix="0" xfId="0">
      <alignment vertical="center"/>
    </xf>
    <xf numFmtId="0" fontId="2474" fillId="2477" borderId="2415" applyAlignment="1" pivotButton="0" quotePrefix="0" xfId="0">
      <alignment vertical="center"/>
    </xf>
    <xf numFmtId="0" fontId="2475" fillId="2478" borderId="2416" applyAlignment="1" pivotButton="0" quotePrefix="0" xfId="0">
      <alignment vertical="center"/>
    </xf>
    <xf numFmtId="0" fontId="2476" fillId="2479" borderId="2417" applyAlignment="1" pivotButton="0" quotePrefix="0" xfId="0">
      <alignment vertical="center"/>
    </xf>
    <xf numFmtId="0" fontId="2477" fillId="2480" borderId="2418" applyAlignment="1" pivotButton="0" quotePrefix="0" xfId="0">
      <alignment vertical="center"/>
    </xf>
    <xf numFmtId="0" fontId="2478" fillId="2481" borderId="2419" applyAlignment="1" pivotButton="0" quotePrefix="0" xfId="0">
      <alignment vertical="center"/>
    </xf>
    <xf numFmtId="0" fontId="2479" fillId="2482" borderId="2420" applyAlignment="1" pivotButton="0" quotePrefix="0" xfId="0">
      <alignment vertical="center"/>
    </xf>
    <xf numFmtId="0" fontId="2480" fillId="2483" borderId="2421" applyAlignment="1" pivotButton="0" quotePrefix="0" xfId="0">
      <alignment vertical="center"/>
    </xf>
    <xf numFmtId="0" fontId="2481" fillId="2484" borderId="2422" applyAlignment="1" pivotButton="0" quotePrefix="0" xfId="0">
      <alignment vertical="center"/>
    </xf>
    <xf numFmtId="0" fontId="2482" fillId="2485" borderId="2423" applyAlignment="1" pivotButton="0" quotePrefix="0" xfId="0">
      <alignment vertical="center"/>
    </xf>
    <xf numFmtId="0" fontId="2483" fillId="2486" borderId="2424" applyAlignment="1" pivotButton="0" quotePrefix="0" xfId="0">
      <alignment vertical="center"/>
    </xf>
    <xf numFmtId="0" fontId="2484" fillId="2487" borderId="2425" applyAlignment="1" pivotButton="0" quotePrefix="0" xfId="0">
      <alignment vertical="center"/>
    </xf>
    <xf numFmtId="0" fontId="2485" fillId="2488" borderId="2426" applyAlignment="1" pivotButton="0" quotePrefix="0" xfId="0">
      <alignment vertical="center"/>
    </xf>
    <xf numFmtId="0" fontId="2486" fillId="2489" borderId="2427" applyAlignment="1" pivotButton="0" quotePrefix="0" xfId="0">
      <alignment vertical="center"/>
    </xf>
    <xf numFmtId="0" fontId="2487" fillId="2490" borderId="2428" applyAlignment="1" pivotButton="0" quotePrefix="0" xfId="0">
      <alignment vertical="center"/>
    </xf>
    <xf numFmtId="0" fontId="2488" fillId="2491" borderId="2429" applyAlignment="1" pivotButton="0" quotePrefix="0" xfId="0">
      <alignment vertical="center"/>
    </xf>
    <xf numFmtId="0" fontId="2490" fillId="2493" borderId="2430" applyAlignment="1" pivotButton="0" quotePrefix="0" xfId="0">
      <alignment horizontal="center"/>
    </xf>
    <xf numFmtId="0" fontId="2491" fillId="2494" borderId="2431" applyAlignment="1" pivotButton="0" quotePrefix="0" xfId="0">
      <alignment horizontal="center"/>
    </xf>
    <xf numFmtId="0" fontId="2492" fillId="2495" borderId="2432" applyAlignment="1" pivotButton="0" quotePrefix="0" xfId="0">
      <alignment horizontal="center"/>
    </xf>
    <xf numFmtId="0" fontId="2493" fillId="2496" borderId="2433" applyAlignment="1" pivotButton="0" quotePrefix="0" xfId="0">
      <alignment horizontal="center"/>
    </xf>
    <xf numFmtId="0" fontId="2494" fillId="2497" borderId="2434" applyAlignment="1" pivotButton="0" quotePrefix="0" xfId="0">
      <alignment horizontal="center"/>
    </xf>
    <xf numFmtId="0" fontId="2495" fillId="2498" borderId="2435" applyAlignment="1" pivotButton="0" quotePrefix="0" xfId="0">
      <alignment horizontal="center"/>
    </xf>
    <xf numFmtId="0" fontId="2496" fillId="2499" borderId="2436" applyAlignment="1" pivotButton="0" quotePrefix="0" xfId="0">
      <alignment horizontal="center"/>
    </xf>
    <xf numFmtId="0" fontId="2497" fillId="2500" borderId="2437" applyAlignment="1" pivotButton="0" quotePrefix="0" xfId="0">
      <alignment horizontal="center"/>
    </xf>
    <xf numFmtId="14" fontId="2498" fillId="2501" borderId="2438" pivotButton="0" quotePrefix="0" xfId="0"/>
    <xf numFmtId="0" fontId="2499" fillId="2502" borderId="2439" pivotButton="0" quotePrefix="0" xfId="0"/>
    <xf numFmtId="0" fontId="2500" fillId="2503" borderId="2440" pivotButton="0" quotePrefix="0" xfId="0"/>
    <xf numFmtId="0" fontId="2501" fillId="2504" borderId="2441" pivotButton="0" quotePrefix="0" xfId="0"/>
    <xf numFmtId="0" fontId="2502" fillId="2505" borderId="2442" pivotButton="0" quotePrefix="0" xfId="0"/>
    <xf numFmtId="0" fontId="2503" fillId="2506" borderId="2443" pivotButton="0" quotePrefix="0" xfId="0"/>
    <xf numFmtId="0" fontId="2504" fillId="2507" borderId="2444" pivotButton="0" quotePrefix="0" xfId="0"/>
    <xf numFmtId="0" fontId="2505" fillId="2508" borderId="2445" pivotButton="0" quotePrefix="0" xfId="0"/>
    <xf numFmtId="14" fontId="2506" fillId="2509" borderId="2446" pivotButton="0" quotePrefix="0" xfId="0"/>
    <xf numFmtId="0" fontId="2507" fillId="2510" borderId="2447" pivotButton="0" quotePrefix="0" xfId="0"/>
    <xf numFmtId="0" fontId="2508" fillId="2511" borderId="2448" pivotButton="0" quotePrefix="0" xfId="0"/>
    <xf numFmtId="0" fontId="2509" fillId="2512" borderId="2449" pivotButton="0" quotePrefix="0" xfId="0"/>
    <xf numFmtId="0" fontId="2510" fillId="2513" borderId="2450" pivotButton="0" quotePrefix="0" xfId="0"/>
    <xf numFmtId="0" fontId="2511" fillId="2514" borderId="2451" pivotButton="0" quotePrefix="0" xfId="0"/>
    <xf numFmtId="0" fontId="2512" fillId="2515" borderId="2452" pivotButton="0" quotePrefix="0" xfId="0"/>
    <xf numFmtId="0" fontId="2513" fillId="2516" borderId="2453" pivotButton="0" quotePrefix="0" xfId="0"/>
    <xf numFmtId="14" fontId="2514" fillId="2517" borderId="2454" pivotButton="0" quotePrefix="0" xfId="0"/>
    <xf numFmtId="0" fontId="2515" fillId="2518" borderId="2455" pivotButton="0" quotePrefix="0" xfId="0"/>
    <xf numFmtId="0" fontId="2516" fillId="2519" borderId="2456" pivotButton="0" quotePrefix="0" xfId="0"/>
    <xf numFmtId="0" fontId="2517" fillId="2520" borderId="2457" pivotButton="0" quotePrefix="0" xfId="0"/>
    <xf numFmtId="0" fontId="2518" fillId="2521" borderId="2458" pivotButton="0" quotePrefix="0" xfId="0"/>
    <xf numFmtId="0" fontId="2519" fillId="2522" borderId="2459" pivotButton="0" quotePrefix="0" xfId="0"/>
    <xf numFmtId="0" fontId="2520" fillId="2523" borderId="2460" pivotButton="0" quotePrefix="0" xfId="0"/>
    <xf numFmtId="0" fontId="2521" fillId="2524" borderId="2461" pivotButton="0" quotePrefix="0" xfId="0"/>
    <xf numFmtId="14" fontId="2522" fillId="2525" borderId="2462" pivotButton="0" quotePrefix="0" xfId="0"/>
    <xf numFmtId="0" fontId="2523" fillId="2526" borderId="2463" pivotButton="0" quotePrefix="0" xfId="0"/>
    <xf numFmtId="0" fontId="2524" fillId="2527" borderId="2464" pivotButton="0" quotePrefix="0" xfId="0"/>
    <xf numFmtId="0" fontId="2525" fillId="2528" borderId="2465" pivotButton="0" quotePrefix="0" xfId="0"/>
    <xf numFmtId="0" fontId="2526" fillId="2529" borderId="2466" pivotButton="0" quotePrefix="0" xfId="0"/>
    <xf numFmtId="0" fontId="2527" fillId="2530" borderId="2467" pivotButton="0" quotePrefix="0" xfId="0"/>
    <xf numFmtId="0" fontId="2528" fillId="2531" borderId="2468" pivotButton="0" quotePrefix="0" xfId="0"/>
    <xf numFmtId="0" fontId="2529" fillId="2532" borderId="2469" pivotButton="0" quotePrefix="0" xfId="0"/>
    <xf numFmtId="14" fontId="2530" fillId="2533" borderId="2470" pivotButton="0" quotePrefix="0" xfId="0"/>
    <xf numFmtId="0" fontId="2531" fillId="2534" borderId="2471" pivotButton="0" quotePrefix="0" xfId="0"/>
    <xf numFmtId="0" fontId="2532" fillId="2535" borderId="2472" pivotButton="0" quotePrefix="0" xfId="0"/>
    <xf numFmtId="0" fontId="2533" fillId="2536" borderId="2473" pivotButton="0" quotePrefix="0" xfId="0"/>
    <xf numFmtId="0" fontId="2534" fillId="2537" borderId="2474" pivotButton="0" quotePrefix="0" xfId="0"/>
    <xf numFmtId="0" fontId="2535" fillId="2538" borderId="2475" pivotButton="0" quotePrefix="0" xfId="0"/>
    <xf numFmtId="0" fontId="2536" fillId="2539" borderId="2476" pivotButton="0" quotePrefix="0" xfId="0"/>
    <xf numFmtId="0" fontId="2537" fillId="2540" borderId="2477" pivotButton="0" quotePrefix="0" xfId="0"/>
    <xf numFmtId="14" fontId="2538" fillId="2541" borderId="2478" pivotButton="0" quotePrefix="0" xfId="0"/>
    <xf numFmtId="0" fontId="2539" fillId="2542" borderId="2479" pivotButton="0" quotePrefix="0" xfId="0"/>
    <xf numFmtId="0" fontId="2540" fillId="2543" borderId="2480" pivotButton="0" quotePrefix="0" xfId="0"/>
    <xf numFmtId="0" fontId="2541" fillId="2544" borderId="2481" pivotButton="0" quotePrefix="0" xfId="0"/>
    <xf numFmtId="0" fontId="2542" fillId="2545" borderId="2482" pivotButton="0" quotePrefix="0" xfId="0"/>
    <xf numFmtId="0" fontId="2543" fillId="2546" borderId="2483" pivotButton="0" quotePrefix="0" xfId="0"/>
    <xf numFmtId="0" fontId="2544" fillId="2547" borderId="2484" pivotButton="0" quotePrefix="0" xfId="0"/>
    <xf numFmtId="0" fontId="2545" fillId="2548" borderId="2485" pivotButton="0" quotePrefix="0" xfId="0"/>
    <xf numFmtId="14" fontId="2546" fillId="2549" borderId="2486" pivotButton="0" quotePrefix="0" xfId="0"/>
    <xf numFmtId="0" fontId="2547" fillId="2550" borderId="2487" pivotButton="0" quotePrefix="0" xfId="0"/>
    <xf numFmtId="0" fontId="2548" fillId="2551" borderId="2488" pivotButton="0" quotePrefix="0" xfId="0"/>
    <xf numFmtId="0" fontId="2549" fillId="2552" borderId="2489" pivotButton="0" quotePrefix="0" xfId="0"/>
    <xf numFmtId="0" fontId="2550" fillId="2553" borderId="2490" pivotButton="0" quotePrefix="0" xfId="0"/>
    <xf numFmtId="0" fontId="2551" fillId="2554" borderId="2491" pivotButton="0" quotePrefix="0" xfId="0"/>
    <xf numFmtId="0" fontId="2552" fillId="2555" borderId="2492" pivotButton="0" quotePrefix="0" xfId="0"/>
    <xf numFmtId="0" fontId="2553" fillId="2556" borderId="2493" pivotButton="0" quotePrefix="0" xfId="0"/>
    <xf numFmtId="14" fontId="2554" fillId="2557" borderId="2494" pivotButton="0" quotePrefix="0" xfId="0"/>
    <xf numFmtId="0" fontId="2555" fillId="2558" borderId="2495" pivotButton="0" quotePrefix="0" xfId="0"/>
    <xf numFmtId="0" fontId="2556" fillId="2559" borderId="2496" pivotButton="0" quotePrefix="0" xfId="0"/>
    <xf numFmtId="0" fontId="2557" fillId="2560" borderId="2497" pivotButton="0" quotePrefix="0" xfId="0"/>
    <xf numFmtId="0" fontId="2558" fillId="2561" borderId="2498" pivotButton="0" quotePrefix="0" xfId="0"/>
    <xf numFmtId="0" fontId="2559" fillId="2562" borderId="2499" pivotButton="0" quotePrefix="0" xfId="0"/>
    <xf numFmtId="0" fontId="2560" fillId="2563" borderId="2500" pivotButton="0" quotePrefix="0" xfId="0"/>
    <xf numFmtId="0" fontId="2561" fillId="2564" borderId="2501" pivotButton="0" quotePrefix="0" xfId="0"/>
    <xf numFmtId="0" fontId="2562" fillId="2565" borderId="2502" pivotButton="0" quotePrefix="0" xfId="0"/>
    <xf numFmtId="0" fontId="2563" fillId="2566" borderId="2503" pivotButton="0" quotePrefix="0" xfId="0"/>
    <xf numFmtId="0" fontId="2564" fillId="2567" borderId="2504" pivotButton="0" quotePrefix="0" xfId="0"/>
    <xf numFmtId="0" fontId="2565" fillId="2568" borderId="2505" pivotButton="0" quotePrefix="0" xfId="0"/>
    <xf numFmtId="0" fontId="2566" fillId="2569" borderId="2506" pivotButton="0" quotePrefix="0" xfId="0"/>
    <xf numFmtId="0" fontId="2567" fillId="2570" borderId="2507" pivotButton="0" quotePrefix="0" xfId="0"/>
    <xf numFmtId="0" fontId="2568" fillId="2571" borderId="2508" pivotButton="0" quotePrefix="0" xfId="0"/>
    <xf numFmtId="0" fontId="2569" fillId="2572" borderId="2509" pivotButton="0" quotePrefix="0" xfId="0"/>
    <xf numFmtId="0" fontId="2570" fillId="2573" borderId="2510" pivotButton="0" quotePrefix="0" xfId="0"/>
    <xf numFmtId="0" fontId="2571" fillId="2574" borderId="2511" pivotButton="0" quotePrefix="0" xfId="0"/>
    <xf numFmtId="0" fontId="2572" fillId="2575" borderId="2512" pivotButton="0" quotePrefix="0" xfId="0"/>
    <xf numFmtId="0" fontId="2573" fillId="2576" borderId="2513" pivotButton="0" quotePrefix="0" xfId="0"/>
    <xf numFmtId="0" fontId="2574" fillId="2577" borderId="2514" pivotButton="0" quotePrefix="0" xfId="0"/>
    <xf numFmtId="0" fontId="2575" fillId="2578" borderId="2515" pivotButton="0" quotePrefix="0" xfId="0"/>
    <xf numFmtId="0" fontId="2576" fillId="2579" borderId="2516" pivotButton="0" quotePrefix="0" xfId="0"/>
    <xf numFmtId="0" fontId="2577" fillId="2580" borderId="2517" pivotButton="0" quotePrefix="0" xfId="0"/>
    <xf numFmtId="0" fontId="2578" fillId="2581" borderId="2518" pivotButton="0" quotePrefix="0" xfId="0"/>
    <xf numFmtId="0" fontId="2579" fillId="2582" borderId="2519" pivotButton="0" quotePrefix="0" xfId="0"/>
    <xf numFmtId="0" fontId="2580" fillId="2583" borderId="2520" pivotButton="0" quotePrefix="0" xfId="0"/>
    <xf numFmtId="0" fontId="2581" fillId="2584" borderId="2521" pivotButton="0" quotePrefix="0" xfId="0"/>
    <xf numFmtId="0" fontId="2582" fillId="2585" borderId="2522" pivotButton="0" quotePrefix="0" xfId="0"/>
    <xf numFmtId="0" fontId="2583" fillId="2586" borderId="2523" pivotButton="0" quotePrefix="0" xfId="0"/>
    <xf numFmtId="0" fontId="2584" fillId="2587" borderId="2524" pivotButton="0" quotePrefix="0" xfId="0"/>
    <xf numFmtId="0" fontId="2585" fillId="2588" borderId="2525" pivotButton="0" quotePrefix="0" xfId="0"/>
    <xf numFmtId="0" fontId="2586" fillId="2589" borderId="2526" pivotButton="0" quotePrefix="0" xfId="0"/>
    <xf numFmtId="0" fontId="2587" fillId="2590" borderId="2527" pivotButton="0" quotePrefix="0" xfId="0"/>
    <xf numFmtId="0" fontId="2588" fillId="2591" borderId="2528" pivotButton="0" quotePrefix="0" xfId="0"/>
    <xf numFmtId="0" fontId="2589" fillId="2592" borderId="2529" pivotButton="0" quotePrefix="0" xfId="0"/>
    <xf numFmtId="14" fontId="2590" fillId="2593" borderId="2530" pivotButton="0" quotePrefix="0" xfId="0"/>
    <xf numFmtId="0" fontId="2591" fillId="2594" borderId="2531" pivotButton="0" quotePrefix="0" xfId="0"/>
    <xf numFmtId="0" fontId="2592" fillId="2595" borderId="2532" pivotButton="0" quotePrefix="0" xfId="0"/>
    <xf numFmtId="0" fontId="2593" fillId="2596" borderId="2533" pivotButton="0" quotePrefix="0" xfId="0"/>
    <xf numFmtId="0" fontId="2594" fillId="2597" borderId="2534" pivotButton="0" quotePrefix="0" xfId="0"/>
    <xf numFmtId="0" fontId="2595" fillId="2598" borderId="2535" pivotButton="0" quotePrefix="0" xfId="0"/>
    <xf numFmtId="0" fontId="2596" fillId="2599" borderId="2536" pivotButton="0" quotePrefix="0" xfId="0"/>
    <xf numFmtId="0" fontId="2597" fillId="2600" borderId="2537" pivotButton="0" quotePrefix="0" xfId="0"/>
    <xf numFmtId="0" fontId="2598" fillId="2601" borderId="2538" pivotButton="0" quotePrefix="0" xfId="0"/>
    <xf numFmtId="0" fontId="2599" fillId="2602" borderId="2539" pivotButton="0" quotePrefix="0" xfId="0"/>
    <xf numFmtId="0" fontId="2600" fillId="2603" borderId="2540" pivotButton="0" quotePrefix="0" xfId="0"/>
    <xf numFmtId="0" fontId="2601" fillId="2604" borderId="2541" pivotButton="0" quotePrefix="0" xfId="0"/>
    <xf numFmtId="0" fontId="2602" fillId="2605" borderId="2542" pivotButton="0" quotePrefix="0" xfId="0"/>
    <xf numFmtId="0" fontId="2603" fillId="2606" borderId="2543" pivotButton="0" quotePrefix="0" xfId="0"/>
    <xf numFmtId="0" fontId="2604" fillId="2607" borderId="2544" pivotButton="0" quotePrefix="0" xfId="0"/>
    <xf numFmtId="0" fontId="2605" fillId="2608" borderId="2545" pivotButton="0" quotePrefix="0" xfId="0"/>
    <xf numFmtId="0" fontId="2606" fillId="2609" borderId="2546" pivotButton="0" quotePrefix="0" xfId="0"/>
    <xf numFmtId="0" fontId="2607" fillId="2610" borderId="2547" pivotButton="0" quotePrefix="0" xfId="0"/>
    <xf numFmtId="0" fontId="2608" fillId="2611" borderId="2548" pivotButton="0" quotePrefix="0" xfId="0"/>
    <xf numFmtId="0" fontId="2609" fillId="2612" borderId="2549" pivotButton="0" quotePrefix="0" xfId="0"/>
    <xf numFmtId="0" fontId="2610" fillId="2613" borderId="2550" pivotButton="0" quotePrefix="0" xfId="0"/>
    <xf numFmtId="0" fontId="2611" fillId="2614" borderId="2551" pivotButton="0" quotePrefix="0" xfId="0"/>
    <xf numFmtId="0" fontId="2612" fillId="2615" borderId="2552" pivotButton="0" quotePrefix="0" xfId="0"/>
    <xf numFmtId="0" fontId="2613" fillId="2616" borderId="2553" pivotButton="0" quotePrefix="0" xfId="0"/>
    <xf numFmtId="0" fontId="2614" fillId="2617" borderId="2554" pivotButton="0" quotePrefix="0" xfId="0"/>
    <xf numFmtId="0" fontId="2615" fillId="2618" borderId="2555" pivotButton="0" quotePrefix="0" xfId="0"/>
    <xf numFmtId="0" fontId="2616" fillId="2619" borderId="2556" pivotButton="0" quotePrefix="0" xfId="0"/>
    <xf numFmtId="0" fontId="2617" fillId="2620" borderId="2557" pivotButton="0" quotePrefix="0" xfId="0"/>
    <xf numFmtId="0" fontId="2618" fillId="2621" borderId="2558" pivotButton="0" quotePrefix="0" xfId="0"/>
    <xf numFmtId="0" fontId="2619" fillId="2622" borderId="2559" pivotButton="0" quotePrefix="0" xfId="0"/>
    <xf numFmtId="0" fontId="2620" fillId="2623" borderId="2560" pivotButton="0" quotePrefix="0" xfId="0"/>
    <xf numFmtId="0" fontId="2621" fillId="2624" borderId="2561" pivotButton="0" quotePrefix="0" xfId="0"/>
    <xf numFmtId="0" fontId="2622" fillId="2625" borderId="2562" pivotButton="0" quotePrefix="0" xfId="0"/>
    <xf numFmtId="0" fontId="2623" fillId="2626" borderId="2563" pivotButton="0" quotePrefix="0" xfId="0"/>
    <xf numFmtId="0" fontId="2624" fillId="2627" borderId="2564" pivotButton="0" quotePrefix="0" xfId="0"/>
    <xf numFmtId="0" fontId="2625" fillId="2628" borderId="2565" pivotButton="0" quotePrefix="0" xfId="0"/>
    <xf numFmtId="14" fontId="2626" fillId="2629" borderId="2566" pivotButton="0" quotePrefix="0" xfId="0"/>
    <xf numFmtId="0" fontId="2627" fillId="2630" borderId="2567" pivotButton="0" quotePrefix="0" xfId="0"/>
    <xf numFmtId="0" fontId="2628" fillId="2631" borderId="2568" pivotButton="0" quotePrefix="0" xfId="0"/>
    <xf numFmtId="0" fontId="2629" fillId="2632" borderId="2569" pivotButton="0" quotePrefix="0" xfId="0"/>
    <xf numFmtId="0" fontId="2630" fillId="2633" borderId="2570" pivotButton="0" quotePrefix="0" xfId="0"/>
    <xf numFmtId="0" fontId="2631" fillId="2634" borderId="2571" pivotButton="0" quotePrefix="0" xfId="0"/>
    <xf numFmtId="0" fontId="2632" fillId="2635" borderId="2572" pivotButton="0" quotePrefix="0" xfId="0"/>
    <xf numFmtId="0" fontId="2633" fillId="2636" borderId="2573" pivotButton="0" quotePrefix="0" xfId="0"/>
    <xf numFmtId="0" fontId="2634" fillId="2637" borderId="2574" pivotButton="0" quotePrefix="0" xfId="0"/>
    <xf numFmtId="0" fontId="2635" fillId="2638" borderId="2575" pivotButton="0" quotePrefix="0" xfId="0"/>
    <xf numFmtId="0" fontId="2636" fillId="2639" borderId="2576" pivotButton="0" quotePrefix="0" xfId="0"/>
    <xf numFmtId="0" fontId="2637" fillId="2640" borderId="2577" pivotButton="0" quotePrefix="0" xfId="0"/>
    <xf numFmtId="0" fontId="2638" fillId="2641" borderId="2578" pivotButton="0" quotePrefix="0" xfId="0"/>
    <xf numFmtId="0" fontId="2639" fillId="2642" borderId="2579" pivotButton="0" quotePrefix="0" xfId="0"/>
    <xf numFmtId="0" fontId="2640" fillId="2643" borderId="2580" pivotButton="0" quotePrefix="0" xfId="0"/>
    <xf numFmtId="0" fontId="2641" fillId="2644" borderId="2581" pivotButton="0" quotePrefix="0" xfId="0"/>
    <xf numFmtId="0" fontId="2642" fillId="2645" borderId="2582" pivotButton="0" quotePrefix="0" xfId="0"/>
    <xf numFmtId="0" fontId="2643" fillId="2646" borderId="2583" pivotButton="0" quotePrefix="0" xfId="0"/>
    <xf numFmtId="0" fontId="2644" fillId="2647" borderId="2584" pivotButton="0" quotePrefix="0" xfId="0"/>
    <xf numFmtId="0" fontId="2645" fillId="2648" borderId="2585" pivotButton="0" quotePrefix="0" xfId="0"/>
    <xf numFmtId="0" fontId="2646" fillId="2649" borderId="2586" pivotButton="0" quotePrefix="0" xfId="0"/>
    <xf numFmtId="0" fontId="2647" fillId="2650" borderId="2587" pivotButton="0" quotePrefix="0" xfId="0"/>
    <xf numFmtId="0" fontId="2648" fillId="2651" borderId="2588" pivotButton="0" quotePrefix="0" xfId="0"/>
    <xf numFmtId="0" fontId="2649" fillId="2652" borderId="2589" pivotButton="0" quotePrefix="0" xfId="0"/>
    <xf numFmtId="0" fontId="2650" fillId="2653" borderId="2590" pivotButton="0" quotePrefix="0" xfId="0"/>
    <xf numFmtId="0" fontId="2651" fillId="2654" borderId="2591" pivotButton="0" quotePrefix="0" xfId="0"/>
    <xf numFmtId="0" fontId="2652" fillId="2655" borderId="2592" pivotButton="0" quotePrefix="0" xfId="0"/>
    <xf numFmtId="0" fontId="2653" fillId="2656" borderId="2593" pivotButton="0" quotePrefix="0" xfId="0"/>
    <xf numFmtId="0" fontId="2654" fillId="2657" borderId="2594" pivotButton="0" quotePrefix="0" xfId="0"/>
    <xf numFmtId="0" fontId="2655" fillId="2658" borderId="2595" pivotButton="0" quotePrefix="0" xfId="0"/>
    <xf numFmtId="0" fontId="2656" fillId="2659" borderId="2596" pivotButton="0" quotePrefix="0" xfId="0"/>
    <xf numFmtId="0" fontId="2657" fillId="2660" borderId="2597" pivotButton="0" quotePrefix="0" xfId="0"/>
    <xf numFmtId="0" fontId="2658" fillId="2661" borderId="2598" pivotButton="0" quotePrefix="0" xfId="0"/>
    <xf numFmtId="0" fontId="2659" fillId="2662" borderId="2599" pivotButton="0" quotePrefix="0" xfId="0"/>
    <xf numFmtId="0" fontId="2660" fillId="2663" borderId="2600" pivotButton="0" quotePrefix="0" xfId="0"/>
    <xf numFmtId="0" fontId="2661" fillId="2664" borderId="2601" pivotButton="0" quotePrefix="0" xfId="0"/>
    <xf numFmtId="14" fontId="2662" fillId="2665" borderId="2602" pivotButton="0" quotePrefix="0" xfId="0"/>
    <xf numFmtId="0" fontId="2663" fillId="2666" borderId="2603" pivotButton="0" quotePrefix="0" xfId="0"/>
    <xf numFmtId="0" fontId="2664" fillId="2667" borderId="2604" pivotButton="0" quotePrefix="0" xfId="0"/>
    <xf numFmtId="0" fontId="2665" fillId="2668" borderId="2605" pivotButton="0" quotePrefix="0" xfId="0"/>
    <xf numFmtId="0" fontId="2666" fillId="2669" borderId="2606" pivotButton="0" quotePrefix="0" xfId="0"/>
    <xf numFmtId="0" fontId="2667" fillId="2670" borderId="2607" pivotButton="0" quotePrefix="0" xfId="0"/>
    <xf numFmtId="0" fontId="2668" fillId="2671" borderId="2608" pivotButton="0" quotePrefix="0" xfId="0"/>
    <xf numFmtId="0" fontId="2669" fillId="2672" borderId="2609" pivotButton="0" quotePrefix="0" xfId="0"/>
    <xf numFmtId="0" fontId="2670" fillId="2673" borderId="2610" pivotButton="0" quotePrefix="0" xfId="0"/>
    <xf numFmtId="0" fontId="2671" fillId="2674" borderId="2611" pivotButton="0" quotePrefix="0" xfId="0"/>
    <xf numFmtId="0" fontId="2672" fillId="2675" borderId="2612" pivotButton="0" quotePrefix="0" xfId="0"/>
    <xf numFmtId="0" fontId="2673" fillId="2676" borderId="2613" pivotButton="0" quotePrefix="0" xfId="0"/>
    <xf numFmtId="0" fontId="2674" fillId="2677" borderId="2614" pivotButton="0" quotePrefix="0" xfId="0"/>
    <xf numFmtId="0" fontId="2675" fillId="2678" borderId="2615" pivotButton="0" quotePrefix="0" xfId="0"/>
    <xf numFmtId="0" fontId="2676" fillId="2679" borderId="2616" pivotButton="0" quotePrefix="0" xfId="0"/>
    <xf numFmtId="0" fontId="2677" fillId="2680" borderId="2617" pivotButton="0" quotePrefix="0" xfId="0"/>
    <xf numFmtId="0" fontId="2678" fillId="2681" borderId="2618" pivotButton="0" quotePrefix="0" xfId="0"/>
    <xf numFmtId="0" fontId="2679" fillId="2682" borderId="2619" pivotButton="0" quotePrefix="0" xfId="0"/>
    <xf numFmtId="0" fontId="2680" fillId="2683" borderId="2620" pivotButton="0" quotePrefix="0" xfId="0"/>
    <xf numFmtId="0" fontId="2681" fillId="2684" borderId="2621" pivotButton="0" quotePrefix="0" xfId="0"/>
    <xf numFmtId="0" fontId="2682" fillId="2685" borderId="2622" pivotButton="0" quotePrefix="0" xfId="0"/>
    <xf numFmtId="0" fontId="2683" fillId="2686" borderId="2623" pivotButton="0" quotePrefix="0" xfId="0"/>
    <xf numFmtId="0" fontId="2684" fillId="2687" borderId="2624" pivotButton="0" quotePrefix="0" xfId="0"/>
    <xf numFmtId="0" fontId="2685" fillId="2688" borderId="2625" pivotButton="0" quotePrefix="0" xfId="0"/>
    <xf numFmtId="0" fontId="2686" fillId="2689" borderId="2626" pivotButton="0" quotePrefix="0" xfId="0"/>
    <xf numFmtId="0" fontId="2687" fillId="2690" borderId="2627" pivotButton="0" quotePrefix="0" xfId="0"/>
    <xf numFmtId="0" fontId="2688" fillId="2691" borderId="2628" pivotButton="0" quotePrefix="0" xfId="0"/>
    <xf numFmtId="0" fontId="2689" fillId="2692" borderId="2629" pivotButton="0" quotePrefix="0" xfId="0"/>
    <xf numFmtId="0" fontId="2690" fillId="2693" borderId="2630" pivotButton="0" quotePrefix="0" xfId="0"/>
    <xf numFmtId="0" fontId="2691" fillId="2694" borderId="2631" pivotButton="0" quotePrefix="0" xfId="0"/>
    <xf numFmtId="0" fontId="2692" fillId="2695" borderId="2632" pivotButton="0" quotePrefix="0" xfId="0"/>
    <xf numFmtId="0" fontId="2693" fillId="2696" borderId="2633" pivotButton="0" quotePrefix="0" xfId="0"/>
    <xf numFmtId="0" fontId="2694" fillId="2697" borderId="2634" pivotButton="0" quotePrefix="0" xfId="0"/>
    <xf numFmtId="0" fontId="2695" fillId="2698" borderId="2635" pivotButton="0" quotePrefix="0" xfId="0"/>
    <xf numFmtId="0" fontId="2696" fillId="2699" borderId="2636" pivotButton="0" quotePrefix="0" xfId="0"/>
    <xf numFmtId="0" fontId="2697" fillId="2700" borderId="2637" pivotButton="0" quotePrefix="0" xfId="0"/>
    <xf numFmtId="14" fontId="2698" fillId="2701" borderId="2638" pivotButton="0" quotePrefix="0" xfId="0"/>
    <xf numFmtId="0" fontId="2699" fillId="2702" borderId="2639" pivotButton="0" quotePrefix="0" xfId="0"/>
    <xf numFmtId="0" fontId="2700" fillId="2703" borderId="2640" pivotButton="0" quotePrefix="0" xfId="0"/>
    <xf numFmtId="0" fontId="2701" fillId="2704" borderId="2641" pivotButton="0" quotePrefix="0" xfId="0"/>
    <xf numFmtId="0" fontId="2702" fillId="2705" borderId="2642" pivotButton="0" quotePrefix="0" xfId="0"/>
    <xf numFmtId="0" fontId="2703" fillId="2706" borderId="2643" pivotButton="0" quotePrefix="0" xfId="0"/>
    <xf numFmtId="0" fontId="2704" fillId="2707" borderId="2644" pivotButton="0" quotePrefix="0" xfId="0"/>
    <xf numFmtId="0" fontId="2705" fillId="2708" borderId="2645" pivotButton="0" quotePrefix="0" xfId="0"/>
    <xf numFmtId="0" fontId="2706" fillId="2709" borderId="2646" pivotButton="0" quotePrefix="0" xfId="0"/>
    <xf numFmtId="0" fontId="2707" fillId="2710" borderId="2647" pivotButton="0" quotePrefix="0" xfId="0"/>
    <xf numFmtId="0" fontId="2708" fillId="2711" borderId="2648" pivotButton="0" quotePrefix="0" xfId="0"/>
    <xf numFmtId="0" fontId="2709" fillId="2712" borderId="2649" pivotButton="0" quotePrefix="0" xfId="0"/>
    <xf numFmtId="0" fontId="2710" fillId="2713" borderId="2650" pivotButton="0" quotePrefix="0" xfId="0"/>
    <xf numFmtId="0" fontId="2711" fillId="2714" borderId="2651" pivotButton="0" quotePrefix="0" xfId="0"/>
    <xf numFmtId="0" fontId="2712" fillId="2715" borderId="2652" pivotButton="0" quotePrefix="0" xfId="0"/>
    <xf numFmtId="0" fontId="2713" fillId="2716" borderId="2653" pivotButton="0" quotePrefix="0" xfId="0"/>
    <xf numFmtId="0" fontId="2714" fillId="2717" borderId="2654" pivotButton="0" quotePrefix="0" xfId="0"/>
    <xf numFmtId="0" fontId="2715" fillId="2718" borderId="2655" pivotButton="0" quotePrefix="0" xfId="0"/>
    <xf numFmtId="0" fontId="2716" fillId="2719" borderId="2656" pivotButton="0" quotePrefix="0" xfId="0"/>
    <xf numFmtId="0" fontId="2717" fillId="2720" borderId="2657" pivotButton="0" quotePrefix="0" xfId="0"/>
    <xf numFmtId="0" fontId="2718" fillId="2721" borderId="2658" pivotButton="0" quotePrefix="0" xfId="0"/>
    <xf numFmtId="0" fontId="2719" fillId="2722" borderId="2659" pivotButton="0" quotePrefix="0" xfId="0"/>
    <xf numFmtId="14" fontId="2720" fillId="2723" borderId="2660" pivotButton="0" quotePrefix="0" xfId="0"/>
    <xf numFmtId="0" fontId="2721" fillId="2724" borderId="2661" pivotButton="0" quotePrefix="0" xfId="0"/>
    <xf numFmtId="0" fontId="2722" fillId="2725" borderId="2662" pivotButton="0" quotePrefix="0" xfId="0"/>
    <xf numFmtId="0" fontId="2723" fillId="2726" borderId="2663" pivotButton="0" quotePrefix="0" xfId="0"/>
    <xf numFmtId="0" fontId="2724" fillId="2727" borderId="2664" pivotButton="0" quotePrefix="0" xfId="0"/>
    <xf numFmtId="0" fontId="2725" fillId="2728" borderId="2665" pivotButton="0" quotePrefix="0" xfId="0"/>
    <xf numFmtId="0" fontId="2726" fillId="2729" borderId="2666" pivotButton="0" quotePrefix="0" xfId="0"/>
    <xf numFmtId="0" fontId="2727" fillId="2730" borderId="2667" pivotButton="0" quotePrefix="0" xfId="0"/>
    <xf numFmtId="0" fontId="2728" fillId="2731" borderId="2668" pivotButton="0" quotePrefix="0" xfId="0"/>
    <xf numFmtId="0" fontId="2729" fillId="2732" borderId="2669" pivotButton="0" quotePrefix="0" xfId="0"/>
    <xf numFmtId="0" fontId="2730" fillId="2733" borderId="2670" pivotButton="0" quotePrefix="0" xfId="0"/>
    <xf numFmtId="0" fontId="2731" fillId="2734" borderId="2671" pivotButton="0" quotePrefix="0" xfId="0"/>
    <xf numFmtId="0" fontId="2732" fillId="2735" borderId="2672" pivotButton="0" quotePrefix="0" xfId="0"/>
    <xf numFmtId="0" fontId="2733" fillId="2736" borderId="2673" pivotButton="0" quotePrefix="0" xfId="0"/>
    <xf numFmtId="0" fontId="2734" fillId="2737" borderId="2674" pivotButton="0" quotePrefix="0" xfId="0"/>
    <xf numFmtId="0" fontId="2735" fillId="2738" borderId="2675" pivotButton="0" quotePrefix="0" xfId="0"/>
    <xf numFmtId="0" fontId="2736" fillId="2739" borderId="2676" pivotButton="0" quotePrefix="0" xfId="0"/>
    <xf numFmtId="0" fontId="2737" fillId="2740" borderId="2677" pivotButton="0" quotePrefix="0" xfId="0"/>
    <xf numFmtId="0" fontId="2738" fillId="2741" borderId="2678" pivotButton="0" quotePrefix="0" xfId="0"/>
    <xf numFmtId="0" fontId="2739" fillId="2742" borderId="2679" pivotButton="0" quotePrefix="0" xfId="0"/>
    <xf numFmtId="0" fontId="2740" fillId="2743" borderId="2680" pivotButton="0" quotePrefix="0" xfId="0"/>
    <xf numFmtId="0" fontId="2741" fillId="2744" borderId="2681" pivotButton="0" quotePrefix="0" xfId="0"/>
    <xf numFmtId="0" fontId="2742" fillId="2745" borderId="2682" pivotButton="0" quotePrefix="0" xfId="0"/>
    <xf numFmtId="0" fontId="2743" fillId="2746" borderId="2683" pivotButton="0" quotePrefix="0" xfId="0"/>
    <xf numFmtId="0" fontId="2744" fillId="2747" borderId="2684" pivotButton="0" quotePrefix="0" xfId="0"/>
    <xf numFmtId="0" fontId="2745" fillId="2748" borderId="2685" pivotButton="0" quotePrefix="0" xfId="0"/>
    <xf numFmtId="0" fontId="2746" fillId="2749" borderId="2686" pivotButton="0" quotePrefix="0" xfId="0"/>
    <xf numFmtId="0" fontId="2747" fillId="2750" borderId="2687" pivotButton="0" quotePrefix="0" xfId="0"/>
    <xf numFmtId="0" fontId="2748" fillId="2751" borderId="2688" pivotButton="0" quotePrefix="0" xfId="0"/>
    <xf numFmtId="0" fontId="2749" fillId="2752" borderId="2689" pivotButton="0" quotePrefix="0" xfId="0"/>
    <xf numFmtId="0" fontId="2750" fillId="2753" borderId="2690" pivotButton="0" quotePrefix="0" xfId="0"/>
    <xf numFmtId="0" fontId="2751" fillId="2754" borderId="2691" pivotButton="0" quotePrefix="0" xfId="0"/>
    <xf numFmtId="0" fontId="2752" fillId="2755" borderId="2692" pivotButton="0" quotePrefix="0" xfId="0"/>
    <xf numFmtId="0" fontId="2753" fillId="2756" borderId="2693" pivotButton="0" quotePrefix="0" xfId="0"/>
    <xf numFmtId="0" fontId="2754" fillId="2757" borderId="2694" pivotButton="0" quotePrefix="0" xfId="0"/>
    <xf numFmtId="0" fontId="2755" fillId="2758" borderId="2695" pivotButton="0" quotePrefix="0" xfId="0"/>
    <xf numFmtId="14" fontId="2756" fillId="2759" borderId="2696" pivotButton="0" quotePrefix="0" xfId="0"/>
    <xf numFmtId="0" fontId="2757" fillId="2760" borderId="2697" pivotButton="0" quotePrefix="0" xfId="0"/>
    <xf numFmtId="0" fontId="2758" fillId="2761" borderId="2698" pivotButton="0" quotePrefix="0" xfId="0"/>
    <xf numFmtId="0" fontId="2759" fillId="2762" borderId="2699" pivotButton="0" quotePrefix="0" xfId="0"/>
    <xf numFmtId="0" fontId="2760" fillId="2763" borderId="2700" pivotButton="0" quotePrefix="0" xfId="0"/>
    <xf numFmtId="0" fontId="2761" fillId="2764" borderId="2701" pivotButton="0" quotePrefix="0" xfId="0"/>
    <xf numFmtId="0" fontId="2762" fillId="2765" borderId="2702" pivotButton="0" quotePrefix="0" xfId="0"/>
    <xf numFmtId="0" fontId="2763" fillId="2766" borderId="2703" pivotButton="0" quotePrefix="0" xfId="0"/>
    <xf numFmtId="0" fontId="2764" fillId="2767" borderId="2704" pivotButton="0" quotePrefix="0" xfId="0"/>
    <xf numFmtId="0" fontId="2765" fillId="2768" borderId="2705" pivotButton="0" quotePrefix="0" xfId="0"/>
    <xf numFmtId="0" fontId="2766" fillId="2769" borderId="2706" pivotButton="0" quotePrefix="0" xfId="0"/>
    <xf numFmtId="0" fontId="2767" fillId="2770" borderId="2707" pivotButton="0" quotePrefix="0" xfId="0"/>
    <xf numFmtId="0" fontId="2768" fillId="2771" borderId="2708" pivotButton="0" quotePrefix="0" xfId="0"/>
    <xf numFmtId="0" fontId="2769" fillId="2772" borderId="2709" pivotButton="0" quotePrefix="0" xfId="0"/>
    <xf numFmtId="0" fontId="2770" fillId="2773" borderId="2710" pivotButton="0" quotePrefix="0" xfId="0"/>
    <xf numFmtId="0" fontId="2771" fillId="2774" borderId="2711" pivotButton="0" quotePrefix="0" xfId="0"/>
    <xf numFmtId="0" fontId="2772" fillId="2775" borderId="2712" pivotButton="0" quotePrefix="0" xfId="0"/>
    <xf numFmtId="0" fontId="2773" fillId="2776" borderId="2713" pivotButton="0" quotePrefix="0" xfId="0"/>
    <xf numFmtId="0" fontId="2774" fillId="2777" borderId="2714" pivotButton="0" quotePrefix="0" xfId="0"/>
    <xf numFmtId="0" fontId="2775" fillId="2778" borderId="2715" pivotButton="0" quotePrefix="0" xfId="0"/>
    <xf numFmtId="0" fontId="2776" fillId="2779" borderId="2716" pivotButton="0" quotePrefix="0" xfId="0"/>
    <xf numFmtId="0" fontId="2777" fillId="2780" borderId="2717" pivotButton="0" quotePrefix="0" xfId="0"/>
    <xf numFmtId="14" fontId="2778" fillId="2781" borderId="2718" pivotButton="0" quotePrefix="0" xfId="0"/>
    <xf numFmtId="0" fontId="2779" fillId="2782" borderId="2719" pivotButton="0" quotePrefix="0" xfId="0"/>
    <xf numFmtId="0" fontId="2780" fillId="2783" borderId="2720" pivotButton="0" quotePrefix="0" xfId="0"/>
    <xf numFmtId="0" fontId="2781" fillId="2784" borderId="2721" pivotButton="0" quotePrefix="0" xfId="0"/>
    <xf numFmtId="0" fontId="2782" fillId="2785" borderId="2722" pivotButton="0" quotePrefix="0" xfId="0"/>
    <xf numFmtId="0" fontId="2783" fillId="2786" borderId="2723" pivotButton="0" quotePrefix="0" xfId="0"/>
    <xf numFmtId="0" fontId="2784" fillId="2787" borderId="2724" pivotButton="0" quotePrefix="0" xfId="0"/>
    <xf numFmtId="0" fontId="2785" fillId="2788" borderId="2725" pivotButton="0" quotePrefix="0" xfId="0"/>
    <xf numFmtId="0" fontId="2786" fillId="2789" borderId="2726" pivotButton="0" quotePrefix="0" xfId="0"/>
    <xf numFmtId="0" fontId="2787" fillId="2790" borderId="2727" pivotButton="0" quotePrefix="0" xfId="0"/>
    <xf numFmtId="0" fontId="2788" fillId="2791" borderId="2728" pivotButton="0" quotePrefix="0" xfId="0"/>
    <xf numFmtId="0" fontId="2789" fillId="2792" borderId="2729" pivotButton="0" quotePrefix="0" xfId="0"/>
    <xf numFmtId="0" fontId="2790" fillId="2794" borderId="2731" pivotButton="0" quotePrefix="0" xfId="0"/>
    <xf numFmtId="0" fontId="2791" fillId="2795" borderId="2732" pivotButton="0" quotePrefix="0" xfId="0"/>
    <xf numFmtId="0" fontId="2792" fillId="2796" borderId="2733" pivotButton="0" quotePrefix="0" xfId="0"/>
    <xf numFmtId="0" fontId="2793" fillId="2797" borderId="2734" pivotButton="0" quotePrefix="0" xfId="0"/>
    <xf numFmtId="0" fontId="2794" fillId="2798" borderId="2735" pivotButton="0" quotePrefix="0" xfId="0"/>
    <xf numFmtId="0" fontId="2795" fillId="2799" borderId="2736" pivotButton="0" quotePrefix="0" xfId="0"/>
    <xf numFmtId="14" fontId="2796" fillId="2800" borderId="2737" pivotButton="0" quotePrefix="0" xfId="0"/>
    <xf numFmtId="0" fontId="2797" fillId="2801" borderId="2738" pivotButton="0" quotePrefix="0" xfId="0"/>
    <xf numFmtId="0" fontId="2798" fillId="2802" borderId="2739" pivotButton="0" quotePrefix="0" xfId="0"/>
    <xf numFmtId="0" fontId="2799" fillId="2803" borderId="2740" pivotButton="0" quotePrefix="0" xfId="0"/>
    <xf numFmtId="0" fontId="2800" fillId="2804" borderId="2741" pivotButton="0" quotePrefix="0" xfId="0"/>
    <xf numFmtId="0" fontId="2801" fillId="2805" borderId="2742" pivotButton="0" quotePrefix="0" xfId="0"/>
    <xf numFmtId="0" fontId="2802" fillId="2806" borderId="2743" pivotButton="0" quotePrefix="0" xfId="0"/>
    <xf numFmtId="0" fontId="2803" fillId="2807" borderId="2744" pivotButton="0" quotePrefix="0" xfId="0"/>
    <xf numFmtId="0" fontId="2804" fillId="2808" borderId="2745" pivotButton="0" quotePrefix="0" xfId="0"/>
    <xf numFmtId="0" fontId="2805" fillId="2809" borderId="2746" pivotButton="0" quotePrefix="0" xfId="0"/>
    <xf numFmtId="0" fontId="2806" fillId="2810" borderId="2747" pivotButton="0" quotePrefix="0" xfId="0"/>
    <xf numFmtId="0" fontId="2807" fillId="2811" borderId="2748" pivotButton="0" quotePrefix="0" xfId="0"/>
    <xf numFmtId="0" fontId="2808" fillId="2812" borderId="2749" pivotButton="0" quotePrefix="0" xfId="0"/>
    <xf numFmtId="0" fontId="2809" fillId="2813" borderId="2750" pivotButton="0" quotePrefix="0" xfId="0"/>
    <xf numFmtId="0" fontId="2810" fillId="2814" borderId="2751" pivotButton="0" quotePrefix="0" xfId="0"/>
    <xf numFmtId="0" fontId="2811" fillId="2815" borderId="2752" pivotButton="0" quotePrefix="0" xfId="0"/>
    <xf numFmtId="0" fontId="2812" fillId="2816" borderId="2753" pivotButton="0" quotePrefix="0" xfId="0"/>
    <xf numFmtId="0" fontId="2813" fillId="2817" borderId="2754" pivotButton="0" quotePrefix="0" xfId="0"/>
    <xf numFmtId="0" fontId="2814" fillId="2818" borderId="2755" pivotButton="0" quotePrefix="0" xfId="0"/>
    <xf numFmtId="0" fontId="2815" fillId="2819" borderId="2756" pivotButton="0" quotePrefix="0" xfId="0"/>
    <xf numFmtId="0" fontId="2816" fillId="2820" borderId="2757" pivotButton="0" quotePrefix="0" xfId="0"/>
    <xf numFmtId="0" fontId="2817" fillId="2821" borderId="2758" pivotButton="0" quotePrefix="0" xfId="0"/>
    <xf numFmtId="0" fontId="2818" fillId="2822" borderId="2759" pivotButton="0" quotePrefix="0" xfId="0"/>
    <xf numFmtId="0" fontId="2819" fillId="2823" borderId="2760" pivotButton="0" quotePrefix="0" xfId="0"/>
    <xf numFmtId="0" fontId="2820" fillId="2824" borderId="2761" pivotButton="0" quotePrefix="0" xfId="0"/>
    <xf numFmtId="0" fontId="2821" fillId="2825" borderId="2762" pivotButton="0" quotePrefix="0" xfId="0"/>
    <xf numFmtId="0" fontId="2822" fillId="2826" borderId="2763" pivotButton="0" quotePrefix="0" xfId="0"/>
    <xf numFmtId="0" fontId="2823" fillId="2827" borderId="2764" pivotButton="0" quotePrefix="0" xfId="0"/>
    <xf numFmtId="0" fontId="2824" fillId="2828" borderId="2765" pivotButton="0" quotePrefix="0" xfId="0"/>
    <xf numFmtId="0" fontId="2825" fillId="2829" borderId="2766" pivotButton="0" quotePrefix="0" xfId="0"/>
    <xf numFmtId="0" fontId="2826" fillId="2830" borderId="2767" pivotButton="0" quotePrefix="0" xfId="0"/>
    <xf numFmtId="0" fontId="2827" fillId="2831" borderId="2768" pivotButton="0" quotePrefix="0" xfId="0"/>
    <xf numFmtId="0" fontId="2828" fillId="2832" borderId="2769" pivotButton="0" quotePrefix="0" xfId="0"/>
    <xf numFmtId="0" fontId="2829" fillId="2833" borderId="2770" pivotButton="0" quotePrefix="0" xfId="0"/>
    <xf numFmtId="0" fontId="2830" fillId="2834" borderId="2771" pivotButton="0" quotePrefix="0" xfId="0"/>
    <xf numFmtId="0" fontId="2831" fillId="2835" borderId="2772" pivotButton="0" quotePrefix="0" xfId="0"/>
    <xf numFmtId="0" fontId="2832" fillId="2836" borderId="2773" pivotButton="0" quotePrefix="0" xfId="0"/>
    <xf numFmtId="0" fontId="2833" fillId="2837" borderId="2774" pivotButton="0" quotePrefix="0" xfId="0"/>
    <xf numFmtId="0" fontId="2834" fillId="2838" borderId="2775" pivotButton="0" quotePrefix="0" xfId="0"/>
    <xf numFmtId="0" fontId="2835" fillId="2839" borderId="2776" pivotButton="0" quotePrefix="0" xfId="0"/>
    <xf numFmtId="0" fontId="2836" fillId="2840" borderId="2777" pivotButton="0" quotePrefix="0" xfId="0"/>
    <xf numFmtId="0" fontId="2837" fillId="2841" borderId="2778" pivotButton="0" quotePrefix="0" xfId="0"/>
    <xf numFmtId="0" fontId="2838" fillId="2842" borderId="2779" pivotButton="0" quotePrefix="0" xfId="0"/>
    <xf numFmtId="0" fontId="2839" fillId="2843" borderId="2780" pivotButton="0" quotePrefix="0" xfId="0"/>
    <xf numFmtId="0" fontId="2840" fillId="2844" borderId="2781" pivotButton="0" quotePrefix="0" xfId="0"/>
    <xf numFmtId="0" fontId="2841" fillId="2845" borderId="2782" pivotButton="0" quotePrefix="0" xfId="0"/>
    <xf numFmtId="0" fontId="2842" fillId="2846" borderId="2783" pivotButton="0" quotePrefix="0" xfId="0"/>
    <xf numFmtId="0" fontId="2843" fillId="2847" borderId="2784" pivotButton="0" quotePrefix="0" xfId="0"/>
    <xf numFmtId="0" fontId="2844" fillId="2848" borderId="2785" pivotButton="0" quotePrefix="0" xfId="0"/>
    <xf numFmtId="0" fontId="2845" fillId="2849" borderId="2786" pivotButton="0" quotePrefix="0" xfId="0"/>
    <xf numFmtId="0" fontId="2846" fillId="2850" borderId="2787" pivotButton="0" quotePrefix="0" xfId="0"/>
    <xf numFmtId="0" fontId="2847" fillId="2851" borderId="2788" pivotButton="0" quotePrefix="0" xfId="0"/>
    <xf numFmtId="0" fontId="2848" fillId="2852" borderId="2789" pivotButton="0" quotePrefix="0" xfId="0"/>
    <xf numFmtId="0" fontId="2849" fillId="2853" borderId="2790" pivotButton="0" quotePrefix="0" xfId="0"/>
    <xf numFmtId="0" fontId="2850" fillId="2854" borderId="2791" pivotButton="0" quotePrefix="0" xfId="0"/>
    <xf numFmtId="0" fontId="2851" fillId="2855" borderId="2792" pivotButton="0" quotePrefix="0" xfId="0"/>
    <xf numFmtId="0" fontId="2852" fillId="2856" borderId="2793" pivotButton="0" quotePrefix="0" xfId="0"/>
    <xf numFmtId="0" fontId="2853" fillId="2857" borderId="2794" pivotButton="0" quotePrefix="0" xfId="0"/>
    <xf numFmtId="0" fontId="2854" fillId="2858" borderId="2795" pivotButton="0" quotePrefix="0" xfId="0"/>
    <xf numFmtId="0" fontId="2855" fillId="2859" borderId="2796" pivotButton="0" quotePrefix="0" xfId="0"/>
    <xf numFmtId="0" fontId="2856" fillId="2860" borderId="2797" pivotButton="0" quotePrefix="0" xfId="0"/>
    <xf numFmtId="0" fontId="2857" fillId="2861" borderId="2798" pivotButton="0" quotePrefix="0" xfId="0"/>
    <xf numFmtId="0" fontId="2858" fillId="2862" borderId="2799" pivotButton="0" quotePrefix="0" xfId="0"/>
    <xf numFmtId="0" fontId="2859" fillId="2863" borderId="2800" pivotButton="0" quotePrefix="0" xfId="0"/>
    <xf numFmtId="0" fontId="2860" fillId="2864" borderId="2801" pivotButton="0" quotePrefix="0" xfId="0"/>
    <xf numFmtId="0" fontId="2861" fillId="2865" borderId="2802" pivotButton="0" quotePrefix="0" xfId="0"/>
    <xf numFmtId="0" fontId="2862" fillId="2866" borderId="2803" pivotButton="0" quotePrefix="0" xfId="0"/>
    <xf numFmtId="0" fontId="2863" fillId="2867" borderId="2804" pivotButton="0" quotePrefix="0" xfId="0"/>
    <xf numFmtId="0" fontId="2864" fillId="2868" borderId="2805" pivotButton="0" quotePrefix="0" xfId="0"/>
    <xf numFmtId="0" fontId="2865" fillId="2869" borderId="2806" pivotButton="0" quotePrefix="0" xfId="0"/>
    <xf numFmtId="0" fontId="2866" fillId="2870" borderId="2807" pivotButton="0" quotePrefix="0" xfId="0"/>
    <xf numFmtId="14" fontId="2867" fillId="2871" borderId="2808" pivotButton="0" quotePrefix="0" xfId="0"/>
    <xf numFmtId="0" fontId="2868" fillId="2872" borderId="2809" pivotButton="0" quotePrefix="0" xfId="0"/>
    <xf numFmtId="0" fontId="2869" fillId="2873" borderId="2810" pivotButton="0" quotePrefix="0" xfId="0"/>
    <xf numFmtId="0" fontId="2870" fillId="2874" borderId="2811" pivotButton="0" quotePrefix="0" xfId="0"/>
    <xf numFmtId="0" fontId="2871" fillId="2875" borderId="2812" pivotButton="0" quotePrefix="0" xfId="0"/>
    <xf numFmtId="0" fontId="2872" fillId="2876" borderId="2813" pivotButton="0" quotePrefix="0" xfId="0"/>
    <xf numFmtId="0" fontId="2873" fillId="2877" borderId="2814" pivotButton="0" quotePrefix="0" xfId="0"/>
    <xf numFmtId="0" fontId="2874" fillId="2878" borderId="2815" pivotButton="0" quotePrefix="0" xfId="0"/>
    <xf numFmtId="0" fontId="2875" fillId="2879" borderId="2816" pivotButton="0" quotePrefix="0" xfId="0"/>
    <xf numFmtId="0" fontId="2876" fillId="2880" borderId="2817" pivotButton="0" quotePrefix="0" xfId="0"/>
    <xf numFmtId="0" fontId="2877" fillId="2881" borderId="2818" pivotButton="0" quotePrefix="0" xfId="0"/>
    <xf numFmtId="0" fontId="2878" fillId="2882" borderId="2819" pivotButton="0" quotePrefix="0" xfId="0"/>
    <xf numFmtId="0" fontId="2879" fillId="2883" borderId="2820" pivotButton="0" quotePrefix="0" xfId="0"/>
    <xf numFmtId="0" fontId="2880" fillId="2884" borderId="2821" pivotButton="0" quotePrefix="0" xfId="0"/>
    <xf numFmtId="0" fontId="2881" fillId="2885" borderId="2822" pivotButton="0" quotePrefix="0" xfId="0"/>
    <xf numFmtId="0" fontId="2882" fillId="2886" borderId="2823" pivotButton="0" quotePrefix="0" xfId="0"/>
    <xf numFmtId="0" fontId="2883" fillId="2887" borderId="2824" pivotButton="0" quotePrefix="0" xfId="0"/>
    <xf numFmtId="0" fontId="2884" fillId="2888" borderId="2825" pivotButton="0" quotePrefix="0" xfId="0"/>
    <xf numFmtId="0" fontId="2885" fillId="2889" borderId="2826" pivotButton="0" quotePrefix="0" xfId="0"/>
    <xf numFmtId="0" fontId="2886" fillId="2890" borderId="2827" pivotButton="0" quotePrefix="0" xfId="0"/>
    <xf numFmtId="0" fontId="2887" fillId="2891" borderId="2828" pivotButton="0" quotePrefix="0" xfId="0"/>
    <xf numFmtId="0" fontId="2888" fillId="2892" borderId="2829" pivotButton="0" quotePrefix="0" xfId="0"/>
    <xf numFmtId="0" fontId="2889" fillId="2893" borderId="2830" pivotButton="0" quotePrefix="0" xfId="0"/>
    <xf numFmtId="0" fontId="2890" fillId="2894" borderId="2831" pivotButton="0" quotePrefix="0" xfId="0"/>
    <xf numFmtId="0" fontId="2891" fillId="2895" borderId="2832" pivotButton="0" quotePrefix="0" xfId="0"/>
    <xf numFmtId="0" fontId="2892" fillId="2896" borderId="2833" pivotButton="0" quotePrefix="0" xfId="0"/>
    <xf numFmtId="0" fontId="2893" fillId="2897" borderId="2834" pivotButton="0" quotePrefix="0" xfId="0"/>
    <xf numFmtId="0" fontId="2894" fillId="2898" borderId="2835" pivotButton="0" quotePrefix="0" xfId="0"/>
    <xf numFmtId="0" fontId="2895" fillId="2899" borderId="2836" pivotButton="0" quotePrefix="0" xfId="0"/>
    <xf numFmtId="0" fontId="2896" fillId="2900" borderId="2837" pivotButton="0" quotePrefix="0" xfId="0"/>
    <xf numFmtId="0" fontId="2897" fillId="2901" borderId="2838" pivotButton="0" quotePrefix="0" xfId="0"/>
    <xf numFmtId="0" fontId="2898" fillId="2902" borderId="2839" pivotButton="0" quotePrefix="0" xfId="0"/>
    <xf numFmtId="0" fontId="2899" fillId="2903" borderId="2840" pivotButton="0" quotePrefix="0" xfId="0"/>
    <xf numFmtId="0" fontId="2900" fillId="2904" borderId="2841" pivotButton="0" quotePrefix="0" xfId="0"/>
    <xf numFmtId="0" fontId="2901" fillId="2905" borderId="2842" pivotButton="0" quotePrefix="0" xfId="0"/>
    <xf numFmtId="0" fontId="2902" fillId="2906" borderId="2843" pivotButton="0" quotePrefix="0" xfId="0"/>
    <xf numFmtId="0" fontId="2903" fillId="2907" borderId="2844" pivotButton="0" quotePrefix="0" xfId="0"/>
    <xf numFmtId="0" fontId="2904" fillId="2908" borderId="2845" pivotButton="0" quotePrefix="0" xfId="0"/>
    <xf numFmtId="0" fontId="2905" fillId="2909" borderId="2846" pivotButton="0" quotePrefix="0" xfId="0"/>
    <xf numFmtId="0" fontId="2906" fillId="2910" borderId="2847" pivotButton="0" quotePrefix="0" xfId="0"/>
    <xf numFmtId="0" fontId="2907" fillId="2911" borderId="2848" pivotButton="0" quotePrefix="0" xfId="0"/>
    <xf numFmtId="0" fontId="2908" fillId="2912" borderId="2849" pivotButton="0" quotePrefix="0" xfId="0"/>
    <xf numFmtId="0" fontId="2909" fillId="2913" borderId="2850" pivotButton="0" quotePrefix="0" xfId="0"/>
    <xf numFmtId="0" fontId="2910" fillId="2914" borderId="2851" pivotButton="0" quotePrefix="0" xfId="0"/>
    <xf numFmtId="0" fontId="2911" fillId="2915" borderId="2852" pivotButton="0" quotePrefix="0" xfId="0"/>
    <xf numFmtId="0" fontId="2912" fillId="2916" borderId="2853" pivotButton="0" quotePrefix="0" xfId="0"/>
    <xf numFmtId="0" fontId="2913" fillId="2917" borderId="2854" pivotButton="0" quotePrefix="0" xfId="0"/>
    <xf numFmtId="0" fontId="2914" fillId="2918" borderId="2855" pivotButton="0" quotePrefix="0" xfId="0"/>
    <xf numFmtId="0" fontId="2915" fillId="2919" borderId="2856" pivotButton="0" quotePrefix="0" xfId="0"/>
    <xf numFmtId="0" fontId="2916" fillId="2920" borderId="2857" pivotButton="0" quotePrefix="0" xfId="0"/>
    <xf numFmtId="0" fontId="2917" fillId="2921" borderId="2858" pivotButton="0" quotePrefix="0" xfId="0"/>
    <xf numFmtId="14" fontId="2918" fillId="2922" borderId="2859" pivotButton="0" quotePrefix="0" xfId="0"/>
    <xf numFmtId="0" fontId="2919" fillId="2923" borderId="2860" pivotButton="0" quotePrefix="0" xfId="0"/>
    <xf numFmtId="0" fontId="2920" fillId="2924" borderId="2861" pivotButton="0" quotePrefix="0" xfId="0"/>
    <xf numFmtId="0" fontId="2921" fillId="2925" borderId="2862" pivotButton="0" quotePrefix="0" xfId="0"/>
    <xf numFmtId="0" fontId="2922" fillId="2926" borderId="2863" pivotButton="0" quotePrefix="0" xfId="0"/>
    <xf numFmtId="0" fontId="2923" fillId="2927" borderId="2864" pivotButton="0" quotePrefix="0" xfId="0"/>
    <xf numFmtId="0" fontId="2924" fillId="2928" borderId="2865" pivotButton="0" quotePrefix="0" xfId="0"/>
    <xf numFmtId="0" fontId="2925" fillId="2929" borderId="2866" pivotButton="0" quotePrefix="0" xfId="0"/>
    <xf numFmtId="0" fontId="2926" fillId="2930" borderId="2867" pivotButton="0" quotePrefix="0" xfId="0"/>
    <xf numFmtId="0" fontId="2927" fillId="2931" borderId="2868" pivotButton="0" quotePrefix="0" xfId="0"/>
    <xf numFmtId="0" fontId="2928" fillId="2932" borderId="2869" pivotButton="0" quotePrefix="0" xfId="0"/>
    <xf numFmtId="0" fontId="2929" fillId="2933" borderId="2870" pivotButton="0" quotePrefix="0" xfId="0"/>
    <xf numFmtId="0" fontId="2930" fillId="2934" borderId="2871" pivotButton="0" quotePrefix="0" xfId="0"/>
    <xf numFmtId="0" fontId="2931" fillId="2935" borderId="2872" pivotButton="0" quotePrefix="0" xfId="0"/>
    <xf numFmtId="0" fontId="2932" fillId="2936" borderId="2873" pivotButton="0" quotePrefix="0" xfId="0"/>
    <xf numFmtId="0" fontId="2933" fillId="2937" borderId="2874" pivotButton="0" quotePrefix="0" xfId="0"/>
    <xf numFmtId="0" fontId="2934" fillId="2938" borderId="2875" pivotButton="0" quotePrefix="0" xfId="0"/>
    <xf numFmtId="0" fontId="2935" fillId="2939" borderId="2876" pivotButton="0" quotePrefix="0" xfId="0"/>
    <xf numFmtId="0" fontId="2936" fillId="2940" borderId="2877" pivotButton="0" quotePrefix="0" xfId="0"/>
    <xf numFmtId="0" fontId="2937" fillId="2941" borderId="2878" pivotButton="0" quotePrefix="0" xfId="0"/>
    <xf numFmtId="0" fontId="2938" fillId="2942" borderId="2879" pivotButton="0" quotePrefix="0" xfId="0"/>
    <xf numFmtId="0" fontId="2939" fillId="2943" borderId="2880" pivotButton="0" quotePrefix="0" xfId="0"/>
    <xf numFmtId="0" fontId="2940" fillId="2944" borderId="2881" pivotButton="0" quotePrefix="0" xfId="0"/>
    <xf numFmtId="0" fontId="2941" fillId="2945" borderId="2882" pivotButton="0" quotePrefix="0" xfId="0"/>
    <xf numFmtId="0" fontId="2942" fillId="2946" borderId="2883" pivotButton="0" quotePrefix="0" xfId="0"/>
    <xf numFmtId="0" fontId="2943" fillId="2947" borderId="2884" pivotButton="0" quotePrefix="0" xfId="0"/>
    <xf numFmtId="0" fontId="2944" fillId="2948" borderId="2885" pivotButton="0" quotePrefix="0" xfId="0"/>
    <xf numFmtId="0" fontId="2945" fillId="2949" borderId="2886" pivotButton="0" quotePrefix="0" xfId="0"/>
    <xf numFmtId="0" fontId="2946" fillId="2950" borderId="2887" pivotButton="0" quotePrefix="0" xfId="0"/>
    <xf numFmtId="0" fontId="2947" fillId="2951" borderId="2888" pivotButton="0" quotePrefix="0" xfId="0"/>
    <xf numFmtId="0" fontId="2948" fillId="2952" borderId="2889" pivotButton="0" quotePrefix="0" xfId="0"/>
    <xf numFmtId="0" fontId="2949" fillId="2953" borderId="2890" pivotButton="0" quotePrefix="0" xfId="0"/>
    <xf numFmtId="0" fontId="2950" fillId="2954" borderId="2891" pivotButton="0" quotePrefix="0" xfId="0"/>
    <xf numFmtId="0" fontId="2951" fillId="2955" borderId="2892" pivotButton="0" quotePrefix="0" xfId="0"/>
    <xf numFmtId="0" fontId="2952" fillId="2956" borderId="2893" pivotButton="0" quotePrefix="0" xfId="0"/>
    <xf numFmtId="0" fontId="2953" fillId="2957" borderId="2894" pivotButton="0" quotePrefix="0" xfId="0"/>
    <xf numFmtId="0" fontId="2954" fillId="2958" borderId="2895" pivotButton="0" quotePrefix="0" xfId="0"/>
    <xf numFmtId="0" fontId="2955" fillId="2959" borderId="2896" pivotButton="0" quotePrefix="0" xfId="0"/>
    <xf numFmtId="0" fontId="2956" fillId="2960" borderId="2897" pivotButton="0" quotePrefix="0" xfId="0"/>
    <xf numFmtId="0" fontId="2957" fillId="2961" borderId="2898" pivotButton="0" quotePrefix="0" xfId="0"/>
    <xf numFmtId="0" fontId="2958" fillId="2962" borderId="2899" pivotButton="0" quotePrefix="0" xfId="0"/>
    <xf numFmtId="0" fontId="2959" fillId="2963" borderId="2900" pivotButton="0" quotePrefix="0" xfId="0"/>
    <xf numFmtId="0" fontId="2960" fillId="2964" borderId="2901" pivotButton="0" quotePrefix="0" xfId="0"/>
    <xf numFmtId="0" fontId="2961" fillId="2965" borderId="2902" pivotButton="0" quotePrefix="0" xfId="0"/>
    <xf numFmtId="0" fontId="2962" fillId="2966" borderId="2903" pivotButton="0" quotePrefix="0" xfId="0"/>
    <xf numFmtId="0" fontId="2963" fillId="2967" borderId="2904" pivotButton="0" quotePrefix="0" xfId="0"/>
    <xf numFmtId="0" fontId="2964" fillId="2968" borderId="2905" pivotButton="0" quotePrefix="0" xfId="0"/>
    <xf numFmtId="0" fontId="2965" fillId="2969" borderId="2906" pivotButton="0" quotePrefix="0" xfId="0"/>
    <xf numFmtId="0" fontId="2966" fillId="2970" borderId="2907" pivotButton="0" quotePrefix="0" xfId="0"/>
    <xf numFmtId="0" fontId="2967" fillId="2971" borderId="2908" pivotButton="0" quotePrefix="0" xfId="0"/>
    <xf numFmtId="0" fontId="2968" fillId="2972" borderId="2909" pivotButton="0" quotePrefix="0" xfId="0"/>
    <xf numFmtId="14" fontId="2969" fillId="2973" borderId="2910" pivotButton="0" quotePrefix="0" xfId="0"/>
    <xf numFmtId="0" fontId="2970" fillId="2974" borderId="2911" pivotButton="0" quotePrefix="0" xfId="0"/>
    <xf numFmtId="0" fontId="2971" fillId="2975" borderId="2912" pivotButton="0" quotePrefix="0" xfId="0"/>
    <xf numFmtId="0" fontId="2972" fillId="2976" borderId="2913" pivotButton="0" quotePrefix="0" xfId="0"/>
    <xf numFmtId="0" fontId="2973" fillId="2977" borderId="2914" pivotButton="0" quotePrefix="0" xfId="0"/>
    <xf numFmtId="0" fontId="2974" fillId="2978" borderId="2915" pivotButton="0" quotePrefix="0" xfId="0"/>
    <xf numFmtId="0" fontId="2975" fillId="2979" borderId="2916" pivotButton="0" quotePrefix="0" xfId="0"/>
    <xf numFmtId="0" fontId="2976" fillId="2980" borderId="2917" pivotButton="0" quotePrefix="0" xfId="0"/>
    <xf numFmtId="0" fontId="2977" fillId="2981" borderId="2918" pivotButton="0" quotePrefix="0" xfId="0"/>
    <xf numFmtId="0" fontId="2978" fillId="2982" borderId="2919" pivotButton="0" quotePrefix="0" xfId="0"/>
    <xf numFmtId="0" fontId="2979" fillId="2983" borderId="2920" pivotButton="0" quotePrefix="0" xfId="0"/>
    <xf numFmtId="0" fontId="2980" fillId="2984" borderId="2921" pivotButton="0" quotePrefix="0" xfId="0"/>
    <xf numFmtId="0" fontId="2981" fillId="2985" borderId="2922" pivotButton="0" quotePrefix="0" xfId="0"/>
    <xf numFmtId="0" fontId="2982" fillId="2986" borderId="2923" pivotButton="0" quotePrefix="0" xfId="0"/>
    <xf numFmtId="0" fontId="2983" fillId="2987" borderId="2924" pivotButton="0" quotePrefix="0" xfId="0"/>
    <xf numFmtId="0" fontId="2984" fillId="2988" borderId="2925" pivotButton="0" quotePrefix="0" xfId="0"/>
    <xf numFmtId="0" fontId="2985" fillId="2989" borderId="2926" pivotButton="0" quotePrefix="0" xfId="0"/>
    <xf numFmtId="0" fontId="2986" fillId="2990" borderId="2927" pivotButton="0" quotePrefix="0" xfId="0"/>
    <xf numFmtId="0" fontId="2987" fillId="2991" borderId="2928" pivotButton="0" quotePrefix="0" xfId="0"/>
    <xf numFmtId="0" fontId="2988" fillId="2992" borderId="2929" pivotButton="0" quotePrefix="0" xfId="0"/>
    <xf numFmtId="0" fontId="2989" fillId="2993" borderId="2930" pivotButton="0" quotePrefix="0" xfId="0"/>
    <xf numFmtId="0" fontId="2990" fillId="2994" borderId="2931" pivotButton="0" quotePrefix="0" xfId="0"/>
    <xf numFmtId="0" fontId="2991" fillId="2995" borderId="2932" pivotButton="0" quotePrefix="0" xfId="0"/>
    <xf numFmtId="0" fontId="2992" fillId="2996" borderId="2933" pivotButton="0" quotePrefix="0" xfId="0"/>
    <xf numFmtId="0" fontId="2993" fillId="2997" borderId="2934" pivotButton="0" quotePrefix="0" xfId="0"/>
    <xf numFmtId="0" fontId="2994" fillId="2998" borderId="2935" pivotButton="0" quotePrefix="0" xfId="0"/>
    <xf numFmtId="0" fontId="2995" fillId="2999" borderId="2936" pivotButton="0" quotePrefix="0" xfId="0"/>
    <xf numFmtId="0" fontId="2996" fillId="3000" borderId="2937" pivotButton="0" quotePrefix="0" xfId="0"/>
    <xf numFmtId="0" fontId="2997" fillId="3001" borderId="2938" pivotButton="0" quotePrefix="0" xfId="0"/>
    <xf numFmtId="0" fontId="2998" fillId="3002" borderId="2939" pivotButton="0" quotePrefix="0" xfId="0"/>
    <xf numFmtId="0" fontId="2999" fillId="3003" borderId="2940" pivotButton="0" quotePrefix="0" xfId="0"/>
    <xf numFmtId="0" fontId="3000" fillId="3004" borderId="2941" pivotButton="0" quotePrefix="0" xfId="0"/>
    <xf numFmtId="0" fontId="3001" fillId="3005" borderId="2942" pivotButton="0" quotePrefix="0" xfId="0"/>
    <xf numFmtId="0" fontId="3002" fillId="3006" borderId="2943" pivotButton="0" quotePrefix="0" xfId="0"/>
    <xf numFmtId="0" fontId="3003" fillId="3007" borderId="2944" pivotButton="0" quotePrefix="0" xfId="0"/>
    <xf numFmtId="0" fontId="3004" fillId="3008" borderId="2945" pivotButton="0" quotePrefix="0" xfId="0"/>
    <xf numFmtId="0" fontId="3005" fillId="3009" borderId="2946" pivotButton="0" quotePrefix="0" xfId="0"/>
    <xf numFmtId="0" fontId="3006" fillId="3010" borderId="2947" pivotButton="0" quotePrefix="0" xfId="0"/>
    <xf numFmtId="0" fontId="3007" fillId="3011" borderId="2948" pivotButton="0" quotePrefix="0" xfId="0"/>
    <xf numFmtId="0" fontId="3008" fillId="3012" borderId="2949" pivotButton="0" quotePrefix="0" xfId="0"/>
    <xf numFmtId="0" fontId="3009" fillId="3013" borderId="2950" pivotButton="0" quotePrefix="0" xfId="0"/>
    <xf numFmtId="0" fontId="3010" fillId="3014" borderId="2951" pivotButton="0" quotePrefix="0" xfId="0"/>
    <xf numFmtId="0" fontId="3011" fillId="3015" borderId="2952" pivotButton="0" quotePrefix="0" xfId="0"/>
    <xf numFmtId="0" fontId="3012" fillId="3016" borderId="2953" pivotButton="0" quotePrefix="0" xfId="0"/>
    <xf numFmtId="0" fontId="3013" fillId="3017" borderId="2954" pivotButton="0" quotePrefix="0" xfId="0"/>
    <xf numFmtId="0" fontId="3014" fillId="3018" borderId="2955" pivotButton="0" quotePrefix="0" xfId="0"/>
    <xf numFmtId="0" fontId="3015" fillId="3019" borderId="2956" pivotButton="0" quotePrefix="0" xfId="0"/>
    <xf numFmtId="0" fontId="3016" fillId="3020" borderId="2957" pivotButton="0" quotePrefix="0" xfId="0"/>
    <xf numFmtId="0" fontId="3017" fillId="3021" borderId="2958" pivotButton="0" quotePrefix="0" xfId="0"/>
    <xf numFmtId="0" fontId="3018" fillId="3022" borderId="2959" pivotButton="0" quotePrefix="0" xfId="0"/>
    <xf numFmtId="0" fontId="3019" fillId="3023" borderId="2960" pivotButton="0" quotePrefix="0" xfId="0"/>
    <xf numFmtId="14" fontId="3020" fillId="3024" borderId="2961" pivotButton="0" quotePrefix="0" xfId="0"/>
    <xf numFmtId="0" fontId="3021" fillId="3025" borderId="2962" pivotButton="0" quotePrefix="0" xfId="0"/>
    <xf numFmtId="0" fontId="3022" fillId="3026" borderId="2963" pivotButton="0" quotePrefix="0" xfId="0"/>
    <xf numFmtId="0" fontId="3023" fillId="3027" borderId="2964" pivotButton="0" quotePrefix="0" xfId="0"/>
    <xf numFmtId="0" fontId="3024" fillId="3028" borderId="2965" pivotButton="0" quotePrefix="0" xfId="0"/>
    <xf numFmtId="0" fontId="3025" fillId="3029" borderId="2966" pivotButton="0" quotePrefix="0" xfId="0"/>
    <xf numFmtId="0" fontId="3026" fillId="3030" borderId="2967" pivotButton="0" quotePrefix="0" xfId="0"/>
    <xf numFmtId="0" fontId="3027" fillId="3031" borderId="2968" pivotButton="0" quotePrefix="0" xfId="0"/>
    <xf numFmtId="0" fontId="3028" fillId="3032" borderId="2969" pivotButton="0" quotePrefix="0" xfId="0"/>
    <xf numFmtId="0" fontId="3029" fillId="3033" borderId="2970" pivotButton="0" quotePrefix="0" xfId="0"/>
    <xf numFmtId="0" fontId="3030" fillId="3034" borderId="2971" pivotButton="0" quotePrefix="0" xfId="0"/>
    <xf numFmtId="0" fontId="3031" fillId="3035" borderId="2972" pivotButton="0" quotePrefix="0" xfId="0"/>
    <xf numFmtId="0" fontId="3032" fillId="3036" borderId="2973" pivotButton="0" quotePrefix="0" xfId="0"/>
    <xf numFmtId="0" fontId="3033" fillId="3037" borderId="2974" pivotButton="0" quotePrefix="0" xfId="0"/>
    <xf numFmtId="0" fontId="3034" fillId="3038" borderId="2975" pivotButton="0" quotePrefix="0" xfId="0"/>
    <xf numFmtId="0" fontId="3035" fillId="3039" borderId="2976" pivotButton="0" quotePrefix="0" xfId="0"/>
    <xf numFmtId="0" fontId="3036" fillId="3040" borderId="2977" pivotButton="0" quotePrefix="0" xfId="0"/>
    <xf numFmtId="0" fontId="3037" fillId="3041" borderId="2978" pivotButton="0" quotePrefix="0" xfId="0"/>
    <xf numFmtId="0" fontId="3038" fillId="3042" borderId="2979" pivotButton="0" quotePrefix="0" xfId="0"/>
    <xf numFmtId="0" fontId="3039" fillId="3043" borderId="2980" pivotButton="0" quotePrefix="0" xfId="0"/>
    <xf numFmtId="0" fontId="3040" fillId="3044" borderId="2981" pivotButton="0" quotePrefix="0" xfId="0"/>
    <xf numFmtId="0" fontId="3041" fillId="3045" borderId="2982" pivotButton="0" quotePrefix="0" xfId="0"/>
    <xf numFmtId="0" fontId="3042" fillId="3046" borderId="2983" pivotButton="0" quotePrefix="0" xfId="0"/>
    <xf numFmtId="0" fontId="3043" fillId="3047" borderId="2984" pivotButton="0" quotePrefix="0" xfId="0"/>
    <xf numFmtId="0" fontId="3044" fillId="3048" borderId="2985" pivotButton="0" quotePrefix="0" xfId="0"/>
    <xf numFmtId="0" fontId="3045" fillId="3049" borderId="2986" pivotButton="0" quotePrefix="0" xfId="0"/>
    <xf numFmtId="0" fontId="3046" fillId="3050" borderId="2987" pivotButton="0" quotePrefix="0" xfId="0"/>
    <xf numFmtId="0" fontId="3047" fillId="3051" borderId="2988" pivotButton="0" quotePrefix="0" xfId="0"/>
    <xf numFmtId="0" fontId="3048" fillId="3052" borderId="2989" pivotButton="0" quotePrefix="0" xfId="0"/>
    <xf numFmtId="0" fontId="3049" fillId="3053" borderId="2990" pivotButton="0" quotePrefix="0" xfId="0"/>
    <xf numFmtId="0" fontId="3050" fillId="3054" borderId="2991" pivotButton="0" quotePrefix="0" xfId="0"/>
    <xf numFmtId="0" fontId="3051" fillId="3055" borderId="2992" pivotButton="0" quotePrefix="0" xfId="0"/>
    <xf numFmtId="0" fontId="3052" fillId="3056" borderId="2993" pivotButton="0" quotePrefix="0" xfId="0"/>
    <xf numFmtId="0" fontId="3053" fillId="3057" borderId="2994" pivotButton="0" quotePrefix="0" xfId="0"/>
    <xf numFmtId="0" fontId="3054" fillId="3058" borderId="2995" pivotButton="0" quotePrefix="0" xfId="0"/>
    <xf numFmtId="0" fontId="3055" fillId="3059" borderId="2996" pivotButton="0" quotePrefix="0" xfId="0"/>
    <xf numFmtId="0" fontId="3056" fillId="3060" borderId="2997" pivotButton="0" quotePrefix="0" xfId="0"/>
    <xf numFmtId="0" fontId="3057" fillId="3061" borderId="2998" pivotButton="0" quotePrefix="0" xfId="0"/>
    <xf numFmtId="0" fontId="3058" fillId="3062" borderId="2999" pivotButton="0" quotePrefix="0" xfId="0"/>
    <xf numFmtId="0" fontId="3059" fillId="3063" borderId="3000" pivotButton="0" quotePrefix="0" xfId="0"/>
    <xf numFmtId="0" fontId="3060" fillId="3064" borderId="3001" pivotButton="0" quotePrefix="0" xfId="0"/>
    <xf numFmtId="0" fontId="3061" fillId="3065" borderId="3002" pivotButton="0" quotePrefix="0" xfId="0"/>
    <xf numFmtId="0" fontId="3062" fillId="3066" borderId="3003" pivotButton="0" quotePrefix="0" xfId="0"/>
    <xf numFmtId="0" fontId="3063" fillId="3067" borderId="3004" pivotButton="0" quotePrefix="0" xfId="0"/>
    <xf numFmtId="0" fontId="3064" fillId="3068" borderId="3005" pivotButton="0" quotePrefix="0" xfId="0"/>
    <xf numFmtId="0" fontId="3065" fillId="3069" borderId="3006" pivotButton="0" quotePrefix="0" xfId="0"/>
    <xf numFmtId="0" fontId="3066" fillId="3070" borderId="3007" pivotButton="0" quotePrefix="0" xfId="0"/>
    <xf numFmtId="0" fontId="3067" fillId="3071" borderId="3008" pivotButton="0" quotePrefix="0" xfId="0"/>
    <xf numFmtId="0" fontId="3068" fillId="3072" borderId="3009" pivotButton="0" quotePrefix="0" xfId="0"/>
    <xf numFmtId="0" fontId="3069" fillId="3073" borderId="3010" pivotButton="0" quotePrefix="0" xfId="0"/>
    <xf numFmtId="0" fontId="3070" fillId="3074" borderId="3011" pivotButton="0" quotePrefix="0" xfId="0"/>
    <xf numFmtId="14" fontId="3071" fillId="3075" borderId="3012" pivotButton="0" quotePrefix="0" xfId="0"/>
    <xf numFmtId="0" fontId="3072" fillId="3076" borderId="3013" pivotButton="0" quotePrefix="0" xfId="0"/>
    <xf numFmtId="0" fontId="3073" fillId="3077" borderId="3014" pivotButton="0" quotePrefix="0" xfId="0"/>
    <xf numFmtId="0" fontId="3074" fillId="3078" borderId="3015" pivotButton="0" quotePrefix="0" xfId="0"/>
    <xf numFmtId="0" fontId="3075" fillId="3079" borderId="3016" pivotButton="0" quotePrefix="0" xfId="0"/>
    <xf numFmtId="0" fontId="3076" fillId="3080" borderId="3017" pivotButton="0" quotePrefix="0" xfId="0"/>
    <xf numFmtId="0" fontId="3077" fillId="3081" borderId="3018" pivotButton="0" quotePrefix="0" xfId="0"/>
    <xf numFmtId="0" fontId="3078" fillId="3082" borderId="3019" pivotButton="0" quotePrefix="0" xfId="0"/>
    <xf numFmtId="14" fontId="3079" fillId="3083" borderId="3020" pivotButton="0" quotePrefix="0" xfId="0"/>
    <xf numFmtId="0" fontId="3080" fillId="3084" borderId="3021" pivotButton="0" quotePrefix="0" xfId="0"/>
    <xf numFmtId="0" fontId="3081" fillId="3085" borderId="3022" pivotButton="0" quotePrefix="0" xfId="0"/>
    <xf numFmtId="0" fontId="3082" fillId="3086" borderId="3023" pivotButton="0" quotePrefix="0" xfId="0"/>
    <xf numFmtId="0" fontId="3083" fillId="3087" borderId="3024" pivotButton="0" quotePrefix="0" xfId="0"/>
    <xf numFmtId="0" fontId="3084" fillId="3088" borderId="3025" pivotButton="0" quotePrefix="0" xfId="0"/>
    <xf numFmtId="0" fontId="3085" fillId="3089" borderId="3026" pivotButton="0" quotePrefix="0" xfId="0"/>
    <xf numFmtId="0" fontId="3086" fillId="3090" borderId="3027" pivotButton="0" quotePrefix="0" xfId="0"/>
    <xf numFmtId="14" fontId="3087" fillId="3091" borderId="3028" pivotButton="0" quotePrefix="0" xfId="0"/>
    <xf numFmtId="0" fontId="3088" fillId="3092" borderId="3029" pivotButton="0" quotePrefix="0" xfId="0"/>
    <xf numFmtId="0" fontId="3089" fillId="3093" borderId="3030" pivotButton="0" quotePrefix="0" xfId="0"/>
    <xf numFmtId="0" fontId="3090" fillId="3094" borderId="3031" pivotButton="0" quotePrefix="0" xfId="0"/>
    <xf numFmtId="0" fontId="3091" fillId="3095" borderId="3032" pivotButton="0" quotePrefix="0" xfId="0"/>
    <xf numFmtId="0" fontId="3092" fillId="3096" borderId="3033" pivotButton="0" quotePrefix="0" xfId="0"/>
    <xf numFmtId="0" fontId="3093" fillId="3097" borderId="3034" pivotButton="0" quotePrefix="0" xfId="0"/>
    <xf numFmtId="0" fontId="3094" fillId="3098" borderId="3035" pivotButton="0" quotePrefix="0" xfId="0"/>
    <xf numFmtId="14" fontId="3095" fillId="3099" borderId="3036" pivotButton="0" quotePrefix="0" xfId="0"/>
    <xf numFmtId="0" fontId="3096" fillId="3100" borderId="3037" pivotButton="0" quotePrefix="0" xfId="0"/>
    <xf numFmtId="0" fontId="3097" fillId="3101" borderId="3038" pivotButton="0" quotePrefix="0" xfId="0"/>
    <xf numFmtId="0" fontId="3098" fillId="3102" borderId="3039" pivotButton="0" quotePrefix="0" xfId="0"/>
    <xf numFmtId="0" fontId="3099" fillId="3103" borderId="3040" pivotButton="0" quotePrefix="0" xfId="0"/>
    <xf numFmtId="0" fontId="3100" fillId="3104" borderId="3041" pivotButton="0" quotePrefix="0" xfId="0"/>
    <xf numFmtId="0" fontId="3101" fillId="3105" borderId="3042" pivotButton="0" quotePrefix="0" xfId="0"/>
    <xf numFmtId="0" fontId="3102" fillId="3106" borderId="3043" pivotButton="0" quotePrefix="0" xfId="0"/>
    <xf numFmtId="14" fontId="3103" fillId="3107" borderId="3044" pivotButton="0" quotePrefix="0" xfId="0"/>
    <xf numFmtId="0" fontId="3104" fillId="3108" borderId="3045" pivotButton="0" quotePrefix="0" xfId="0"/>
    <xf numFmtId="0" fontId="3105" fillId="3109" borderId="3046" pivotButton="0" quotePrefix="0" xfId="0"/>
    <xf numFmtId="0" fontId="3106" fillId="3110" borderId="3047" pivotButton="0" quotePrefix="0" xfId="0"/>
    <xf numFmtId="0" fontId="3107" fillId="3111" borderId="3048" pivotButton="0" quotePrefix="0" xfId="0"/>
    <xf numFmtId="0" fontId="3108" fillId="3112" borderId="3049" pivotButton="0" quotePrefix="0" xfId="0"/>
    <xf numFmtId="0" fontId="3109" fillId="3113" borderId="3050" pivotButton="0" quotePrefix="0" xfId="0"/>
    <xf numFmtId="0" fontId="3110" fillId="3114" borderId="3051" pivotButton="0" quotePrefix="0" xfId="0"/>
    <xf numFmtId="14" fontId="3111" fillId="3115" borderId="3052" pivotButton="0" quotePrefix="0" xfId="0"/>
    <xf numFmtId="0" fontId="3112" fillId="3116" borderId="3053" pivotButton="0" quotePrefix="0" xfId="0"/>
    <xf numFmtId="0" fontId="3113" fillId="3117" borderId="3054" pivotButton="0" quotePrefix="0" xfId="0"/>
    <xf numFmtId="0" fontId="3114" fillId="3118" borderId="3055" pivotButton="0" quotePrefix="0" xfId="0"/>
    <xf numFmtId="0" fontId="3115" fillId="3119" borderId="3056" pivotButton="0" quotePrefix="0" xfId="0"/>
    <xf numFmtId="0" fontId="3116" fillId="3120" borderId="3057" pivotButton="0" quotePrefix="0" xfId="0"/>
    <xf numFmtId="0" fontId="3117" fillId="3121" borderId="3058" pivotButton="0" quotePrefix="0" xfId="0"/>
    <xf numFmtId="0" fontId="3118" fillId="3122" borderId="3059" pivotButton="0" quotePrefix="0" xfId="0"/>
    <xf numFmtId="14" fontId="3119" fillId="3123" borderId="3060" pivotButton="0" quotePrefix="0" xfId="0"/>
    <xf numFmtId="0" fontId="3120" fillId="3124" borderId="3061" pivotButton="0" quotePrefix="0" xfId="0"/>
    <xf numFmtId="0" fontId="3121" fillId="3125" borderId="3062" pivotButton="0" quotePrefix="0" xfId="0"/>
    <xf numFmtId="0" fontId="3122" fillId="3126" borderId="3063" pivotButton="0" quotePrefix="0" xfId="0"/>
    <xf numFmtId="0" fontId="3123" fillId="3127" borderId="3064" pivotButton="0" quotePrefix="0" xfId="0"/>
    <xf numFmtId="0" fontId="3124" fillId="3128" borderId="3065" pivotButton="0" quotePrefix="0" xfId="0"/>
    <xf numFmtId="0" fontId="3125" fillId="3129" borderId="3066" pivotButton="0" quotePrefix="0" xfId="0"/>
    <xf numFmtId="0" fontId="3126" fillId="3130" borderId="3067" pivotButton="0" quotePrefix="0" xfId="0"/>
    <xf numFmtId="14" fontId="3127" fillId="3131" borderId="3068" pivotButton="0" quotePrefix="0" xfId="0"/>
    <xf numFmtId="0" fontId="3128" fillId="3132" borderId="3069" pivotButton="0" quotePrefix="0" xfId="0"/>
    <xf numFmtId="0" fontId="3129" fillId="3133" borderId="3070" pivotButton="0" quotePrefix="0" xfId="0"/>
    <xf numFmtId="0" fontId="3130" fillId="3134" borderId="3071" pivotButton="0" quotePrefix="0" xfId="0"/>
    <xf numFmtId="0" fontId="3131" fillId="3135" borderId="3072" pivotButton="0" quotePrefix="0" xfId="0"/>
    <xf numFmtId="0" fontId="3132" fillId="3136" borderId="3073" pivotButton="0" quotePrefix="0" xfId="0"/>
    <xf numFmtId="0" fontId="3133" fillId="3137" borderId="3074" pivotButton="0" quotePrefix="0" xfId="0"/>
    <xf numFmtId="0" fontId="3134" fillId="3138" borderId="3075" pivotButton="0" quotePrefix="0" xfId="0"/>
    <xf numFmtId="14" fontId="3135" fillId="3139" borderId="3076" pivotButton="0" quotePrefix="0" xfId="0"/>
    <xf numFmtId="0" fontId="3136" fillId="3140" borderId="3077" pivotButton="0" quotePrefix="0" xfId="0"/>
    <xf numFmtId="0" fontId="3137" fillId="3141" borderId="3078" pivotButton="0" quotePrefix="0" xfId="0"/>
    <xf numFmtId="0" fontId="3138" fillId="3142" borderId="3079" pivotButton="0" quotePrefix="0" xfId="0"/>
    <xf numFmtId="0" fontId="3139" fillId="3143" borderId="3080" pivotButton="0" quotePrefix="0" xfId="0"/>
    <xf numFmtId="0" fontId="3140" fillId="3144" borderId="3081" pivotButton="0" quotePrefix="0" xfId="0"/>
    <xf numFmtId="0" fontId="3141" fillId="3145" borderId="3082" pivotButton="0" quotePrefix="0" xfId="0"/>
    <xf numFmtId="0" fontId="3142" fillId="3146" borderId="3083" pivotButton="0" quotePrefix="0" xfId="0"/>
    <xf numFmtId="14" fontId="3143" fillId="3147" borderId="3084" pivotButton="0" quotePrefix="0" xfId="0"/>
    <xf numFmtId="0" fontId="3144" fillId="3148" borderId="3085" pivotButton="0" quotePrefix="0" xfId="0"/>
    <xf numFmtId="0" fontId="3145" fillId="3149" borderId="3086" pivotButton="0" quotePrefix="0" xfId="0"/>
    <xf numFmtId="0" fontId="3146" fillId="3150" borderId="3087" pivotButton="0" quotePrefix="0" xfId="0"/>
    <xf numFmtId="0" fontId="3147" fillId="3151" borderId="3088" pivotButton="0" quotePrefix="0" xfId="0"/>
    <xf numFmtId="0" fontId="3148" fillId="3152" borderId="3089" pivotButton="0" quotePrefix="0" xfId="0"/>
    <xf numFmtId="0" fontId="3149" fillId="3153" borderId="3090" pivotButton="0" quotePrefix="0" xfId="0"/>
    <xf numFmtId="0" fontId="3150" fillId="3154" borderId="3091" pivotButton="0" quotePrefix="0" xfId="0"/>
    <xf numFmtId="14" fontId="3151" fillId="3155" borderId="3092" pivotButton="0" quotePrefix="0" xfId="0"/>
    <xf numFmtId="0" fontId="3152" fillId="3156" borderId="3093" pivotButton="0" quotePrefix="0" xfId="0"/>
    <xf numFmtId="0" fontId="3153" fillId="3157" borderId="3094" pivotButton="0" quotePrefix="0" xfId="0"/>
    <xf numFmtId="0" fontId="3154" fillId="3158" borderId="3095" pivotButton="0" quotePrefix="0" xfId="0"/>
    <xf numFmtId="0" fontId="3155" fillId="3159" borderId="3096" pivotButton="0" quotePrefix="0" xfId="0"/>
    <xf numFmtId="0" fontId="3156" fillId="3160" borderId="3097" pivotButton="0" quotePrefix="0" xfId="0"/>
    <xf numFmtId="0" fontId="3157" fillId="3161" borderId="3098" pivotButton="0" quotePrefix="0" xfId="0"/>
    <xf numFmtId="0" fontId="3158" fillId="3162" borderId="3099" pivotButton="0" quotePrefix="0" xfId="0"/>
    <xf numFmtId="14" fontId="3159" fillId="3163" borderId="3100" pivotButton="0" quotePrefix="0" xfId="0"/>
    <xf numFmtId="0" fontId="3160" fillId="3164" borderId="3101" pivotButton="0" quotePrefix="0" xfId="0"/>
    <xf numFmtId="0" fontId="3161" fillId="3165" borderId="3102" pivotButton="0" quotePrefix="0" xfId="0"/>
    <xf numFmtId="0" fontId="3162" fillId="3166" borderId="3103" pivotButton="0" quotePrefix="0" xfId="0"/>
    <xf numFmtId="0" fontId="3163" fillId="3167" borderId="3104" pivotButton="0" quotePrefix="0" xfId="0"/>
    <xf numFmtId="0" fontId="3164" fillId="3168" borderId="3105" pivotButton="0" quotePrefix="0" xfId="0"/>
    <xf numFmtId="0" fontId="3165" fillId="3169" borderId="3106" pivotButton="0" quotePrefix="0" xfId="0"/>
    <xf numFmtId="0" fontId="3166" fillId="3170" borderId="3107" pivotButton="0" quotePrefix="0" xfId="0"/>
    <xf numFmtId="14" fontId="3167" fillId="3171" borderId="3108" pivotButton="0" quotePrefix="0" xfId="0"/>
    <xf numFmtId="0" fontId="3168" fillId="3172" borderId="3109" pivotButton="0" quotePrefix="0" xfId="0"/>
    <xf numFmtId="0" fontId="3169" fillId="3173" borderId="3110" pivotButton="0" quotePrefix="0" xfId="0"/>
    <xf numFmtId="0" fontId="3170" fillId="3174" borderId="3111" pivotButton="0" quotePrefix="0" xfId="0"/>
    <xf numFmtId="0" fontId="3171" fillId="3175" borderId="3112" pivotButton="0" quotePrefix="0" xfId="0"/>
    <xf numFmtId="0" fontId="3172" fillId="3176" borderId="3113" pivotButton="0" quotePrefix="0" xfId="0"/>
    <xf numFmtId="0" fontId="3173" fillId="3177" borderId="3114" pivotButton="0" quotePrefix="0" xfId="0"/>
    <xf numFmtId="0" fontId="3174" fillId="3178" borderId="3115" pivotButton="0" quotePrefix="0" xfId="0"/>
    <xf numFmtId="14" fontId="3175" fillId="3179" borderId="3116" pivotButton="0" quotePrefix="0" xfId="0"/>
    <xf numFmtId="0" fontId="3176" fillId="3180" borderId="3117" pivotButton="0" quotePrefix="0" xfId="0"/>
    <xf numFmtId="0" fontId="3177" fillId="3181" borderId="3118" pivotButton="0" quotePrefix="0" xfId="0"/>
    <xf numFmtId="0" fontId="3178" fillId="3182" borderId="3119" pivotButton="0" quotePrefix="0" xfId="0"/>
    <xf numFmtId="0" fontId="3179" fillId="3183" borderId="3120" pivotButton="0" quotePrefix="0" xfId="0"/>
    <xf numFmtId="0" fontId="3180" fillId="3184" borderId="3121" pivotButton="0" quotePrefix="0" xfId="0"/>
    <xf numFmtId="0" fontId="3181" fillId="3185" borderId="3122" pivotButton="0" quotePrefix="0" xfId="0"/>
    <xf numFmtId="0" fontId="3182" fillId="3186" borderId="3123" pivotButton="0" quotePrefix="0" xfId="0"/>
    <xf numFmtId="14" fontId="3183" fillId="3187" borderId="3124" pivotButton="0" quotePrefix="0" xfId="0"/>
    <xf numFmtId="0" fontId="3184" fillId="3188" borderId="3125" pivotButton="0" quotePrefix="0" xfId="0"/>
    <xf numFmtId="0" fontId="3185" fillId="3189" borderId="3126" pivotButton="0" quotePrefix="0" xfId="0"/>
    <xf numFmtId="0" fontId="3186" fillId="3190" borderId="3127" pivotButton="0" quotePrefix="0" xfId="0"/>
    <xf numFmtId="0" fontId="3187" fillId="3191" borderId="3128" pivotButton="0" quotePrefix="0" xfId="0"/>
    <xf numFmtId="0" fontId="3188" fillId="3192" borderId="3129" pivotButton="0" quotePrefix="0" xfId="0"/>
    <xf numFmtId="0" fontId="3189" fillId="3193" borderId="3130" pivotButton="0" quotePrefix="0" xfId="0"/>
    <xf numFmtId="0" fontId="3190" fillId="3194" borderId="3131" pivotButton="0" quotePrefix="0" xfId="0"/>
    <xf numFmtId="14" fontId="3191" fillId="3195" borderId="3132" pivotButton="0" quotePrefix="0" xfId="0"/>
    <xf numFmtId="0" fontId="3192" fillId="3196" borderId="3133" pivotButton="0" quotePrefix="0" xfId="0"/>
    <xf numFmtId="0" fontId="3193" fillId="3197" borderId="3134" pivotButton="0" quotePrefix="0" xfId="0"/>
    <xf numFmtId="0" fontId="3194" fillId="3198" borderId="3135" pivotButton="0" quotePrefix="0" xfId="0"/>
    <xf numFmtId="0" fontId="3195" fillId="3199" borderId="3136" pivotButton="0" quotePrefix="0" xfId="0"/>
    <xf numFmtId="0" fontId="3196" fillId="3200" borderId="3137" pivotButton="0" quotePrefix="0" xfId="0"/>
    <xf numFmtId="0" fontId="3197" fillId="3201" borderId="3138" pivotButton="0" quotePrefix="0" xfId="0"/>
    <xf numFmtId="0" fontId="3198" fillId="3202" borderId="3139" pivotButton="0" quotePrefix="0" xfId="0"/>
    <xf numFmtId="14" fontId="3199" fillId="3203" borderId="3140" pivotButton="0" quotePrefix="0" xfId="0"/>
    <xf numFmtId="0" fontId="3200" fillId="3204" borderId="3141" pivotButton="0" quotePrefix="0" xfId="0"/>
    <xf numFmtId="0" fontId="3201" fillId="3205" borderId="3142" pivotButton="0" quotePrefix="0" xfId="0"/>
    <xf numFmtId="0" fontId="3202" fillId="3206" borderId="3143" pivotButton="0" quotePrefix="0" xfId="0"/>
    <xf numFmtId="0" fontId="3203" fillId="3207" borderId="3144" pivotButton="0" quotePrefix="0" xfId="0"/>
    <xf numFmtId="0" fontId="3204" fillId="3208" borderId="3145" pivotButton="0" quotePrefix="0" xfId="0"/>
    <xf numFmtId="0" fontId="3205" fillId="3209" borderId="3146" pivotButton="0" quotePrefix="0" xfId="0"/>
    <xf numFmtId="0" fontId="3206" fillId="3210" borderId="3147" pivotButton="0" quotePrefix="0" xfId="0"/>
    <xf numFmtId="14" fontId="3207" fillId="3211" borderId="3148" pivotButton="0" quotePrefix="0" xfId="0"/>
    <xf numFmtId="0" fontId="3208" fillId="3212" borderId="3149" pivotButton="0" quotePrefix="0" xfId="0"/>
    <xf numFmtId="0" fontId="3209" fillId="3213" borderId="3150" pivotButton="0" quotePrefix="0" xfId="0"/>
    <xf numFmtId="0" fontId="3210" fillId="3214" borderId="3151" pivotButton="0" quotePrefix="0" xfId="0"/>
    <xf numFmtId="0" fontId="3211" fillId="3215" borderId="3152" pivotButton="0" quotePrefix="0" xfId="0"/>
    <xf numFmtId="0" fontId="3212" fillId="3216" borderId="3153" pivotButton="0" quotePrefix="0" xfId="0"/>
    <xf numFmtId="0" fontId="3213" fillId="3217" borderId="3154" pivotButton="0" quotePrefix="0" xfId="0"/>
    <xf numFmtId="0" fontId="3214" fillId="3218" borderId="3155" pivotButton="0" quotePrefix="0" xfId="0"/>
    <xf numFmtId="14" fontId="3215" fillId="3219" borderId="3156" pivotButton="0" quotePrefix="0" xfId="0"/>
    <xf numFmtId="0" fontId="3216" fillId="3220" borderId="3157" pivotButton="0" quotePrefix="0" xfId="0"/>
    <xf numFmtId="0" fontId="3217" fillId="3221" borderId="3158" pivotButton="0" quotePrefix="0" xfId="0"/>
    <xf numFmtId="0" fontId="3218" fillId="3222" borderId="3159" pivotButton="0" quotePrefix="0" xfId="0"/>
    <xf numFmtId="0" fontId="3219" fillId="3223" borderId="3160" pivotButton="0" quotePrefix="0" xfId="0"/>
    <xf numFmtId="0" fontId="3220" fillId="3224" borderId="3161" pivotButton="0" quotePrefix="0" xfId="0"/>
    <xf numFmtId="0" fontId="3221" fillId="3225" borderId="3162" pivotButton="0" quotePrefix="0" xfId="0"/>
    <xf numFmtId="0" fontId="3222" fillId="3226" borderId="3163" pivotButton="0" quotePrefix="0" xfId="0"/>
    <xf numFmtId="14" fontId="3223" fillId="3227" borderId="3164" pivotButton="0" quotePrefix="0" xfId="0"/>
    <xf numFmtId="0" fontId="3224" fillId="3228" borderId="3165" pivotButton="0" quotePrefix="0" xfId="0"/>
    <xf numFmtId="0" fontId="3225" fillId="3229" borderId="3166" pivotButton="0" quotePrefix="0" xfId="0"/>
    <xf numFmtId="0" fontId="3226" fillId="3230" borderId="3167" pivotButton="0" quotePrefix="0" xfId="0"/>
    <xf numFmtId="0" fontId="3227" fillId="3231" borderId="3168" pivotButton="0" quotePrefix="0" xfId="0"/>
    <xf numFmtId="0" fontId="3228" fillId="3232" borderId="3169" pivotButton="0" quotePrefix="0" xfId="0"/>
    <xf numFmtId="0" fontId="3229" fillId="3233" borderId="3170" pivotButton="0" quotePrefix="0" xfId="0"/>
    <xf numFmtId="0" fontId="3230" fillId="3234" borderId="3171" pivotButton="0" quotePrefix="0" xfId="0"/>
    <xf numFmtId="14" fontId="3231" fillId="3235" borderId="3172" pivotButton="0" quotePrefix="0" xfId="0"/>
    <xf numFmtId="0" fontId="3232" fillId="3236" borderId="3173" pivotButton="0" quotePrefix="0" xfId="0"/>
    <xf numFmtId="0" fontId="3233" fillId="3237" borderId="3174" pivotButton="0" quotePrefix="0" xfId="0"/>
    <xf numFmtId="0" fontId="3234" fillId="3238" borderId="3175" pivotButton="0" quotePrefix="0" xfId="0"/>
    <xf numFmtId="0" fontId="3235" fillId="3239" borderId="3176" pivotButton="0" quotePrefix="0" xfId="0"/>
    <xf numFmtId="0" fontId="3236" fillId="3240" borderId="3177" pivotButton="0" quotePrefix="0" xfId="0"/>
    <xf numFmtId="0" fontId="3237" fillId="3241" borderId="3178" pivotButton="0" quotePrefix="0" xfId="0"/>
    <xf numFmtId="0" fontId="3238" fillId="3242" borderId="3179" pivotButton="0" quotePrefix="0" xfId="0"/>
    <xf numFmtId="14" fontId="3239" fillId="3243" borderId="3180" pivotButton="0" quotePrefix="0" xfId="0"/>
    <xf numFmtId="0" fontId="3240" fillId="3244" borderId="3181" pivotButton="0" quotePrefix="0" xfId="0"/>
    <xf numFmtId="0" fontId="3241" fillId="3245" borderId="3182" pivotButton="0" quotePrefix="0" xfId="0"/>
    <xf numFmtId="0" fontId="3242" fillId="3246" borderId="3183" pivotButton="0" quotePrefix="0" xfId="0"/>
    <xf numFmtId="0" fontId="3243" fillId="3247" borderId="3184" pivotButton="0" quotePrefix="0" xfId="0"/>
    <xf numFmtId="0" fontId="3244" fillId="3248" borderId="3185" pivotButton="0" quotePrefix="0" xfId="0"/>
    <xf numFmtId="0" fontId="3245" fillId="3249" borderId="3186" pivotButton="0" quotePrefix="0" xfId="0"/>
    <xf numFmtId="0" fontId="3246" fillId="3250" borderId="3187" pivotButton="0" quotePrefix="0" xfId="0"/>
    <xf numFmtId="14" fontId="3247" fillId="3251" borderId="3188" pivotButton="0" quotePrefix="0" xfId="0"/>
    <xf numFmtId="0" fontId="3248" fillId="3252" borderId="3189" pivotButton="0" quotePrefix="0" xfId="0"/>
    <xf numFmtId="0" fontId="3249" fillId="3253" borderId="3190" pivotButton="0" quotePrefix="0" xfId="0"/>
    <xf numFmtId="0" fontId="3250" fillId="3254" borderId="3191" pivotButton="0" quotePrefix="0" xfId="0"/>
    <xf numFmtId="0" fontId="3251" fillId="3255" borderId="3192" pivotButton="0" quotePrefix="0" xfId="0"/>
    <xf numFmtId="0" fontId="3252" fillId="3256" borderId="3193" pivotButton="0" quotePrefix="0" xfId="0"/>
    <xf numFmtId="0" fontId="3253" fillId="3257" borderId="3194" pivotButton="0" quotePrefix="0" xfId="0"/>
    <xf numFmtId="0" fontId="3254" fillId="3258" borderId="3195" pivotButton="0" quotePrefix="0" xfId="0"/>
    <xf numFmtId="14" fontId="3255" fillId="3259" borderId="3196" pivotButton="0" quotePrefix="0" xfId="0"/>
    <xf numFmtId="0" fontId="3256" fillId="3260" borderId="3197" pivotButton="0" quotePrefix="0" xfId="0"/>
    <xf numFmtId="0" fontId="3257" fillId="3261" borderId="3198" pivotButton="0" quotePrefix="0" xfId="0"/>
    <xf numFmtId="0" fontId="3258" fillId="3262" borderId="3199" pivotButton="0" quotePrefix="0" xfId="0"/>
    <xf numFmtId="0" fontId="3259" fillId="3263" borderId="3200" pivotButton="0" quotePrefix="0" xfId="0"/>
    <xf numFmtId="0" fontId="3260" fillId="3264" borderId="3201" pivotButton="0" quotePrefix="0" xfId="0"/>
    <xf numFmtId="0" fontId="3261" fillId="3265" borderId="3202" pivotButton="0" quotePrefix="0" xfId="0"/>
    <xf numFmtId="0" fontId="3262" fillId="3266" borderId="3203" pivotButton="0" quotePrefix="0" xfId="0"/>
    <xf numFmtId="14" fontId="3263" fillId="3267" borderId="3204" pivotButton="0" quotePrefix="0" xfId="0"/>
    <xf numFmtId="0" fontId="3264" fillId="3268" borderId="3205" pivotButton="0" quotePrefix="0" xfId="0"/>
    <xf numFmtId="0" fontId="3265" fillId="3269" borderId="3206" pivotButton="0" quotePrefix="0" xfId="0"/>
    <xf numFmtId="0" fontId="3266" fillId="3270" borderId="3207" pivotButton="0" quotePrefix="0" xfId="0"/>
    <xf numFmtId="0" fontId="3267" fillId="3271" borderId="3208" pivotButton="0" quotePrefix="0" xfId="0"/>
    <xf numFmtId="0" fontId="3268" fillId="3272" borderId="3209" pivotButton="0" quotePrefix="0" xfId="0"/>
    <xf numFmtId="0" fontId="3269" fillId="3273" borderId="3210" pivotButton="0" quotePrefix="0" xfId="0"/>
    <xf numFmtId="0" fontId="3270" fillId="3274" borderId="3211" pivotButton="0" quotePrefix="0" xfId="0"/>
    <xf numFmtId="14" fontId="3271" fillId="3275" borderId="3212" pivotButton="0" quotePrefix="0" xfId="0"/>
    <xf numFmtId="0" fontId="3272" fillId="3276" borderId="3213" pivotButton="0" quotePrefix="0" xfId="0"/>
    <xf numFmtId="0" fontId="3273" fillId="3277" borderId="3214" pivotButton="0" quotePrefix="0" xfId="0"/>
    <xf numFmtId="0" fontId="3274" fillId="3278" borderId="3215" pivotButton="0" quotePrefix="0" xfId="0"/>
    <xf numFmtId="0" fontId="3275" fillId="3279" borderId="3216" pivotButton="0" quotePrefix="0" xfId="0"/>
    <xf numFmtId="0" fontId="3276" fillId="3280" borderId="3217" pivotButton="0" quotePrefix="0" xfId="0"/>
    <xf numFmtId="0" fontId="3277" fillId="3281" borderId="3218" pivotButton="0" quotePrefix="0" xfId="0"/>
    <xf numFmtId="0" fontId="3278" fillId="3282" borderId="3219" pivotButton="0" quotePrefix="0" xfId="0"/>
    <xf numFmtId="14" fontId="3279" fillId="3283" borderId="3220" pivotButton="0" quotePrefix="0" xfId="0"/>
    <xf numFmtId="0" fontId="3280" fillId="3284" borderId="3221" pivotButton="0" quotePrefix="0" xfId="0"/>
    <xf numFmtId="0" fontId="3281" fillId="3285" borderId="3222" pivotButton="0" quotePrefix="0" xfId="0"/>
    <xf numFmtId="0" fontId="3282" fillId="3286" borderId="3223" pivotButton="0" quotePrefix="0" xfId="0"/>
    <xf numFmtId="0" fontId="3283" fillId="3287" borderId="3224" pivotButton="0" quotePrefix="0" xfId="0"/>
    <xf numFmtId="0" fontId="3284" fillId="3288" borderId="3225" pivotButton="0" quotePrefix="0" xfId="0"/>
    <xf numFmtId="0" fontId="3285" fillId="3289" borderId="3226" pivotButton="0" quotePrefix="0" xfId="0"/>
    <xf numFmtId="0" fontId="3286" fillId="3290" borderId="3227" pivotButton="0" quotePrefix="0" xfId="0"/>
    <xf numFmtId="14" fontId="3287" fillId="3291" borderId="3228" pivotButton="0" quotePrefix="0" xfId="0"/>
    <xf numFmtId="0" fontId="3288" fillId="3292" borderId="3229" pivotButton="0" quotePrefix="0" xfId="0"/>
    <xf numFmtId="0" fontId="3289" fillId="3293" borderId="3230" pivotButton="0" quotePrefix="0" xfId="0"/>
    <xf numFmtId="0" fontId="3290" fillId="3294" borderId="3231" pivotButton="0" quotePrefix="0" xfId="0"/>
    <xf numFmtId="0" fontId="3291" fillId="3295" borderId="3232" pivotButton="0" quotePrefix="0" xfId="0"/>
    <xf numFmtId="0" fontId="3292" fillId="3296" borderId="3233" pivotButton="0" quotePrefix="0" xfId="0"/>
    <xf numFmtId="0" fontId="3293" fillId="3297" borderId="3234" pivotButton="0" quotePrefix="0" xfId="0"/>
    <xf numFmtId="0" fontId="3294" fillId="3298" borderId="3235" pivotButton="0" quotePrefix="0" xfId="0"/>
    <xf numFmtId="14" fontId="3295" fillId="3299" borderId="3236" pivotButton="0" quotePrefix="0" xfId="0"/>
    <xf numFmtId="0" fontId="3296" fillId="3300" borderId="3237" pivotButton="0" quotePrefix="0" xfId="0"/>
    <xf numFmtId="0" fontId="3297" fillId="3301" borderId="3238" pivotButton="0" quotePrefix="0" xfId="0"/>
    <xf numFmtId="0" fontId="3298" fillId="3302" borderId="3239" pivotButton="0" quotePrefix="0" xfId="0"/>
    <xf numFmtId="0" fontId="3299" fillId="3303" borderId="3240" pivotButton="0" quotePrefix="0" xfId="0"/>
    <xf numFmtId="0" fontId="3300" fillId="3304" borderId="3241" pivotButton="0" quotePrefix="0" xfId="0"/>
    <xf numFmtId="0" fontId="3301" fillId="3305" borderId="3242" pivotButton="0" quotePrefix="0" xfId="0"/>
    <xf numFmtId="0" fontId="3302" fillId="3306" borderId="3243" pivotButton="0" quotePrefix="0" xfId="0"/>
    <xf numFmtId="14" fontId="3303" fillId="3307" borderId="3244" pivotButton="0" quotePrefix="0" xfId="0"/>
    <xf numFmtId="0" fontId="3304" fillId="3308" borderId="3245" pivotButton="0" quotePrefix="0" xfId="0"/>
    <xf numFmtId="0" fontId="3305" fillId="3309" borderId="3246" pivotButton="0" quotePrefix="0" xfId="0"/>
    <xf numFmtId="0" fontId="3306" fillId="3310" borderId="3247" pivotButton="0" quotePrefix="0" xfId="0"/>
    <xf numFmtId="0" fontId="3307" fillId="3311" borderId="3248" pivotButton="0" quotePrefix="0" xfId="0"/>
    <xf numFmtId="0" fontId="3308" fillId="3312" borderId="3249" pivotButton="0" quotePrefix="0" xfId="0"/>
    <xf numFmtId="0" fontId="3309" fillId="3313" borderId="3250" pivotButton="0" quotePrefix="0" xfId="0"/>
    <xf numFmtId="0" fontId="3310" fillId="3314" borderId="3251" pivotButton="0" quotePrefix="0" xfId="0"/>
    <xf numFmtId="14" fontId="3311" fillId="3315" borderId="3252" pivotButton="0" quotePrefix="0" xfId="0"/>
    <xf numFmtId="0" fontId="3312" fillId="3316" borderId="3253" pivotButton="0" quotePrefix="0" xfId="0"/>
    <xf numFmtId="0" fontId="3313" fillId="3317" borderId="3254" pivotButton="0" quotePrefix="0" xfId="0"/>
    <xf numFmtId="0" fontId="3314" fillId="3318" borderId="3255" pivotButton="0" quotePrefix="0" xfId="0"/>
    <xf numFmtId="0" fontId="3315" fillId="3319" borderId="3256" pivotButton="0" quotePrefix="0" xfId="0"/>
    <xf numFmtId="0" fontId="3316" fillId="3320" borderId="3257" pivotButton="0" quotePrefix="0" xfId="0"/>
    <xf numFmtId="0" fontId="3317" fillId="3321" borderId="3258" pivotButton="0" quotePrefix="0" xfId="0"/>
    <xf numFmtId="0" fontId="3318" fillId="3322" borderId="3259" pivotButton="0" quotePrefix="0" xfId="0"/>
    <xf numFmtId="14" fontId="3319" fillId="3323" borderId="3260" pivotButton="0" quotePrefix="0" xfId="0"/>
    <xf numFmtId="0" fontId="3320" fillId="3324" borderId="3261" pivotButton="0" quotePrefix="0" xfId="0"/>
    <xf numFmtId="0" fontId="3321" fillId="3325" borderId="3262" pivotButton="0" quotePrefix="0" xfId="0"/>
    <xf numFmtId="0" fontId="3322" fillId="3326" borderId="3263" pivotButton="0" quotePrefix="0" xfId="0"/>
    <xf numFmtId="0" fontId="3323" fillId="3327" borderId="3264" pivotButton="0" quotePrefix="0" xfId="0"/>
    <xf numFmtId="0" fontId="3324" fillId="3328" borderId="3265" pivotButton="0" quotePrefix="0" xfId="0"/>
    <xf numFmtId="0" fontId="3325" fillId="3329" borderId="3266" pivotButton="0" quotePrefix="0" xfId="0"/>
    <xf numFmtId="0" fontId="3326" fillId="3330" borderId="3267" pivotButton="0" quotePrefix="0" xfId="0"/>
    <xf numFmtId="14" fontId="3327" fillId="3331" borderId="3268" pivotButton="0" quotePrefix="0" xfId="0"/>
    <xf numFmtId="0" fontId="3328" fillId="3332" borderId="3269" pivotButton="0" quotePrefix="0" xfId="0"/>
    <xf numFmtId="0" fontId="3329" fillId="3333" borderId="3270" pivotButton="0" quotePrefix="0" xfId="0"/>
    <xf numFmtId="0" fontId="3330" fillId="3334" borderId="3271" pivotButton="0" quotePrefix="0" xfId="0"/>
    <xf numFmtId="0" fontId="3331" fillId="3335" borderId="3272" pivotButton="0" quotePrefix="0" xfId="0"/>
    <xf numFmtId="0" fontId="3332" fillId="3336" borderId="3273" pivotButton="0" quotePrefix="0" xfId="0"/>
    <xf numFmtId="0" fontId="3333" fillId="3337" borderId="3274" pivotButton="0" quotePrefix="0" xfId="0"/>
    <xf numFmtId="0" fontId="3334" fillId="3338" borderId="3275" pivotButton="0" quotePrefix="0" xfId="0"/>
    <xf numFmtId="14" fontId="3335" fillId="3339" borderId="3276" pivotButton="0" quotePrefix="0" xfId="0"/>
    <xf numFmtId="0" fontId="3336" fillId="3340" borderId="3277" pivotButton="0" quotePrefix="0" xfId="0"/>
    <xf numFmtId="0" fontId="3337" fillId="3341" borderId="3278" pivotButton="0" quotePrefix="0" xfId="0"/>
    <xf numFmtId="0" fontId="3338" fillId="3342" borderId="3279" pivotButton="0" quotePrefix="0" xfId="0"/>
    <xf numFmtId="0" fontId="3339" fillId="3343" borderId="3280" pivotButton="0" quotePrefix="0" xfId="0"/>
    <xf numFmtId="0" fontId="3340" fillId="3344" borderId="3281" pivotButton="0" quotePrefix="0" xfId="0"/>
    <xf numFmtId="0" fontId="3341" fillId="3345" borderId="3282" pivotButton="0" quotePrefix="0" xfId="0"/>
    <xf numFmtId="0" fontId="3342" fillId="3346" borderId="3283" pivotButton="0" quotePrefix="0" xfId="0"/>
    <xf numFmtId="14" fontId="3343" fillId="3347" borderId="3284" pivotButton="0" quotePrefix="0" xfId="0"/>
    <xf numFmtId="0" fontId="3344" fillId="3348" borderId="3285" pivotButton="0" quotePrefix="0" xfId="0"/>
    <xf numFmtId="0" fontId="3345" fillId="3349" borderId="3286" pivotButton="0" quotePrefix="0" xfId="0"/>
    <xf numFmtId="0" fontId="3346" fillId="3350" borderId="3287" pivotButton="0" quotePrefix="0" xfId="0"/>
    <xf numFmtId="0" fontId="3347" fillId="3351" borderId="3288" pivotButton="0" quotePrefix="0" xfId="0"/>
    <xf numFmtId="0" fontId="3348" fillId="3352" borderId="3289" pivotButton="0" quotePrefix="0" xfId="0"/>
    <xf numFmtId="0" fontId="3349" fillId="3353" borderId="3290" pivotButton="0" quotePrefix="0" xfId="0"/>
    <xf numFmtId="0" fontId="3350" fillId="3354" borderId="3291" pivotButton="0" quotePrefix="0" xfId="0"/>
    <xf numFmtId="14" fontId="3351" fillId="3355" borderId="3292" pivotButton="0" quotePrefix="0" xfId="0"/>
    <xf numFmtId="0" fontId="3352" fillId="3356" borderId="3293" pivotButton="0" quotePrefix="0" xfId="0"/>
    <xf numFmtId="0" fontId="3353" fillId="3357" borderId="3294" pivotButton="0" quotePrefix="0" xfId="0"/>
    <xf numFmtId="0" fontId="3354" fillId="3358" borderId="3295" pivotButton="0" quotePrefix="0" xfId="0"/>
    <xf numFmtId="0" fontId="3355" fillId="3359" borderId="3296" pivotButton="0" quotePrefix="0" xfId="0"/>
    <xf numFmtId="0" fontId="3356" fillId="3360" borderId="3297" pivotButton="0" quotePrefix="0" xfId="0"/>
    <xf numFmtId="0" fontId="3357" fillId="3361" borderId="3298" pivotButton="0" quotePrefix="0" xfId="0"/>
    <xf numFmtId="0" fontId="3358" fillId="3362" borderId="3299" pivotButton="0" quotePrefix="0" xfId="0"/>
    <xf numFmtId="14" fontId="3359" fillId="3363" borderId="3300" pivotButton="0" quotePrefix="0" xfId="0"/>
    <xf numFmtId="0" fontId="3360" fillId="3364" borderId="3301" pivotButton="0" quotePrefix="0" xfId="0"/>
    <xf numFmtId="0" fontId="3361" fillId="3365" borderId="3302" pivotButton="0" quotePrefix="0" xfId="0"/>
    <xf numFmtId="0" fontId="3362" fillId="3366" borderId="3303" pivotButton="0" quotePrefix="0" xfId="0"/>
    <xf numFmtId="0" fontId="3363" fillId="3367" borderId="3304" pivotButton="0" quotePrefix="0" xfId="0"/>
    <xf numFmtId="0" fontId="3364" fillId="3368" borderId="3305" pivotButton="0" quotePrefix="0" xfId="0"/>
    <xf numFmtId="0" fontId="3365" fillId="3369" borderId="3306" pivotButton="0" quotePrefix="0" xfId="0"/>
    <xf numFmtId="0" fontId="3366" fillId="3370" borderId="3307" pivotButton="0" quotePrefix="0" xfId="0"/>
    <xf numFmtId="14" fontId="3367" fillId="3371" borderId="3308" pivotButton="0" quotePrefix="0" xfId="0"/>
    <xf numFmtId="0" fontId="3368" fillId="3372" borderId="3309" pivotButton="0" quotePrefix="0" xfId="0"/>
    <xf numFmtId="0" fontId="3369" fillId="3373" borderId="3310" pivotButton="0" quotePrefix="0" xfId="0"/>
    <xf numFmtId="0" fontId="3370" fillId="3374" borderId="3311" pivotButton="0" quotePrefix="0" xfId="0"/>
    <xf numFmtId="0" fontId="3371" fillId="3375" borderId="3312" pivotButton="0" quotePrefix="0" xfId="0"/>
    <xf numFmtId="0" fontId="3372" fillId="3376" borderId="3313" pivotButton="0" quotePrefix="0" xfId="0"/>
    <xf numFmtId="0" fontId="3373" fillId="3377" borderId="3314" pivotButton="0" quotePrefix="0" xfId="0"/>
    <xf numFmtId="0" fontId="3374" fillId="3378" borderId="3315" pivotButton="0" quotePrefix="0" xfId="0"/>
    <xf numFmtId="14" fontId="3375" fillId="3379" borderId="3316" pivotButton="0" quotePrefix="0" xfId="0"/>
    <xf numFmtId="0" fontId="3376" fillId="3380" borderId="3317" pivotButton="0" quotePrefix="0" xfId="0"/>
    <xf numFmtId="0" fontId="3377" fillId="3381" borderId="3318" pivotButton="0" quotePrefix="0" xfId="0"/>
    <xf numFmtId="0" fontId="3378" fillId="3382" borderId="3319" pivotButton="0" quotePrefix="0" xfId="0"/>
    <xf numFmtId="0" fontId="3379" fillId="3383" borderId="3320" pivotButton="0" quotePrefix="0" xfId="0"/>
    <xf numFmtId="0" fontId="3380" fillId="3384" borderId="3321" pivotButton="0" quotePrefix="0" xfId="0"/>
    <xf numFmtId="0" fontId="3381" fillId="3385" borderId="3322" pivotButton="0" quotePrefix="0" xfId="0"/>
    <xf numFmtId="0" fontId="3382" fillId="3386" borderId="3323" pivotButton="0" quotePrefix="0" xfId="0"/>
    <xf numFmtId="14" fontId="3383" fillId="3387" borderId="3324" pivotButton="0" quotePrefix="0" xfId="0"/>
    <xf numFmtId="0" fontId="3384" fillId="3388" borderId="3325" pivotButton="0" quotePrefix="0" xfId="0"/>
    <xf numFmtId="0" fontId="3385" fillId="3389" borderId="3326" pivotButton="0" quotePrefix="0" xfId="0"/>
    <xf numFmtId="0" fontId="3386" fillId="3390" borderId="3327" pivotButton="0" quotePrefix="0" xfId="0"/>
    <xf numFmtId="0" fontId="3387" fillId="3391" borderId="3328" pivotButton="0" quotePrefix="0" xfId="0"/>
    <xf numFmtId="0" fontId="3388" fillId="3392" borderId="3329" pivotButton="0" quotePrefix="0" xfId="0"/>
    <xf numFmtId="0" fontId="3389" fillId="3393" borderId="3330" pivotButton="0" quotePrefix="0" xfId="0"/>
    <xf numFmtId="0" fontId="3390" fillId="3394" borderId="3331" pivotButton="0" quotePrefix="0" xfId="0"/>
    <xf numFmtId="14" fontId="3391" fillId="3395" borderId="3332" pivotButton="0" quotePrefix="0" xfId="0"/>
    <xf numFmtId="0" fontId="3392" fillId="3396" borderId="3333" pivotButton="0" quotePrefix="0" xfId="0"/>
    <xf numFmtId="0" fontId="3393" fillId="3397" borderId="3334" pivotButton="0" quotePrefix="0" xfId="0"/>
    <xf numFmtId="0" fontId="3394" fillId="3398" borderId="3335" pivotButton="0" quotePrefix="0" xfId="0"/>
    <xf numFmtId="0" fontId="3395" fillId="3399" borderId="3336" pivotButton="0" quotePrefix="0" xfId="0"/>
    <xf numFmtId="0" fontId="3396" fillId="3400" borderId="3337" pivotButton="0" quotePrefix="0" xfId="0"/>
    <xf numFmtId="0" fontId="3397" fillId="3401" borderId="3338" pivotButton="0" quotePrefix="0" xfId="0"/>
    <xf numFmtId="0" fontId="3398" fillId="3402" borderId="3339" pivotButton="0" quotePrefix="0" xfId="0"/>
    <xf numFmtId="14" fontId="3399" fillId="3403" borderId="3340" pivotButton="0" quotePrefix="0" xfId="0"/>
    <xf numFmtId="0" fontId="3400" fillId="3404" borderId="3341" pivotButton="0" quotePrefix="0" xfId="0"/>
    <xf numFmtId="0" fontId="3401" fillId="3405" borderId="3342" pivotButton="0" quotePrefix="0" xfId="0"/>
    <xf numFmtId="0" fontId="3402" fillId="3406" borderId="3343" pivotButton="0" quotePrefix="0" xfId="0"/>
    <xf numFmtId="0" fontId="3403" fillId="3407" borderId="3344" pivotButton="0" quotePrefix="0" xfId="0"/>
    <xf numFmtId="0" fontId="3404" fillId="3408" borderId="3345" pivotButton="0" quotePrefix="0" xfId="0"/>
    <xf numFmtId="0" fontId="3405" fillId="3409" borderId="3346" pivotButton="0" quotePrefix="0" xfId="0"/>
    <xf numFmtId="0" fontId="3406" fillId="3410" borderId="3347" pivotButton="0" quotePrefix="0" xfId="0"/>
    <xf numFmtId="14" fontId="3407" fillId="3411" borderId="3348" pivotButton="0" quotePrefix="0" xfId="0"/>
    <xf numFmtId="0" fontId="3408" fillId="3412" borderId="3349" pivotButton="0" quotePrefix="0" xfId="0"/>
    <xf numFmtId="0" fontId="3409" fillId="3413" borderId="3350" pivotButton="0" quotePrefix="0" xfId="0"/>
    <xf numFmtId="0" fontId="3410" fillId="3414" borderId="3351" pivotButton="0" quotePrefix="0" xfId="0"/>
    <xf numFmtId="0" fontId="3411" fillId="3415" borderId="3352" pivotButton="0" quotePrefix="0" xfId="0"/>
    <xf numFmtId="0" fontId="3412" fillId="3416" borderId="3353" pivotButton="0" quotePrefix="0" xfId="0"/>
    <xf numFmtId="0" fontId="3413" fillId="3417" borderId="3354" pivotButton="0" quotePrefix="0" xfId="0"/>
    <xf numFmtId="0" fontId="3414" fillId="3418" borderId="3355" pivotButton="0" quotePrefix="0" xfId="0"/>
    <xf numFmtId="14" fontId="3415" fillId="3419" borderId="3356" pivotButton="0" quotePrefix="0" xfId="0"/>
    <xf numFmtId="0" fontId="3416" fillId="3420" borderId="3357" pivotButton="0" quotePrefix="0" xfId="0"/>
    <xf numFmtId="0" fontId="3417" fillId="3421" borderId="3358" pivotButton="0" quotePrefix="0" xfId="0"/>
    <xf numFmtId="0" fontId="3418" fillId="3422" borderId="3359" pivotButton="0" quotePrefix="0" xfId="0"/>
    <xf numFmtId="0" fontId="3419" fillId="3423" borderId="3360" pivotButton="0" quotePrefix="0" xfId="0"/>
    <xf numFmtId="0" fontId="3420" fillId="3424" borderId="3361" pivotButton="0" quotePrefix="0" xfId="0"/>
    <xf numFmtId="0" fontId="3421" fillId="3425" borderId="3362" pivotButton="0" quotePrefix="0" xfId="0"/>
    <xf numFmtId="0" fontId="3422" fillId="3426" borderId="3363" pivotButton="0" quotePrefix="0" xfId="0"/>
    <xf numFmtId="14" fontId="3423" fillId="3427" borderId="3364" pivotButton="0" quotePrefix="0" xfId="0"/>
    <xf numFmtId="0" fontId="3424" fillId="3428" borderId="3365" pivotButton="0" quotePrefix="0" xfId="0"/>
    <xf numFmtId="0" fontId="3425" fillId="3429" borderId="3366" pivotButton="0" quotePrefix="0" xfId="0"/>
    <xf numFmtId="0" fontId="3426" fillId="3430" borderId="3367" pivotButton="0" quotePrefix="0" xfId="0"/>
    <xf numFmtId="0" fontId="3427" fillId="3431" borderId="3368" pivotButton="0" quotePrefix="0" xfId="0"/>
    <xf numFmtId="0" fontId="3428" fillId="3432" borderId="3369" pivotButton="0" quotePrefix="0" xfId="0"/>
    <xf numFmtId="0" fontId="3429" fillId="3433" borderId="3370" pivotButton="0" quotePrefix="0" xfId="0"/>
    <xf numFmtId="0" fontId="3430" fillId="3434" borderId="3371" pivotButton="0" quotePrefix="0" xfId="0"/>
    <xf numFmtId="14" fontId="3431" fillId="3435" borderId="3372" pivotButton="0" quotePrefix="0" xfId="0"/>
    <xf numFmtId="0" fontId="3432" fillId="3436" borderId="3373" pivotButton="0" quotePrefix="0" xfId="0"/>
    <xf numFmtId="0" fontId="3433" fillId="3437" borderId="3374" pivotButton="0" quotePrefix="0" xfId="0"/>
    <xf numFmtId="0" fontId="3434" fillId="3438" borderId="3375" pivotButton="0" quotePrefix="0" xfId="0"/>
    <xf numFmtId="0" fontId="3435" fillId="3439" borderId="3376" pivotButton="0" quotePrefix="0" xfId="0"/>
    <xf numFmtId="0" fontId="3436" fillId="3440" borderId="3377" pivotButton="0" quotePrefix="0" xfId="0"/>
    <xf numFmtId="0" fontId="3437" fillId="3441" borderId="3378" pivotButton="0" quotePrefix="0" xfId="0"/>
    <xf numFmtId="0" fontId="3438" fillId="3442" borderId="3379" pivotButton="0" quotePrefix="0" xfId="0"/>
    <xf numFmtId="14" fontId="3439" fillId="3443" borderId="3380" pivotButton="0" quotePrefix="0" xfId="0"/>
    <xf numFmtId="0" fontId="3440" fillId="3444" borderId="3381" pivotButton="0" quotePrefix="0" xfId="0"/>
    <xf numFmtId="0" fontId="3441" fillId="3445" borderId="3382" pivotButton="0" quotePrefix="0" xfId="0"/>
    <xf numFmtId="0" fontId="3442" fillId="3446" borderId="3383" pivotButton="0" quotePrefix="0" xfId="0"/>
    <xf numFmtId="0" fontId="3443" fillId="3447" borderId="3384" pivotButton="0" quotePrefix="0" xfId="0"/>
    <xf numFmtId="0" fontId="3444" fillId="3448" borderId="3385" pivotButton="0" quotePrefix="0" xfId="0"/>
    <xf numFmtId="0" fontId="3445" fillId="3449" borderId="3386" pivotButton="0" quotePrefix="0" xfId="0"/>
    <xf numFmtId="0" fontId="3446" fillId="3450" borderId="3387" pivotButton="0" quotePrefix="0" xfId="0"/>
    <xf numFmtId="14" fontId="3447" fillId="3451" borderId="3388" pivotButton="0" quotePrefix="0" xfId="0"/>
    <xf numFmtId="0" fontId="3448" fillId="3452" borderId="3389" pivotButton="0" quotePrefix="0" xfId="0"/>
    <xf numFmtId="0" fontId="3449" fillId="3453" borderId="3390" pivotButton="0" quotePrefix="0" xfId="0"/>
    <xf numFmtId="0" fontId="3450" fillId="3454" borderId="3391" pivotButton="0" quotePrefix="0" xfId="0"/>
    <xf numFmtId="0" fontId="3451" fillId="3455" borderId="3392" pivotButton="0" quotePrefix="0" xfId="0"/>
    <xf numFmtId="0" fontId="3452" fillId="3456" borderId="3393" pivotButton="0" quotePrefix="0" xfId="0"/>
    <xf numFmtId="0" fontId="3453" fillId="3457" borderId="3394" pivotButton="0" quotePrefix="0" xfId="0"/>
    <xf numFmtId="0" fontId="3454" fillId="3458" borderId="3395" pivotButton="0" quotePrefix="0" xfId="0"/>
    <xf numFmtId="14" fontId="3455" fillId="3459" borderId="3396" pivotButton="0" quotePrefix="0" xfId="0"/>
    <xf numFmtId="0" fontId="3456" fillId="3460" borderId="3397" pivotButton="0" quotePrefix="0" xfId="0"/>
    <xf numFmtId="0" fontId="3457" fillId="3461" borderId="3398" pivotButton="0" quotePrefix="0" xfId="0"/>
    <xf numFmtId="0" fontId="3458" fillId="3462" borderId="3399" pivotButton="0" quotePrefix="0" xfId="0"/>
    <xf numFmtId="0" fontId="3459" fillId="3463" borderId="3400" pivotButton="0" quotePrefix="0" xfId="0"/>
    <xf numFmtId="0" fontId="3460" fillId="3464" borderId="3401" pivotButton="0" quotePrefix="0" xfId="0"/>
    <xf numFmtId="0" fontId="3461" fillId="3465" borderId="3402" pivotButton="0" quotePrefix="0" xfId="0"/>
    <xf numFmtId="0" fontId="3462" fillId="3466" borderId="3403" pivotButton="0" quotePrefix="0" xfId="0"/>
    <xf numFmtId="14" fontId="3463" fillId="3467" borderId="3404" pivotButton="0" quotePrefix="0" xfId="0"/>
    <xf numFmtId="0" fontId="3464" fillId="3468" borderId="3405" pivotButton="0" quotePrefix="0" xfId="0"/>
    <xf numFmtId="0" fontId="3465" fillId="3469" borderId="3406" pivotButton="0" quotePrefix="0" xfId="0"/>
    <xf numFmtId="0" fontId="3466" fillId="3470" borderId="3407" pivotButton="0" quotePrefix="0" xfId="0"/>
    <xf numFmtId="0" fontId="3467" fillId="3471" borderId="3408" pivotButton="0" quotePrefix="0" xfId="0"/>
    <xf numFmtId="0" fontId="3468" fillId="3472" borderId="3409" pivotButton="0" quotePrefix="0" xfId="0"/>
    <xf numFmtId="0" fontId="3469" fillId="3473" borderId="3410" pivotButton="0" quotePrefix="0" xfId="0"/>
    <xf numFmtId="0" fontId="3470" fillId="3474" borderId="3411" pivotButton="0" quotePrefix="0" xfId="0"/>
    <xf numFmtId="14" fontId="3471" fillId="3475" borderId="3412" pivotButton="0" quotePrefix="0" xfId="0"/>
    <xf numFmtId="0" fontId="3472" fillId="3476" borderId="3413" pivotButton="0" quotePrefix="0" xfId="0"/>
    <xf numFmtId="0" fontId="3473" fillId="3477" borderId="3414" pivotButton="0" quotePrefix="0" xfId="0"/>
    <xf numFmtId="0" fontId="3474" fillId="3478" borderId="3415" pivotButton="0" quotePrefix="0" xfId="0"/>
    <xf numFmtId="0" fontId="3475" fillId="3479" borderId="3416" pivotButton="0" quotePrefix="0" xfId="0"/>
    <xf numFmtId="0" fontId="3476" fillId="3480" borderId="3417" pivotButton="0" quotePrefix="0" xfId="0"/>
    <xf numFmtId="0" fontId="3477" fillId="3481" borderId="3418" pivotButton="0" quotePrefix="0" xfId="0"/>
    <xf numFmtId="0" fontId="3478" fillId="3482" borderId="3419" pivotButton="0" quotePrefix="0" xfId="0"/>
    <xf numFmtId="14" fontId="3479" fillId="3483" borderId="3420" pivotButton="0" quotePrefix="0" xfId="0"/>
    <xf numFmtId="0" fontId="3480" fillId="3484" borderId="3421" pivotButton="0" quotePrefix="0" xfId="0"/>
    <xf numFmtId="0" fontId="3481" fillId="3485" borderId="3422" pivotButton="0" quotePrefix="0" xfId="0"/>
    <xf numFmtId="0" fontId="3482" fillId="3486" borderId="3423" pivotButton="0" quotePrefix="0" xfId="0"/>
    <xf numFmtId="0" fontId="3483" fillId="3487" borderId="3424" pivotButton="0" quotePrefix="0" xfId="0"/>
    <xf numFmtId="0" fontId="3484" fillId="3488" borderId="3425" pivotButton="0" quotePrefix="0" xfId="0"/>
    <xf numFmtId="0" fontId="3485" fillId="3489" borderId="3426" pivotButton="0" quotePrefix="0" xfId="0"/>
    <xf numFmtId="0" fontId="3486" fillId="3490" borderId="3427" pivotButton="0" quotePrefix="0" xfId="0"/>
    <xf numFmtId="14" fontId="3487" fillId="3491" borderId="3428" pivotButton="0" quotePrefix="0" xfId="0"/>
    <xf numFmtId="0" fontId="3488" fillId="3492" borderId="3429" pivotButton="0" quotePrefix="0" xfId="0"/>
    <xf numFmtId="0" fontId="3489" fillId="3493" borderId="3430" pivotButton="0" quotePrefix="0" xfId="0"/>
    <xf numFmtId="0" fontId="3490" fillId="3494" borderId="3431" pivotButton="0" quotePrefix="0" xfId="0"/>
    <xf numFmtId="0" fontId="3491" fillId="3495" borderId="3432" pivotButton="0" quotePrefix="0" xfId="0"/>
    <xf numFmtId="0" fontId="3492" fillId="3496" borderId="3433" pivotButton="0" quotePrefix="0" xfId="0"/>
    <xf numFmtId="0" fontId="3493" fillId="3497" borderId="3434" pivotButton="0" quotePrefix="0" xfId="0"/>
    <xf numFmtId="0" fontId="3494" fillId="3498" borderId="3435" pivotButton="0" quotePrefix="0" xfId="0"/>
    <xf numFmtId="14" fontId="3495" fillId="3499" borderId="3436" pivotButton="0" quotePrefix="0" xfId="0"/>
    <xf numFmtId="0" fontId="3496" fillId="3500" borderId="3437" pivotButton="0" quotePrefix="0" xfId="0"/>
    <xf numFmtId="0" fontId="3497" fillId="3501" borderId="3438" pivotButton="0" quotePrefix="0" xfId="0"/>
    <xf numFmtId="0" fontId="3498" fillId="3502" borderId="3439" pivotButton="0" quotePrefix="0" xfId="0"/>
    <xf numFmtId="0" fontId="3499" fillId="3503" borderId="3440" pivotButton="0" quotePrefix="0" xfId="0"/>
    <xf numFmtId="0" fontId="3500" fillId="3504" borderId="3441" pivotButton="0" quotePrefix="0" xfId="0"/>
    <xf numFmtId="0" fontId="3501" fillId="3505" borderId="3442" pivotButton="0" quotePrefix="0" xfId="0"/>
    <xf numFmtId="0" fontId="3502" fillId="3506" borderId="3443" pivotButton="0" quotePrefix="0" xfId="0"/>
    <xf numFmtId="14" fontId="3503" fillId="3507" borderId="3444" pivotButton="0" quotePrefix="0" xfId="0"/>
    <xf numFmtId="0" fontId="3504" fillId="3508" borderId="3445" pivotButton="0" quotePrefix="0" xfId="0"/>
    <xf numFmtId="0" fontId="3505" fillId="3509" borderId="3446" pivotButton="0" quotePrefix="0" xfId="0"/>
    <xf numFmtId="0" fontId="3506" fillId="3510" borderId="3447" pivotButton="0" quotePrefix="0" xfId="0"/>
    <xf numFmtId="0" fontId="3507" fillId="3511" borderId="3448" pivotButton="0" quotePrefix="0" xfId="0"/>
    <xf numFmtId="0" fontId="3508" fillId="3512" borderId="3449" pivotButton="0" quotePrefix="0" xfId="0"/>
    <xf numFmtId="0" fontId="3509" fillId="3513" borderId="3450" pivotButton="0" quotePrefix="0" xfId="0"/>
    <xf numFmtId="0" fontId="3510" fillId="3514" borderId="3451" pivotButton="0" quotePrefix="0" xfId="0"/>
    <xf numFmtId="14" fontId="3511" fillId="3515" borderId="3452" pivotButton="0" quotePrefix="0" xfId="0"/>
    <xf numFmtId="0" fontId="3512" fillId="3516" borderId="3453" pivotButton="0" quotePrefix="0" xfId="0"/>
    <xf numFmtId="0" fontId="3513" fillId="3517" borderId="3454" pivotButton="0" quotePrefix="0" xfId="0"/>
    <xf numFmtId="0" fontId="3514" fillId="3518" borderId="3455" pivotButton="0" quotePrefix="0" xfId="0"/>
    <xf numFmtId="0" fontId="3515" fillId="3519" borderId="3456" pivotButton="0" quotePrefix="0" xfId="0"/>
    <xf numFmtId="0" fontId="3516" fillId="3520" borderId="3457" pivotButton="0" quotePrefix="0" xfId="0"/>
    <xf numFmtId="0" fontId="3517" fillId="3521" borderId="3458" pivotButton="0" quotePrefix="0" xfId="0"/>
    <xf numFmtId="0" fontId="3518" fillId="3522" borderId="3459" pivotButton="0" quotePrefix="0" xfId="0"/>
    <xf numFmtId="14" fontId="3519" fillId="3523" borderId="3460" pivotButton="0" quotePrefix="0" xfId="0"/>
    <xf numFmtId="0" fontId="3520" fillId="3524" borderId="3461" pivotButton="0" quotePrefix="0" xfId="0"/>
    <xf numFmtId="0" fontId="3521" fillId="3525" borderId="3462" pivotButton="0" quotePrefix="0" xfId="0"/>
    <xf numFmtId="0" fontId="3522" fillId="3526" borderId="3463" pivotButton="0" quotePrefix="0" xfId="0"/>
    <xf numFmtId="0" fontId="3523" fillId="3527" borderId="3464" pivotButton="0" quotePrefix="0" xfId="0"/>
    <xf numFmtId="0" fontId="3524" fillId="3528" borderId="3465" pivotButton="0" quotePrefix="0" xfId="0"/>
    <xf numFmtId="0" fontId="3525" fillId="3529" borderId="3466" pivotButton="0" quotePrefix="0" xfId="0"/>
    <xf numFmtId="0" fontId="3526" fillId="3530" borderId="3467" pivotButton="0" quotePrefix="0" xfId="0"/>
    <xf numFmtId="14" fontId="3527" fillId="3531" borderId="3468" pivotButton="0" quotePrefix="0" xfId="0"/>
    <xf numFmtId="0" fontId="3528" fillId="3532" borderId="3469" pivotButton="0" quotePrefix="0" xfId="0"/>
    <xf numFmtId="0" fontId="3529" fillId="3533" borderId="3470" pivotButton="0" quotePrefix="0" xfId="0"/>
    <xf numFmtId="0" fontId="3530" fillId="3534" borderId="3471" pivotButton="0" quotePrefix="0" xfId="0"/>
    <xf numFmtId="0" fontId="3531" fillId="3535" borderId="3472" pivotButton="0" quotePrefix="0" xfId="0"/>
    <xf numFmtId="0" fontId="3532" fillId="3536" borderId="3473" pivotButton="0" quotePrefix="0" xfId="0"/>
    <xf numFmtId="0" fontId="3533" fillId="3537" borderId="3474" pivotButton="0" quotePrefix="0" xfId="0"/>
    <xf numFmtId="0" fontId="3534" fillId="3538" borderId="3475" pivotButton="0" quotePrefix="0" xfId="0"/>
    <xf numFmtId="14" fontId="3535" fillId="3539" borderId="3476" pivotButton="0" quotePrefix="0" xfId="0"/>
    <xf numFmtId="0" fontId="3536" fillId="3540" borderId="3477" pivotButton="0" quotePrefix="0" xfId="0"/>
    <xf numFmtId="0" fontId="3537" fillId="3541" borderId="3478" pivotButton="0" quotePrefix="0" xfId="0"/>
    <xf numFmtId="0" fontId="3538" fillId="3542" borderId="3479" pivotButton="0" quotePrefix="0" xfId="0"/>
    <xf numFmtId="0" fontId="3539" fillId="3543" borderId="3480" pivotButton="0" quotePrefix="0" xfId="0"/>
    <xf numFmtId="0" fontId="3540" fillId="3544" borderId="3481" pivotButton="0" quotePrefix="0" xfId="0"/>
    <xf numFmtId="0" fontId="3541" fillId="3545" borderId="3482" pivotButton="0" quotePrefix="0" xfId="0"/>
    <xf numFmtId="0" fontId="3542" fillId="3546" borderId="3483" pivotButton="0" quotePrefix="0" xfId="0"/>
    <xf numFmtId="14" fontId="3543" fillId="3547" borderId="3484" pivotButton="0" quotePrefix="0" xfId="0"/>
    <xf numFmtId="0" fontId="3544" fillId="3548" borderId="3485" pivotButton="0" quotePrefix="0" xfId="0"/>
    <xf numFmtId="0" fontId="3545" fillId="3549" borderId="3486" pivotButton="0" quotePrefix="0" xfId="0"/>
    <xf numFmtId="0" fontId="3546" fillId="3550" borderId="3487" pivotButton="0" quotePrefix="0" xfId="0"/>
    <xf numFmtId="0" fontId="3547" fillId="3551" borderId="3488" pivotButton="0" quotePrefix="0" xfId="0"/>
    <xf numFmtId="0" fontId="3548" fillId="3552" borderId="3489" pivotButton="0" quotePrefix="0" xfId="0"/>
    <xf numFmtId="0" fontId="3549" fillId="3553" borderId="3490" pivotButton="0" quotePrefix="0" xfId="0"/>
    <xf numFmtId="0" fontId="3550" fillId="3554" borderId="3491" pivotButton="0" quotePrefix="0" xfId="0"/>
    <xf numFmtId="14" fontId="3551" fillId="3555" borderId="3492" pivotButton="0" quotePrefix="0" xfId="0"/>
    <xf numFmtId="0" fontId="3552" fillId="3556" borderId="3493" pivotButton="0" quotePrefix="0" xfId="0"/>
    <xf numFmtId="0" fontId="3553" fillId="3557" borderId="3494" pivotButton="0" quotePrefix="0" xfId="0"/>
    <xf numFmtId="0" fontId="3554" fillId="3558" borderId="3495" pivotButton="0" quotePrefix="0" xfId="0"/>
    <xf numFmtId="0" fontId="3555" fillId="3559" borderId="3496" pivotButton="0" quotePrefix="0" xfId="0"/>
    <xf numFmtId="0" fontId="3556" fillId="3560" borderId="3497" pivotButton="0" quotePrefix="0" xfId="0"/>
    <xf numFmtId="0" fontId="3557" fillId="3561" borderId="3498" pivotButton="0" quotePrefix="0" xfId="0"/>
    <xf numFmtId="0" fontId="3558" fillId="3562" borderId="3499" pivotButton="0" quotePrefix="0" xfId="0"/>
    <xf numFmtId="14" fontId="3559" fillId="3563" borderId="3500" pivotButton="0" quotePrefix="0" xfId="0"/>
    <xf numFmtId="0" fontId="3560" fillId="3564" borderId="3501" pivotButton="0" quotePrefix="0" xfId="0"/>
    <xf numFmtId="0" fontId="3561" fillId="3565" borderId="3502" pivotButton="0" quotePrefix="0" xfId="0"/>
    <xf numFmtId="0" fontId="3562" fillId="3566" borderId="3503" pivotButton="0" quotePrefix="0" xfId="0"/>
    <xf numFmtId="0" fontId="3563" fillId="3567" borderId="3504" pivotButton="0" quotePrefix="0" xfId="0"/>
    <xf numFmtId="0" fontId="3564" fillId="3568" borderId="3505" pivotButton="0" quotePrefix="0" xfId="0"/>
    <xf numFmtId="0" fontId="3565" fillId="3569" borderId="3506" pivotButton="0" quotePrefix="0" xfId="0"/>
    <xf numFmtId="0" fontId="3566" fillId="3570" borderId="3507" pivotButton="0" quotePrefix="0" xfId="0"/>
    <xf numFmtId="14" fontId="3567" fillId="3571" borderId="3508" pivotButton="0" quotePrefix="0" xfId="0"/>
    <xf numFmtId="0" fontId="3568" fillId="3572" borderId="3509" pivotButton="0" quotePrefix="0" xfId="0"/>
    <xf numFmtId="0" fontId="3569" fillId="3573" borderId="3510" pivotButton="0" quotePrefix="0" xfId="0"/>
    <xf numFmtId="0" fontId="3570" fillId="3574" borderId="3511" pivotButton="0" quotePrefix="0" xfId="0"/>
    <xf numFmtId="0" fontId="3571" fillId="3575" borderId="3512" pivotButton="0" quotePrefix="0" xfId="0"/>
    <xf numFmtId="0" fontId="3572" fillId="3576" borderId="3513" pivotButton="0" quotePrefix="0" xfId="0"/>
    <xf numFmtId="0" fontId="3573" fillId="3577" borderId="3514" pivotButton="0" quotePrefix="0" xfId="0"/>
    <xf numFmtId="0" fontId="3574" fillId="3578" borderId="3515" pivotButton="0" quotePrefix="0" xfId="0"/>
    <xf numFmtId="14" fontId="3575" fillId="3579" borderId="3516" pivotButton="0" quotePrefix="0" xfId="0"/>
    <xf numFmtId="0" fontId="3576" fillId="3580" borderId="3517" pivotButton="0" quotePrefix="0" xfId="0"/>
    <xf numFmtId="0" fontId="3577" fillId="3581" borderId="3518" pivotButton="0" quotePrefix="0" xfId="0"/>
    <xf numFmtId="0" fontId="3578" fillId="3582" borderId="3519" pivotButton="0" quotePrefix="0" xfId="0"/>
    <xf numFmtId="0" fontId="3579" fillId="3583" borderId="3520" pivotButton="0" quotePrefix="0" xfId="0"/>
    <xf numFmtId="0" fontId="3580" fillId="3584" borderId="3521" pivotButton="0" quotePrefix="0" xfId="0"/>
    <xf numFmtId="0" fontId="3581" fillId="3585" borderId="3522" pivotButton="0" quotePrefix="0" xfId="0"/>
    <xf numFmtId="0" fontId="3582" fillId="3586" borderId="3523" pivotButton="0" quotePrefix="0" xfId="0"/>
    <xf numFmtId="14" fontId="3583" fillId="3587" borderId="3524" pivotButton="0" quotePrefix="0" xfId="0"/>
    <xf numFmtId="0" fontId="3584" fillId="3588" borderId="3525" pivotButton="0" quotePrefix="0" xfId="0"/>
    <xf numFmtId="0" fontId="3585" fillId="3589" borderId="3526" pivotButton="0" quotePrefix="0" xfId="0"/>
    <xf numFmtId="0" fontId="3586" fillId="3590" borderId="3527" pivotButton="0" quotePrefix="0" xfId="0"/>
    <xf numFmtId="0" fontId="3587" fillId="3591" borderId="3528" pivotButton="0" quotePrefix="0" xfId="0"/>
    <xf numFmtId="0" fontId="3588" fillId="3592" borderId="3529" pivotButton="0" quotePrefix="0" xfId="0"/>
    <xf numFmtId="0" fontId="3589" fillId="3593" borderId="3530" pivotButton="0" quotePrefix="0" xfId="0"/>
    <xf numFmtId="0" fontId="3590" fillId="3594" borderId="3531" pivotButton="0" quotePrefix="0" xfId="0"/>
    <xf numFmtId="14" fontId="3591" fillId="3595" borderId="3532" pivotButton="0" quotePrefix="0" xfId="0"/>
    <xf numFmtId="0" fontId="3592" fillId="3596" borderId="3533" pivotButton="0" quotePrefix="0" xfId="0"/>
    <xf numFmtId="0" fontId="3593" fillId="3597" borderId="3534" pivotButton="0" quotePrefix="0" xfId="0"/>
    <xf numFmtId="0" fontId="3594" fillId="3598" borderId="3535" pivotButton="0" quotePrefix="0" xfId="0"/>
    <xf numFmtId="0" fontId="3595" fillId="3599" borderId="3536" pivotButton="0" quotePrefix="0" xfId="0"/>
    <xf numFmtId="0" fontId="3596" fillId="3600" borderId="3537" pivotButton="0" quotePrefix="0" xfId="0"/>
    <xf numFmtId="0" fontId="3597" fillId="3601" borderId="3538" pivotButton="0" quotePrefix="0" xfId="0"/>
    <xf numFmtId="0" fontId="3598" fillId="3602" borderId="3539" pivotButton="0" quotePrefix="0" xfId="0"/>
    <xf numFmtId="14" fontId="3599" fillId="3603" borderId="3540" pivotButton="0" quotePrefix="0" xfId="0"/>
    <xf numFmtId="0" fontId="3600" fillId="3604" borderId="3541" pivotButton="0" quotePrefix="0" xfId="0"/>
    <xf numFmtId="0" fontId="3601" fillId="3605" borderId="3542" pivotButton="0" quotePrefix="0" xfId="0"/>
    <xf numFmtId="0" fontId="3602" fillId="3606" borderId="3543" pivotButton="0" quotePrefix="0" xfId="0"/>
    <xf numFmtId="0" fontId="3603" fillId="3607" borderId="3544" pivotButton="0" quotePrefix="0" xfId="0"/>
    <xf numFmtId="0" fontId="3604" fillId="3608" borderId="3545" pivotButton="0" quotePrefix="0" xfId="0"/>
    <xf numFmtId="0" fontId="3605" fillId="3609" borderId="3546" pivotButton="0" quotePrefix="0" xfId="0"/>
    <xf numFmtId="0" fontId="3606" fillId="3610" borderId="3547" pivotButton="0" quotePrefix="0" xfId="0"/>
    <xf numFmtId="14" fontId="3607" fillId="3611" borderId="3548" pivotButton="0" quotePrefix="0" xfId="0"/>
    <xf numFmtId="0" fontId="3608" fillId="3612" borderId="3549" pivotButton="0" quotePrefix="0" xfId="0"/>
    <xf numFmtId="0" fontId="3609" fillId="3613" borderId="3550" pivotButton="0" quotePrefix="0" xfId="0"/>
    <xf numFmtId="0" fontId="3610" fillId="3614" borderId="3551" pivotButton="0" quotePrefix="0" xfId="0"/>
    <xf numFmtId="0" fontId="3611" fillId="3615" borderId="3552" pivotButton="0" quotePrefix="0" xfId="0"/>
    <xf numFmtId="0" fontId="3612" fillId="3616" borderId="3553" pivotButton="0" quotePrefix="0" xfId="0"/>
    <xf numFmtId="0" fontId="3613" fillId="3617" borderId="3554" pivotButton="0" quotePrefix="0" xfId="0"/>
    <xf numFmtId="0" fontId="3614" fillId="3618" borderId="3555" pivotButton="0" quotePrefix="0" xfId="0"/>
    <xf numFmtId="14" fontId="3615" fillId="3619" borderId="3556" pivotButton="0" quotePrefix="0" xfId="0"/>
    <xf numFmtId="0" fontId="3616" fillId="3620" borderId="3557" pivotButton="0" quotePrefix="0" xfId="0"/>
    <xf numFmtId="0" fontId="3617" fillId="3621" borderId="3558" pivotButton="0" quotePrefix="0" xfId="0"/>
    <xf numFmtId="0" fontId="3618" fillId="3622" borderId="3559" pivotButton="0" quotePrefix="0" xfId="0"/>
    <xf numFmtId="0" fontId="3619" fillId="3623" borderId="3560" pivotButton="0" quotePrefix="0" xfId="0"/>
    <xf numFmtId="0" fontId="3620" fillId="3624" borderId="3561" pivotButton="0" quotePrefix="0" xfId="0"/>
    <xf numFmtId="0" fontId="3621" fillId="3625" borderId="3562" pivotButton="0" quotePrefix="0" xfId="0"/>
    <xf numFmtId="0" fontId="3622" fillId="3626" borderId="3563" pivotButton="0" quotePrefix="0" xfId="0"/>
    <xf numFmtId="14" fontId="3623" fillId="3627" borderId="3564" pivotButton="0" quotePrefix="0" xfId="0"/>
    <xf numFmtId="0" fontId="3624" fillId="3628" borderId="3565" pivotButton="0" quotePrefix="0" xfId="0"/>
    <xf numFmtId="0" fontId="3625" fillId="3629" borderId="3566" pivotButton="0" quotePrefix="0" xfId="0"/>
    <xf numFmtId="0" fontId="3626" fillId="3630" borderId="3567" pivotButton="0" quotePrefix="0" xfId="0"/>
    <xf numFmtId="0" fontId="3627" fillId="3631" borderId="3568" pivotButton="0" quotePrefix="0" xfId="0"/>
    <xf numFmtId="0" fontId="3628" fillId="3632" borderId="3569" pivotButton="0" quotePrefix="0" xfId="0"/>
    <xf numFmtId="0" fontId="3629" fillId="3633" borderId="3570" pivotButton="0" quotePrefix="0" xfId="0"/>
    <xf numFmtId="0" fontId="3630" fillId="3634" borderId="3571" pivotButton="0" quotePrefix="0" xfId="0"/>
    <xf numFmtId="14" fontId="3631" fillId="3635" borderId="3572" pivotButton="0" quotePrefix="0" xfId="0"/>
    <xf numFmtId="0" fontId="3632" fillId="3636" borderId="3573" pivotButton="0" quotePrefix="0" xfId="0"/>
    <xf numFmtId="0" fontId="3633" fillId="3637" borderId="3574" pivotButton="0" quotePrefix="0" xfId="0"/>
    <xf numFmtId="0" fontId="3634" fillId="3638" borderId="3575" pivotButton="0" quotePrefix="0" xfId="0"/>
    <xf numFmtId="0" fontId="3635" fillId="3639" borderId="3576" pivotButton="0" quotePrefix="0" xfId="0"/>
    <xf numFmtId="0" fontId="3636" fillId="3640" borderId="3577" pivotButton="0" quotePrefix="0" xfId="0"/>
    <xf numFmtId="0" fontId="3637" fillId="3641" borderId="3578" pivotButton="0" quotePrefix="0" xfId="0"/>
    <xf numFmtId="0" fontId="3638" fillId="3642" borderId="3579" pivotButton="0" quotePrefix="0" xfId="0"/>
    <xf numFmtId="14" fontId="3639" fillId="3643" borderId="3580" pivotButton="0" quotePrefix="0" xfId="0"/>
    <xf numFmtId="0" fontId="3640" fillId="3644" borderId="3581" pivotButton="0" quotePrefix="0" xfId="0"/>
    <xf numFmtId="0" fontId="3641" fillId="3645" borderId="3582" pivotButton="0" quotePrefix="0" xfId="0"/>
    <xf numFmtId="0" fontId="3642" fillId="3646" borderId="3583" pivotButton="0" quotePrefix="0" xfId="0"/>
    <xf numFmtId="0" fontId="3643" fillId="3647" borderId="3584" pivotButton="0" quotePrefix="0" xfId="0"/>
    <xf numFmtId="0" fontId="3644" fillId="3648" borderId="3585" pivotButton="0" quotePrefix="0" xfId="0"/>
    <xf numFmtId="0" fontId="3645" fillId="3649" borderId="3586" pivotButton="0" quotePrefix="0" xfId="0"/>
    <xf numFmtId="0" fontId="3646" fillId="3650" borderId="3587" pivotButton="0" quotePrefix="0" xfId="0"/>
    <xf numFmtId="14" fontId="3647" fillId="3651" borderId="3588" pivotButton="0" quotePrefix="0" xfId="0"/>
    <xf numFmtId="0" fontId="3648" fillId="3652" borderId="3589" pivotButton="0" quotePrefix="0" xfId="0"/>
    <xf numFmtId="0" fontId="3649" fillId="3653" borderId="3590" pivotButton="0" quotePrefix="0" xfId="0"/>
    <xf numFmtId="0" fontId="3650" fillId="3654" borderId="3591" pivotButton="0" quotePrefix="0" xfId="0"/>
    <xf numFmtId="0" fontId="3651" fillId="3655" borderId="3592" pivotButton="0" quotePrefix="0" xfId="0"/>
    <xf numFmtId="0" fontId="3652" fillId="3656" borderId="3593" pivotButton="0" quotePrefix="0" xfId="0"/>
    <xf numFmtId="0" fontId="3653" fillId="3657" borderId="3594" pivotButton="0" quotePrefix="0" xfId="0"/>
    <xf numFmtId="0" fontId="3654" fillId="3658" borderId="3595" pivotButton="0" quotePrefix="0" xfId="0"/>
    <xf numFmtId="14" fontId="3655" fillId="3659" borderId="3596" pivotButton="0" quotePrefix="0" xfId="0"/>
    <xf numFmtId="0" fontId="3656" fillId="3660" borderId="3597" pivotButton="0" quotePrefix="0" xfId="0"/>
    <xf numFmtId="0" fontId="3657" fillId="3661" borderId="3598" pivotButton="0" quotePrefix="0" xfId="0"/>
    <xf numFmtId="0" fontId="3658" fillId="3662" borderId="3599" pivotButton="0" quotePrefix="0" xfId="0"/>
    <xf numFmtId="0" fontId="3659" fillId="3663" borderId="3600" pivotButton="0" quotePrefix="0" xfId="0"/>
    <xf numFmtId="0" fontId="3660" fillId="3664" borderId="3601" pivotButton="0" quotePrefix="0" xfId="0"/>
    <xf numFmtId="0" fontId="3661" fillId="3665" borderId="3602" pivotButton="0" quotePrefix="0" xfId="0"/>
    <xf numFmtId="0" fontId="3662" fillId="3666" borderId="3603" pivotButton="0" quotePrefix="0" xfId="0"/>
    <xf numFmtId="14" fontId="3663" fillId="3667" borderId="3604" pivotButton="0" quotePrefix="0" xfId="0"/>
    <xf numFmtId="0" fontId="3664" fillId="3668" borderId="3605" pivotButton="0" quotePrefix="0" xfId="0"/>
    <xf numFmtId="0" fontId="3665" fillId="3669" borderId="3606" pivotButton="0" quotePrefix="0" xfId="0"/>
    <xf numFmtId="0" fontId="3666" fillId="3670" borderId="3607" pivotButton="0" quotePrefix="0" xfId="0"/>
    <xf numFmtId="0" fontId="3667" fillId="3671" borderId="3608" pivotButton="0" quotePrefix="0" xfId="0"/>
    <xf numFmtId="0" fontId="3668" fillId="3672" borderId="3609" pivotButton="0" quotePrefix="0" xfId="0"/>
    <xf numFmtId="0" fontId="3669" fillId="3673" borderId="3610" pivotButton="0" quotePrefix="0" xfId="0"/>
    <xf numFmtId="0" fontId="3670" fillId="3674" borderId="3611" pivotButton="0" quotePrefix="0" xfId="0"/>
    <xf numFmtId="14" fontId="3671" fillId="3675" borderId="3612" pivotButton="0" quotePrefix="0" xfId="0"/>
    <xf numFmtId="0" fontId="3672" fillId="3676" borderId="3613" pivotButton="0" quotePrefix="0" xfId="0"/>
    <xf numFmtId="0" fontId="3673" fillId="3677" borderId="3614" pivotButton="0" quotePrefix="0" xfId="0"/>
    <xf numFmtId="0" fontId="3674" fillId="3678" borderId="3615" pivotButton="0" quotePrefix="0" xfId="0"/>
    <xf numFmtId="0" fontId="3675" fillId="3679" borderId="3616" pivotButton="0" quotePrefix="0" xfId="0"/>
    <xf numFmtId="0" fontId="3676" fillId="3680" borderId="3617" pivotButton="0" quotePrefix="0" xfId="0"/>
    <xf numFmtId="0" fontId="3677" fillId="3681" borderId="3618" pivotButton="0" quotePrefix="0" xfId="0"/>
    <xf numFmtId="0" fontId="3678" fillId="3682" borderId="3619" pivotButton="0" quotePrefix="0" xfId="0"/>
    <xf numFmtId="14" fontId="3679" fillId="3683" borderId="3620" pivotButton="0" quotePrefix="0" xfId="0"/>
    <xf numFmtId="0" fontId="3680" fillId="3684" borderId="3621" pivotButton="0" quotePrefix="0" xfId="0"/>
    <xf numFmtId="0" fontId="3681" fillId="3685" borderId="3622" pivotButton="0" quotePrefix="0" xfId="0"/>
    <xf numFmtId="0" fontId="3682" fillId="3686" borderId="3623" pivotButton="0" quotePrefix="0" xfId="0"/>
    <xf numFmtId="0" fontId="3683" fillId="3687" borderId="3624" pivotButton="0" quotePrefix="0" xfId="0"/>
    <xf numFmtId="0" fontId="3684" fillId="3688" borderId="3625" pivotButton="0" quotePrefix="0" xfId="0"/>
    <xf numFmtId="0" fontId="3685" fillId="3689" borderId="3626" pivotButton="0" quotePrefix="0" xfId="0"/>
    <xf numFmtId="0" fontId="3686" fillId="3690" borderId="3627" pivotButton="0" quotePrefix="0" xfId="0"/>
    <xf numFmtId="14" fontId="3687" fillId="3691" borderId="3628" pivotButton="0" quotePrefix="0" xfId="0"/>
    <xf numFmtId="0" fontId="3688" fillId="3692" borderId="3629" pivotButton="0" quotePrefix="0" xfId="0"/>
    <xf numFmtId="0" fontId="3689" fillId="3693" borderId="3630" pivotButton="0" quotePrefix="0" xfId="0"/>
    <xf numFmtId="0" fontId="3690" fillId="3694" borderId="3631" pivotButton="0" quotePrefix="0" xfId="0"/>
    <xf numFmtId="0" fontId="3691" fillId="3695" borderId="3632" pivotButton="0" quotePrefix="0" xfId="0"/>
    <xf numFmtId="0" fontId="3692" fillId="3696" borderId="3633" pivotButton="0" quotePrefix="0" xfId="0"/>
    <xf numFmtId="0" fontId="3693" fillId="3697" borderId="3634" pivotButton="0" quotePrefix="0" xfId="0"/>
    <xf numFmtId="0" fontId="3694" fillId="3698" borderId="3635" pivotButton="0" quotePrefix="0" xfId="0"/>
    <xf numFmtId="14" fontId="3695" fillId="3699" borderId="3636" pivotButton="0" quotePrefix="0" xfId="0"/>
    <xf numFmtId="0" fontId="3696" fillId="3700" borderId="3637" pivotButton="0" quotePrefix="0" xfId="0"/>
    <xf numFmtId="0" fontId="3697" fillId="3701" borderId="3638" pivotButton="0" quotePrefix="0" xfId="0"/>
    <xf numFmtId="0" fontId="3698" fillId="3702" borderId="3639" pivotButton="0" quotePrefix="0" xfId="0"/>
    <xf numFmtId="0" fontId="3699" fillId="3703" borderId="3640" pivotButton="0" quotePrefix="0" xfId="0"/>
    <xf numFmtId="0" fontId="3700" fillId="3704" borderId="3641" pivotButton="0" quotePrefix="0" xfId="0"/>
    <xf numFmtId="0" fontId="3701" fillId="3705" borderId="3642" pivotButton="0" quotePrefix="0" xfId="0"/>
    <xf numFmtId="0" fontId="3702" fillId="3706" borderId="3643" pivotButton="0" quotePrefix="0" xfId="0"/>
    <xf numFmtId="14" fontId="3703" fillId="3707" borderId="3644" pivotButton="0" quotePrefix="0" xfId="0"/>
    <xf numFmtId="0" fontId="3704" fillId="3708" borderId="3645" pivotButton="0" quotePrefix="0" xfId="0"/>
    <xf numFmtId="0" fontId="3705" fillId="3709" borderId="3646" pivotButton="0" quotePrefix="0" xfId="0"/>
    <xf numFmtId="0" fontId="3706" fillId="3710" borderId="3647" pivotButton="0" quotePrefix="0" xfId="0"/>
    <xf numFmtId="0" fontId="3707" fillId="3711" borderId="3648" pivotButton="0" quotePrefix="0" xfId="0"/>
    <xf numFmtId="0" fontId="3708" fillId="3712" borderId="3649" pivotButton="0" quotePrefix="0" xfId="0"/>
    <xf numFmtId="0" fontId="3709" fillId="3713" borderId="3650" pivotButton="0" quotePrefix="0" xfId="0"/>
    <xf numFmtId="0" fontId="3710" fillId="3714" borderId="3651" pivotButton="0" quotePrefix="0" xfId="0"/>
    <xf numFmtId="14" fontId="3711" fillId="3715" borderId="3652" pivotButton="0" quotePrefix="0" xfId="0"/>
    <xf numFmtId="0" fontId="3712" fillId="3716" borderId="3653" pivotButton="0" quotePrefix="0" xfId="0"/>
    <xf numFmtId="0" fontId="3713" fillId="3717" borderId="3654" pivotButton="0" quotePrefix="0" xfId="0"/>
    <xf numFmtId="0" fontId="3714" fillId="3718" borderId="3655" pivotButton="0" quotePrefix="0" xfId="0"/>
    <xf numFmtId="0" fontId="3715" fillId="3719" borderId="3656" pivotButton="0" quotePrefix="0" xfId="0"/>
    <xf numFmtId="0" fontId="3716" fillId="3720" borderId="3657" pivotButton="0" quotePrefix="0" xfId="0"/>
    <xf numFmtId="0" fontId="3717" fillId="3721" borderId="3658" pivotButton="0" quotePrefix="0" xfId="0"/>
    <xf numFmtId="0" fontId="3718" fillId="3722" borderId="3659" pivotButton="0" quotePrefix="0" xfId="0"/>
    <xf numFmtId="14" fontId="3719" fillId="3723" borderId="3660" pivotButton="0" quotePrefix="0" xfId="0"/>
    <xf numFmtId="0" fontId="3720" fillId="3724" borderId="3661" pivotButton="0" quotePrefix="0" xfId="0"/>
    <xf numFmtId="0" fontId="3721" fillId="3725" borderId="3662" pivotButton="0" quotePrefix="0" xfId="0"/>
    <xf numFmtId="0" fontId="3722" fillId="3726" borderId="3663" pivotButton="0" quotePrefix="0" xfId="0"/>
    <xf numFmtId="0" fontId="3723" fillId="3727" borderId="3664" pivotButton="0" quotePrefix="0" xfId="0"/>
    <xf numFmtId="0" fontId="3724" fillId="3728" borderId="3665" pivotButton="0" quotePrefix="0" xfId="0"/>
    <xf numFmtId="0" fontId="3725" fillId="3729" borderId="3666" pivotButton="0" quotePrefix="0" xfId="0"/>
    <xf numFmtId="0" fontId="3726" fillId="3730" borderId="3667" pivotButton="0" quotePrefix="0" xfId="0"/>
    <xf numFmtId="14" fontId="3727" fillId="3731" borderId="3668" pivotButton="0" quotePrefix="0" xfId="0"/>
    <xf numFmtId="0" fontId="3728" fillId="3732" borderId="3669" pivotButton="0" quotePrefix="0" xfId="0"/>
    <xf numFmtId="0" fontId="3729" fillId="3733" borderId="3670" pivotButton="0" quotePrefix="0" xfId="0"/>
    <xf numFmtId="0" fontId="3730" fillId="3734" borderId="3671" pivotButton="0" quotePrefix="0" xfId="0"/>
    <xf numFmtId="0" fontId="3731" fillId="3735" borderId="3672" pivotButton="0" quotePrefix="0" xfId="0"/>
    <xf numFmtId="0" fontId="3732" fillId="3736" borderId="3673" pivotButton="0" quotePrefix="0" xfId="0"/>
    <xf numFmtId="0" fontId="3733" fillId="3737" borderId="3674" pivotButton="0" quotePrefix="0" xfId="0"/>
    <xf numFmtId="0" fontId="3734" fillId="3738" borderId="3675" pivotButton="0" quotePrefix="0" xfId="0"/>
    <xf numFmtId="14" fontId="3735" fillId="3739" borderId="3676" pivotButton="0" quotePrefix="0" xfId="0"/>
    <xf numFmtId="0" fontId="3736" fillId="3740" borderId="3677" pivotButton="0" quotePrefix="0" xfId="0"/>
    <xf numFmtId="0" fontId="3737" fillId="3741" borderId="3678" pivotButton="0" quotePrefix="0" xfId="0"/>
    <xf numFmtId="0" fontId="3738" fillId="3742" borderId="3679" pivotButton="0" quotePrefix="0" xfId="0"/>
    <xf numFmtId="0" fontId="3739" fillId="3743" borderId="3680" pivotButton="0" quotePrefix="0" xfId="0"/>
    <xf numFmtId="0" fontId="3740" fillId="3744" borderId="3681" pivotButton="0" quotePrefix="0" xfId="0"/>
    <xf numFmtId="0" fontId="3741" fillId="3745" borderId="3682" pivotButton="0" quotePrefix="0" xfId="0"/>
    <xf numFmtId="0" fontId="3742" fillId="3746" borderId="3683" pivotButton="0" quotePrefix="0" xfId="0"/>
    <xf numFmtId="14" fontId="3743" fillId="3747" borderId="3684" pivotButton="0" quotePrefix="0" xfId="0"/>
    <xf numFmtId="0" fontId="3744" fillId="3748" borderId="3685" pivotButton="0" quotePrefix="0" xfId="0"/>
    <xf numFmtId="0" fontId="3745" fillId="3749" borderId="3686" pivotButton="0" quotePrefix="0" xfId="0"/>
    <xf numFmtId="0" fontId="3746" fillId="3750" borderId="3687" pivotButton="0" quotePrefix="0" xfId="0"/>
    <xf numFmtId="0" fontId="3747" fillId="3751" borderId="3688" pivotButton="0" quotePrefix="0" xfId="0"/>
    <xf numFmtId="0" fontId="3748" fillId="3752" borderId="3689" pivotButton="0" quotePrefix="0" xfId="0"/>
    <xf numFmtId="0" fontId="3749" fillId="3753" borderId="3690" pivotButton="0" quotePrefix="0" xfId="0"/>
    <xf numFmtId="0" fontId="3750" fillId="3754" borderId="3691" pivotButton="0" quotePrefix="0" xfId="0"/>
    <xf numFmtId="14" fontId="3751" fillId="3755" borderId="3692" pivotButton="0" quotePrefix="0" xfId="0"/>
    <xf numFmtId="0" fontId="3752" fillId="3756" borderId="3693" pivotButton="0" quotePrefix="0" xfId="0"/>
    <xf numFmtId="0" fontId="3753" fillId="3757" borderId="3694" pivotButton="0" quotePrefix="0" xfId="0"/>
    <xf numFmtId="0" fontId="3754" fillId="3758" borderId="3695" pivotButton="0" quotePrefix="0" xfId="0"/>
    <xf numFmtId="0" fontId="3755" fillId="3759" borderId="3696" pivotButton="0" quotePrefix="0" xfId="0"/>
    <xf numFmtId="0" fontId="3756" fillId="3760" borderId="3697" pivotButton="0" quotePrefix="0" xfId="0"/>
    <xf numFmtId="0" fontId="3757" fillId="3761" borderId="3698" pivotButton="0" quotePrefix="0" xfId="0"/>
    <xf numFmtId="0" fontId="3758" fillId="3762" borderId="3699" pivotButton="0" quotePrefix="0" xfId="0"/>
    <xf numFmtId="14" fontId="3759" fillId="3763" borderId="3700" pivotButton="0" quotePrefix="0" xfId="0"/>
    <xf numFmtId="0" fontId="3760" fillId="3764" borderId="3701" pivotButton="0" quotePrefix="0" xfId="0"/>
    <xf numFmtId="0" fontId="3761" fillId="3765" borderId="3702" pivotButton="0" quotePrefix="0" xfId="0"/>
    <xf numFmtId="0" fontId="3762" fillId="3766" borderId="3703" pivotButton="0" quotePrefix="0" xfId="0"/>
    <xf numFmtId="0" fontId="3763" fillId="3767" borderId="3704" pivotButton="0" quotePrefix="0" xfId="0"/>
    <xf numFmtId="0" fontId="3764" fillId="3768" borderId="3705" pivotButton="0" quotePrefix="0" xfId="0"/>
    <xf numFmtId="0" fontId="3765" fillId="3769" borderId="3706" pivotButton="0" quotePrefix="0" xfId="0"/>
    <xf numFmtId="0" fontId="3766" fillId="3770" borderId="3707" pivotButton="0" quotePrefix="0" xfId="0"/>
    <xf numFmtId="14" fontId="3767" fillId="3771" borderId="3708" pivotButton="0" quotePrefix="0" xfId="0"/>
    <xf numFmtId="0" fontId="3768" fillId="3772" borderId="3709" pivotButton="0" quotePrefix="0" xfId="0"/>
    <xf numFmtId="0" fontId="3769" fillId="3773" borderId="3710" pivotButton="0" quotePrefix="0" xfId="0"/>
    <xf numFmtId="0" fontId="3770" fillId="3774" borderId="3711" pivotButton="0" quotePrefix="0" xfId="0"/>
    <xf numFmtId="0" fontId="3771" fillId="3775" borderId="3712" pivotButton="0" quotePrefix="0" xfId="0"/>
    <xf numFmtId="0" fontId="3772" fillId="3776" borderId="3713" pivotButton="0" quotePrefix="0" xfId="0"/>
    <xf numFmtId="0" fontId="3773" fillId="3777" borderId="3714" pivotButton="0" quotePrefix="0" xfId="0"/>
    <xf numFmtId="0" fontId="3774" fillId="3778" borderId="3715" pivotButton="0" quotePrefix="0" xfId="0"/>
    <xf numFmtId="14" fontId="3775" fillId="3779" borderId="3716" pivotButton="0" quotePrefix="0" xfId="0"/>
    <xf numFmtId="0" fontId="3776" fillId="3780" borderId="3717" pivotButton="0" quotePrefix="0" xfId="0"/>
    <xf numFmtId="0" fontId="3777" fillId="3781" borderId="3718" pivotButton="0" quotePrefix="0" xfId="0"/>
    <xf numFmtId="0" fontId="3778" fillId="3782" borderId="3719" pivotButton="0" quotePrefix="0" xfId="0"/>
    <xf numFmtId="0" fontId="3779" fillId="3783" borderId="3720" pivotButton="0" quotePrefix="0" xfId="0"/>
    <xf numFmtId="0" fontId="3780" fillId="3784" borderId="3721" pivotButton="0" quotePrefix="0" xfId="0"/>
    <xf numFmtId="0" fontId="3781" fillId="3785" borderId="3722" pivotButton="0" quotePrefix="0" xfId="0"/>
    <xf numFmtId="0" fontId="3782" fillId="3786" borderId="3723" pivotButton="0" quotePrefix="0" xfId="0"/>
    <xf numFmtId="14" fontId="3783" fillId="3787" borderId="3724" pivotButton="0" quotePrefix="0" xfId="0"/>
    <xf numFmtId="0" fontId="3784" fillId="3788" borderId="3725" pivotButton="0" quotePrefix="0" xfId="0"/>
    <xf numFmtId="0" fontId="3785" fillId="3789" borderId="3726" pivotButton="0" quotePrefix="0" xfId="0"/>
    <xf numFmtId="0" fontId="3786" fillId="3790" borderId="3727" pivotButton="0" quotePrefix="0" xfId="0"/>
    <xf numFmtId="0" fontId="3787" fillId="3791" borderId="3728" pivotButton="0" quotePrefix="0" xfId="0"/>
    <xf numFmtId="0" fontId="3788" fillId="3792" borderId="3729" pivotButton="0" quotePrefix="0" xfId="0"/>
    <xf numFmtId="0" fontId="3789" fillId="3793" borderId="3730" pivotButton="0" quotePrefix="0" xfId="0"/>
    <xf numFmtId="0" fontId="3790" fillId="3794" borderId="3731" pivotButton="0" quotePrefix="0" xfId="0"/>
    <xf numFmtId="14" fontId="3791" fillId="3795" borderId="3732" pivotButton="0" quotePrefix="0" xfId="0"/>
    <xf numFmtId="0" fontId="3792" fillId="3796" borderId="3733" pivotButton="0" quotePrefix="0" xfId="0"/>
    <xf numFmtId="0" fontId="3793" fillId="3797" borderId="3734" pivotButton="0" quotePrefix="0" xfId="0"/>
    <xf numFmtId="0" fontId="3794" fillId="3798" borderId="3735" pivotButton="0" quotePrefix="0" xfId="0"/>
    <xf numFmtId="0" fontId="3795" fillId="3799" borderId="3736" pivotButton="0" quotePrefix="0" xfId="0"/>
    <xf numFmtId="0" fontId="3796" fillId="3800" borderId="3737" pivotButton="0" quotePrefix="0" xfId="0"/>
    <xf numFmtId="0" fontId="3797" fillId="3801" borderId="3738" pivotButton="0" quotePrefix="0" xfId="0"/>
    <xf numFmtId="0" fontId="3798" fillId="3802" borderId="3739" pivotButton="0" quotePrefix="0" xfId="0"/>
    <xf numFmtId="14" fontId="3799" fillId="3803" borderId="3740" pivotButton="0" quotePrefix="0" xfId="0"/>
    <xf numFmtId="0" fontId="3800" fillId="3804" borderId="3741" pivotButton="0" quotePrefix="0" xfId="0"/>
    <xf numFmtId="0" fontId="3801" fillId="3805" borderId="3742" pivotButton="0" quotePrefix="0" xfId="0"/>
    <xf numFmtId="0" fontId="3802" fillId="3806" borderId="3743" pivotButton="0" quotePrefix="0" xfId="0"/>
    <xf numFmtId="0" fontId="3803" fillId="3807" borderId="3744" pivotButton="0" quotePrefix="0" xfId="0"/>
    <xf numFmtId="0" fontId="3804" fillId="3808" borderId="3745" pivotButton="0" quotePrefix="0" xfId="0"/>
    <xf numFmtId="0" fontId="3805" fillId="3809" borderId="3746" pivotButton="0" quotePrefix="0" xfId="0"/>
    <xf numFmtId="0" fontId="3806" fillId="3810" borderId="3747" pivotButton="0" quotePrefix="0" xfId="0"/>
    <xf numFmtId="14" fontId="3807" fillId="3811" borderId="3748" pivotButton="0" quotePrefix="0" xfId="0"/>
    <xf numFmtId="0" fontId="3808" fillId="3812" borderId="3749" pivotButton="0" quotePrefix="0" xfId="0"/>
    <xf numFmtId="0" fontId="3809" fillId="3813" borderId="3750" pivotButton="0" quotePrefix="0" xfId="0"/>
    <xf numFmtId="0" fontId="3810" fillId="3814" borderId="3751" pivotButton="0" quotePrefix="0" xfId="0"/>
    <xf numFmtId="0" fontId="3811" fillId="3815" borderId="3752" pivotButton="0" quotePrefix="0" xfId="0"/>
    <xf numFmtId="0" fontId="3812" fillId="3816" borderId="3753" pivotButton="0" quotePrefix="0" xfId="0"/>
    <xf numFmtId="0" fontId="3813" fillId="3817" borderId="3754" pivotButton="0" quotePrefix="0" xfId="0"/>
    <xf numFmtId="0" fontId="3814" fillId="3818" borderId="3755" pivotButton="0" quotePrefix="0" xfId="0"/>
    <xf numFmtId="14" fontId="0" fillId="2793" borderId="2730" pivotButton="0" quotePrefix="0" xfId="0"/>
    <xf numFmtId="14" fontId="0" fillId="3820" borderId="0" pivotButton="0" quotePrefix="0" xfId="0"/>
    <xf numFmtId="0" fontId="0" fillId="3820" borderId="0" pivotButton="0" quotePrefix="0" xfId="0"/>
    <xf numFmtId="4" fontId="0" fillId="3820" borderId="0" pivotButton="0" quotePrefix="0" xfId="0"/>
    <xf numFmtId="2" fontId="0" fillId="3820" borderId="0" pivotButton="0" quotePrefix="0" xfId="0"/>
    <xf numFmtId="164" fontId="0" fillId="3820" borderId="0" pivotButton="0" quotePrefix="0" xfId="0"/>
    <xf numFmtId="0" fontId="3816" fillId="3821" borderId="3756" applyAlignment="1" pivotButton="0" quotePrefix="0" xfId="0">
      <alignment horizontal="center" wrapText="1"/>
    </xf>
    <xf numFmtId="0" fontId="3817" fillId="3822" borderId="3757" pivotButton="0" quotePrefix="0" xfId="0"/>
    <xf numFmtId="0" fontId="3818" fillId="3823" borderId="3758" pivotButton="0" quotePrefix="0" xfId="0"/>
    <xf numFmtId="0" fontId="3819" fillId="3824" borderId="3759" pivotButton="0" quotePrefix="0" xfId="0"/>
    <xf numFmtId="0" fontId="3820" fillId="3825" borderId="3760" pivotButton="0" quotePrefix="0" xfId="0"/>
    <xf numFmtId="0" fontId="3821" fillId="3826" borderId="3761" pivotButton="0" quotePrefix="0" xfId="0"/>
    <xf numFmtId="0" fontId="3822" fillId="3827" borderId="3762" pivotButton="0" quotePrefix="0" xfId="0"/>
    <xf numFmtId="0" fontId="3823" fillId="3828" borderId="3763" pivotButton="0" quotePrefix="0" xfId="0"/>
    <xf numFmtId="0" fontId="3824" fillId="3829" borderId="3764" pivotButton="0" quotePrefix="0" xfId="0"/>
    <xf numFmtId="0" fontId="3825" fillId="3830" borderId="3765" pivotButton="0" quotePrefix="0" xfId="0"/>
    <xf numFmtId="0" fontId="3826" fillId="3831" borderId="3766" pivotButton="0" quotePrefix="0" xfId="0"/>
    <xf numFmtId="0" fontId="3827" fillId="3832" borderId="3767" pivotButton="0" quotePrefix="0" xfId="0"/>
    <xf numFmtId="0" fontId="3828" fillId="3833" borderId="3768" pivotButton="0" quotePrefix="0" xfId="0"/>
    <xf numFmtId="0" fontId="3829" fillId="3834" borderId="3769" pivotButton="0" quotePrefix="0" xfId="0"/>
    <xf numFmtId="0" fontId="3830" fillId="3835" borderId="3770" pivotButton="0" quotePrefix="0" xfId="0"/>
    <xf numFmtId="0" fontId="3831" fillId="3836" borderId="3771" pivotButton="0" quotePrefix="0" xfId="0"/>
    <xf numFmtId="0" fontId="3832" fillId="3837" borderId="3772" pivotButton="0" quotePrefix="0" xfId="0"/>
    <xf numFmtId="0" fontId="3833" fillId="3838" borderId="3773" pivotButton="0" quotePrefix="0" xfId="0"/>
    <xf numFmtId="0" fontId="3834" fillId="3839" borderId="3774" pivotButton="0" quotePrefix="0" xfId="0"/>
    <xf numFmtId="0" fontId="3835" fillId="3840" borderId="3775" pivotButton="0" quotePrefix="0" xfId="0"/>
    <xf numFmtId="0" fontId="3836" fillId="3841" borderId="3776" pivotButton="0" quotePrefix="0" xfId="0"/>
    <xf numFmtId="0" fontId="3837" fillId="3842" borderId="3777" pivotButton="0" quotePrefix="0" xfId="0"/>
    <xf numFmtId="0" fontId="3838" fillId="3843" borderId="3778" pivotButton="0" quotePrefix="0" xfId="0"/>
    <xf numFmtId="0" fontId="3839" fillId="3844" borderId="3779" pivotButton="0" quotePrefix="0" xfId="0"/>
    <xf numFmtId="0" fontId="3840" fillId="3845" borderId="3780" pivotButton="0" quotePrefix="0" xfId="0"/>
    <xf numFmtId="0" fontId="3841" fillId="3846" borderId="3781" pivotButton="0" quotePrefix="0" xfId="0"/>
    <xf numFmtId="0" fontId="3842" fillId="3847" borderId="3782" pivotButton="0" quotePrefix="0" xfId="0"/>
    <xf numFmtId="0" fontId="3843" fillId="3848" borderId="3783" pivotButton="0" quotePrefix="0" xfId="0"/>
    <xf numFmtId="0" fontId="3844" fillId="3849" borderId="3784" pivotButton="0" quotePrefix="0" xfId="0"/>
    <xf numFmtId="0" fontId="3845" fillId="3850" borderId="3785" pivotButton="0" quotePrefix="0" xfId="0"/>
    <xf numFmtId="0" fontId="3846" fillId="3851" borderId="3786" pivotButton="0" quotePrefix="0" xfId="0"/>
    <xf numFmtId="0" fontId="3847" fillId="3852" borderId="3787" pivotButton="0" quotePrefix="0" xfId="0"/>
    <xf numFmtId="0" fontId="3848" fillId="3853" borderId="3788" pivotButton="0" quotePrefix="0" xfId="0"/>
    <xf numFmtId="0" fontId="3849" fillId="3854" borderId="3789" pivotButton="0" quotePrefix="0" xfId="0"/>
    <xf numFmtId="0" fontId="3850" fillId="3855" borderId="3790" pivotButton="0" quotePrefix="0" xfId="0"/>
    <xf numFmtId="0" fontId="3851" fillId="3856" borderId="3791" pivotButton="0" quotePrefix="0" xfId="0"/>
    <xf numFmtId="0" fontId="3852" fillId="3857" borderId="3792" pivotButton="0" quotePrefix="0" xfId="0"/>
    <xf numFmtId="0" fontId="3853" fillId="3858" borderId="3793" pivotButton="0" quotePrefix="0" xfId="0"/>
    <xf numFmtId="0" fontId="3854" fillId="3859" borderId="3794" pivotButton="0" quotePrefix="0" xfId="0"/>
    <xf numFmtId="0" fontId="3855" fillId="3860" borderId="3795" pivotButton="0" quotePrefix="0" xfId="0"/>
    <xf numFmtId="0" fontId="3856" fillId="3861" borderId="3796" pivotButton="0" quotePrefix="0" xfId="0"/>
    <xf numFmtId="0" fontId="3857" fillId="3862" borderId="3797" pivotButton="0" quotePrefix="0" xfId="0"/>
    <xf numFmtId="0" fontId="3858" fillId="3863" borderId="3798" pivotButton="0" quotePrefix="0" xfId="0"/>
    <xf numFmtId="0" fontId="3859" fillId="3864" borderId="3799" pivotButton="0" quotePrefix="0" xfId="0"/>
    <xf numFmtId="0" fontId="3860" fillId="3865" borderId="3800" pivotButton="0" quotePrefix="0" xfId="0"/>
    <xf numFmtId="0" fontId="3861" fillId="3866" borderId="3801" pivotButton="0" quotePrefix="0" xfId="0"/>
    <xf numFmtId="0" fontId="3862" fillId="3867" borderId="3802" pivotButton="0" quotePrefix="0" xfId="0"/>
    <xf numFmtId="0" fontId="3863" fillId="3868" borderId="3803" pivotButton="0" quotePrefix="0" xfId="0"/>
    <xf numFmtId="0" fontId="3864" fillId="3869" borderId="3804" pivotButton="0" quotePrefix="0" xfId="0"/>
    <xf numFmtId="0" fontId="3865" fillId="3870" borderId="3805" pivotButton="0" quotePrefix="0" xfId="0"/>
    <xf numFmtId="0" fontId="3866" fillId="3871" borderId="3806" pivotButton="0" quotePrefix="0" xfId="0"/>
    <xf numFmtId="0" fontId="3867" fillId="3872" borderId="3807" pivotButton="0" quotePrefix="0" xfId="0"/>
    <xf numFmtId="0" fontId="3868" fillId="3873" borderId="3808" pivotButton="0" quotePrefix="0" xfId="0"/>
    <xf numFmtId="0" fontId="3869" fillId="3874" borderId="3809" pivotButton="0" quotePrefix="0" xfId="0"/>
    <xf numFmtId="0" fontId="3870" fillId="3875" borderId="3810" pivotButton="0" quotePrefix="0" xfId="0"/>
    <xf numFmtId="0" fontId="3871" fillId="3876" borderId="3811" pivotButton="0" quotePrefix="0" xfId="0"/>
    <xf numFmtId="0" fontId="3872" fillId="3877" borderId="3812" pivotButton="0" quotePrefix="0" xfId="0"/>
    <xf numFmtId="0" fontId="3873" fillId="3878" borderId="3813" pivotButton="0" quotePrefix="0" xfId="0"/>
    <xf numFmtId="0" fontId="3874" fillId="3879" borderId="3814" pivotButton="0" quotePrefix="0" xfId="0"/>
    <xf numFmtId="0" fontId="3875" fillId="3880" borderId="3815" pivotButton="0" quotePrefix="0" xfId="0"/>
    <xf numFmtId="0" fontId="3876" fillId="3881" borderId="3816" pivotButton="0" quotePrefix="0" xfId="0"/>
    <xf numFmtId="0" fontId="3877" fillId="3882" borderId="3817" pivotButton="0" quotePrefix="0" xfId="0"/>
    <xf numFmtId="0" fontId="3878" fillId="3883" borderId="3818" pivotButton="0" quotePrefix="0" xfId="0"/>
    <xf numFmtId="0" fontId="3879" fillId="3884" borderId="3819" pivotButton="0" quotePrefix="0" xfId="0"/>
    <xf numFmtId="0" fontId="3880" fillId="3885" borderId="3820" pivotButton="0" quotePrefix="0" xfId="0"/>
    <xf numFmtId="0" fontId="3881" fillId="3886" borderId="3821" pivotButton="0" quotePrefix="0" xfId="0"/>
    <xf numFmtId="0" fontId="3882" fillId="3887" borderId="3822" pivotButton="0" quotePrefix="0" xfId="0"/>
    <xf numFmtId="0" fontId="3883" fillId="3888" borderId="3823" pivotButton="0" quotePrefix="0" xfId="0"/>
    <xf numFmtId="0" fontId="3884" fillId="3889" borderId="3824" pivotButton="0" quotePrefix="0" xfId="0"/>
    <xf numFmtId="0" fontId="3885" fillId="3890" borderId="3825" pivotButton="0" quotePrefix="0" xfId="0"/>
    <xf numFmtId="0" fontId="3886" fillId="3891" borderId="3826" pivotButton="0" quotePrefix="0" xfId="0"/>
    <xf numFmtId="0" fontId="3887" fillId="3892" borderId="3827" pivotButton="0" quotePrefix="0" xfId="0"/>
    <xf numFmtId="0" fontId="3888" fillId="3893" borderId="3828" pivotButton="0" quotePrefix="0" xfId="0"/>
    <xf numFmtId="0" fontId="3889" fillId="3894" borderId="3829" pivotButton="0" quotePrefix="0" xfId="0"/>
    <xf numFmtId="0" fontId="3890" fillId="3895" borderId="3830" pivotButton="0" quotePrefix="0" xfId="0"/>
    <xf numFmtId="0" fontId="3891" fillId="3896" borderId="3831" pivotButton="0" quotePrefix="0" xfId="0"/>
    <xf numFmtId="0" fontId="3892" fillId="3897" borderId="3832" pivotButton="0" quotePrefix="0" xfId="0"/>
    <xf numFmtId="0" fontId="3893" fillId="3898" borderId="3833" pivotButton="0" quotePrefix="0" xfId="0"/>
    <xf numFmtId="0" fontId="3894" fillId="3899" borderId="3834" pivotButton="0" quotePrefix="0" xfId="0"/>
    <xf numFmtId="0" fontId="3895" fillId="3900" borderId="3835" pivotButton="0" quotePrefix="0" xfId="0"/>
    <xf numFmtId="0" fontId="3896" fillId="3901" borderId="3836" pivotButton="0" quotePrefix="0" xfId="0"/>
    <xf numFmtId="0" fontId="3897" fillId="3902" borderId="3837" pivotButton="0" quotePrefix="0" xfId="0"/>
    <xf numFmtId="0" fontId="3898" fillId="3903" borderId="3838" pivotButton="0" quotePrefix="0" xfId="0"/>
    <xf numFmtId="0" fontId="3899" fillId="3904" borderId="3839" pivotButton="0" quotePrefix="0" xfId="0"/>
    <xf numFmtId="0" fontId="3900" fillId="3905" borderId="3840" pivotButton="0" quotePrefix="0" xfId="0"/>
    <xf numFmtId="0" fontId="3901" fillId="3906" borderId="3841" pivotButton="0" quotePrefix="0" xfId="0"/>
    <xf numFmtId="0" fontId="3902" fillId="3907" borderId="3842" pivotButton="0" quotePrefix="0" xfId="0"/>
    <xf numFmtId="0" fontId="3903" fillId="3908" borderId="3843" pivotButton="0" quotePrefix="0" xfId="0"/>
    <xf numFmtId="0" fontId="3904" fillId="3909" borderId="3844" pivotButton="0" quotePrefix="0" xfId="0"/>
    <xf numFmtId="0" fontId="3905" fillId="3910" borderId="3845" pivotButton="0" quotePrefix="0" xfId="0"/>
    <xf numFmtId="0" fontId="3906" fillId="3911" borderId="3846" pivotButton="0" quotePrefix="0" xfId="0"/>
    <xf numFmtId="0" fontId="3907" fillId="3912" borderId="3847" pivotButton="0" quotePrefix="0" xfId="0"/>
    <xf numFmtId="0" fontId="3908" fillId="3913" borderId="3848" pivotButton="0" quotePrefix="0" xfId="0"/>
    <xf numFmtId="0" fontId="3909" fillId="3914" borderId="3849" pivotButton="0" quotePrefix="0" xfId="0"/>
    <xf numFmtId="0" fontId="3910" fillId="3915" borderId="3850" pivotButton="0" quotePrefix="0" xfId="0"/>
    <xf numFmtId="0" fontId="3911" fillId="3916" borderId="3851" pivotButton="0" quotePrefix="0" xfId="0"/>
    <xf numFmtId="0" fontId="3912" fillId="3917" borderId="3852" pivotButton="0" quotePrefix="0" xfId="0"/>
    <xf numFmtId="0" fontId="3913" fillId="3918" borderId="3853" pivotButton="0" quotePrefix="0" xfId="0"/>
    <xf numFmtId="0" fontId="3914" fillId="3919" borderId="3854" pivotButton="0" quotePrefix="0" xfId="0"/>
    <xf numFmtId="0" fontId="3915" fillId="3920" borderId="3855" pivotButton="0" quotePrefix="0" xfId="0"/>
    <xf numFmtId="0" fontId="3916" fillId="3921" borderId="3856" pivotButton="0" quotePrefix="0" xfId="0"/>
    <xf numFmtId="0" fontId="3917" fillId="3922" borderId="3857" pivotButton="0" quotePrefix="0" xfId="0"/>
    <xf numFmtId="0" fontId="3918" fillId="3923" borderId="3858" pivotButton="0" quotePrefix="0" xfId="0"/>
    <xf numFmtId="0" fontId="3919" fillId="3924" borderId="3859" pivotButton="0" quotePrefix="0" xfId="0"/>
    <xf numFmtId="0" fontId="3920" fillId="3925" borderId="3860" pivotButton="0" quotePrefix="0" xfId="0"/>
    <xf numFmtId="0" fontId="3921" fillId="3926" borderId="3861" pivotButton="0" quotePrefix="0" xfId="0"/>
    <xf numFmtId="0" fontId="3922" fillId="3927" borderId="3862" pivotButton="0" quotePrefix="0" xfId="0"/>
    <xf numFmtId="0" fontId="3923" fillId="3928" borderId="3863" pivotButton="0" quotePrefix="0" xfId="0"/>
    <xf numFmtId="0" fontId="3924" fillId="3929" borderId="3864" pivotButton="0" quotePrefix="0" xfId="0"/>
    <xf numFmtId="0" fontId="3925" fillId="3930" borderId="3865" pivotButton="0" quotePrefix="0" xfId="0"/>
    <xf numFmtId="0" fontId="3926" fillId="3931" borderId="3866" pivotButton="0" quotePrefix="0" xfId="0"/>
    <xf numFmtId="0" fontId="3927" fillId="3932" borderId="3867" pivotButton="0" quotePrefix="0" xfId="0"/>
    <xf numFmtId="0" fontId="3928" fillId="3933" borderId="3868" pivotButton="0" quotePrefix="0" xfId="0"/>
    <xf numFmtId="0" fontId="3929" fillId="3934" borderId="3869" pivotButton="0" quotePrefix="0" xfId="0"/>
    <xf numFmtId="0" fontId="3930" fillId="3935" borderId="3870" pivotButton="0" quotePrefix="0" xfId="0"/>
    <xf numFmtId="0" fontId="3931" fillId="3936" borderId="3871" pivotButton="0" quotePrefix="0" xfId="0"/>
    <xf numFmtId="0" fontId="3932" fillId="3937" borderId="3872" pivotButton="0" quotePrefix="0" xfId="0"/>
    <xf numFmtId="0" fontId="3933" fillId="3938" borderId="3873" pivotButton="0" quotePrefix="0" xfId="0"/>
    <xf numFmtId="0" fontId="3934" fillId="3939" borderId="3874" pivotButton="0" quotePrefix="0" xfId="0"/>
    <xf numFmtId="0" fontId="3935" fillId="3940" borderId="3875" pivotButton="0" quotePrefix="0" xfId="0"/>
    <xf numFmtId="0" fontId="3936" fillId="3941" borderId="3876" pivotButton="0" quotePrefix="0" xfId="0"/>
    <xf numFmtId="0" fontId="3937" fillId="3942" borderId="3877" pivotButton="0" quotePrefix="0" xfId="0"/>
    <xf numFmtId="0" fontId="3938" fillId="3943" borderId="3878" pivotButton="0" quotePrefix="0" xfId="0"/>
    <xf numFmtId="0" fontId="3939" fillId="3944" borderId="3879" pivotButton="0" quotePrefix="0" xfId="0"/>
    <xf numFmtId="0" fontId="3940" fillId="3945" borderId="3880" pivotButton="0" quotePrefix="0" xfId="0"/>
    <xf numFmtId="0" fontId="3941" fillId="3946" borderId="3881" pivotButton="0" quotePrefix="0" xfId="0"/>
    <xf numFmtId="0" fontId="3942" fillId="3947" borderId="3882" pivotButton="0" quotePrefix="0" xfId="0"/>
    <xf numFmtId="0" fontId="3943" fillId="3948" borderId="3883" pivotButton="0" quotePrefix="0" xfId="0"/>
    <xf numFmtId="0" fontId="3944" fillId="3949" borderId="3884" pivotButton="0" quotePrefix="0" xfId="0"/>
    <xf numFmtId="0" fontId="3945" fillId="3950" borderId="3885" pivotButton="0" quotePrefix="0" xfId="0"/>
    <xf numFmtId="0" fontId="3946" fillId="3951" borderId="3886" pivotButton="0" quotePrefix="0" xfId="0"/>
    <xf numFmtId="0" fontId="3947" fillId="3952" borderId="3887" pivotButton="0" quotePrefix="0" xfId="0"/>
    <xf numFmtId="0" fontId="3948" fillId="3953" borderId="3888" pivotButton="0" quotePrefix="0" xfId="0"/>
    <xf numFmtId="0" fontId="3949" fillId="3954" borderId="3889" pivotButton="0" quotePrefix="0" xfId="0"/>
    <xf numFmtId="0" fontId="3950" fillId="3955" borderId="3890" pivotButton="0" quotePrefix="0" xfId="0"/>
    <xf numFmtId="0" fontId="3951" fillId="3956" borderId="3891" pivotButton="0" quotePrefix="0" xfId="0"/>
    <xf numFmtId="0" fontId="3952" fillId="3957" borderId="3892" pivotButton="0" quotePrefix="0" xfId="0"/>
    <xf numFmtId="0" fontId="3953" fillId="3958" borderId="3893" pivotButton="0" quotePrefix="0" xfId="0"/>
    <xf numFmtId="0" fontId="3954" fillId="3959" borderId="3894" pivotButton="0" quotePrefix="0" xfId="0"/>
    <xf numFmtId="0" fontId="3955" fillId="3960" borderId="3895" pivotButton="0" quotePrefix="0" xfId="0"/>
    <xf numFmtId="0" fontId="3956" fillId="3961" borderId="3896" pivotButton="0" quotePrefix="0" xfId="0"/>
    <xf numFmtId="0" fontId="3957" fillId="3962" borderId="3897" pivotButton="0" quotePrefix="0" xfId="0"/>
    <xf numFmtId="0" fontId="3958" fillId="3963" borderId="3898" pivotButton="0" quotePrefix="0" xfId="0"/>
    <xf numFmtId="0" fontId="3959" fillId="3964" borderId="3899" pivotButton="0" quotePrefix="0" xfId="0"/>
    <xf numFmtId="0" fontId="3960" fillId="3965" borderId="3900" pivotButton="0" quotePrefix="0" xfId="0"/>
    <xf numFmtId="0" fontId="3961" fillId="3966" borderId="3901" pivotButton="0" quotePrefix="0" xfId="0"/>
    <xf numFmtId="0" fontId="3962" fillId="3967" borderId="3902" pivotButton="0" quotePrefix="0" xfId="0"/>
    <xf numFmtId="0" fontId="3963" fillId="3968" borderId="3903" pivotButton="0" quotePrefix="0" xfId="0"/>
    <xf numFmtId="0" fontId="3964" fillId="3969" borderId="3904" pivotButton="0" quotePrefix="0" xfId="0"/>
    <xf numFmtId="0" fontId="3965" fillId="3970" borderId="3905" pivotButton="0" quotePrefix="0" xfId="0"/>
    <xf numFmtId="0" fontId="3966" fillId="3971" borderId="3906" pivotButton="0" quotePrefix="0" xfId="0"/>
    <xf numFmtId="0" fontId="3967" fillId="3972" borderId="3907" pivotButton="0" quotePrefix="0" xfId="0"/>
    <xf numFmtId="0" fontId="3968" fillId="3973" borderId="3908" pivotButton="0" quotePrefix="0" xfId="0"/>
    <xf numFmtId="0" fontId="3969" fillId="3974" borderId="3909" pivotButton="0" quotePrefix="0" xfId="0"/>
    <xf numFmtId="0" fontId="3970" fillId="3975" borderId="3910" pivotButton="0" quotePrefix="0" xfId="0"/>
    <xf numFmtId="0" fontId="3971" fillId="3976" borderId="3911" pivotButton="0" quotePrefix="0" xfId="0"/>
    <xf numFmtId="0" fontId="3972" fillId="3977" borderId="3912" pivotButton="0" quotePrefix="0" xfId="0"/>
    <xf numFmtId="0" fontId="3973" fillId="3978" borderId="3913" pivotButton="0" quotePrefix="0" xfId="0"/>
    <xf numFmtId="0" fontId="3974" fillId="3979" borderId="3914" pivotButton="0" quotePrefix="0" xfId="0"/>
    <xf numFmtId="0" fontId="3975" fillId="3980" borderId="3915" pivotButton="0" quotePrefix="0" xfId="0"/>
    <xf numFmtId="0" fontId="3976" fillId="3981" borderId="3916" pivotButton="0" quotePrefix="0" xfId="0"/>
    <xf numFmtId="0" fontId="3977" fillId="3982" borderId="3917" pivotButton="0" quotePrefix="0" xfId="0"/>
    <xf numFmtId="0" fontId="3978" fillId="3983" borderId="3918" pivotButton="0" quotePrefix="0" xfId="0"/>
    <xf numFmtId="0" fontId="3979" fillId="3984" borderId="3919" pivotButton="0" quotePrefix="0" xfId="0"/>
    <xf numFmtId="0" fontId="3980" fillId="3985" borderId="3920" pivotButton="0" quotePrefix="0" xfId="0"/>
    <xf numFmtId="0" fontId="3981" fillId="3986" borderId="3921" pivotButton="0" quotePrefix="0" xfId="0"/>
    <xf numFmtId="0" fontId="3982" fillId="3987" borderId="3922" pivotButton="0" quotePrefix="0" xfId="0"/>
    <xf numFmtId="0" fontId="3983" fillId="3988" borderId="3923" pivotButton="0" quotePrefix="0" xfId="0"/>
    <xf numFmtId="0" fontId="3984" fillId="3989" borderId="3924" pivotButton="0" quotePrefix="0" xfId="0"/>
    <xf numFmtId="0" fontId="3985" fillId="3990" borderId="3925" pivotButton="0" quotePrefix="0" xfId="0"/>
    <xf numFmtId="0" fontId="3986" fillId="3991" borderId="3926" pivotButton="0" quotePrefix="0" xfId="0"/>
    <xf numFmtId="0" fontId="3987" fillId="3992" borderId="3927" pivotButton="0" quotePrefix="0" xfId="0"/>
    <xf numFmtId="0" fontId="3988" fillId="3993" borderId="3928" pivotButton="0" quotePrefix="0" xfId="0"/>
    <xf numFmtId="0" fontId="3989" fillId="3994" borderId="3929" pivotButton="0" quotePrefix="0" xfId="0"/>
    <xf numFmtId="0" fontId="3990" fillId="3995" borderId="3930" pivotButton="0" quotePrefix="0" xfId="0"/>
    <xf numFmtId="0" fontId="3991" fillId="3996" borderId="3931" pivotButton="0" quotePrefix="0" xfId="0"/>
    <xf numFmtId="0" fontId="3992" fillId="3997" borderId="3932" pivotButton="0" quotePrefix="0" xfId="0"/>
    <xf numFmtId="0" fontId="3993" fillId="3998" borderId="3933" pivotButton="0" quotePrefix="0" xfId="0"/>
    <xf numFmtId="0" fontId="3994" fillId="3999" borderId="3934" pivotButton="0" quotePrefix="0" xfId="0"/>
    <xf numFmtId="0" fontId="3995" fillId="4000" borderId="3935" pivotButton="0" quotePrefix="0" xfId="0"/>
    <xf numFmtId="0" fontId="3996" fillId="4001" borderId="3936" pivotButton="0" quotePrefix="0" xfId="0"/>
    <xf numFmtId="0" fontId="3997" fillId="4002" borderId="3937" pivotButton="0" quotePrefix="0" xfId="0"/>
    <xf numFmtId="0" fontId="3998" fillId="4003" borderId="3938" pivotButton="0" quotePrefix="0" xfId="0"/>
    <xf numFmtId="0" fontId="3999" fillId="4004" borderId="3939" pivotButton="0" quotePrefix="0" xfId="0"/>
    <xf numFmtId="0" fontId="4000" fillId="4005" borderId="3940" pivotButton="0" quotePrefix="0" xfId="0"/>
    <xf numFmtId="0" fontId="4001" fillId="4006" borderId="3941" pivotButton="0" quotePrefix="0" xfId="0"/>
    <xf numFmtId="0" fontId="4002" fillId="4007" borderId="3942" pivotButton="0" quotePrefix="0" xfId="0"/>
    <xf numFmtId="0" fontId="4003" fillId="4008" borderId="3943" pivotButton="0" quotePrefix="0" xfId="0"/>
    <xf numFmtId="0" fontId="4004" fillId="4009" borderId="3944" pivotButton="0" quotePrefix="0" xfId="0"/>
    <xf numFmtId="0" fontId="4005" fillId="4010" borderId="3945" pivotButton="0" quotePrefix="0" xfId="0"/>
    <xf numFmtId="0" fontId="4006" fillId="4011" borderId="3946" pivotButton="0" quotePrefix="0" xfId="0"/>
    <xf numFmtId="0" fontId="4007" fillId="4012" borderId="3947" pivotButton="0" quotePrefix="0" xfId="0"/>
    <xf numFmtId="0" fontId="4008" fillId="4013" borderId="3948" pivotButton="0" quotePrefix="0" xfId="0"/>
    <xf numFmtId="0" fontId="4009" fillId="4014" borderId="3949" pivotButton="0" quotePrefix="0" xfId="0"/>
    <xf numFmtId="0" fontId="4010" fillId="4015" borderId="3950" pivotButton="0" quotePrefix="0" xfId="0"/>
    <xf numFmtId="0" fontId="4011" fillId="4016" borderId="3951" pivotButton="0" quotePrefix="0" xfId="0"/>
    <xf numFmtId="0" fontId="4012" fillId="4017" borderId="3952" pivotButton="0" quotePrefix="0" xfId="0"/>
    <xf numFmtId="0" fontId="4013" fillId="4018" borderId="3953" pivotButton="0" quotePrefix="0" xfId="0"/>
    <xf numFmtId="0" fontId="4014" fillId="4019" borderId="3954" pivotButton="0" quotePrefix="0" xfId="0"/>
    <xf numFmtId="0" fontId="4015" fillId="4020" borderId="3955" pivotButton="0" quotePrefix="0" xfId="0"/>
    <xf numFmtId="0" fontId="4016" fillId="4021" borderId="3956" pivotButton="0" quotePrefix="0" xfId="0"/>
    <xf numFmtId="0" fontId="4017" fillId="4022" borderId="3957" pivotButton="0" quotePrefix="0" xfId="0"/>
    <xf numFmtId="0" fontId="4018" fillId="4023" borderId="3958" pivotButton="0" quotePrefix="0" xfId="0"/>
    <xf numFmtId="0" fontId="4019" fillId="4024" borderId="3959" pivotButton="0" quotePrefix="0" xfId="0"/>
    <xf numFmtId="0" fontId="4020" fillId="4025" borderId="3960" pivotButton="0" quotePrefix="0" xfId="0"/>
    <xf numFmtId="0" fontId="4021" fillId="4026" borderId="3961" pivotButton="0" quotePrefix="0" xfId="0"/>
    <xf numFmtId="0" fontId="4022" fillId="4027" borderId="3962" pivotButton="0" quotePrefix="0" xfId="0"/>
    <xf numFmtId="0" fontId="4023" fillId="4028" borderId="3963" pivotButton="0" quotePrefix="0" xfId="0"/>
    <xf numFmtId="0" fontId="4024" fillId="4029" borderId="3964" pivotButton="0" quotePrefix="0" xfId="0"/>
    <xf numFmtId="0" fontId="4025" fillId="4030" borderId="3965" pivotButton="0" quotePrefix="0" xfId="0"/>
    <xf numFmtId="0" fontId="4026" fillId="4031" borderId="3966" pivotButton="0" quotePrefix="0" xfId="0"/>
    <xf numFmtId="0" fontId="4027" fillId="4032" borderId="3967" pivotButton="0" quotePrefix="0" xfId="0"/>
    <xf numFmtId="0" fontId="4028" fillId="4033" borderId="3968" pivotButton="0" quotePrefix="0" xfId="0"/>
    <xf numFmtId="0" fontId="4029" fillId="4034" borderId="3969" pivotButton="0" quotePrefix="0" xfId="0"/>
    <xf numFmtId="0" fontId="4030" fillId="4035" borderId="3970" pivotButton="0" quotePrefix="0" xfId="0"/>
    <xf numFmtId="0" fontId="4031" fillId="4036" borderId="3971" pivotButton="0" quotePrefix="0" xfId="0"/>
    <xf numFmtId="0" fontId="4032" fillId="4037" borderId="3972" pivotButton="0" quotePrefix="0" xfId="0"/>
    <xf numFmtId="0" fontId="4033" fillId="4038" borderId="3973" pivotButton="0" quotePrefix="0" xfId="0"/>
    <xf numFmtId="0" fontId="4034" fillId="4039" borderId="3974" pivotButton="0" quotePrefix="0" xfId="0"/>
    <xf numFmtId="0" fontId="4035" fillId="4040" borderId="3975" pivotButton="0" quotePrefix="0" xfId="0"/>
    <xf numFmtId="0" fontId="4036" fillId="4041" borderId="3976" pivotButton="0" quotePrefix="0" xfId="0"/>
    <xf numFmtId="0" fontId="4037" fillId="4042" borderId="3977" pivotButton="0" quotePrefix="0" xfId="0"/>
    <xf numFmtId="0" fontId="4038" fillId="4043" borderId="3978" pivotButton="0" quotePrefix="0" xfId="0"/>
    <xf numFmtId="0" fontId="4039" fillId="4044" borderId="3979" pivotButton="0" quotePrefix="0" xfId="0"/>
    <xf numFmtId="0" fontId="4040" fillId="4045" borderId="3980" pivotButton="0" quotePrefix="0" xfId="0"/>
    <xf numFmtId="0" fontId="4041" fillId="4046" borderId="3981" pivotButton="0" quotePrefix="0" xfId="0"/>
    <xf numFmtId="0" fontId="4042" fillId="4047" borderId="3982" pivotButton="0" quotePrefix="0" xfId="0"/>
    <xf numFmtId="0" fontId="4043" fillId="4048" borderId="3983" pivotButton="0" quotePrefix="0" xfId="0"/>
    <xf numFmtId="0" fontId="4044" fillId="4049" borderId="3984" pivotButton="0" quotePrefix="0" xfId="0"/>
    <xf numFmtId="0" fontId="4045" fillId="4050" borderId="3985" pivotButton="0" quotePrefix="0" xfId="0"/>
    <xf numFmtId="0" fontId="4046" fillId="4051" borderId="3986" pivotButton="0" quotePrefix="0" xfId="0"/>
    <xf numFmtId="0" fontId="4047" fillId="4052" borderId="3987" pivotButton="0" quotePrefix="0" xfId="0"/>
    <xf numFmtId="0" fontId="4048" fillId="4053" borderId="3988" pivotButton="0" quotePrefix="0" xfId="0"/>
    <xf numFmtId="0" fontId="4049" fillId="4054" borderId="3989" pivotButton="0" quotePrefix="0" xfId="0"/>
    <xf numFmtId="0" fontId="4050" fillId="4055" borderId="3990" pivotButton="0" quotePrefix="0" xfId="0"/>
    <xf numFmtId="0" fontId="4051" fillId="4056" borderId="3991" pivotButton="0" quotePrefix="0" xfId="0"/>
    <xf numFmtId="0" fontId="4052" fillId="4057" borderId="3992" pivotButton="0" quotePrefix="0" xfId="0"/>
    <xf numFmtId="0" fontId="4053" fillId="4058" borderId="3993" pivotButton="0" quotePrefix="0" xfId="0"/>
    <xf numFmtId="0" fontId="4054" fillId="4059" borderId="3994" pivotButton="0" quotePrefix="0" xfId="0"/>
    <xf numFmtId="0" fontId="4055" fillId="4060" borderId="3995" pivotButton="0" quotePrefix="0" xfId="0"/>
    <xf numFmtId="0" fontId="4056" fillId="4061" borderId="3996" pivotButton="0" quotePrefix="0" xfId="0"/>
    <xf numFmtId="0" fontId="4057" fillId="4062" borderId="3997" pivotButton="0" quotePrefix="0" xfId="0"/>
    <xf numFmtId="0" fontId="4058" fillId="4063" borderId="3998" pivotButton="0" quotePrefix="0" xfId="0"/>
    <xf numFmtId="0" fontId="4059" fillId="4064" borderId="3999" pivotButton="0" quotePrefix="0" xfId="0"/>
    <xf numFmtId="0" fontId="4060" fillId="4065" borderId="4000" pivotButton="0" quotePrefix="0" xfId="0"/>
    <xf numFmtId="0" fontId="4061" fillId="4066" borderId="4001" pivotButton="0" quotePrefix="0" xfId="0"/>
    <xf numFmtId="0" fontId="4062" fillId="4067" borderId="4002" pivotButton="0" quotePrefix="0" xfId="0"/>
    <xf numFmtId="0" fontId="4063" fillId="4068" borderId="4003" pivotButton="0" quotePrefix="0" xfId="0"/>
    <xf numFmtId="0" fontId="4064" fillId="4069" borderId="4004" pivotButton="0" quotePrefix="0" xfId="0"/>
    <xf numFmtId="0" fontId="4065" fillId="4070" borderId="4005" pivotButton="0" quotePrefix="0" xfId="0"/>
    <xf numFmtId="0" fontId="4066" fillId="4071" borderId="4006" pivotButton="0" quotePrefix="0" xfId="0"/>
    <xf numFmtId="0" fontId="4067" fillId="4072" borderId="4007" pivotButton="0" quotePrefix="0" xfId="0"/>
    <xf numFmtId="0" fontId="4068" fillId="4073" borderId="4008" pivotButton="0" quotePrefix="0" xfId="0"/>
    <xf numFmtId="0" fontId="4069" fillId="4074" borderId="4009" pivotButton="0" quotePrefix="0" xfId="0"/>
    <xf numFmtId="0" fontId="4070" fillId="4075" borderId="4010" pivotButton="0" quotePrefix="0" xfId="0"/>
    <xf numFmtId="0" fontId="4071" fillId="4076" borderId="4011" pivotButton="0" quotePrefix="0" xfId="0"/>
    <xf numFmtId="0" fontId="4072" fillId="4077" borderId="4012" pivotButton="0" quotePrefix="0" xfId="0"/>
    <xf numFmtId="0" fontId="4073" fillId="4078" borderId="4013" pivotButton="0" quotePrefix="0" xfId="0"/>
    <xf numFmtId="0" fontId="4074" fillId="4079" borderId="4014" pivotButton="0" quotePrefix="0" xfId="0"/>
    <xf numFmtId="0" fontId="4075" fillId="4080" borderId="4015" pivotButton="0" quotePrefix="0" xfId="0"/>
    <xf numFmtId="0" fontId="4076" fillId="4081" borderId="4016" pivotButton="0" quotePrefix="0" xfId="0"/>
    <xf numFmtId="0" fontId="4077" fillId="4082" borderId="4017" pivotButton="0" quotePrefix="0" xfId="0"/>
    <xf numFmtId="0" fontId="4078" fillId="4083" borderId="4018" pivotButton="0" quotePrefix="0" xfId="0"/>
    <xf numFmtId="0" fontId="4079" fillId="4084" borderId="4019" pivotButton="0" quotePrefix="0" xfId="0"/>
    <xf numFmtId="0" fontId="4080" fillId="4085" borderId="4020" pivotButton="0" quotePrefix="0" xfId="0"/>
    <xf numFmtId="0" fontId="4081" fillId="4086" borderId="4021" pivotButton="0" quotePrefix="0" xfId="0"/>
    <xf numFmtId="0" fontId="4082" fillId="4087" borderId="4022" pivotButton="0" quotePrefix="0" xfId="0"/>
    <xf numFmtId="0" fontId="4083" fillId="4088" borderId="4023" pivotButton="0" quotePrefix="0" xfId="0"/>
    <xf numFmtId="0" fontId="4084" fillId="4089" borderId="4024" pivotButton="0" quotePrefix="0" xfId="0"/>
    <xf numFmtId="0" fontId="4085" fillId="4090" borderId="4025" pivotButton="0" quotePrefix="0" xfId="0"/>
    <xf numFmtId="0" fontId="4086" fillId="4091" borderId="4026" pivotButton="0" quotePrefix="0" xfId="0"/>
    <xf numFmtId="0" fontId="4087" fillId="4092" borderId="4027" pivotButton="0" quotePrefix="0" xfId="0"/>
    <xf numFmtId="0" fontId="4088" fillId="4093" borderId="4028" pivotButton="0" quotePrefix="0" xfId="0"/>
    <xf numFmtId="0" fontId="4089" fillId="4094" borderId="4029" pivotButton="0" quotePrefix="0" xfId="0"/>
    <xf numFmtId="0" fontId="4090" fillId="4095" borderId="4030" pivotButton="0" quotePrefix="0" xfId="0"/>
    <xf numFmtId="0" fontId="4091" fillId="4096" borderId="4031" pivotButton="0" quotePrefix="0" xfId="0"/>
    <xf numFmtId="0" fontId="4092" fillId="4097" borderId="4032" pivotButton="0" quotePrefix="0" xfId="0"/>
    <xf numFmtId="0" fontId="4093" fillId="4098" borderId="4033" pivotButton="0" quotePrefix="0" xfId="0"/>
    <xf numFmtId="0" fontId="4094" fillId="4099" borderId="4034" pivotButton="0" quotePrefix="0" xfId="0"/>
    <xf numFmtId="0" fontId="4095" fillId="4100" borderId="4035" pivotButton="0" quotePrefix="0" xfId="0"/>
    <xf numFmtId="0" fontId="4096" fillId="4101" borderId="4036" pivotButton="0" quotePrefix="0" xfId="0"/>
    <xf numFmtId="0" fontId="4097" fillId="4102" borderId="4037" pivotButton="0" quotePrefix="0" xfId="0"/>
    <xf numFmtId="0" fontId="4098" fillId="4103" borderId="4038" pivotButton="0" quotePrefix="0" xfId="0"/>
    <xf numFmtId="0" fontId="4099" fillId="4104" borderId="4039" pivotButton="0" quotePrefix="0" xfId="0"/>
    <xf numFmtId="0" fontId="4100" fillId="4105" borderId="4040" pivotButton="0" quotePrefix="0" xfId="0"/>
    <xf numFmtId="0" fontId="4101" fillId="4106" borderId="4041" pivotButton="0" quotePrefix="0" xfId="0"/>
    <xf numFmtId="0" fontId="4102" fillId="4107" borderId="4042" pivotButton="0" quotePrefix="0" xfId="0"/>
    <xf numFmtId="0" fontId="4103" fillId="4108" borderId="4043" pivotButton="0" quotePrefix="0" xfId="0"/>
    <xf numFmtId="0" fontId="4104" fillId="4109" borderId="4044" pivotButton="0" quotePrefix="0" xfId="0"/>
    <xf numFmtId="0" fontId="4105" fillId="4110" borderId="4045" pivotButton="0" quotePrefix="0" xfId="0"/>
    <xf numFmtId="0" fontId="4106" fillId="4111" borderId="4046" pivotButton="0" quotePrefix="0" xfId="0"/>
    <xf numFmtId="0" fontId="4107" fillId="4112" borderId="4047" pivotButton="0" quotePrefix="0" xfId="0"/>
    <xf numFmtId="0" fontId="4108" fillId="4113" borderId="4048" pivotButton="0" quotePrefix="0" xfId="0"/>
    <xf numFmtId="0" fontId="4109" fillId="4114" borderId="4049" pivotButton="0" quotePrefix="0" xfId="0"/>
    <xf numFmtId="0" fontId="4110" fillId="4115" borderId="4050" pivotButton="0" quotePrefix="0" xfId="0"/>
    <xf numFmtId="0" fontId="4111" fillId="4116" borderId="4051" pivotButton="0" quotePrefix="0" xfId="0"/>
    <xf numFmtId="0" fontId="4112" fillId="4117" borderId="4052" pivotButton="0" quotePrefix="0" xfId="0"/>
    <xf numFmtId="0" fontId="4113" fillId="4118" borderId="4053" pivotButton="0" quotePrefix="0" xfId="0"/>
    <xf numFmtId="0" fontId="4114" fillId="4119" borderId="4054" pivotButton="0" quotePrefix="0" xfId="0"/>
    <xf numFmtId="0" fontId="4115" fillId="4120" borderId="4055" pivotButton="0" quotePrefix="0" xfId="0"/>
    <xf numFmtId="0" fontId="4116" fillId="4121" borderId="4056" pivotButton="0" quotePrefix="0" xfId="0"/>
    <xf numFmtId="0" fontId="4117" fillId="4122" borderId="4057" pivotButton="0" quotePrefix="0" xfId="0"/>
    <xf numFmtId="0" fontId="4118" fillId="4123" borderId="4058" pivotButton="0" quotePrefix="0" xfId="0"/>
    <xf numFmtId="0" fontId="4119" fillId="4124" borderId="4059" pivotButton="0" quotePrefix="0" xfId="0"/>
    <xf numFmtId="0" fontId="4120" fillId="4125" borderId="4060" pivotButton="0" quotePrefix="0" xfId="0"/>
    <xf numFmtId="0" fontId="4121" fillId="4126" borderId="4061" pivotButton="0" quotePrefix="0" xfId="0"/>
    <xf numFmtId="0" fontId="4122" fillId="4127" borderId="4062" pivotButton="0" quotePrefix="0" xfId="0"/>
    <xf numFmtId="0" fontId="4123" fillId="4128" borderId="4063" pivotButton="0" quotePrefix="0" xfId="0"/>
    <xf numFmtId="0" fontId="4124" fillId="4129" borderId="4064" pivotButton="0" quotePrefix="0" xfId="0"/>
    <xf numFmtId="0" fontId="4125" fillId="4130" borderId="4065" pivotButton="0" quotePrefix="0" xfId="0"/>
    <xf numFmtId="0" fontId="4126" fillId="4131" borderId="4066" pivotButton="0" quotePrefix="0" xfId="0"/>
    <xf numFmtId="0" fontId="4127" fillId="4132" borderId="4067" pivotButton="0" quotePrefix="0" xfId="0"/>
    <xf numFmtId="0" fontId="4128" fillId="4133" borderId="4068" pivotButton="0" quotePrefix="0" xfId="0"/>
    <xf numFmtId="0" fontId="4129" fillId="4134" borderId="4069" pivotButton="0" quotePrefix="0" xfId="0"/>
    <xf numFmtId="0" fontId="4130" fillId="4135" borderId="4070" pivotButton="0" quotePrefix="0" xfId="0"/>
    <xf numFmtId="0" fontId="4131" fillId="4136" borderId="4071" pivotButton="0" quotePrefix="0" xfId="0"/>
    <xf numFmtId="0" fontId="4132" fillId="4137" borderId="4072" pivotButton="0" quotePrefix="0" xfId="0"/>
    <xf numFmtId="0" fontId="4133" fillId="4138" borderId="4073" pivotButton="0" quotePrefix="0" xfId="0"/>
    <xf numFmtId="0" fontId="4134" fillId="4139" borderId="4074" pivotButton="0" quotePrefix="0" xfId="0"/>
    <xf numFmtId="0" fontId="4135" fillId="4140" borderId="4075" pivotButton="0" quotePrefix="0" xfId="0"/>
    <xf numFmtId="0" fontId="4136" fillId="4141" borderId="4076" pivotButton="0" quotePrefix="0" xfId="0"/>
    <xf numFmtId="0" fontId="4137" fillId="4142" borderId="4077" pivotButton="0" quotePrefix="0" xfId="0"/>
    <xf numFmtId="0" fontId="4138" fillId="4143" borderId="4078" pivotButton="0" quotePrefix="0" xfId="0"/>
    <xf numFmtId="0" fontId="4139" fillId="4144" borderId="4079" pivotButton="0" quotePrefix="0" xfId="0"/>
    <xf numFmtId="0" fontId="4140" fillId="4145" borderId="4080" pivotButton="0" quotePrefix="0" xfId="0"/>
    <xf numFmtId="0" fontId="4141" fillId="4146" borderId="4081" pivotButton="0" quotePrefix="0" xfId="0"/>
    <xf numFmtId="0" fontId="4142" fillId="4147" borderId="4082" pivotButton="0" quotePrefix="0" xfId="0"/>
    <xf numFmtId="0" fontId="4143" fillId="4148" borderId="4083" pivotButton="0" quotePrefix="0" xfId="0"/>
    <xf numFmtId="0" fontId="4144" fillId="4149" borderId="4084" pivotButton="0" quotePrefix="0" xfId="0"/>
    <xf numFmtId="0" fontId="4145" fillId="4150" borderId="4085" pivotButton="0" quotePrefix="0" xfId="0"/>
    <xf numFmtId="0" fontId="4146" fillId="4151" borderId="4086" pivotButton="0" quotePrefix="0" xfId="0"/>
    <xf numFmtId="0" fontId="4147" fillId="4152" borderId="4087" pivotButton="0" quotePrefix="0" xfId="0"/>
    <xf numFmtId="0" fontId="4148" fillId="4153" borderId="4088" pivotButton="0" quotePrefix="0" xfId="0"/>
    <xf numFmtId="0" fontId="4149" fillId="4154" borderId="4089" pivotButton="0" quotePrefix="0" xfId="0"/>
    <xf numFmtId="0" fontId="4150" fillId="4155" borderId="4090" pivotButton="0" quotePrefix="0" xfId="0"/>
    <xf numFmtId="0" fontId="4151" fillId="4156" borderId="4091" pivotButton="0" quotePrefix="0" xfId="0"/>
    <xf numFmtId="0" fontId="4152" fillId="4157" borderId="4092" pivotButton="0" quotePrefix="0" xfId="0"/>
    <xf numFmtId="0" fontId="4153" fillId="4158" borderId="4093" pivotButton="0" quotePrefix="0" xfId="0"/>
    <xf numFmtId="0" fontId="4154" fillId="4159" borderId="4094" pivotButton="0" quotePrefix="0" xfId="0"/>
    <xf numFmtId="0" fontId="4155" fillId="4160" borderId="4095" pivotButton="0" quotePrefix="0" xfId="0"/>
    <xf numFmtId="0" fontId="4156" fillId="4161" borderId="4096" pivotButton="0" quotePrefix="0" xfId="0"/>
    <xf numFmtId="0" fontId="4157" fillId="4162" borderId="4097" pivotButton="0" quotePrefix="0" xfId="0"/>
    <xf numFmtId="0" fontId="4158" fillId="4163" borderId="4098" pivotButton="0" quotePrefix="0" xfId="0"/>
    <xf numFmtId="0" fontId="4159" fillId="4164" borderId="4099" pivotButton="0" quotePrefix="0" xfId="0"/>
    <xf numFmtId="0" fontId="4160" fillId="4165" borderId="4100" pivotButton="0" quotePrefix="0" xfId="0"/>
    <xf numFmtId="0" fontId="4161" fillId="4166" borderId="4101" pivotButton="0" quotePrefix="0" xfId="0"/>
    <xf numFmtId="0" fontId="4162" fillId="4167" borderId="4102" pivotButton="0" quotePrefix="0" xfId="0"/>
    <xf numFmtId="0" fontId="4163" fillId="4168" borderId="4103" pivotButton="0" quotePrefix="0" xfId="0"/>
    <xf numFmtId="0" fontId="4164" fillId="4169" borderId="4104" pivotButton="0" quotePrefix="0" xfId="0"/>
    <xf numFmtId="0" fontId="4165" fillId="4170" borderId="4105" pivotButton="0" quotePrefix="0" xfId="0"/>
    <xf numFmtId="0" fontId="4166" fillId="4171" borderId="4106" pivotButton="0" quotePrefix="0" xfId="0"/>
    <xf numFmtId="0" fontId="4167" fillId="4172" borderId="4107" pivotButton="0" quotePrefix="0" xfId="0"/>
    <xf numFmtId="0" fontId="4168" fillId="4173" borderId="4108" pivotButton="0" quotePrefix="0" xfId="0"/>
    <xf numFmtId="0" fontId="4169" fillId="4174" borderId="4109" pivotButton="0" quotePrefix="0" xfId="0"/>
    <xf numFmtId="0" fontId="4170" fillId="4175" borderId="4110" pivotButton="0" quotePrefix="0" xfId="0"/>
    <xf numFmtId="0" fontId="4171" fillId="4176" borderId="4111" pivotButton="0" quotePrefix="0" xfId="0"/>
    <xf numFmtId="0" fontId="4172" fillId="4177" borderId="4112" pivotButton="0" quotePrefix="0" xfId="0"/>
    <xf numFmtId="0" fontId="4173" fillId="4178" borderId="4113" pivotButton="0" quotePrefix="0" xfId="0"/>
    <xf numFmtId="0" fontId="4174" fillId="4179" borderId="4114" pivotButton="0" quotePrefix="0" xfId="0"/>
    <xf numFmtId="0" fontId="4175" fillId="4180" borderId="4115" pivotButton="0" quotePrefix="0" xfId="0"/>
    <xf numFmtId="0" fontId="4176" fillId="4181" borderId="4116" pivotButton="0" quotePrefix="0" xfId="0"/>
    <xf numFmtId="0" fontId="4177" fillId="4182" borderId="4117" pivotButton="0" quotePrefix="0" xfId="0"/>
    <xf numFmtId="0" fontId="4178" fillId="4183" borderId="4118" pivotButton="0" quotePrefix="0" xfId="0"/>
    <xf numFmtId="0" fontId="4179" fillId="4184" borderId="4119" pivotButton="0" quotePrefix="0" xfId="0"/>
    <xf numFmtId="0" fontId="4180" fillId="4185" borderId="4120" pivotButton="0" quotePrefix="0" xfId="0"/>
    <xf numFmtId="0" fontId="4181" fillId="4186" borderId="4121" pivotButton="0" quotePrefix="0" xfId="0"/>
    <xf numFmtId="0" fontId="4182" fillId="4187" borderId="4122" pivotButton="0" quotePrefix="0" xfId="0"/>
    <xf numFmtId="0" fontId="4183" fillId="4188" borderId="4123" pivotButton="0" quotePrefix="0" xfId="0"/>
    <xf numFmtId="0" fontId="4184" fillId="4189" borderId="4124" pivotButton="0" quotePrefix="0" xfId="0"/>
    <xf numFmtId="0" fontId="4185" fillId="4190" borderId="4125" pivotButton="0" quotePrefix="0" xfId="0"/>
    <xf numFmtId="0" fontId="4186" fillId="4191" borderId="4126" pivotButton="0" quotePrefix="0" xfId="0"/>
    <xf numFmtId="0" fontId="4187" fillId="4192" borderId="4127" pivotButton="0" quotePrefix="0" xfId="0"/>
    <xf numFmtId="0" fontId="4188" fillId="4193" borderId="4128" pivotButton="0" quotePrefix="0" xfId="0"/>
    <xf numFmtId="0" fontId="4189" fillId="4194" borderId="4129" pivotButton="0" quotePrefix="0" xfId="0"/>
    <xf numFmtId="0" fontId="4190" fillId="4195" borderId="4130" pivotButton="0" quotePrefix="0" xfId="0"/>
    <xf numFmtId="0" fontId="4191" fillId="4196" borderId="4131" pivotButton="0" quotePrefix="0" xfId="0"/>
    <xf numFmtId="0" fontId="4192" fillId="4197" borderId="4132" pivotButton="0" quotePrefix="0" xfId="0"/>
    <xf numFmtId="0" fontId="4193" fillId="4198" borderId="4133" pivotButton="0" quotePrefix="0" xfId="0"/>
    <xf numFmtId="0" fontId="4194" fillId="4199" borderId="4134" pivotButton="0" quotePrefix="0" xfId="0"/>
    <xf numFmtId="0" fontId="4195" fillId="4200" borderId="4135" pivotButton="0" quotePrefix="0" xfId="0"/>
    <xf numFmtId="0" fontId="4196" fillId="4201" borderId="4136" pivotButton="0" quotePrefix="0" xfId="0"/>
    <xf numFmtId="0" fontId="4197" fillId="4202" borderId="4137" pivotButton="0" quotePrefix="0" xfId="0"/>
    <xf numFmtId="0" fontId="4198" fillId="4203" borderId="4138" pivotButton="0" quotePrefix="0" xfId="0"/>
    <xf numFmtId="0" fontId="4199" fillId="4204" borderId="4139" pivotButton="0" quotePrefix="0" xfId="0"/>
    <xf numFmtId="0" fontId="4200" fillId="4205" borderId="4140" pivotButton="0" quotePrefix="0" xfId="0"/>
    <xf numFmtId="0" fontId="4201" fillId="4206" borderId="4141" pivotButton="0" quotePrefix="0" xfId="0"/>
    <xf numFmtId="0" fontId="4202" fillId="4207" borderId="4142" pivotButton="0" quotePrefix="0" xfId="0"/>
    <xf numFmtId="0" fontId="4203" fillId="4208" borderId="4143" pivotButton="0" quotePrefix="0" xfId="0"/>
    <xf numFmtId="0" fontId="4204" fillId="4209" borderId="4144" pivotButton="0" quotePrefix="0" xfId="0"/>
    <xf numFmtId="0" fontId="4205" fillId="4210" borderId="4145" pivotButton="0" quotePrefix="0" xfId="0"/>
    <xf numFmtId="0" fontId="4206" fillId="4211" borderId="4146" pivotButton="0" quotePrefix="0" xfId="0"/>
    <xf numFmtId="0" fontId="4207" fillId="4212" borderId="4147" pivotButton="0" quotePrefix="0" xfId="0"/>
    <xf numFmtId="0" fontId="4208" fillId="4213" borderId="4148" pivotButton="0" quotePrefix="0" xfId="0"/>
    <xf numFmtId="0" fontId="4209" fillId="4214" borderId="4149" pivotButton="0" quotePrefix="0" xfId="0"/>
    <xf numFmtId="0" fontId="4210" fillId="4215" borderId="4150" pivotButton="0" quotePrefix="0" xfId="0"/>
    <xf numFmtId="0" fontId="4211" fillId="4216" borderId="4151" pivotButton="0" quotePrefix="0" xfId="0"/>
    <xf numFmtId="0" fontId="4212" fillId="4217" borderId="4152" pivotButton="0" quotePrefix="0" xfId="0"/>
    <xf numFmtId="0" fontId="4213" fillId="4218" borderId="4153" pivotButton="0" quotePrefix="0" xfId="0"/>
    <xf numFmtId="0" fontId="4214" fillId="4219" borderId="4154" pivotButton="0" quotePrefix="0" xfId="0"/>
    <xf numFmtId="0" fontId="4215" fillId="4220" borderId="4155" pivotButton="0" quotePrefix="0" xfId="0"/>
    <xf numFmtId="0" fontId="4216" fillId="4221" borderId="4156" pivotButton="0" quotePrefix="0" xfId="0"/>
    <xf numFmtId="0" fontId="4217" fillId="4222" borderId="4157" pivotButton="0" quotePrefix="0" xfId="0"/>
    <xf numFmtId="0" fontId="4218" fillId="4223" borderId="4158" pivotButton="0" quotePrefix="0" xfId="0"/>
    <xf numFmtId="0" fontId="4219" fillId="4224" borderId="4159" pivotButton="0" quotePrefix="0" xfId="0"/>
    <xf numFmtId="0" fontId="4220" fillId="4225" borderId="4160" pivotButton="0" quotePrefix="0" xfId="0"/>
    <xf numFmtId="0" fontId="4221" fillId="4226" borderId="4161" pivotButton="0" quotePrefix="0" xfId="0"/>
    <xf numFmtId="0" fontId="4222" fillId="4227" borderId="4162" pivotButton="0" quotePrefix="0" xfId="0"/>
    <xf numFmtId="0" fontId="4223" fillId="4228" borderId="4163" pivotButton="0" quotePrefix="0" xfId="0"/>
    <xf numFmtId="0" fontId="4224" fillId="4229" borderId="4164" pivotButton="0" quotePrefix="0" xfId="0"/>
    <xf numFmtId="0" fontId="4225" fillId="4230" borderId="4165" pivotButton="0" quotePrefix="0" xfId="0"/>
    <xf numFmtId="0" fontId="4226" fillId="4231" borderId="4166" pivotButton="0" quotePrefix="0" xfId="0"/>
    <xf numFmtId="0" fontId="4227" fillId="4232" borderId="4167" pivotButton="0" quotePrefix="0" xfId="0"/>
    <xf numFmtId="0" fontId="4228" fillId="4233" borderId="4168" pivotButton="0" quotePrefix="0" xfId="0"/>
    <xf numFmtId="0" fontId="4229" fillId="4234" borderId="4169" pivotButton="0" quotePrefix="0" xfId="0"/>
    <xf numFmtId="0" fontId="4230" fillId="4235" borderId="4170" pivotButton="0" quotePrefix="0" xfId="0"/>
    <xf numFmtId="0" fontId="4231" fillId="4236" borderId="4171" pivotButton="0" quotePrefix="0" xfId="0"/>
    <xf numFmtId="0" fontId="4232" fillId="4237" borderId="4172" pivotButton="0" quotePrefix="0" xfId="0"/>
    <xf numFmtId="0" fontId="4233" fillId="4238" borderId="4173" pivotButton="0" quotePrefix="0" xfId="0"/>
    <xf numFmtId="0" fontId="4234" fillId="4239" borderId="4174" pivotButton="0" quotePrefix="0" xfId="0"/>
    <xf numFmtId="0" fontId="4235" fillId="4240" borderId="4175" pivotButton="0" quotePrefix="0" xfId="0"/>
    <xf numFmtId="0" fontId="4236" fillId="4241" borderId="4176" pivotButton="0" quotePrefix="0" xfId="0"/>
    <xf numFmtId="0" fontId="4237" fillId="4242" borderId="4177" pivotButton="0" quotePrefix="0" xfId="0"/>
    <xf numFmtId="0" fontId="4238" fillId="4243" borderId="4178" pivotButton="0" quotePrefix="0" xfId="0"/>
    <xf numFmtId="0" fontId="4239" fillId="4244" borderId="4179" pivotButton="0" quotePrefix="0" xfId="0"/>
    <xf numFmtId="0" fontId="4240" fillId="4245" borderId="4180" pivotButton="0" quotePrefix="0" xfId="0"/>
    <xf numFmtId="0" fontId="4241" fillId="4246" borderId="4181" pivotButton="0" quotePrefix="0" xfId="0"/>
    <xf numFmtId="0" fontId="4242" fillId="4247" borderId="4182" pivotButton="0" quotePrefix="0" xfId="0"/>
    <xf numFmtId="0" fontId="4243" fillId="4248" borderId="4183" pivotButton="0" quotePrefix="0" xfId="0"/>
    <xf numFmtId="0" fontId="4244" fillId="4249" borderId="4184" pivotButton="0" quotePrefix="0" xfId="0"/>
    <xf numFmtId="0" fontId="4245" fillId="4250" borderId="4185" pivotButton="0" quotePrefix="0" xfId="0"/>
    <xf numFmtId="0" fontId="4246" fillId="4251" borderId="4186" pivotButton="0" quotePrefix="0" xfId="0"/>
    <xf numFmtId="0" fontId="4247" fillId="4252" borderId="4187" pivotButton="0" quotePrefix="0" xfId="0"/>
    <xf numFmtId="0" fontId="4248" fillId="4253" borderId="4188" pivotButton="0" quotePrefix="0" xfId="0"/>
    <xf numFmtId="0" fontId="4249" fillId="4254" borderId="4189" pivotButton="0" quotePrefix="0" xfId="0"/>
    <xf numFmtId="0" fontId="4250" fillId="4255" borderId="4190" pivotButton="0" quotePrefix="0" xfId="0"/>
    <xf numFmtId="0" fontId="4251" fillId="4256" borderId="4191" pivotButton="0" quotePrefix="0" xfId="0"/>
    <xf numFmtId="0" fontId="4252" fillId="4257" borderId="4192" pivotButton="0" quotePrefix="0" xfId="0"/>
    <xf numFmtId="0" fontId="4253" fillId="4258" borderId="4193" pivotButton="0" quotePrefix="0" xfId="0"/>
    <xf numFmtId="0" fontId="4254" fillId="4259" borderId="4194" pivotButton="0" quotePrefix="0" xfId="0"/>
    <xf numFmtId="0" fontId="4255" fillId="4260" borderId="4195" pivotButton="0" quotePrefix="0" xfId="0"/>
    <xf numFmtId="0" fontId="4256" fillId="4261" borderId="4196" pivotButton="0" quotePrefix="0" xfId="0"/>
    <xf numFmtId="0" fontId="4257" fillId="4262" borderId="4197" pivotButton="0" quotePrefix="0" xfId="0"/>
    <xf numFmtId="0" fontId="4258" fillId="4263" borderId="4198" pivotButton="0" quotePrefix="0" xfId="0"/>
    <xf numFmtId="0" fontId="4259" fillId="4264" borderId="4199" pivotButton="0" quotePrefix="0" xfId="0"/>
    <xf numFmtId="0" fontId="4260" fillId="4265" borderId="4200" pivotButton="0" quotePrefix="0" xfId="0"/>
    <xf numFmtId="0" fontId="4261" fillId="4266" borderId="4201" pivotButton="0" quotePrefix="0" xfId="0"/>
    <xf numFmtId="0" fontId="4262" fillId="4267" borderId="4202" pivotButton="0" quotePrefix="0" xfId="0"/>
    <xf numFmtId="0" fontId="4263" fillId="4268" borderId="4203" pivotButton="0" quotePrefix="0" xfId="0"/>
    <xf numFmtId="0" fontId="4264" fillId="4269" borderId="4204" pivotButton="0" quotePrefix="0" xfId="0"/>
    <xf numFmtId="0" fontId="4265" fillId="4270" borderId="4205" pivotButton="0" quotePrefix="0" xfId="0"/>
    <xf numFmtId="0" fontId="4266" fillId="4271" borderId="4206" pivotButton="0" quotePrefix="0" xfId="0"/>
    <xf numFmtId="0" fontId="4267" fillId="4272" borderId="4207" pivotButton="0" quotePrefix="0" xfId="0"/>
    <xf numFmtId="0" fontId="4268" fillId="4273" borderId="4208" pivotButton="0" quotePrefix="0" xfId="0"/>
    <xf numFmtId="0" fontId="4269" fillId="4274" borderId="4209" pivotButton="0" quotePrefix="0" xfId="0"/>
    <xf numFmtId="0" fontId="4270" fillId="4275" borderId="4210" pivotButton="0" quotePrefix="0" xfId="0"/>
    <xf numFmtId="0" fontId="4271" fillId="4276" borderId="4211" pivotButton="0" quotePrefix="0" xfId="0"/>
    <xf numFmtId="0" fontId="4272" fillId="4277" borderId="4212" pivotButton="0" quotePrefix="0" xfId="0"/>
    <xf numFmtId="0" fontId="4273" fillId="4278" borderId="4213" pivotButton="0" quotePrefix="0" xfId="0"/>
    <xf numFmtId="0" fontId="4274" fillId="4279" borderId="4214" pivotButton="0" quotePrefix="0" xfId="0"/>
    <xf numFmtId="0" fontId="4275" fillId="4280" borderId="4215" pivotButton="0" quotePrefix="0" xfId="0"/>
    <xf numFmtId="0" fontId="4276" fillId="4281" borderId="4216" pivotButton="0" quotePrefix="0" xfId="0"/>
    <xf numFmtId="0" fontId="4277" fillId="4282" borderId="4217" pivotButton="0" quotePrefix="0" xfId="0"/>
    <xf numFmtId="0" fontId="4278" fillId="4283" borderId="4218" pivotButton="0" quotePrefix="0" xfId="0"/>
    <xf numFmtId="0" fontId="4279" fillId="4284" borderId="4219" pivotButton="0" quotePrefix="0" xfId="0"/>
    <xf numFmtId="0" fontId="4280" fillId="4285" borderId="4220" pivotButton="0" quotePrefix="0" xfId="0"/>
    <xf numFmtId="0" fontId="4281" fillId="4286" borderId="4221" pivotButton="0" quotePrefix="0" xfId="0"/>
    <xf numFmtId="0" fontId="4282" fillId="4287" borderId="4222" pivotButton="0" quotePrefix="0" xfId="0"/>
    <xf numFmtId="0" fontId="4283" fillId="4288" borderId="4223" pivotButton="0" quotePrefix="0" xfId="0"/>
    <xf numFmtId="0" fontId="4284" fillId="4289" borderId="4224" pivotButton="0" quotePrefix="0" xfId="0"/>
    <xf numFmtId="0" fontId="4285" fillId="4290" borderId="4225" pivotButton="0" quotePrefix="0" xfId="0"/>
    <xf numFmtId="0" fontId="4286" fillId="4291" borderId="4226" pivotButton="0" quotePrefix="0" xfId="0"/>
    <xf numFmtId="0" fontId="4287" fillId="4292" borderId="4227" pivotButton="0" quotePrefix="0" xfId="0"/>
    <xf numFmtId="0" fontId="4288" fillId="4293" borderId="4228" pivotButton="0" quotePrefix="0" xfId="0"/>
    <xf numFmtId="0" fontId="4289" fillId="4294" borderId="4229" pivotButton="0" quotePrefix="0" xfId="0"/>
    <xf numFmtId="0" fontId="4290" fillId="4295" borderId="4230" pivotButton="0" quotePrefix="0" xfId="0"/>
    <xf numFmtId="0" fontId="4291" fillId="4296" borderId="4231" pivotButton="0" quotePrefix="0" xfId="0"/>
    <xf numFmtId="0" fontId="4292" fillId="4297" borderId="4232" pivotButton="0" quotePrefix="0" xfId="0"/>
    <xf numFmtId="0" fontId="4293" fillId="4298" borderId="4233" pivotButton="0" quotePrefix="0" xfId="0"/>
    <xf numFmtId="0" fontId="4294" fillId="4299" borderId="4234" pivotButton="0" quotePrefix="0" xfId="0"/>
    <xf numFmtId="0" fontId="4295" fillId="4300" borderId="4235" pivotButton="0" quotePrefix="0" xfId="0"/>
    <xf numFmtId="0" fontId="4296" fillId="4301" borderId="4236" pivotButton="0" quotePrefix="0" xfId="0"/>
    <xf numFmtId="0" fontId="4297" fillId="4302" borderId="4237" pivotButton="0" quotePrefix="0" xfId="0"/>
    <xf numFmtId="0" fontId="4298" fillId="4303" borderId="4238" pivotButton="0" quotePrefix="0" xfId="0"/>
    <xf numFmtId="0" fontId="4299" fillId="4304" borderId="4239" pivotButton="0" quotePrefix="0" xfId="0"/>
    <xf numFmtId="0" fontId="4300" fillId="4305" borderId="4240" pivotButton="0" quotePrefix="0" xfId="0"/>
    <xf numFmtId="0" fontId="4301" fillId="4306" borderId="4241" pivotButton="0" quotePrefix="0" xfId="0"/>
    <xf numFmtId="0" fontId="4302" fillId="4307" borderId="4242" pivotButton="0" quotePrefix="0" xfId="0"/>
    <xf numFmtId="0" fontId="4303" fillId="4308" borderId="4243" pivotButton="0" quotePrefix="0" xfId="0"/>
    <xf numFmtId="0" fontId="4304" fillId="4309" borderId="4244" pivotButton="0" quotePrefix="0" xfId="0"/>
    <xf numFmtId="0" fontId="4305" fillId="4310" borderId="4245" pivotButton="0" quotePrefix="0" xfId="0"/>
    <xf numFmtId="0" fontId="4306" fillId="4311" borderId="4246" pivotButton="0" quotePrefix="0" xfId="0"/>
    <xf numFmtId="0" fontId="4307" fillId="4312" borderId="4247" pivotButton="0" quotePrefix="0" xfId="0"/>
    <xf numFmtId="0" fontId="4308" fillId="4313" borderId="4248" pivotButton="0" quotePrefix="0" xfId="0"/>
    <xf numFmtId="0" fontId="4309" fillId="4314" borderId="4249" pivotButton="0" quotePrefix="0" xfId="0"/>
    <xf numFmtId="0" fontId="4310" fillId="4315" borderId="4250" pivotButton="0" quotePrefix="0" xfId="0"/>
    <xf numFmtId="0" fontId="4311" fillId="4316" borderId="4251" pivotButton="0" quotePrefix="0" xfId="0"/>
    <xf numFmtId="0" fontId="4312" fillId="4317" borderId="4252" pivotButton="0" quotePrefix="0" xfId="0"/>
    <xf numFmtId="0" fontId="4313" fillId="4318" borderId="4253" pivotButton="0" quotePrefix="0" xfId="0"/>
    <xf numFmtId="0" fontId="4314" fillId="4319" borderId="4254" pivotButton="0" quotePrefix="0" xfId="0"/>
    <xf numFmtId="0" fontId="4315" fillId="4320" borderId="4255" pivotButton="0" quotePrefix="0" xfId="0"/>
    <xf numFmtId="14" fontId="4316" fillId="4321" borderId="4256" pivotButton="0" quotePrefix="0" xfId="0"/>
    <xf numFmtId="0" fontId="4317" fillId="4322" borderId="4257" pivotButton="0" quotePrefix="0" xfId="0"/>
    <xf numFmtId="0" fontId="4318" fillId="4323" borderId="4258" pivotButton="0" quotePrefix="0" xfId="0"/>
    <xf numFmtId="0" fontId="4319" fillId="4324" borderId="4259" pivotButton="0" quotePrefix="0" xfId="0"/>
    <xf numFmtId="0" fontId="4320" fillId="4325" borderId="4260" pivotButton="0" quotePrefix="0" xfId="0"/>
    <xf numFmtId="0" fontId="4321" fillId="4326" borderId="4261" pivotButton="0" quotePrefix="0" xfId="0"/>
    <xf numFmtId="0" fontId="4322" fillId="4327" borderId="4262" pivotButton="0" quotePrefix="0" xfId="0"/>
    <xf numFmtId="0" fontId="4323" fillId="4328" borderId="4263" pivotButton="0" quotePrefix="0" xfId="0"/>
    <xf numFmtId="0" fontId="4324" fillId="4329" borderId="4264" pivotButton="0" quotePrefix="0" xfId="0"/>
    <xf numFmtId="0" fontId="4325" fillId="4330" borderId="4265" pivotButton="0" quotePrefix="0" xfId="0"/>
    <xf numFmtId="0" fontId="4326" fillId="4331" borderId="4266" pivotButton="0" quotePrefix="0" xfId="0"/>
    <xf numFmtId="14" fontId="4327" fillId="4332" borderId="4267" pivotButton="0" quotePrefix="0" xfId="0"/>
    <xf numFmtId="0" fontId="4328" fillId="4333" borderId="4268" pivotButton="0" quotePrefix="0" xfId="0"/>
    <xf numFmtId="0" fontId="4329" fillId="4334" borderId="4269" pivotButton="0" quotePrefix="0" xfId="0"/>
    <xf numFmtId="0" fontId="4330" fillId="4335" borderId="4270" pivotButton="0" quotePrefix="0" xfId="0"/>
    <xf numFmtId="0" fontId="4331" fillId="4336" borderId="4271" pivotButton="0" quotePrefix="0" xfId="0"/>
    <xf numFmtId="0" fontId="4332" fillId="4337" borderId="4272" pivotButton="0" quotePrefix="0" xfId="0"/>
    <xf numFmtId="0" fontId="4333" fillId="4338" borderId="4273" pivotButton="0" quotePrefix="0" xfId="0"/>
    <xf numFmtId="0" fontId="4334" fillId="4339" borderId="4274" pivotButton="0" quotePrefix="0" xfId="0"/>
    <xf numFmtId="0" fontId="4335" fillId="4340" borderId="4275" pivotButton="0" quotePrefix="0" xfId="0"/>
    <xf numFmtId="0" fontId="4336" fillId="4341" borderId="4276" pivotButton="0" quotePrefix="0" xfId="0"/>
    <xf numFmtId="0" fontId="4337" fillId="4342" borderId="4277" pivotButton="0" quotePrefix="0" xfId="0"/>
    <xf numFmtId="14" fontId="4338" fillId="4343" borderId="4278" pivotButton="0" quotePrefix="0" xfId="0"/>
    <xf numFmtId="0" fontId="4339" fillId="4344" borderId="4279" pivotButton="0" quotePrefix="0" xfId="0"/>
    <xf numFmtId="0" fontId="4340" fillId="4345" borderId="4280" pivotButton="0" quotePrefix="0" xfId="0"/>
    <xf numFmtId="0" fontId="4341" fillId="4346" borderId="4281" pivotButton="0" quotePrefix="0" xfId="0"/>
    <xf numFmtId="0" fontId="4342" fillId="4347" borderId="4282" pivotButton="0" quotePrefix="0" xfId="0"/>
    <xf numFmtId="0" fontId="4343" fillId="4348" borderId="4283" pivotButton="0" quotePrefix="0" xfId="0"/>
    <xf numFmtId="0" fontId="4344" fillId="4349" borderId="4284" pivotButton="0" quotePrefix="0" xfId="0"/>
    <xf numFmtId="0" fontId="4345" fillId="4350" borderId="4285" pivotButton="0" quotePrefix="0" xfId="0"/>
    <xf numFmtId="0" fontId="4346" fillId="4351" borderId="4286" pivotButton="0" quotePrefix="0" xfId="0"/>
    <xf numFmtId="0" fontId="4347" fillId="4352" borderId="4287" pivotButton="0" quotePrefix="0" xfId="0"/>
    <xf numFmtId="0" fontId="4348" fillId="4353" borderId="4288" pivotButton="0" quotePrefix="0" xfId="0"/>
    <xf numFmtId="14" fontId="4349" fillId="4354" borderId="4289" pivotButton="0" quotePrefix="0" xfId="0"/>
    <xf numFmtId="0" fontId="4350" fillId="4355" borderId="4290" pivotButton="0" quotePrefix="0" xfId="0"/>
    <xf numFmtId="0" fontId="4351" fillId="4356" borderId="4291" pivotButton="0" quotePrefix="0" xfId="0"/>
    <xf numFmtId="0" fontId="4352" fillId="4357" borderId="4292" pivotButton="0" quotePrefix="0" xfId="0"/>
    <xf numFmtId="0" fontId="4353" fillId="4358" borderId="4293" pivotButton="0" quotePrefix="0" xfId="0"/>
    <xf numFmtId="0" fontId="4354" fillId="4359" borderId="4294" pivotButton="0" quotePrefix="0" xfId="0"/>
    <xf numFmtId="0" fontId="4355" fillId="4360" borderId="4295" pivotButton="0" quotePrefix="0" xfId="0"/>
    <xf numFmtId="0" fontId="4356" fillId="4361" borderId="4296" pivotButton="0" quotePrefix="0" xfId="0"/>
    <xf numFmtId="0" fontId="4357" fillId="4362" borderId="4297" pivotButton="0" quotePrefix="0" xfId="0"/>
    <xf numFmtId="0" fontId="4358" fillId="4363" borderId="4298" pivotButton="0" quotePrefix="0" xfId="0"/>
    <xf numFmtId="0" fontId="4359" fillId="4364" borderId="4299" pivotButton="0" quotePrefix="0" xfId="0"/>
    <xf numFmtId="14" fontId="4360" fillId="4365" borderId="4300" pivotButton="0" quotePrefix="0" xfId="0"/>
    <xf numFmtId="0" fontId="4361" fillId="4366" borderId="4301" pivotButton="0" quotePrefix="0" xfId="0"/>
    <xf numFmtId="0" fontId="4362" fillId="4367" borderId="4302" pivotButton="0" quotePrefix="0" xfId="0"/>
    <xf numFmtId="0" fontId="4363" fillId="4368" borderId="4303" pivotButton="0" quotePrefix="0" xfId="0"/>
    <xf numFmtId="0" fontId="4364" fillId="4369" borderId="4304" pivotButton="0" quotePrefix="0" xfId="0"/>
    <xf numFmtId="0" fontId="4365" fillId="4370" borderId="4305" pivotButton="0" quotePrefix="0" xfId="0"/>
    <xf numFmtId="0" fontId="4366" fillId="4371" borderId="4306" pivotButton="0" quotePrefix="0" xfId="0"/>
    <xf numFmtId="0" fontId="4367" fillId="4372" borderId="4307" pivotButton="0" quotePrefix="0" xfId="0"/>
    <xf numFmtId="0" fontId="4368" fillId="4373" borderId="4308" pivotButton="0" quotePrefix="0" xfId="0"/>
    <xf numFmtId="0" fontId="4369" fillId="4374" borderId="4309" pivotButton="0" quotePrefix="0" xfId="0"/>
    <xf numFmtId="0" fontId="4370" fillId="4375" borderId="4310" pivotButton="0" quotePrefix="0" xfId="0"/>
    <xf numFmtId="14" fontId="4371" fillId="4376" borderId="4311" pivotButton="0" quotePrefix="0" xfId="0"/>
    <xf numFmtId="0" fontId="4372" fillId="4377" borderId="4312" pivotButton="0" quotePrefix="0" xfId="0"/>
    <xf numFmtId="0" fontId="4373" fillId="4378" borderId="4313" pivotButton="0" quotePrefix="0" xfId="0"/>
    <xf numFmtId="0" fontId="4374" fillId="4379" borderId="4314" pivotButton="0" quotePrefix="0" xfId="0"/>
    <xf numFmtId="0" fontId="4375" fillId="4380" borderId="4315" pivotButton="0" quotePrefix="0" xfId="0"/>
    <xf numFmtId="0" fontId="4376" fillId="4381" borderId="4316" pivotButton="0" quotePrefix="0" xfId="0"/>
    <xf numFmtId="0" fontId="4377" fillId="4382" borderId="4317" pivotButton="0" quotePrefix="0" xfId="0"/>
    <xf numFmtId="0" fontId="4378" fillId="4383" borderId="4318" pivotButton="0" quotePrefix="0" xfId="0"/>
    <xf numFmtId="0" fontId="4379" fillId="4384" borderId="4319" pivotButton="0" quotePrefix="0" xfId="0"/>
    <xf numFmtId="0" fontId="4380" fillId="4385" borderId="4320" pivotButton="0" quotePrefix="0" xfId="0"/>
    <xf numFmtId="0" fontId="4381" fillId="4386" borderId="4321" pivotButton="0" quotePrefix="0" xfId="0"/>
    <xf numFmtId="14" fontId="4382" fillId="4387" borderId="4322" pivotButton="0" quotePrefix="0" xfId="0"/>
    <xf numFmtId="0" fontId="4383" fillId="4388" borderId="4323" pivotButton="0" quotePrefix="0" xfId="0"/>
    <xf numFmtId="0" fontId="4384" fillId="4389" borderId="4324" pivotButton="0" quotePrefix="0" xfId="0"/>
    <xf numFmtId="0" fontId="4385" fillId="4390" borderId="4325" pivotButton="0" quotePrefix="0" xfId="0"/>
    <xf numFmtId="0" fontId="4386" fillId="4391" borderId="4326" pivotButton="0" quotePrefix="0" xfId="0"/>
    <xf numFmtId="0" fontId="4387" fillId="4392" borderId="4327" pivotButton="0" quotePrefix="0" xfId="0"/>
    <xf numFmtId="0" fontId="4388" fillId="4393" borderId="4328" pivotButton="0" quotePrefix="0" xfId="0"/>
    <xf numFmtId="0" fontId="4389" fillId="4394" borderId="4329" pivotButton="0" quotePrefix="0" xfId="0"/>
    <xf numFmtId="0" fontId="4390" fillId="4395" borderId="4330" pivotButton="0" quotePrefix="0" xfId="0"/>
    <xf numFmtId="0" fontId="4391" fillId="4396" borderId="4331" pivotButton="0" quotePrefix="0" xfId="0"/>
    <xf numFmtId="0" fontId="4392" fillId="4397" borderId="4332" pivotButton="0" quotePrefix="0" xfId="0"/>
    <xf numFmtId="14" fontId="4393" fillId="4398" borderId="4333" pivotButton="0" quotePrefix="0" xfId="0"/>
    <xf numFmtId="0" fontId="4394" fillId="4399" borderId="4334" pivotButton="0" quotePrefix="0" xfId="0"/>
    <xf numFmtId="0" fontId="4395" fillId="4400" borderId="4335" pivotButton="0" quotePrefix="0" xfId="0"/>
    <xf numFmtId="0" fontId="4396" fillId="4401" borderId="4336" pivotButton="0" quotePrefix="0" xfId="0"/>
    <xf numFmtId="0" fontId="4397" fillId="4402" borderId="4337" pivotButton="0" quotePrefix="0" xfId="0"/>
    <xf numFmtId="0" fontId="4398" fillId="4403" borderId="4338" pivotButton="0" quotePrefix="0" xfId="0"/>
    <xf numFmtId="0" fontId="4399" fillId="4404" borderId="4339" pivotButton="0" quotePrefix="0" xfId="0"/>
    <xf numFmtId="0" fontId="4400" fillId="4405" borderId="4340" pivotButton="0" quotePrefix="0" xfId="0"/>
    <xf numFmtId="0" fontId="4401" fillId="4406" borderId="4341" pivotButton="0" quotePrefix="0" xfId="0"/>
    <xf numFmtId="0" fontId="4402" fillId="4407" borderId="4342" pivotButton="0" quotePrefix="0" xfId="0"/>
    <xf numFmtId="0" fontId="4403" fillId="4408" borderId="4343" pivotButton="0" quotePrefix="0" xfId="0"/>
    <xf numFmtId="14" fontId="4404" fillId="4409" borderId="4344" pivotButton="0" quotePrefix="0" xfId="0"/>
    <xf numFmtId="0" fontId="4405" fillId="4410" borderId="4345" pivotButton="0" quotePrefix="0" xfId="0"/>
    <xf numFmtId="0" fontId="4406" fillId="4411" borderId="4346" pivotButton="0" quotePrefix="0" xfId="0"/>
    <xf numFmtId="0" fontId="4407" fillId="4412" borderId="4347" pivotButton="0" quotePrefix="0" xfId="0"/>
    <xf numFmtId="0" fontId="4408" fillId="4413" borderId="4348" pivotButton="0" quotePrefix="0" xfId="0"/>
    <xf numFmtId="0" fontId="4409" fillId="4414" borderId="4349" pivotButton="0" quotePrefix="0" xfId="0"/>
    <xf numFmtId="0" fontId="4410" fillId="4415" borderId="4350" pivotButton="0" quotePrefix="0" xfId="0"/>
    <xf numFmtId="0" fontId="4411" fillId="4416" borderId="4351" pivotButton="0" quotePrefix="0" xfId="0"/>
    <xf numFmtId="0" fontId="4412" fillId="4417" borderId="4352" pivotButton="0" quotePrefix="0" xfId="0"/>
    <xf numFmtId="0" fontId="4413" fillId="4418" borderId="4353" pivotButton="0" quotePrefix="0" xfId="0"/>
    <xf numFmtId="0" fontId="4414" fillId="4419" borderId="4354" pivotButton="0" quotePrefix="0" xfId="0"/>
    <xf numFmtId="14" fontId="4415" fillId="4420" borderId="4355" pivotButton="0" quotePrefix="0" xfId="0"/>
    <xf numFmtId="0" fontId="4416" fillId="4421" borderId="4356" pivotButton="0" quotePrefix="0" xfId="0"/>
    <xf numFmtId="0" fontId="4417" fillId="4422" borderId="4357" pivotButton="0" quotePrefix="0" xfId="0"/>
    <xf numFmtId="0" fontId="4418" fillId="4423" borderId="4358" pivotButton="0" quotePrefix="0" xfId="0"/>
    <xf numFmtId="0" fontId="4419" fillId="4424" borderId="4359" pivotButton="0" quotePrefix="0" xfId="0"/>
    <xf numFmtId="0" fontId="4420" fillId="4425" borderId="4360" pivotButton="0" quotePrefix="0" xfId="0"/>
    <xf numFmtId="0" fontId="4421" fillId="4426" borderId="4361" pivotButton="0" quotePrefix="0" xfId="0"/>
    <xf numFmtId="0" fontId="4422" fillId="4427" borderId="4362" pivotButton="0" quotePrefix="0" xfId="0"/>
    <xf numFmtId="0" fontId="4423" fillId="4428" borderId="4363" pivotButton="0" quotePrefix="0" xfId="0"/>
    <xf numFmtId="0" fontId="4424" fillId="4429" borderId="4364" pivotButton="0" quotePrefix="0" xfId="0"/>
    <xf numFmtId="0" fontId="4425" fillId="4430" borderId="4365" pivotButton="0" quotePrefix="0" xfId="0"/>
    <xf numFmtId="14" fontId="4426" fillId="4431" borderId="4366" pivotButton="0" quotePrefix="0" xfId="0"/>
    <xf numFmtId="0" fontId="4427" fillId="4432" borderId="4367" pivotButton="0" quotePrefix="0" xfId="0"/>
    <xf numFmtId="0" fontId="4428" fillId="4433" borderId="4368" pivotButton="0" quotePrefix="0" xfId="0"/>
    <xf numFmtId="0" fontId="4429" fillId="4434" borderId="4369" pivotButton="0" quotePrefix="0" xfId="0"/>
    <xf numFmtId="0" fontId="4430" fillId="4435" borderId="4370" pivotButton="0" quotePrefix="0" xfId="0"/>
    <xf numFmtId="0" fontId="4431" fillId="4436" borderId="4371" pivotButton="0" quotePrefix="0" xfId="0"/>
    <xf numFmtId="0" fontId="4432" fillId="4437" borderId="4372" pivotButton="0" quotePrefix="0" xfId="0"/>
    <xf numFmtId="0" fontId="4433" fillId="4438" borderId="4373" pivotButton="0" quotePrefix="0" xfId="0"/>
    <xf numFmtId="0" fontId="4434" fillId="4439" borderId="4374" pivotButton="0" quotePrefix="0" xfId="0"/>
    <xf numFmtId="0" fontId="4435" fillId="4440" borderId="4375" pivotButton="0" quotePrefix="0" xfId="0"/>
    <xf numFmtId="0" fontId="4436" fillId="4441" borderId="4376" pivotButton="0" quotePrefix="0" xfId="0"/>
    <xf numFmtId="14" fontId="4437" fillId="4442" borderId="4377" pivotButton="0" quotePrefix="0" xfId="0"/>
    <xf numFmtId="0" fontId="4438" fillId="4443" borderId="4378" pivotButton="0" quotePrefix="0" xfId="0"/>
    <xf numFmtId="0" fontId="4439" fillId="4444" borderId="4379" pivotButton="0" quotePrefix="0" xfId="0"/>
    <xf numFmtId="0" fontId="4440" fillId="4445" borderId="4380" pivotButton="0" quotePrefix="0" xfId="0"/>
    <xf numFmtId="0" fontId="4441" fillId="4446" borderId="4381" pivotButton="0" quotePrefix="0" xfId="0"/>
    <xf numFmtId="0" fontId="4442" fillId="4447" borderId="4382" pivotButton="0" quotePrefix="0" xfId="0"/>
    <xf numFmtId="0" fontId="4443" fillId="4448" borderId="4383" pivotButton="0" quotePrefix="0" xfId="0"/>
    <xf numFmtId="0" fontId="4444" fillId="4449" borderId="4384" pivotButton="0" quotePrefix="0" xfId="0"/>
    <xf numFmtId="0" fontId="4445" fillId="4450" borderId="4385" pivotButton="0" quotePrefix="0" xfId="0"/>
    <xf numFmtId="0" fontId="4446" fillId="4451" borderId="4386" pivotButton="0" quotePrefix="0" xfId="0"/>
    <xf numFmtId="0" fontId="4447" fillId="4452" borderId="4387" pivotButton="0" quotePrefix="0" xfId="0"/>
    <xf numFmtId="14" fontId="4448" fillId="4453" borderId="4388" pivotButton="0" quotePrefix="0" xfId="0"/>
    <xf numFmtId="0" fontId="4449" fillId="4454" borderId="4389" pivotButton="0" quotePrefix="0" xfId="0"/>
    <xf numFmtId="0" fontId="4450" fillId="4455" borderId="4390" pivotButton="0" quotePrefix="0" xfId="0"/>
    <xf numFmtId="0" fontId="4451" fillId="4456" borderId="4391" pivotButton="0" quotePrefix="0" xfId="0"/>
    <xf numFmtId="0" fontId="4452" fillId="4457" borderId="4392" pivotButton="0" quotePrefix="0" xfId="0"/>
    <xf numFmtId="0" fontId="4453" fillId="4458" borderId="4393" pivotButton="0" quotePrefix="0" xfId="0"/>
    <xf numFmtId="0" fontId="4454" fillId="4459" borderId="4394" pivotButton="0" quotePrefix="0" xfId="0"/>
    <xf numFmtId="0" fontId="4455" fillId="4460" borderId="4395" pivotButton="0" quotePrefix="0" xfId="0"/>
    <xf numFmtId="0" fontId="4456" fillId="4461" borderId="4396" pivotButton="0" quotePrefix="0" xfId="0"/>
    <xf numFmtId="0" fontId="4457" fillId="4462" borderId="4397" pivotButton="0" quotePrefix="0" xfId="0"/>
    <xf numFmtId="0" fontId="4458" fillId="4463" borderId="4398" pivotButton="0" quotePrefix="0" xfId="0"/>
    <xf numFmtId="14" fontId="4459" fillId="4464" borderId="4399" pivotButton="0" quotePrefix="0" xfId="0"/>
    <xf numFmtId="0" fontId="4460" fillId="4465" borderId="4400" pivotButton="0" quotePrefix="0" xfId="0"/>
    <xf numFmtId="0" fontId="4461" fillId="4466" borderId="4401" pivotButton="0" quotePrefix="0" xfId="0"/>
    <xf numFmtId="0" fontId="4462" fillId="4467" borderId="4402" pivotButton="0" quotePrefix="0" xfId="0"/>
    <xf numFmtId="0" fontId="4463" fillId="4468" borderId="4403" pivotButton="0" quotePrefix="0" xfId="0"/>
    <xf numFmtId="0" fontId="4464" fillId="4469" borderId="4404" pivotButton="0" quotePrefix="0" xfId="0"/>
    <xf numFmtId="0" fontId="4465" fillId="4470" borderId="4405" pivotButton="0" quotePrefix="0" xfId="0"/>
    <xf numFmtId="0" fontId="4466" fillId="4471" borderId="4406" pivotButton="0" quotePrefix="0" xfId="0"/>
    <xf numFmtId="0" fontId="4467" fillId="4472" borderId="4407" pivotButton="0" quotePrefix="0" xfId="0"/>
    <xf numFmtId="0" fontId="4468" fillId="4473" borderId="4408" pivotButton="0" quotePrefix="0" xfId="0"/>
    <xf numFmtId="0" fontId="4469" fillId="4474" borderId="4409" pivotButton="0" quotePrefix="0" xfId="0"/>
    <xf numFmtId="14" fontId="4470" fillId="4475" borderId="4410" pivotButton="0" quotePrefix="0" xfId="0"/>
    <xf numFmtId="0" fontId="4471" fillId="4476" borderId="4411" pivotButton="0" quotePrefix="0" xfId="0"/>
    <xf numFmtId="0" fontId="4472" fillId="4477" borderId="4412" pivotButton="0" quotePrefix="0" xfId="0"/>
    <xf numFmtId="0" fontId="4473" fillId="4478" borderId="4413" pivotButton="0" quotePrefix="0" xfId="0"/>
    <xf numFmtId="0" fontId="4474" fillId="4479" borderId="4414" pivotButton="0" quotePrefix="0" xfId="0"/>
    <xf numFmtId="0" fontId="4475" fillId="4480" borderId="4415" pivotButton="0" quotePrefix="0" xfId="0"/>
    <xf numFmtId="0" fontId="4476" fillId="4481" borderId="4416" pivotButton="0" quotePrefix="0" xfId="0"/>
    <xf numFmtId="0" fontId="4477" fillId="4482" borderId="4417" pivotButton="0" quotePrefix="0" xfId="0"/>
    <xf numFmtId="0" fontId="4478" fillId="4483" borderId="4418" pivotButton="0" quotePrefix="0" xfId="0"/>
    <xf numFmtId="0" fontId="4479" fillId="4484" borderId="4419" pivotButton="0" quotePrefix="0" xfId="0"/>
    <xf numFmtId="0" fontId="4480" fillId="4485" borderId="4420" pivotButton="0" quotePrefix="0" xfId="0"/>
    <xf numFmtId="14" fontId="4481" fillId="4486" borderId="4421" pivotButton="0" quotePrefix="0" xfId="0"/>
    <xf numFmtId="0" fontId="4482" fillId="4487" borderId="4422" pivotButton="0" quotePrefix="0" xfId="0"/>
    <xf numFmtId="0" fontId="4483" fillId="4488" borderId="4423" pivotButton="0" quotePrefix="0" xfId="0"/>
    <xf numFmtId="0" fontId="4484" fillId="4489" borderId="4424" pivotButton="0" quotePrefix="0" xfId="0"/>
    <xf numFmtId="0" fontId="4485" fillId="4490" borderId="4425" pivotButton="0" quotePrefix="0" xfId="0"/>
    <xf numFmtId="0" fontId="4486" fillId="4491" borderId="4426" pivotButton="0" quotePrefix="0" xfId="0"/>
    <xf numFmtId="0" fontId="4487" fillId="4492" borderId="4427" pivotButton="0" quotePrefix="0" xfId="0"/>
    <xf numFmtId="0" fontId="4488" fillId="4493" borderId="4428" pivotButton="0" quotePrefix="0" xfId="0"/>
    <xf numFmtId="0" fontId="4489" fillId="4494" borderId="4429" pivotButton="0" quotePrefix="0" xfId="0"/>
    <xf numFmtId="0" fontId="4490" fillId="4495" borderId="4430" pivotButton="0" quotePrefix="0" xfId="0"/>
    <xf numFmtId="0" fontId="4491" fillId="4496" borderId="4431" pivotButton="0" quotePrefix="0" xfId="0"/>
    <xf numFmtId="14" fontId="4492" fillId="4497" borderId="4432" pivotButton="0" quotePrefix="0" xfId="0"/>
    <xf numFmtId="0" fontId="4493" fillId="4498" borderId="4433" pivotButton="0" quotePrefix="0" xfId="0"/>
    <xf numFmtId="0" fontId="4494" fillId="4499" borderId="4434" pivotButton="0" quotePrefix="0" xfId="0"/>
    <xf numFmtId="0" fontId="4495" fillId="4500" borderId="4435" pivotButton="0" quotePrefix="0" xfId="0"/>
    <xf numFmtId="0" fontId="4496" fillId="4501" borderId="4436" pivotButton="0" quotePrefix="0" xfId="0"/>
    <xf numFmtId="0" fontId="4497" fillId="4502" borderId="4437" pivotButton="0" quotePrefix="0" xfId="0"/>
    <xf numFmtId="0" fontId="4498" fillId="4503" borderId="4438" pivotButton="0" quotePrefix="0" xfId="0"/>
    <xf numFmtId="0" fontId="4499" fillId="4504" borderId="4439" pivotButton="0" quotePrefix="0" xfId="0"/>
    <xf numFmtId="0" fontId="4500" fillId="4505" borderId="4440" pivotButton="0" quotePrefix="0" xfId="0"/>
    <xf numFmtId="0" fontId="4501" fillId="4506" borderId="4441" pivotButton="0" quotePrefix="0" xfId="0"/>
    <xf numFmtId="0" fontId="4502" fillId="4507" borderId="4442" pivotButton="0" quotePrefix="0" xfId="0"/>
    <xf numFmtId="14" fontId="4503" fillId="4508" borderId="4443" pivotButton="0" quotePrefix="0" xfId="0"/>
    <xf numFmtId="0" fontId="4504" fillId="4509" borderId="4444" pivotButton="0" quotePrefix="0" xfId="0"/>
    <xf numFmtId="0" fontId="4505" fillId="4510" borderId="4445" pivotButton="0" quotePrefix="0" xfId="0"/>
    <xf numFmtId="0" fontId="4506" fillId="4511" borderId="4446" pivotButton="0" quotePrefix="0" xfId="0"/>
    <xf numFmtId="0" fontId="4507" fillId="4512" borderId="4447" pivotButton="0" quotePrefix="0" xfId="0"/>
    <xf numFmtId="0" fontId="4508" fillId="4513" borderId="4448" pivotButton="0" quotePrefix="0" xfId="0"/>
    <xf numFmtId="0" fontId="4509" fillId="4514" borderId="4449" pivotButton="0" quotePrefix="0" xfId="0"/>
    <xf numFmtId="0" fontId="4510" fillId="4515" borderId="4450" pivotButton="0" quotePrefix="0" xfId="0"/>
    <xf numFmtId="0" fontId="4511" fillId="4516" borderId="4451" pivotButton="0" quotePrefix="0" xfId="0"/>
    <xf numFmtId="0" fontId="4512" fillId="4517" borderId="4452" pivotButton="0" quotePrefix="0" xfId="0"/>
    <xf numFmtId="0" fontId="4513" fillId="4518" borderId="4453" pivotButton="0" quotePrefix="0" xfId="0"/>
    <xf numFmtId="14" fontId="4514" fillId="4519" borderId="4454" pivotButton="0" quotePrefix="0" xfId="0"/>
    <xf numFmtId="0" fontId="4515" fillId="4520" borderId="4455" pivotButton="0" quotePrefix="0" xfId="0"/>
    <xf numFmtId="0" fontId="4516" fillId="4521" borderId="4456" pivotButton="0" quotePrefix="0" xfId="0"/>
    <xf numFmtId="0" fontId="4517" fillId="4522" borderId="4457" pivotButton="0" quotePrefix="0" xfId="0"/>
    <xf numFmtId="0" fontId="4518" fillId="4523" borderId="4458" pivotButton="0" quotePrefix="0" xfId="0"/>
    <xf numFmtId="0" fontId="4519" fillId="4524" borderId="4459" pivotButton="0" quotePrefix="0" xfId="0"/>
    <xf numFmtId="0" fontId="4520" fillId="4525" borderId="4460" pivotButton="0" quotePrefix="0" xfId="0"/>
    <xf numFmtId="0" fontId="4521" fillId="4526" borderId="4461" pivotButton="0" quotePrefix="0" xfId="0"/>
    <xf numFmtId="0" fontId="4522" fillId="4527" borderId="4462" pivotButton="0" quotePrefix="0" xfId="0"/>
    <xf numFmtId="0" fontId="4523" fillId="4528" borderId="4463" pivotButton="0" quotePrefix="0" xfId="0"/>
    <xf numFmtId="0" fontId="4524" fillId="4529" borderId="4464" pivotButton="0" quotePrefix="0" xfId="0"/>
    <xf numFmtId="14" fontId="4525" fillId="4530" borderId="4465" pivotButton="0" quotePrefix="0" xfId="0"/>
    <xf numFmtId="0" fontId="4526" fillId="4531" borderId="4466" pivotButton="0" quotePrefix="0" xfId="0"/>
    <xf numFmtId="0" fontId="4527" fillId="4532" borderId="4467" pivotButton="0" quotePrefix="0" xfId="0"/>
    <xf numFmtId="0" fontId="4528" fillId="4533" borderId="4468" pivotButton="0" quotePrefix="0" xfId="0"/>
    <xf numFmtId="0" fontId="4529" fillId="4534" borderId="4469" pivotButton="0" quotePrefix="0" xfId="0"/>
    <xf numFmtId="0" fontId="4530" fillId="4535" borderId="4470" pivotButton="0" quotePrefix="0" xfId="0"/>
    <xf numFmtId="0" fontId="4531" fillId="4536" borderId="4471" pivotButton="0" quotePrefix="0" xfId="0"/>
    <xf numFmtId="0" fontId="4532" fillId="4537" borderId="4472" pivotButton="0" quotePrefix="0" xfId="0"/>
    <xf numFmtId="0" fontId="4533" fillId="4538" borderId="4473" pivotButton="0" quotePrefix="0" xfId="0"/>
    <xf numFmtId="0" fontId="4534" fillId="4539" borderId="4474" pivotButton="0" quotePrefix="0" xfId="0"/>
    <xf numFmtId="0" fontId="4535" fillId="4540" borderId="4475" pivotButton="0" quotePrefix="0" xfId="0"/>
    <xf numFmtId="14" fontId="4536" fillId="4541" borderId="4476" pivotButton="0" quotePrefix="0" xfId="0"/>
    <xf numFmtId="0" fontId="4537" fillId="4542" borderId="4477" pivotButton="0" quotePrefix="0" xfId="0"/>
    <xf numFmtId="0" fontId="4538" fillId="4543" borderId="4478" pivotButton="0" quotePrefix="0" xfId="0"/>
    <xf numFmtId="0" fontId="4539" fillId="4544" borderId="4479" pivotButton="0" quotePrefix="0" xfId="0"/>
    <xf numFmtId="0" fontId="4540" fillId="4545" borderId="4480" pivotButton="0" quotePrefix="0" xfId="0"/>
    <xf numFmtId="0" fontId="4541" fillId="4546" borderId="4481" pivotButton="0" quotePrefix="0" xfId="0"/>
    <xf numFmtId="0" fontId="4542" fillId="4547" borderId="4482" pivotButton="0" quotePrefix="0" xfId="0"/>
    <xf numFmtId="0" fontId="4543" fillId="4548" borderId="4483" pivotButton="0" quotePrefix="0" xfId="0"/>
    <xf numFmtId="0" fontId="4544" fillId="4549" borderId="4484" pivotButton="0" quotePrefix="0" xfId="0"/>
    <xf numFmtId="0" fontId="4545" fillId="4550" borderId="4485" pivotButton="0" quotePrefix="0" xfId="0"/>
    <xf numFmtId="0" fontId="4546" fillId="4551" borderId="4486" pivotButton="0" quotePrefix="0" xfId="0"/>
    <xf numFmtId="14" fontId="4547" fillId="4552" borderId="4487" pivotButton="0" quotePrefix="0" xfId="0"/>
    <xf numFmtId="0" fontId="4548" fillId="4553" borderId="4488" pivotButton="0" quotePrefix="0" xfId="0"/>
    <xf numFmtId="0" fontId="4549" fillId="4554" borderId="4489" pivotButton="0" quotePrefix="0" xfId="0"/>
    <xf numFmtId="0" fontId="4550" fillId="4555" borderId="4490" pivotButton="0" quotePrefix="0" xfId="0"/>
    <xf numFmtId="0" fontId="4551" fillId="4556" borderId="4491" pivotButton="0" quotePrefix="0" xfId="0"/>
    <xf numFmtId="0" fontId="4552" fillId="4557" borderId="4492" pivotButton="0" quotePrefix="0" xfId="0"/>
    <xf numFmtId="0" fontId="4553" fillId="4558" borderId="4493" pivotButton="0" quotePrefix="0" xfId="0"/>
    <xf numFmtId="0" fontId="4554" fillId="4559" borderId="4494" pivotButton="0" quotePrefix="0" xfId="0"/>
    <xf numFmtId="0" fontId="4555" fillId="4560" borderId="4495" pivotButton="0" quotePrefix="0" xfId="0"/>
    <xf numFmtId="0" fontId="4556" fillId="4561" borderId="4496" pivotButton="0" quotePrefix="0" xfId="0"/>
    <xf numFmtId="0" fontId="4557" fillId="4562" borderId="4497" pivotButton="0" quotePrefix="0" xfId="0"/>
    <xf numFmtId="14" fontId="4558" fillId="4563" borderId="4498" pivotButton="0" quotePrefix="0" xfId="0"/>
    <xf numFmtId="0" fontId="4559" fillId="4564" borderId="4499" pivotButton="0" quotePrefix="0" xfId="0"/>
    <xf numFmtId="0" fontId="4560" fillId="4565" borderId="4500" pivotButton="0" quotePrefix="0" xfId="0"/>
    <xf numFmtId="0" fontId="4561" fillId="4566" borderId="4501" pivotButton="0" quotePrefix="0" xfId="0"/>
    <xf numFmtId="0" fontId="4562" fillId="4567" borderId="4502" pivotButton="0" quotePrefix="0" xfId="0"/>
    <xf numFmtId="0" fontId="4563" fillId="4568" borderId="4503" pivotButton="0" quotePrefix="0" xfId="0"/>
    <xf numFmtId="0" fontId="4564" fillId="4569" borderId="4504" pivotButton="0" quotePrefix="0" xfId="0"/>
    <xf numFmtId="0" fontId="4565" fillId="4570" borderId="4505" pivotButton="0" quotePrefix="0" xfId="0"/>
    <xf numFmtId="0" fontId="4566" fillId="4571" borderId="4506" pivotButton="0" quotePrefix="0" xfId="0"/>
    <xf numFmtId="0" fontId="4567" fillId="4572" borderId="4507" pivotButton="0" quotePrefix="0" xfId="0"/>
    <xf numFmtId="0" fontId="4568" fillId="4573" borderId="4508" pivotButton="0" quotePrefix="0" xfId="0"/>
    <xf numFmtId="14" fontId="4569" fillId="4574" borderId="4509" pivotButton="0" quotePrefix="0" xfId="0"/>
    <xf numFmtId="0" fontId="4570" fillId="4575" borderId="4510" pivotButton="0" quotePrefix="0" xfId="0"/>
    <xf numFmtId="0" fontId="4571" fillId="4576" borderId="4511" pivotButton="0" quotePrefix="0" xfId="0"/>
    <xf numFmtId="0" fontId="4572" fillId="4577" borderId="4512" pivotButton="0" quotePrefix="0" xfId="0"/>
    <xf numFmtId="0" fontId="4573" fillId="4578" borderId="4513" pivotButton="0" quotePrefix="0" xfId="0"/>
    <xf numFmtId="0" fontId="4574" fillId="4579" borderId="4514" pivotButton="0" quotePrefix="0" xfId="0"/>
    <xf numFmtId="0" fontId="4575" fillId="4580" borderId="4515" pivotButton="0" quotePrefix="0" xfId="0"/>
    <xf numFmtId="0" fontId="4576" fillId="4581" borderId="4516" pivotButton="0" quotePrefix="0" xfId="0"/>
    <xf numFmtId="0" fontId="4577" fillId="4582" borderId="4517" pivotButton="0" quotePrefix="0" xfId="0"/>
    <xf numFmtId="0" fontId="4578" fillId="4583" borderId="4518" pivotButton="0" quotePrefix="0" xfId="0"/>
    <xf numFmtId="0" fontId="4579" fillId="4584" borderId="4519" pivotButton="0" quotePrefix="0" xfId="0"/>
    <xf numFmtId="14" fontId="4580" fillId="4585" borderId="4520" pivotButton="0" quotePrefix="0" xfId="0"/>
    <xf numFmtId="0" fontId="4581" fillId="4586" borderId="4521" pivotButton="0" quotePrefix="0" xfId="0"/>
    <xf numFmtId="0" fontId="4582" fillId="4587" borderId="4522" pivotButton="0" quotePrefix="0" xfId="0"/>
    <xf numFmtId="0" fontId="4583" fillId="4588" borderId="4523" pivotButton="0" quotePrefix="0" xfId="0"/>
    <xf numFmtId="0" fontId="4584" fillId="4589" borderId="4524" pivotButton="0" quotePrefix="0" xfId="0"/>
    <xf numFmtId="0" fontId="4585" fillId="4590" borderId="4525" pivotButton="0" quotePrefix="0" xfId="0"/>
    <xf numFmtId="0" fontId="4586" fillId="4591" borderId="4526" pivotButton="0" quotePrefix="0" xfId="0"/>
    <xf numFmtId="0" fontId="4587" fillId="4592" borderId="4527" pivotButton="0" quotePrefix="0" xfId="0"/>
    <xf numFmtId="0" fontId="4588" fillId="4593" borderId="4528" pivotButton="0" quotePrefix="0" xfId="0"/>
    <xf numFmtId="0" fontId="4589" fillId="4594" borderId="4529" pivotButton="0" quotePrefix="0" xfId="0"/>
    <xf numFmtId="0" fontId="4590" fillId="4595" borderId="4530" pivotButton="0" quotePrefix="0" xfId="0"/>
    <xf numFmtId="14" fontId="4591" fillId="4596" borderId="4531" pivotButton="0" quotePrefix="0" xfId="0"/>
    <xf numFmtId="0" fontId="4592" fillId="4597" borderId="4532" pivotButton="0" quotePrefix="0" xfId="0"/>
    <xf numFmtId="0" fontId="4593" fillId="4598" borderId="4533" pivotButton="0" quotePrefix="0" xfId="0"/>
    <xf numFmtId="0" fontId="4594" fillId="4599" borderId="4534" pivotButton="0" quotePrefix="0" xfId="0"/>
    <xf numFmtId="0" fontId="4595" fillId="4600" borderId="4535" pivotButton="0" quotePrefix="0" xfId="0"/>
    <xf numFmtId="0" fontId="4596" fillId="4601" borderId="4536" pivotButton="0" quotePrefix="0" xfId="0"/>
    <xf numFmtId="0" fontId="4597" fillId="4602" borderId="4537" pivotButton="0" quotePrefix="0" xfId="0"/>
    <xf numFmtId="0" fontId="4598" fillId="4603" borderId="4538" pivotButton="0" quotePrefix="0" xfId="0"/>
    <xf numFmtId="0" fontId="4599" fillId="4604" borderId="4539" pivotButton="0" quotePrefix="0" xfId="0"/>
    <xf numFmtId="0" fontId="4600" fillId="4605" borderId="4540" pivotButton="0" quotePrefix="0" xfId="0"/>
    <xf numFmtId="0" fontId="4601" fillId="4606" borderId="4541" pivotButton="0" quotePrefix="0" xfId="0"/>
    <xf numFmtId="14" fontId="4602" fillId="4607" borderId="4542" pivotButton="0" quotePrefix="0" xfId="0"/>
    <xf numFmtId="0" fontId="4603" fillId="4608" borderId="4543" pivotButton="0" quotePrefix="0" xfId="0"/>
    <xf numFmtId="0" fontId="4604" fillId="4609" borderId="4544" pivotButton="0" quotePrefix="0" xfId="0"/>
    <xf numFmtId="0" fontId="4605" fillId="4610" borderId="4545" pivotButton="0" quotePrefix="0" xfId="0"/>
    <xf numFmtId="0" fontId="4606" fillId="4611" borderId="4546" pivotButton="0" quotePrefix="0" xfId="0"/>
    <xf numFmtId="0" fontId="4607" fillId="4612" borderId="4547" pivotButton="0" quotePrefix="0" xfId="0"/>
    <xf numFmtId="0" fontId="4608" fillId="4613" borderId="4548" pivotButton="0" quotePrefix="0" xfId="0"/>
    <xf numFmtId="0" fontId="4609" fillId="4614" borderId="4549" pivotButton="0" quotePrefix="0" xfId="0"/>
    <xf numFmtId="0" fontId="4610" fillId="4615" borderId="4550" pivotButton="0" quotePrefix="0" xfId="0"/>
    <xf numFmtId="0" fontId="4611" fillId="4616" borderId="4551" pivotButton="0" quotePrefix="0" xfId="0"/>
    <xf numFmtId="0" fontId="4612" fillId="4617" borderId="4552" pivotButton="0" quotePrefix="0" xfId="0"/>
    <xf numFmtId="14" fontId="4613" fillId="4618" borderId="4553" pivotButton="0" quotePrefix="0" xfId="0"/>
    <xf numFmtId="0" fontId="4614" fillId="4619" borderId="4554" pivotButton="0" quotePrefix="0" xfId="0"/>
    <xf numFmtId="0" fontId="4615" fillId="4620" borderId="4555" pivotButton="0" quotePrefix="0" xfId="0"/>
    <xf numFmtId="0" fontId="4616" fillId="4621" borderId="4556" pivotButton="0" quotePrefix="0" xfId="0"/>
    <xf numFmtId="0" fontId="4617" fillId="4622" borderId="4557" pivotButton="0" quotePrefix="0" xfId="0"/>
    <xf numFmtId="0" fontId="4618" fillId="4623" borderId="4558" pivotButton="0" quotePrefix="0" xfId="0"/>
    <xf numFmtId="0" fontId="4619" fillId="4624" borderId="4559" pivotButton="0" quotePrefix="0" xfId="0"/>
    <xf numFmtId="0" fontId="4620" fillId="4625" borderId="4560" pivotButton="0" quotePrefix="0" xfId="0"/>
    <xf numFmtId="0" fontId="4621" fillId="4626" borderId="4561" pivotButton="0" quotePrefix="0" xfId="0"/>
    <xf numFmtId="0" fontId="4622" fillId="4627" borderId="4562" pivotButton="0" quotePrefix="0" xfId="0"/>
    <xf numFmtId="0" fontId="4623" fillId="4628" borderId="4563" pivotButton="0" quotePrefix="0" xfId="0"/>
    <xf numFmtId="14" fontId="4624" fillId="4629" borderId="4564" pivotButton="0" quotePrefix="0" xfId="0"/>
    <xf numFmtId="0" fontId="4625" fillId="4630" borderId="4565" pivotButton="0" quotePrefix="0" xfId="0"/>
    <xf numFmtId="0" fontId="4626" fillId="4631" borderId="4566" pivotButton="0" quotePrefix="0" xfId="0"/>
    <xf numFmtId="0" fontId="4627" fillId="4632" borderId="4567" pivotButton="0" quotePrefix="0" xfId="0"/>
    <xf numFmtId="0" fontId="4628" fillId="4633" borderId="4568" pivotButton="0" quotePrefix="0" xfId="0"/>
    <xf numFmtId="0" fontId="4629" fillId="4634" borderId="4569" pivotButton="0" quotePrefix="0" xfId="0"/>
    <xf numFmtId="0" fontId="4630" fillId="4635" borderId="4570" pivotButton="0" quotePrefix="0" xfId="0"/>
    <xf numFmtId="0" fontId="4631" fillId="4636" borderId="4571" pivotButton="0" quotePrefix="0" xfId="0"/>
    <xf numFmtId="0" fontId="4632" fillId="4637" borderId="4572" pivotButton="0" quotePrefix="0" xfId="0"/>
    <xf numFmtId="0" fontId="4633" fillId="4638" borderId="4573" pivotButton="0" quotePrefix="0" xfId="0"/>
    <xf numFmtId="0" fontId="4634" fillId="4639" borderId="4574" pivotButton="0" quotePrefix="0" xfId="0"/>
    <xf numFmtId="14" fontId="4635" fillId="4640" borderId="4575" pivotButton="0" quotePrefix="0" xfId="0"/>
    <xf numFmtId="0" fontId="4636" fillId="4641" borderId="4576" pivotButton="0" quotePrefix="0" xfId="0"/>
    <xf numFmtId="0" fontId="4637" fillId="4642" borderId="4577" pivotButton="0" quotePrefix="0" xfId="0"/>
    <xf numFmtId="0" fontId="4638" fillId="4643" borderId="4578" pivotButton="0" quotePrefix="0" xfId="0"/>
    <xf numFmtId="0" fontId="4639" fillId="4644" borderId="4579" pivotButton="0" quotePrefix="0" xfId="0"/>
    <xf numFmtId="0" fontId="4640" fillId="4645" borderId="4580" pivotButton="0" quotePrefix="0" xfId="0"/>
    <xf numFmtId="0" fontId="4641" fillId="4646" borderId="4581" pivotButton="0" quotePrefix="0" xfId="0"/>
    <xf numFmtId="0" fontId="4642" fillId="4647" borderId="4582" pivotButton="0" quotePrefix="0" xfId="0"/>
    <xf numFmtId="0" fontId="4643" fillId="4648" borderId="4583" pivotButton="0" quotePrefix="0" xfId="0"/>
    <xf numFmtId="0" fontId="4644" fillId="4649" borderId="4584" pivotButton="0" quotePrefix="0" xfId="0"/>
    <xf numFmtId="0" fontId="4645" fillId="4650" borderId="4585" pivotButton="0" quotePrefix="0" xfId="0"/>
    <xf numFmtId="14" fontId="4646" fillId="4651" borderId="4586" pivotButton="0" quotePrefix="0" xfId="0"/>
    <xf numFmtId="0" fontId="4647" fillId="4652" borderId="4587" pivotButton="0" quotePrefix="0" xfId="0"/>
    <xf numFmtId="0" fontId="4648" fillId="4653" borderId="4588" pivotButton="0" quotePrefix="0" xfId="0"/>
    <xf numFmtId="0" fontId="4649" fillId="4654" borderId="4589" pivotButton="0" quotePrefix="0" xfId="0"/>
    <xf numFmtId="0" fontId="4650" fillId="4655" borderId="4590" pivotButton="0" quotePrefix="0" xfId="0"/>
    <xf numFmtId="0" fontId="4651" fillId="4656" borderId="4591" pivotButton="0" quotePrefix="0" xfId="0"/>
    <xf numFmtId="0" fontId="4652" fillId="4657" borderId="4592" pivotButton="0" quotePrefix="0" xfId="0"/>
    <xf numFmtId="0" fontId="4653" fillId="4658" borderId="4593" pivotButton="0" quotePrefix="0" xfId="0"/>
    <xf numFmtId="0" fontId="4654" fillId="4659" borderId="4594" pivotButton="0" quotePrefix="0" xfId="0"/>
    <xf numFmtId="0" fontId="4655" fillId="4660" borderId="4595" pivotButton="0" quotePrefix="0" xfId="0"/>
    <xf numFmtId="0" fontId="4656" fillId="4661" borderId="4596" pivotButton="0" quotePrefix="0" xfId="0"/>
    <xf numFmtId="14" fontId="4657" fillId="4662" borderId="4597" pivotButton="0" quotePrefix="0" xfId="0"/>
    <xf numFmtId="0" fontId="4658" fillId="4663" borderId="4598" pivotButton="0" quotePrefix="0" xfId="0"/>
    <xf numFmtId="0" fontId="4659" fillId="4664" borderId="4599" pivotButton="0" quotePrefix="0" xfId="0"/>
    <xf numFmtId="0" fontId="4660" fillId="4665" borderId="4600" pivotButton="0" quotePrefix="0" xfId="0"/>
    <xf numFmtId="0" fontId="4661" fillId="4666" borderId="4601" pivotButton="0" quotePrefix="0" xfId="0"/>
    <xf numFmtId="0" fontId="4662" fillId="4667" borderId="4602" pivotButton="0" quotePrefix="0" xfId="0"/>
    <xf numFmtId="0" fontId="4663" fillId="4668" borderId="4603" pivotButton="0" quotePrefix="0" xfId="0"/>
    <xf numFmtId="0" fontId="4664" fillId="4669" borderId="4604" pivotButton="0" quotePrefix="0" xfId="0"/>
    <xf numFmtId="0" fontId="4665" fillId="4670" borderId="4605" pivotButton="0" quotePrefix="0" xfId="0"/>
    <xf numFmtId="0" fontId="4666" fillId="4671" borderId="4606" pivotButton="0" quotePrefix="0" xfId="0"/>
    <xf numFmtId="0" fontId="4667" fillId="4672" borderId="4607" pivotButton="0" quotePrefix="0" xfId="0"/>
    <xf numFmtId="14" fontId="4668" fillId="4673" borderId="4608" pivotButton="0" quotePrefix="0" xfId="0"/>
    <xf numFmtId="0" fontId="4669" fillId="4674" borderId="4609" pivotButton="0" quotePrefix="0" xfId="0"/>
    <xf numFmtId="0" fontId="4670" fillId="4675" borderId="4610" pivotButton="0" quotePrefix="0" xfId="0"/>
    <xf numFmtId="0" fontId="4671" fillId="4676" borderId="4611" pivotButton="0" quotePrefix="0" xfId="0"/>
    <xf numFmtId="0" fontId="4672" fillId="4677" borderId="4612" pivotButton="0" quotePrefix="0" xfId="0"/>
    <xf numFmtId="0" fontId="4673" fillId="4678" borderId="4613" pivotButton="0" quotePrefix="0" xfId="0"/>
    <xf numFmtId="0" fontId="4674" fillId="4679" borderId="4614" pivotButton="0" quotePrefix="0" xfId="0"/>
    <xf numFmtId="0" fontId="4675" fillId="4680" borderId="4615" pivotButton="0" quotePrefix="0" xfId="0"/>
    <xf numFmtId="0" fontId="4676" fillId="4681" borderId="4616" pivotButton="0" quotePrefix="0" xfId="0"/>
    <xf numFmtId="0" fontId="4677" fillId="4682" borderId="4617" pivotButton="0" quotePrefix="0" xfId="0"/>
    <xf numFmtId="0" fontId="4678" fillId="4683" borderId="4618" pivotButton="0" quotePrefix="0" xfId="0"/>
    <xf numFmtId="14" fontId="4679" fillId="4684" borderId="4619" pivotButton="0" quotePrefix="0" xfId="0"/>
    <xf numFmtId="0" fontId="4680" fillId="4685" borderId="4620" pivotButton="0" quotePrefix="0" xfId="0"/>
    <xf numFmtId="0" fontId="4681" fillId="4686" borderId="4621" pivotButton="0" quotePrefix="0" xfId="0"/>
    <xf numFmtId="0" fontId="4682" fillId="4687" borderId="4622" pivotButton="0" quotePrefix="0" xfId="0"/>
    <xf numFmtId="0" fontId="4683" fillId="4688" borderId="4623" pivotButton="0" quotePrefix="0" xfId="0"/>
    <xf numFmtId="0" fontId="4684" fillId="4689" borderId="4624" pivotButton="0" quotePrefix="0" xfId="0"/>
    <xf numFmtId="0" fontId="4685" fillId="4690" borderId="4625" pivotButton="0" quotePrefix="0" xfId="0"/>
    <xf numFmtId="0" fontId="4686" fillId="4691" borderId="4626" pivotButton="0" quotePrefix="0" xfId="0"/>
    <xf numFmtId="0" fontId="4687" fillId="4692" borderId="4627" pivotButton="0" quotePrefix="0" xfId="0"/>
    <xf numFmtId="0" fontId="4688" fillId="4693" borderId="4628" pivotButton="0" quotePrefix="0" xfId="0"/>
    <xf numFmtId="0" fontId="4689" fillId="4694" borderId="4629" pivotButton="0" quotePrefix="0" xfId="0"/>
    <xf numFmtId="14" fontId="4690" fillId="4695" borderId="4630" pivotButton="0" quotePrefix="0" xfId="0"/>
    <xf numFmtId="0" fontId="4691" fillId="4696" borderId="4631" pivotButton="0" quotePrefix="0" xfId="0"/>
    <xf numFmtId="0" fontId="4692" fillId="4697" borderId="4632" pivotButton="0" quotePrefix="0" xfId="0"/>
    <xf numFmtId="0" fontId="4693" fillId="4698" borderId="4633" pivotButton="0" quotePrefix="0" xfId="0"/>
    <xf numFmtId="0" fontId="4694" fillId="4699" borderId="4634" pivotButton="0" quotePrefix="0" xfId="0"/>
    <xf numFmtId="0" fontId="4695" fillId="4700" borderId="4635" pivotButton="0" quotePrefix="0" xfId="0"/>
    <xf numFmtId="0" fontId="4696" fillId="4701" borderId="4636" pivotButton="0" quotePrefix="0" xfId="0"/>
    <xf numFmtId="0" fontId="4697" fillId="4702" borderId="4637" pivotButton="0" quotePrefix="0" xfId="0"/>
    <xf numFmtId="0" fontId="4698" fillId="4703" borderId="4638" pivotButton="0" quotePrefix="0" xfId="0"/>
    <xf numFmtId="0" fontId="4699" fillId="4704" borderId="4639" pivotButton="0" quotePrefix="0" xfId="0"/>
    <xf numFmtId="0" fontId="4700" fillId="4705" borderId="4640" pivotButton="0" quotePrefix="0" xfId="0"/>
    <xf numFmtId="14" fontId="4701" fillId="4706" borderId="4641" pivotButton="0" quotePrefix="0" xfId="0"/>
    <xf numFmtId="0" fontId="4702" fillId="4707" borderId="4642" pivotButton="0" quotePrefix="0" xfId="0"/>
    <xf numFmtId="0" fontId="4703" fillId="4708" borderId="4643" pivotButton="0" quotePrefix="0" xfId="0"/>
    <xf numFmtId="0" fontId="4704" fillId="4709" borderId="4644" pivotButton="0" quotePrefix="0" xfId="0"/>
    <xf numFmtId="0" fontId="4705" fillId="4710" borderId="4645" pivotButton="0" quotePrefix="0" xfId="0"/>
    <xf numFmtId="0" fontId="4706" fillId="4711" borderId="4646" pivotButton="0" quotePrefix="0" xfId="0"/>
    <xf numFmtId="0" fontId="4707" fillId="4712" borderId="4647" pivotButton="0" quotePrefix="0" xfId="0"/>
    <xf numFmtId="0" fontId="4708" fillId="4713" borderId="4648" pivotButton="0" quotePrefix="0" xfId="0"/>
    <xf numFmtId="0" fontId="4709" fillId="4714" borderId="4649" pivotButton="0" quotePrefix="0" xfId="0"/>
    <xf numFmtId="0" fontId="4710" fillId="4715" borderId="4650" pivotButton="0" quotePrefix="0" xfId="0"/>
    <xf numFmtId="0" fontId="4711" fillId="4716" borderId="4651" pivotButton="0" quotePrefix="0" xfId="0"/>
    <xf numFmtId="14" fontId="4712" fillId="4717" borderId="4652" pivotButton="0" quotePrefix="0" xfId="0"/>
    <xf numFmtId="0" fontId="4713" fillId="4718" borderId="4653" pivotButton="0" quotePrefix="0" xfId="0"/>
    <xf numFmtId="0" fontId="4714" fillId="4719" borderId="4654" pivotButton="0" quotePrefix="0" xfId="0"/>
    <xf numFmtId="0" fontId="4715" fillId="4720" borderId="4655" pivotButton="0" quotePrefix="0" xfId="0"/>
    <xf numFmtId="0" fontId="4716" fillId="4721" borderId="4656" pivotButton="0" quotePrefix="0" xfId="0"/>
    <xf numFmtId="0" fontId="4717" fillId="4722" borderId="4657" pivotButton="0" quotePrefix="0" xfId="0"/>
    <xf numFmtId="0" fontId="4718" fillId="4723" borderId="4658" pivotButton="0" quotePrefix="0" xfId="0"/>
    <xf numFmtId="0" fontId="4719" fillId="4724" borderId="4659" pivotButton="0" quotePrefix="0" xfId="0"/>
    <xf numFmtId="0" fontId="4720" fillId="4725" borderId="4660" pivotButton="0" quotePrefix="0" xfId="0"/>
    <xf numFmtId="0" fontId="4721" fillId="4726" borderId="4661" pivotButton="0" quotePrefix="0" xfId="0"/>
    <xf numFmtId="0" fontId="4722" fillId="4727" borderId="4662" pivotButton="0" quotePrefix="0" xfId="0"/>
    <xf numFmtId="14" fontId="4723" fillId="4728" borderId="4663" pivotButton="0" quotePrefix="0" xfId="0"/>
    <xf numFmtId="0" fontId="4724" fillId="4729" borderId="4664" pivotButton="0" quotePrefix="0" xfId="0"/>
    <xf numFmtId="0" fontId="4725" fillId="4730" borderId="4665" pivotButton="0" quotePrefix="0" xfId="0"/>
    <xf numFmtId="0" fontId="4726" fillId="4731" borderId="4666" pivotButton="0" quotePrefix="0" xfId="0"/>
    <xf numFmtId="0" fontId="4727" fillId="4732" borderId="4667" pivotButton="0" quotePrefix="0" xfId="0"/>
    <xf numFmtId="0" fontId="4728" fillId="4733" borderId="4668" pivotButton="0" quotePrefix="0" xfId="0"/>
    <xf numFmtId="0" fontId="4729" fillId="4734" borderId="4669" pivotButton="0" quotePrefix="0" xfId="0"/>
    <xf numFmtId="0" fontId="4730" fillId="4735" borderId="4670" pivotButton="0" quotePrefix="0" xfId="0"/>
    <xf numFmtId="0" fontId="4731" fillId="4736" borderId="4671" pivotButton="0" quotePrefix="0" xfId="0"/>
    <xf numFmtId="0" fontId="4732" fillId="4737" borderId="4672" pivotButton="0" quotePrefix="0" xfId="0"/>
    <xf numFmtId="0" fontId="4733" fillId="4738" borderId="4673" pivotButton="0" quotePrefix="0" xfId="0"/>
    <xf numFmtId="14" fontId="4734" fillId="4739" borderId="4674" pivotButton="0" quotePrefix="0" xfId="0"/>
    <xf numFmtId="0" fontId="4735" fillId="4740" borderId="4675" pivotButton="0" quotePrefix="0" xfId="0"/>
    <xf numFmtId="0" fontId="4736" fillId="4741" borderId="4676" pivotButton="0" quotePrefix="0" xfId="0"/>
    <xf numFmtId="0" fontId="4737" fillId="4742" borderId="4677" pivotButton="0" quotePrefix="0" xfId="0"/>
    <xf numFmtId="0" fontId="4738" fillId="4743" borderId="4678" pivotButton="0" quotePrefix="0" xfId="0"/>
    <xf numFmtId="0" fontId="4739" fillId="4744" borderId="4679" pivotButton="0" quotePrefix="0" xfId="0"/>
    <xf numFmtId="0" fontId="4740" fillId="4745" borderId="4680" pivotButton="0" quotePrefix="0" xfId="0"/>
    <xf numFmtId="0" fontId="4741" fillId="4746" borderId="4681" pivotButton="0" quotePrefix="0" xfId="0"/>
    <xf numFmtId="0" fontId="4742" fillId="4747" borderId="4682" pivotButton="0" quotePrefix="0" xfId="0"/>
    <xf numFmtId="0" fontId="4743" fillId="4748" borderId="4683" pivotButton="0" quotePrefix="0" xfId="0"/>
    <xf numFmtId="0" fontId="4744" fillId="4749" borderId="4684" pivotButton="0" quotePrefix="0" xfId="0"/>
    <xf numFmtId="14" fontId="4745" fillId="4750" borderId="4685" pivotButton="0" quotePrefix="0" xfId="0"/>
    <xf numFmtId="0" fontId="4746" fillId="4751" borderId="4686" pivotButton="0" quotePrefix="0" xfId="0"/>
    <xf numFmtId="0" fontId="4747" fillId="4752" borderId="4687" pivotButton="0" quotePrefix="0" xfId="0"/>
    <xf numFmtId="0" fontId="4748" fillId="4753" borderId="4688" pivotButton="0" quotePrefix="0" xfId="0"/>
    <xf numFmtId="0" fontId="4749" fillId="4754" borderId="4689" pivotButton="0" quotePrefix="0" xfId="0"/>
    <xf numFmtId="0" fontId="4750" fillId="4755" borderId="4690" pivotButton="0" quotePrefix="0" xfId="0"/>
    <xf numFmtId="0" fontId="4751" fillId="4756" borderId="4691" pivotButton="0" quotePrefix="0" xfId="0"/>
    <xf numFmtId="0" fontId="4752" fillId="4757" borderId="4692" pivotButton="0" quotePrefix="0" xfId="0"/>
    <xf numFmtId="0" fontId="4753" fillId="4758" borderId="4693" pivotButton="0" quotePrefix="0" xfId="0"/>
    <xf numFmtId="0" fontId="4754" fillId="4759" borderId="4694" pivotButton="0" quotePrefix="0" xfId="0"/>
    <xf numFmtId="0" fontId="4755" fillId="4760" borderId="4695" pivotButton="0" quotePrefix="0" xfId="0"/>
    <xf numFmtId="14" fontId="4756" fillId="4761" borderId="4696" pivotButton="0" quotePrefix="0" xfId="0"/>
    <xf numFmtId="0" fontId="4757" fillId="4762" borderId="4697" pivotButton="0" quotePrefix="0" xfId="0"/>
    <xf numFmtId="0" fontId="4758" fillId="4763" borderId="4698" pivotButton="0" quotePrefix="0" xfId="0"/>
    <xf numFmtId="0" fontId="4759" fillId="4764" borderId="4699" pivotButton="0" quotePrefix="0" xfId="0"/>
    <xf numFmtId="0" fontId="4760" fillId="4765" borderId="4700" pivotButton="0" quotePrefix="0" xfId="0"/>
    <xf numFmtId="0" fontId="4761" fillId="4766" borderId="4701" pivotButton="0" quotePrefix="0" xfId="0"/>
    <xf numFmtId="0" fontId="4762" fillId="4767" borderId="4702" pivotButton="0" quotePrefix="0" xfId="0"/>
    <xf numFmtId="0" fontId="4763" fillId="4768" borderId="4703" pivotButton="0" quotePrefix="0" xfId="0"/>
    <xf numFmtId="0" fontId="4764" fillId="4769" borderId="4704" pivotButton="0" quotePrefix="0" xfId="0"/>
    <xf numFmtId="0" fontId="4765" fillId="4770" borderId="4705" pivotButton="0" quotePrefix="0" xfId="0"/>
    <xf numFmtId="0" fontId="4766" fillId="4771" borderId="4706" pivotButton="0" quotePrefix="0" xfId="0"/>
    <xf numFmtId="14" fontId="4767" fillId="4772" borderId="4707" pivotButton="0" quotePrefix="0" xfId="0"/>
    <xf numFmtId="0" fontId="4768" fillId="4773" borderId="4708" pivotButton="0" quotePrefix="0" xfId="0"/>
    <xf numFmtId="0" fontId="4769" fillId="4774" borderId="4709" pivotButton="0" quotePrefix="0" xfId="0"/>
    <xf numFmtId="0" fontId="4770" fillId="4775" borderId="4710" pivotButton="0" quotePrefix="0" xfId="0"/>
    <xf numFmtId="0" fontId="4771" fillId="4776" borderId="4711" pivotButton="0" quotePrefix="0" xfId="0"/>
    <xf numFmtId="0" fontId="4772" fillId="4777" borderId="4712" pivotButton="0" quotePrefix="0" xfId="0"/>
    <xf numFmtId="0" fontId="4773" fillId="4778" borderId="4713" pivotButton="0" quotePrefix="0" xfId="0"/>
    <xf numFmtId="0" fontId="4774" fillId="4779" borderId="4714" pivotButton="0" quotePrefix="0" xfId="0"/>
    <xf numFmtId="0" fontId="4775" fillId="4780" borderId="4715" pivotButton="0" quotePrefix="0" xfId="0"/>
    <xf numFmtId="0" fontId="4776" fillId="4781" borderId="4716" pivotButton="0" quotePrefix="0" xfId="0"/>
    <xf numFmtId="0" fontId="4777" fillId="4782" borderId="4717" pivotButton="0" quotePrefix="0" xfId="0"/>
    <xf numFmtId="14" fontId="4778" fillId="4783" borderId="4718" pivotButton="0" quotePrefix="0" xfId="0"/>
    <xf numFmtId="0" fontId="4779" fillId="4784" borderId="4719" pivotButton="0" quotePrefix="0" xfId="0"/>
    <xf numFmtId="0" fontId="4780" fillId="4785" borderId="4720" pivotButton="0" quotePrefix="0" xfId="0"/>
    <xf numFmtId="0" fontId="4781" fillId="4786" borderId="4721" pivotButton="0" quotePrefix="0" xfId="0"/>
    <xf numFmtId="0" fontId="4782" fillId="4787" borderId="4722" pivotButton="0" quotePrefix="0" xfId="0"/>
    <xf numFmtId="0" fontId="4783" fillId="4788" borderId="4723" pivotButton="0" quotePrefix="0" xfId="0"/>
    <xf numFmtId="0" fontId="4784" fillId="4789" borderId="4724" pivotButton="0" quotePrefix="0" xfId="0"/>
    <xf numFmtId="0" fontId="4785" fillId="4790" borderId="4725" pivotButton="0" quotePrefix="0" xfId="0"/>
    <xf numFmtId="0" fontId="4786" fillId="4791" borderId="4726" pivotButton="0" quotePrefix="0" xfId="0"/>
    <xf numFmtId="0" fontId="4787" fillId="4792" borderId="4727" pivotButton="0" quotePrefix="0" xfId="0"/>
    <xf numFmtId="0" fontId="4788" fillId="4793" borderId="4728" pivotButton="0" quotePrefix="0" xfId="0"/>
    <xf numFmtId="14" fontId="4789" fillId="4794" borderId="4729" pivotButton="0" quotePrefix="0" xfId="0"/>
    <xf numFmtId="0" fontId="4790" fillId="4795" borderId="4730" pivotButton="0" quotePrefix="0" xfId="0"/>
    <xf numFmtId="0" fontId="4791" fillId="4796" borderId="4731" pivotButton="0" quotePrefix="0" xfId="0"/>
    <xf numFmtId="0" fontId="4792" fillId="4797" borderId="4732" pivotButton="0" quotePrefix="0" xfId="0"/>
    <xf numFmtId="0" fontId="4793" fillId="4798" borderId="4733" pivotButton="0" quotePrefix="0" xfId="0"/>
    <xf numFmtId="0" fontId="4794" fillId="4799" borderId="4734" pivotButton="0" quotePrefix="0" xfId="0"/>
    <xf numFmtId="0" fontId="4795" fillId="4800" borderId="4735" pivotButton="0" quotePrefix="0" xfId="0"/>
    <xf numFmtId="0" fontId="4796" fillId="4801" borderId="4736" pivotButton="0" quotePrefix="0" xfId="0"/>
    <xf numFmtId="0" fontId="4797" fillId="4802" borderId="4737" pivotButton="0" quotePrefix="0" xfId="0"/>
    <xf numFmtId="0" fontId="4798" fillId="4803" borderId="4738" pivotButton="0" quotePrefix="0" xfId="0"/>
    <xf numFmtId="0" fontId="4799" fillId="4804" borderId="4739" pivotButton="0" quotePrefix="0" xfId="0"/>
    <xf numFmtId="14" fontId="4800" fillId="4805" borderId="4740" pivotButton="0" quotePrefix="0" xfId="0"/>
    <xf numFmtId="0" fontId="4801" fillId="4806" borderId="4741" pivotButton="0" quotePrefix="0" xfId="0"/>
    <xf numFmtId="0" fontId="4802" fillId="4807" borderId="4742" pivotButton="0" quotePrefix="0" xfId="0"/>
    <xf numFmtId="0" fontId="4803" fillId="4808" borderId="4743" pivotButton="0" quotePrefix="0" xfId="0"/>
    <xf numFmtId="0" fontId="4804" fillId="4809" borderId="4744" pivotButton="0" quotePrefix="0" xfId="0"/>
    <xf numFmtId="0" fontId="4805" fillId="4810" borderId="4745" pivotButton="0" quotePrefix="0" xfId="0"/>
    <xf numFmtId="0" fontId="4806" fillId="4811" borderId="4746" pivotButton="0" quotePrefix="0" xfId="0"/>
    <xf numFmtId="0" fontId="4807" fillId="4812" borderId="4747" pivotButton="0" quotePrefix="0" xfId="0"/>
    <xf numFmtId="0" fontId="4808" fillId="4813" borderId="4748" pivotButton="0" quotePrefix="0" xfId="0"/>
    <xf numFmtId="0" fontId="4809" fillId="4814" borderId="4749" pivotButton="0" quotePrefix="0" xfId="0"/>
    <xf numFmtId="0" fontId="4810" fillId="4815" borderId="4750" pivotButton="0" quotePrefix="0" xfId="0"/>
    <xf numFmtId="14" fontId="4811" fillId="4816" borderId="4751" pivotButton="0" quotePrefix="0" xfId="0"/>
    <xf numFmtId="0" fontId="4812" fillId="4817" borderId="4752" pivotButton="0" quotePrefix="0" xfId="0"/>
    <xf numFmtId="0" fontId="4813" fillId="4818" borderId="4753" pivotButton="0" quotePrefix="0" xfId="0"/>
    <xf numFmtId="0" fontId="4814" fillId="4819" borderId="4754" pivotButton="0" quotePrefix="0" xfId="0"/>
    <xf numFmtId="0" fontId="4815" fillId="4820" borderId="4755" pivotButton="0" quotePrefix="0" xfId="0"/>
    <xf numFmtId="0" fontId="4816" fillId="4821" borderId="4756" pivotButton="0" quotePrefix="0" xfId="0"/>
    <xf numFmtId="0" fontId="4817" fillId="4822" borderId="4757" pivotButton="0" quotePrefix="0" xfId="0"/>
    <xf numFmtId="0" fontId="4818" fillId="4823" borderId="4758" pivotButton="0" quotePrefix="0" xfId="0"/>
    <xf numFmtId="0" fontId="4819" fillId="4824" borderId="4759" pivotButton="0" quotePrefix="0" xfId="0"/>
    <xf numFmtId="0" fontId="4820" fillId="4825" borderId="4760" pivotButton="0" quotePrefix="0" xfId="0"/>
    <xf numFmtId="0" fontId="4821" fillId="4826" borderId="4761" pivotButton="0" quotePrefix="0" xfId="0"/>
    <xf numFmtId="14" fontId="4822" fillId="4827" borderId="4762" pivotButton="0" quotePrefix="0" xfId="0"/>
    <xf numFmtId="0" fontId="4823" fillId="4828" borderId="4763" pivotButton="0" quotePrefix="0" xfId="0"/>
    <xf numFmtId="0" fontId="4824" fillId="4829" borderId="4764" pivotButton="0" quotePrefix="0" xfId="0"/>
    <xf numFmtId="0" fontId="4825" fillId="4830" borderId="4765" pivotButton="0" quotePrefix="0" xfId="0"/>
    <xf numFmtId="0" fontId="4826" fillId="4831" borderId="4766" pivotButton="0" quotePrefix="0" xfId="0"/>
    <xf numFmtId="0" fontId="4827" fillId="4832" borderId="4767" pivotButton="0" quotePrefix="0" xfId="0"/>
    <xf numFmtId="0" fontId="4828" fillId="4833" borderId="4768" pivotButton="0" quotePrefix="0" xfId="0"/>
    <xf numFmtId="0" fontId="4829" fillId="4834" borderId="4769" pivotButton="0" quotePrefix="0" xfId="0"/>
    <xf numFmtId="0" fontId="4830" fillId="4835" borderId="4770" pivotButton="0" quotePrefix="0" xfId="0"/>
    <xf numFmtId="0" fontId="4831" fillId="4836" borderId="4771" pivotButton="0" quotePrefix="0" xfId="0"/>
    <xf numFmtId="0" fontId="4832" fillId="4837" borderId="4772" pivotButton="0" quotePrefix="0" xfId="0"/>
    <xf numFmtId="14" fontId="4833" fillId="4838" borderId="4773" pivotButton="0" quotePrefix="0" xfId="0"/>
    <xf numFmtId="0" fontId="4834" fillId="4839" borderId="4774" pivotButton="0" quotePrefix="0" xfId="0"/>
    <xf numFmtId="0" fontId="4835" fillId="4840" borderId="4775" pivotButton="0" quotePrefix="0" xfId="0"/>
    <xf numFmtId="0" fontId="4836" fillId="4841" borderId="4776" pivotButton="0" quotePrefix="0" xfId="0"/>
    <xf numFmtId="0" fontId="4837" fillId="4842" borderId="4777" pivotButton="0" quotePrefix="0" xfId="0"/>
    <xf numFmtId="0" fontId="4838" fillId="4843" borderId="4778" pivotButton="0" quotePrefix="0" xfId="0"/>
    <xf numFmtId="0" fontId="4839" fillId="4844" borderId="4779" pivotButton="0" quotePrefix="0" xfId="0"/>
    <xf numFmtId="0" fontId="4840" fillId="4845" borderId="4780" pivotButton="0" quotePrefix="0" xfId="0"/>
    <xf numFmtId="0" fontId="4841" fillId="4846" borderId="4781" pivotButton="0" quotePrefix="0" xfId="0"/>
    <xf numFmtId="0" fontId="4842" fillId="4847" borderId="4782" pivotButton="0" quotePrefix="0" xfId="0"/>
    <xf numFmtId="0" fontId="4843" fillId="4848" borderId="4783" pivotButton="0" quotePrefix="0" xfId="0"/>
    <xf numFmtId="14" fontId="4844" fillId="4849" borderId="4784" pivotButton="0" quotePrefix="0" xfId="0"/>
    <xf numFmtId="0" fontId="4845" fillId="4850" borderId="4785" pivotButton="0" quotePrefix="0" xfId="0"/>
    <xf numFmtId="0" fontId="4846" fillId="4851" borderId="4786" pivotButton="0" quotePrefix="0" xfId="0"/>
    <xf numFmtId="0" fontId="4847" fillId="4852" borderId="4787" pivotButton="0" quotePrefix="0" xfId="0"/>
    <xf numFmtId="0" fontId="4848" fillId="4853" borderId="4788" pivotButton="0" quotePrefix="0" xfId="0"/>
    <xf numFmtId="0" fontId="4849" fillId="4854" borderId="4789" pivotButton="0" quotePrefix="0" xfId="0"/>
    <xf numFmtId="0" fontId="4850" fillId="4855" borderId="4790" pivotButton="0" quotePrefix="0" xfId="0"/>
    <xf numFmtId="0" fontId="4851" fillId="4856" borderId="4791" pivotButton="0" quotePrefix="0" xfId="0"/>
    <xf numFmtId="0" fontId="4852" fillId="4857" borderId="4792" pivotButton="0" quotePrefix="0" xfId="0"/>
    <xf numFmtId="0" fontId="4853" fillId="4858" borderId="4793" pivotButton="0" quotePrefix="0" xfId="0"/>
    <xf numFmtId="0" fontId="4854" fillId="4859" borderId="4794" pivotButton="0" quotePrefix="0" xfId="0"/>
    <xf numFmtId="14" fontId="4855" fillId="4860" borderId="4795" pivotButton="0" quotePrefix="0" xfId="0"/>
    <xf numFmtId="0" fontId="4856" fillId="4861" borderId="4796" pivotButton="0" quotePrefix="0" xfId="0"/>
    <xf numFmtId="0" fontId="4857" fillId="4862" borderId="4797" pivotButton="0" quotePrefix="0" xfId="0"/>
    <xf numFmtId="0" fontId="4858" fillId="4863" borderId="4798" pivotButton="0" quotePrefix="0" xfId="0"/>
    <xf numFmtId="0" fontId="4859" fillId="4864" borderId="4799" pivotButton="0" quotePrefix="0" xfId="0"/>
    <xf numFmtId="0" fontId="4860" fillId="4865" borderId="4800" pivotButton="0" quotePrefix="0" xfId="0"/>
    <xf numFmtId="0" fontId="4861" fillId="4866" borderId="4801" pivotButton="0" quotePrefix="0" xfId="0"/>
    <xf numFmtId="0" fontId="4862" fillId="4867" borderId="4802" pivotButton="0" quotePrefix="0" xfId="0"/>
    <xf numFmtId="0" fontId="4863" fillId="4868" borderId="4803" pivotButton="0" quotePrefix="0" xfId="0"/>
    <xf numFmtId="0" fontId="4864" fillId="4869" borderId="4804" pivotButton="0" quotePrefix="0" xfId="0"/>
    <xf numFmtId="0" fontId="4865" fillId="4870" borderId="4805" pivotButton="0" quotePrefix="0" xfId="0"/>
    <xf numFmtId="14" fontId="4866" fillId="4871" borderId="4806" pivotButton="0" quotePrefix="0" xfId="0"/>
    <xf numFmtId="0" fontId="4867" fillId="4872" borderId="4807" pivotButton="0" quotePrefix="0" xfId="0"/>
    <xf numFmtId="0" fontId="4868" fillId="4873" borderId="4808" pivotButton="0" quotePrefix="0" xfId="0"/>
    <xf numFmtId="0" fontId="4869" fillId="4874" borderId="4809" pivotButton="0" quotePrefix="0" xfId="0"/>
    <xf numFmtId="0" fontId="4870" fillId="4875" borderId="4810" pivotButton="0" quotePrefix="0" xfId="0"/>
    <xf numFmtId="0" fontId="4871" fillId="4876" borderId="4811" pivotButton="0" quotePrefix="0" xfId="0"/>
    <xf numFmtId="0" fontId="4872" fillId="4877" borderId="4812" pivotButton="0" quotePrefix="0" xfId="0"/>
    <xf numFmtId="0" fontId="4873" fillId="4878" borderId="4813" pivotButton="0" quotePrefix="0" xfId="0"/>
    <xf numFmtId="0" fontId="4874" fillId="4879" borderId="4814" pivotButton="0" quotePrefix="0" xfId="0"/>
    <xf numFmtId="0" fontId="4875" fillId="4880" borderId="4815" pivotButton="0" quotePrefix="0" xfId="0"/>
    <xf numFmtId="0" fontId="4876" fillId="4881" borderId="4816" pivotButton="0" quotePrefix="0" xfId="0"/>
    <xf numFmtId="14" fontId="4877" fillId="4882" borderId="4817" pivotButton="0" quotePrefix="0" xfId="0"/>
    <xf numFmtId="0" fontId="4878" fillId="4883" borderId="4818" pivotButton="0" quotePrefix="0" xfId="0"/>
    <xf numFmtId="0" fontId="4879" fillId="4884" borderId="4819" pivotButton="0" quotePrefix="0" xfId="0"/>
    <xf numFmtId="0" fontId="4880" fillId="4885" borderId="4820" pivotButton="0" quotePrefix="0" xfId="0"/>
    <xf numFmtId="0" fontId="4881" fillId="4886" borderId="4821" pivotButton="0" quotePrefix="0" xfId="0"/>
    <xf numFmtId="0" fontId="4882" fillId="4887" borderId="4822" pivotButton="0" quotePrefix="0" xfId="0"/>
    <xf numFmtId="0" fontId="4883" fillId="4888" borderId="4823" pivotButton="0" quotePrefix="0" xfId="0"/>
    <xf numFmtId="0" fontId="4884" fillId="4889" borderId="4824" pivotButton="0" quotePrefix="0" xfId="0"/>
    <xf numFmtId="0" fontId="4885" fillId="4890" borderId="4825" pivotButton="0" quotePrefix="0" xfId="0"/>
    <xf numFmtId="0" fontId="4886" fillId="4891" borderId="4826" pivotButton="0" quotePrefix="0" xfId="0"/>
    <xf numFmtId="0" fontId="4887" fillId="4892" borderId="4827" pivotButton="0" quotePrefix="0" xfId="0"/>
    <xf numFmtId="14" fontId="4888" fillId="4893" borderId="4828" pivotButton="0" quotePrefix="0" xfId="0"/>
    <xf numFmtId="0" fontId="4889" fillId="4894" borderId="4829" pivotButton="0" quotePrefix="0" xfId="0"/>
    <xf numFmtId="0" fontId="4890" fillId="4895" borderId="4830" pivotButton="0" quotePrefix="0" xfId="0"/>
    <xf numFmtId="0" fontId="4891" fillId="4896" borderId="4831" pivotButton="0" quotePrefix="0" xfId="0"/>
    <xf numFmtId="0" fontId="4892" fillId="4897" borderId="4832" pivotButton="0" quotePrefix="0" xfId="0"/>
    <xf numFmtId="0" fontId="4893" fillId="4898" borderId="4833" pivotButton="0" quotePrefix="0" xfId="0"/>
    <xf numFmtId="0" fontId="4894" fillId="4899" borderId="4834" pivotButton="0" quotePrefix="0" xfId="0"/>
    <xf numFmtId="0" fontId="4895" fillId="4900" borderId="4835" pivotButton="0" quotePrefix="0" xfId="0"/>
    <xf numFmtId="0" fontId="4896" fillId="4901" borderId="4836" pivotButton="0" quotePrefix="0" xfId="0"/>
    <xf numFmtId="0" fontId="4897" fillId="4902" borderId="4837" pivotButton="0" quotePrefix="0" xfId="0"/>
    <xf numFmtId="0" fontId="4898" fillId="4903" borderId="4838" pivotButton="0" quotePrefix="0" xfId="0"/>
    <xf numFmtId="14" fontId="4899" fillId="4904" borderId="4839" pivotButton="0" quotePrefix="0" xfId="0"/>
    <xf numFmtId="0" fontId="4900" fillId="4905" borderId="4840" pivotButton="0" quotePrefix="0" xfId="0"/>
    <xf numFmtId="0" fontId="4901" fillId="4906" borderId="4841" pivotButton="0" quotePrefix="0" xfId="0"/>
    <xf numFmtId="0" fontId="4902" fillId="4907" borderId="4842" pivotButton="0" quotePrefix="0" xfId="0"/>
    <xf numFmtId="0" fontId="4903" fillId="4908" borderId="4843" pivotButton="0" quotePrefix="0" xfId="0"/>
    <xf numFmtId="0" fontId="4904" fillId="4909" borderId="4844" pivotButton="0" quotePrefix="0" xfId="0"/>
    <xf numFmtId="0" fontId="4905" fillId="4910" borderId="4845" pivotButton="0" quotePrefix="0" xfId="0"/>
    <xf numFmtId="0" fontId="4906" fillId="4911" borderId="4846" pivotButton="0" quotePrefix="0" xfId="0"/>
    <xf numFmtId="0" fontId="4907" fillId="4912" borderId="4847" pivotButton="0" quotePrefix="0" xfId="0"/>
    <xf numFmtId="0" fontId="4908" fillId="4913" borderId="4848" pivotButton="0" quotePrefix="0" xfId="0"/>
    <xf numFmtId="0" fontId="4909" fillId="4914" borderId="4849" pivotButton="0" quotePrefix="0" xfId="0"/>
    <xf numFmtId="14" fontId="4910" fillId="4915" borderId="4850" pivotButton="0" quotePrefix="0" xfId="0"/>
    <xf numFmtId="0" fontId="4911" fillId="4916" borderId="4851" pivotButton="0" quotePrefix="0" xfId="0"/>
    <xf numFmtId="0" fontId="4912" fillId="4917" borderId="4852" pivotButton="0" quotePrefix="0" xfId="0"/>
    <xf numFmtId="0" fontId="4913" fillId="4918" borderId="4853" pivotButton="0" quotePrefix="0" xfId="0"/>
    <xf numFmtId="0" fontId="4914" fillId="4919" borderId="4854" pivotButton="0" quotePrefix="0" xfId="0"/>
    <xf numFmtId="0" fontId="4915" fillId="4920" borderId="4855" pivotButton="0" quotePrefix="0" xfId="0"/>
    <xf numFmtId="0" fontId="4916" fillId="4921" borderId="4856" pivotButton="0" quotePrefix="0" xfId="0"/>
    <xf numFmtId="0" fontId="4917" fillId="4922" borderId="4857" pivotButton="0" quotePrefix="0" xfId="0"/>
    <xf numFmtId="0" fontId="4918" fillId="4923" borderId="4858" pivotButton="0" quotePrefix="0" xfId="0"/>
    <xf numFmtId="0" fontId="4919" fillId="4924" borderId="4859" pivotButton="0" quotePrefix="0" xfId="0"/>
    <xf numFmtId="0" fontId="4920" fillId="4925" borderId="4860" pivotButton="0" quotePrefix="0" xfId="0"/>
    <xf numFmtId="14" fontId="4921" fillId="4926" borderId="4861" pivotButton="0" quotePrefix="0" xfId="0"/>
    <xf numFmtId="0" fontId="4922" fillId="4927" borderId="4862" pivotButton="0" quotePrefix="0" xfId="0"/>
    <xf numFmtId="0" fontId="4923" fillId="4928" borderId="4863" pivotButton="0" quotePrefix="0" xfId="0"/>
    <xf numFmtId="0" fontId="4924" fillId="4929" borderId="4864" pivotButton="0" quotePrefix="0" xfId="0"/>
    <xf numFmtId="0" fontId="4925" fillId="4930" borderId="4865" pivotButton="0" quotePrefix="0" xfId="0"/>
    <xf numFmtId="0" fontId="4926" fillId="4931" borderId="4866" pivotButton="0" quotePrefix="0" xfId="0"/>
    <xf numFmtId="0" fontId="4927" fillId="4932" borderId="4867" pivotButton="0" quotePrefix="0" xfId="0"/>
    <xf numFmtId="0" fontId="4928" fillId="4933" borderId="4868" pivotButton="0" quotePrefix="0" xfId="0"/>
    <xf numFmtId="0" fontId="4929" fillId="4934" borderId="4869" pivotButton="0" quotePrefix="0" xfId="0"/>
    <xf numFmtId="0" fontId="4930" fillId="4935" borderId="4870" pivotButton="0" quotePrefix="0" xfId="0"/>
    <xf numFmtId="0" fontId="4931" fillId="4936" borderId="4871" pivotButton="0" quotePrefix="0" xfId="0"/>
    <xf numFmtId="14" fontId="4932" fillId="4937" borderId="4872" pivotButton="0" quotePrefix="0" xfId="0"/>
    <xf numFmtId="0" fontId="4933" fillId="4938" borderId="4873" pivotButton="0" quotePrefix="0" xfId="0"/>
    <xf numFmtId="0" fontId="4934" fillId="4939" borderId="4874" pivotButton="0" quotePrefix="0" xfId="0"/>
    <xf numFmtId="0" fontId="4935" fillId="4940" borderId="4875" pivotButton="0" quotePrefix="0" xfId="0"/>
    <xf numFmtId="0" fontId="4936" fillId="4941" borderId="4876" pivotButton="0" quotePrefix="0" xfId="0"/>
    <xf numFmtId="0" fontId="4937" fillId="4942" borderId="4877" pivotButton="0" quotePrefix="0" xfId="0"/>
    <xf numFmtId="0" fontId="4938" fillId="4943" borderId="4878" pivotButton="0" quotePrefix="0" xfId="0"/>
    <xf numFmtId="0" fontId="4939" fillId="4944" borderId="4879" pivotButton="0" quotePrefix="0" xfId="0"/>
    <xf numFmtId="0" fontId="4940" fillId="4945" borderId="4880" pivotButton="0" quotePrefix="0" xfId="0"/>
    <xf numFmtId="0" fontId="4941" fillId="4946" borderId="4881" pivotButton="0" quotePrefix="0" xfId="0"/>
    <xf numFmtId="0" fontId="4942" fillId="4947" borderId="4882" pivotButton="0" quotePrefix="0" xfId="0"/>
    <xf numFmtId="14" fontId="4943" fillId="4948" borderId="4883" pivotButton="0" quotePrefix="0" xfId="0"/>
    <xf numFmtId="0" fontId="4944" fillId="4949" borderId="4884" pivotButton="0" quotePrefix="0" xfId="0"/>
    <xf numFmtId="0" fontId="4945" fillId="4950" borderId="4885" pivotButton="0" quotePrefix="0" xfId="0"/>
    <xf numFmtId="0" fontId="4946" fillId="4951" borderId="4886" pivotButton="0" quotePrefix="0" xfId="0"/>
    <xf numFmtId="0" fontId="4947" fillId="4952" borderId="4887" pivotButton="0" quotePrefix="0" xfId="0"/>
    <xf numFmtId="0" fontId="4948" fillId="4953" borderId="4888" pivotButton="0" quotePrefix="0" xfId="0"/>
    <xf numFmtId="0" fontId="4949" fillId="4954" borderId="4889" pivotButton="0" quotePrefix="0" xfId="0"/>
    <xf numFmtId="0" fontId="4950" fillId="4955" borderId="4890" pivotButton="0" quotePrefix="0" xfId="0"/>
    <xf numFmtId="0" fontId="4951" fillId="4956" borderId="4891" pivotButton="0" quotePrefix="0" xfId="0"/>
    <xf numFmtId="0" fontId="4952" fillId="4957" borderId="4892" pivotButton="0" quotePrefix="0" xfId="0"/>
    <xf numFmtId="0" fontId="4953" fillId="4958" borderId="4893" pivotButton="0" quotePrefix="0" xfId="0"/>
    <xf numFmtId="14" fontId="4954" fillId="4959" borderId="4894" pivotButton="0" quotePrefix="0" xfId="0"/>
    <xf numFmtId="0" fontId="4955" fillId="4960" borderId="4895" pivotButton="0" quotePrefix="0" xfId="0"/>
    <xf numFmtId="0" fontId="4956" fillId="4961" borderId="4896" pivotButton="0" quotePrefix="0" xfId="0"/>
    <xf numFmtId="0" fontId="4957" fillId="4962" borderId="4897" pivotButton="0" quotePrefix="0" xfId="0"/>
    <xf numFmtId="0" fontId="4958" fillId="4963" borderId="4898" pivotButton="0" quotePrefix="0" xfId="0"/>
    <xf numFmtId="0" fontId="4959" fillId="4964" borderId="4899" pivotButton="0" quotePrefix="0" xfId="0"/>
    <xf numFmtId="0" fontId="4960" fillId="4965" borderId="4900" pivotButton="0" quotePrefix="0" xfId="0"/>
    <xf numFmtId="0" fontId="4961" fillId="4966" borderId="4901" pivotButton="0" quotePrefix="0" xfId="0"/>
    <xf numFmtId="0" fontId="4962" fillId="4967" borderId="4902" pivotButton="0" quotePrefix="0" xfId="0"/>
    <xf numFmtId="0" fontId="4963" fillId="4968" borderId="4903" pivotButton="0" quotePrefix="0" xfId="0"/>
    <xf numFmtId="0" fontId="4964" fillId="4969" borderId="4904" pivotButton="0" quotePrefix="0" xfId="0"/>
    <xf numFmtId="14" fontId="4965" fillId="4970" borderId="4905" pivotButton="0" quotePrefix="0" xfId="0"/>
    <xf numFmtId="0" fontId="4966" fillId="4971" borderId="4906" pivotButton="0" quotePrefix="0" xfId="0"/>
    <xf numFmtId="0" fontId="4967" fillId="4972" borderId="4907" pivotButton="0" quotePrefix="0" xfId="0"/>
    <xf numFmtId="0" fontId="4968" fillId="4973" borderId="4908" pivotButton="0" quotePrefix="0" xfId="0"/>
    <xf numFmtId="0" fontId="4969" fillId="4974" borderId="4909" pivotButton="0" quotePrefix="0" xfId="0"/>
    <xf numFmtId="0" fontId="4970" fillId="4975" borderId="4910" pivotButton="0" quotePrefix="0" xfId="0"/>
    <xf numFmtId="0" fontId="4971" fillId="4976" borderId="4911" pivotButton="0" quotePrefix="0" xfId="0"/>
    <xf numFmtId="0" fontId="4972" fillId="4977" borderId="4912" pivotButton="0" quotePrefix="0" xfId="0"/>
    <xf numFmtId="0" fontId="4973" fillId="4978" borderId="4913" pivotButton="0" quotePrefix="0" xfId="0"/>
    <xf numFmtId="0" fontId="4974" fillId="4979" borderId="4914" pivotButton="0" quotePrefix="0" xfId="0"/>
    <xf numFmtId="0" fontId="4975" fillId="4980" borderId="4915" pivotButton="0" quotePrefix="0" xfId="0"/>
    <xf numFmtId="14" fontId="4976" fillId="4981" borderId="4916" pivotButton="0" quotePrefix="0" xfId="0"/>
    <xf numFmtId="0" fontId="4977" fillId="4982" borderId="4917" pivotButton="0" quotePrefix="0" xfId="0"/>
    <xf numFmtId="0" fontId="4978" fillId="4983" borderId="4918" pivotButton="0" quotePrefix="0" xfId="0"/>
    <xf numFmtId="0" fontId="4979" fillId="4984" borderId="4919" pivotButton="0" quotePrefix="0" xfId="0"/>
    <xf numFmtId="0" fontId="4980" fillId="4985" borderId="4920" pivotButton="0" quotePrefix="0" xfId="0"/>
    <xf numFmtId="0" fontId="4981" fillId="4986" borderId="4921" pivotButton="0" quotePrefix="0" xfId="0"/>
    <xf numFmtId="0" fontId="4982" fillId="4987" borderId="4922" pivotButton="0" quotePrefix="0" xfId="0"/>
    <xf numFmtId="0" fontId="4983" fillId="4988" borderId="4923" pivotButton="0" quotePrefix="0" xfId="0"/>
    <xf numFmtId="0" fontId="4984" fillId="4989" borderId="4924" pivotButton="0" quotePrefix="0" xfId="0"/>
    <xf numFmtId="0" fontId="4985" fillId="4990" borderId="4925" pivotButton="0" quotePrefix="0" xfId="0"/>
    <xf numFmtId="0" fontId="4986" fillId="4991" borderId="4926" pivotButton="0" quotePrefix="0" xfId="0"/>
    <xf numFmtId="14" fontId="4987" fillId="4992" borderId="4927" pivotButton="0" quotePrefix="0" xfId="0"/>
    <xf numFmtId="0" fontId="4988" fillId="4993" borderId="4928" pivotButton="0" quotePrefix="0" xfId="0"/>
    <xf numFmtId="0" fontId="4989" fillId="4994" borderId="4929" pivotButton="0" quotePrefix="0" xfId="0"/>
    <xf numFmtId="0" fontId="4990" fillId="4995" borderId="4930" pivotButton="0" quotePrefix="0" xfId="0"/>
    <xf numFmtId="0" fontId="4991" fillId="4996" borderId="4931" pivotButton="0" quotePrefix="0" xfId="0"/>
    <xf numFmtId="0" fontId="4992" fillId="4997" borderId="4932" pivotButton="0" quotePrefix="0" xfId="0"/>
    <xf numFmtId="0" fontId="4993" fillId="4998" borderId="4933" pivotButton="0" quotePrefix="0" xfId="0"/>
    <xf numFmtId="0" fontId="4994" fillId="4999" borderId="4934" pivotButton="0" quotePrefix="0" xfId="0"/>
    <xf numFmtId="0" fontId="4995" fillId="5000" borderId="4935" pivotButton="0" quotePrefix="0" xfId="0"/>
    <xf numFmtId="0" fontId="4996" fillId="5001" borderId="4936" pivotButton="0" quotePrefix="0" xfId="0"/>
    <xf numFmtId="0" fontId="4997" fillId="5002" borderId="4937" pivotButton="0" quotePrefix="0" xfId="0"/>
    <xf numFmtId="14" fontId="4998" fillId="5003" borderId="4938" pivotButton="0" quotePrefix="0" xfId="0"/>
    <xf numFmtId="0" fontId="4999" fillId="5004" borderId="4939" pivotButton="0" quotePrefix="0" xfId="0"/>
    <xf numFmtId="0" fontId="5000" fillId="5005" borderId="4940" pivotButton="0" quotePrefix="0" xfId="0"/>
    <xf numFmtId="0" fontId="5001" fillId="5006" borderId="4941" pivotButton="0" quotePrefix="0" xfId="0"/>
    <xf numFmtId="0" fontId="5002" fillId="5007" borderId="4942" pivotButton="0" quotePrefix="0" xfId="0"/>
    <xf numFmtId="0" fontId="5003" fillId="5008" borderId="4943" pivotButton="0" quotePrefix="0" xfId="0"/>
    <xf numFmtId="0" fontId="5004" fillId="5009" borderId="4944" pivotButton="0" quotePrefix="0" xfId="0"/>
    <xf numFmtId="0" fontId="5005" fillId="5010" borderId="4945" pivotButton="0" quotePrefix="0" xfId="0"/>
    <xf numFmtId="0" fontId="5006" fillId="5011" borderId="4946" pivotButton="0" quotePrefix="0" xfId="0"/>
    <xf numFmtId="0" fontId="5007" fillId="5012" borderId="4947" pivotButton="0" quotePrefix="0" xfId="0"/>
    <xf numFmtId="0" fontId="5008" fillId="5013" borderId="4948" pivotButton="0" quotePrefix="0" xfId="0"/>
    <xf numFmtId="14" fontId="5009" fillId="5014" borderId="4949" pivotButton="0" quotePrefix="0" xfId="0"/>
    <xf numFmtId="0" fontId="5010" fillId="5015" borderId="4950" pivotButton="0" quotePrefix="0" xfId="0"/>
    <xf numFmtId="0" fontId="5011" fillId="5016" borderId="4951" pivotButton="0" quotePrefix="0" xfId="0"/>
    <xf numFmtId="0" fontId="5012" fillId="5017" borderId="4952" pivotButton="0" quotePrefix="0" xfId="0"/>
    <xf numFmtId="0" fontId="5013" fillId="5018" borderId="4953" pivotButton="0" quotePrefix="0" xfId="0"/>
    <xf numFmtId="0" fontId="5014" fillId="5019" borderId="4954" pivotButton="0" quotePrefix="0" xfId="0"/>
    <xf numFmtId="0" fontId="5015" fillId="5020" borderId="4955" pivotButton="0" quotePrefix="0" xfId="0"/>
    <xf numFmtId="0" fontId="5016" fillId="5021" borderId="4956" pivotButton="0" quotePrefix="0" xfId="0"/>
    <xf numFmtId="0" fontId="5017" fillId="5022" borderId="4957" pivotButton="0" quotePrefix="0" xfId="0"/>
    <xf numFmtId="0" fontId="5018" fillId="5023" borderId="4958" pivotButton="0" quotePrefix="0" xfId="0"/>
    <xf numFmtId="0" fontId="5019" fillId="5024" borderId="4959" pivotButton="0" quotePrefix="0" xfId="0"/>
    <xf numFmtId="14" fontId="5020" fillId="5025" borderId="4960" pivotButton="0" quotePrefix="0" xfId="0"/>
    <xf numFmtId="0" fontId="5021" fillId="5026" borderId="4961" pivotButton="0" quotePrefix="0" xfId="0"/>
    <xf numFmtId="0" fontId="5022" fillId="5027" borderId="4962" pivotButton="0" quotePrefix="0" xfId="0"/>
    <xf numFmtId="0" fontId="5023" fillId="5028" borderId="4963" pivotButton="0" quotePrefix="0" xfId="0"/>
    <xf numFmtId="0" fontId="5024" fillId="5029" borderId="4964" pivotButton="0" quotePrefix="0" xfId="0"/>
    <xf numFmtId="0" fontId="5025" fillId="5030" borderId="4965" pivotButton="0" quotePrefix="0" xfId="0"/>
    <xf numFmtId="0" fontId="5026" fillId="5031" borderId="4966" pivotButton="0" quotePrefix="0" xfId="0"/>
    <xf numFmtId="0" fontId="5027" fillId="5032" borderId="4967" pivotButton="0" quotePrefix="0" xfId="0"/>
    <xf numFmtId="0" fontId="5028" fillId="5033" borderId="4968" pivotButton="0" quotePrefix="0" xfId="0"/>
    <xf numFmtId="0" fontId="5029" fillId="5034" borderId="4969" pivotButton="0" quotePrefix="0" xfId="0"/>
    <xf numFmtId="0" fontId="5030" fillId="5035" borderId="4970" pivotButton="0" quotePrefix="0" xfId="0"/>
    <xf numFmtId="14" fontId="5031" fillId="5036" borderId="4971" pivotButton="0" quotePrefix="0" xfId="0"/>
    <xf numFmtId="0" fontId="5032" fillId="5037" borderId="4972" pivotButton="0" quotePrefix="0" xfId="0"/>
    <xf numFmtId="0" fontId="5033" fillId="5038" borderId="4973" pivotButton="0" quotePrefix="0" xfId="0"/>
    <xf numFmtId="0" fontId="5034" fillId="5039" borderId="4974" pivotButton="0" quotePrefix="0" xfId="0"/>
    <xf numFmtId="0" fontId="5035" fillId="5040" borderId="4975" pivotButton="0" quotePrefix="0" xfId="0"/>
    <xf numFmtId="0" fontId="5036" fillId="5041" borderId="4976" pivotButton="0" quotePrefix="0" xfId="0"/>
    <xf numFmtId="0" fontId="5037" fillId="5042" borderId="4977" pivotButton="0" quotePrefix="0" xfId="0"/>
    <xf numFmtId="0" fontId="5038" fillId="5043" borderId="4978" pivotButton="0" quotePrefix="0" xfId="0"/>
    <xf numFmtId="0" fontId="5039" fillId="5044" borderId="4979" pivotButton="0" quotePrefix="0" xfId="0"/>
    <xf numFmtId="0" fontId="5040" fillId="5045" borderId="4980" pivotButton="0" quotePrefix="0" xfId="0"/>
    <xf numFmtId="0" fontId="5041" fillId="5046" borderId="4981" pivotButton="0" quotePrefix="0" xfId="0"/>
    <xf numFmtId="14" fontId="5042" fillId="5047" borderId="4982" pivotButton="0" quotePrefix="0" xfId="0"/>
    <xf numFmtId="0" fontId="5043" fillId="5048" borderId="4983" pivotButton="0" quotePrefix="0" xfId="0"/>
    <xf numFmtId="0" fontId="5044" fillId="5049" borderId="4984" pivotButton="0" quotePrefix="0" xfId="0"/>
    <xf numFmtId="0" fontId="5045" fillId="5050" borderId="4985" pivotButton="0" quotePrefix="0" xfId="0"/>
    <xf numFmtId="0" fontId="5046" fillId="5051" borderId="4986" pivotButton="0" quotePrefix="0" xfId="0"/>
    <xf numFmtId="0" fontId="5047" fillId="5052" borderId="4987" pivotButton="0" quotePrefix="0" xfId="0"/>
    <xf numFmtId="0" fontId="5048" fillId="5053" borderId="4988" pivotButton="0" quotePrefix="0" xfId="0"/>
    <xf numFmtId="0" fontId="5049" fillId="5054" borderId="4989" pivotButton="0" quotePrefix="0" xfId="0"/>
    <xf numFmtId="0" fontId="5050" fillId="5055" borderId="4990" pivotButton="0" quotePrefix="0" xfId="0"/>
    <xf numFmtId="0" fontId="5051" fillId="5056" borderId="4991" pivotButton="0" quotePrefix="0" xfId="0"/>
    <xf numFmtId="0" fontId="5052" fillId="5057" borderId="4992" pivotButton="0" quotePrefix="0" xfId="0"/>
    <xf numFmtId="14" fontId="5053" fillId="5058" borderId="4993" pivotButton="0" quotePrefix="0" xfId="0"/>
    <xf numFmtId="0" fontId="5054" fillId="5059" borderId="4994" pivotButton="0" quotePrefix="0" xfId="0"/>
    <xf numFmtId="0" fontId="5055" fillId="5060" borderId="4995" pivotButton="0" quotePrefix="0" xfId="0"/>
    <xf numFmtId="0" fontId="5056" fillId="5061" borderId="4996" pivotButton="0" quotePrefix="0" xfId="0"/>
    <xf numFmtId="0" fontId="5057" fillId="5062" borderId="4997" pivotButton="0" quotePrefix="0" xfId="0"/>
    <xf numFmtId="0" fontId="5058" fillId="5063" borderId="4998" pivotButton="0" quotePrefix="0" xfId="0"/>
    <xf numFmtId="0" fontId="5059" fillId="5064" borderId="4999" pivotButton="0" quotePrefix="0" xfId="0"/>
    <xf numFmtId="0" fontId="5060" fillId="5065" borderId="5000" pivotButton="0" quotePrefix="0" xfId="0"/>
    <xf numFmtId="0" fontId="5061" fillId="5066" borderId="5001" pivotButton="0" quotePrefix="0" xfId="0"/>
    <xf numFmtId="0" fontId="5062" fillId="5067" borderId="5002" pivotButton="0" quotePrefix="0" xfId="0"/>
    <xf numFmtId="0" fontId="5063" fillId="5068" borderId="5003" pivotButton="0" quotePrefix="0" xfId="0"/>
    <xf numFmtId="14" fontId="5064" fillId="5069" borderId="5004" pivotButton="0" quotePrefix="0" xfId="0"/>
    <xf numFmtId="0" fontId="5065" fillId="5070" borderId="5005" pivotButton="0" quotePrefix="0" xfId="0"/>
    <xf numFmtId="0" fontId="5066" fillId="5071" borderId="5006" pivotButton="0" quotePrefix="0" xfId="0"/>
    <xf numFmtId="0" fontId="5067" fillId="5072" borderId="5007" pivotButton="0" quotePrefix="0" xfId="0"/>
    <xf numFmtId="0" fontId="5068" fillId="5073" borderId="5008" pivotButton="0" quotePrefix="0" xfId="0"/>
    <xf numFmtId="0" fontId="5069" fillId="5074" borderId="5009" pivotButton="0" quotePrefix="0" xfId="0"/>
    <xf numFmtId="0" fontId="5070" fillId="5075" borderId="5010" pivotButton="0" quotePrefix="0" xfId="0"/>
    <xf numFmtId="0" fontId="5071" fillId="5076" borderId="5011" pivotButton="0" quotePrefix="0" xfId="0"/>
    <xf numFmtId="0" fontId="5072" fillId="5077" borderId="5012" pivotButton="0" quotePrefix="0" xfId="0"/>
    <xf numFmtId="0" fontId="5073" fillId="5078" borderId="5013" pivotButton="0" quotePrefix="0" xfId="0"/>
    <xf numFmtId="0" fontId="5074" fillId="5079" borderId="5014" pivotButton="0" quotePrefix="0" xfId="0"/>
    <xf numFmtId="14" fontId="5075" fillId="5080" borderId="5015" pivotButton="0" quotePrefix="0" xfId="0"/>
    <xf numFmtId="0" fontId="5076" fillId="5081" borderId="5016" pivotButton="0" quotePrefix="0" xfId="0"/>
    <xf numFmtId="0" fontId="5077" fillId="5082" borderId="5017" pivotButton="0" quotePrefix="0" xfId="0"/>
    <xf numFmtId="0" fontId="5078" fillId="5083" borderId="5018" pivotButton="0" quotePrefix="0" xfId="0"/>
    <xf numFmtId="0" fontId="5079" fillId="5084" borderId="5019" pivotButton="0" quotePrefix="0" xfId="0"/>
    <xf numFmtId="0" fontId="5080" fillId="5085" borderId="5020" pivotButton="0" quotePrefix="0" xfId="0"/>
    <xf numFmtId="0" fontId="5081" fillId="5086" borderId="5021" pivotButton="0" quotePrefix="0" xfId="0"/>
    <xf numFmtId="0" fontId="5082" fillId="5087" borderId="5022" pivotButton="0" quotePrefix="0" xfId="0"/>
    <xf numFmtId="0" fontId="5083" fillId="5088" borderId="5023" pivotButton="0" quotePrefix="0" xfId="0"/>
    <xf numFmtId="0" fontId="5084" fillId="5089" borderId="5024" pivotButton="0" quotePrefix="0" xfId="0"/>
    <xf numFmtId="0" fontId="5085" fillId="5090" borderId="5025" pivotButton="0" quotePrefix="0" xfId="0"/>
    <xf numFmtId="14" fontId="5086" fillId="5091" borderId="5026" pivotButton="0" quotePrefix="0" xfId="0"/>
    <xf numFmtId="0" fontId="5087" fillId="5092" borderId="5027" pivotButton="0" quotePrefix="0" xfId="0"/>
    <xf numFmtId="0" fontId="5088" fillId="5093" borderId="5028" pivotButton="0" quotePrefix="0" xfId="0"/>
    <xf numFmtId="0" fontId="5089" fillId="5094" borderId="5029" pivotButton="0" quotePrefix="0" xfId="0"/>
    <xf numFmtId="0" fontId="5090" fillId="5095" borderId="5030" pivotButton="0" quotePrefix="0" xfId="0"/>
    <xf numFmtId="0" fontId="5091" fillId="5096" borderId="5031" pivotButton="0" quotePrefix="0" xfId="0"/>
    <xf numFmtId="0" fontId="5092" fillId="5097" borderId="5032" pivotButton="0" quotePrefix="0" xfId="0"/>
    <xf numFmtId="0" fontId="5093" fillId="5098" borderId="5033" pivotButton="0" quotePrefix="0" xfId="0"/>
    <xf numFmtId="0" fontId="5094" fillId="5099" borderId="5034" pivotButton="0" quotePrefix="0" xfId="0"/>
    <xf numFmtId="0" fontId="5095" fillId="5100" borderId="5035" pivotButton="0" quotePrefix="0" xfId="0"/>
    <xf numFmtId="0" fontId="5096" fillId="5101" borderId="5036" pivotButton="0" quotePrefix="0" xfId="0"/>
    <xf numFmtId="14" fontId="5097" fillId="5102" borderId="5037" pivotButton="0" quotePrefix="0" xfId="0"/>
    <xf numFmtId="0" fontId="5098" fillId="5103" borderId="5038" pivotButton="0" quotePrefix="0" xfId="0"/>
    <xf numFmtId="0" fontId="5099" fillId="5104" borderId="5039" pivotButton="0" quotePrefix="0" xfId="0"/>
    <xf numFmtId="0" fontId="5100" fillId="5105" borderId="5040" pivotButton="0" quotePrefix="0" xfId="0"/>
    <xf numFmtId="0" fontId="5101" fillId="5106" borderId="5041" pivotButton="0" quotePrefix="0" xfId="0"/>
    <xf numFmtId="0" fontId="5102" fillId="5107" borderId="5042" pivotButton="0" quotePrefix="0" xfId="0"/>
    <xf numFmtId="0" fontId="5103" fillId="5108" borderId="5043" pivotButton="0" quotePrefix="0" xfId="0"/>
    <xf numFmtId="0" fontId="5104" fillId="5109" borderId="5044" pivotButton="0" quotePrefix="0" xfId="0"/>
    <xf numFmtId="0" fontId="5105" fillId="5110" borderId="5045" pivotButton="0" quotePrefix="0" xfId="0"/>
    <xf numFmtId="0" fontId="5106" fillId="5111" borderId="5046" pivotButton="0" quotePrefix="0" xfId="0"/>
    <xf numFmtId="0" fontId="5107" fillId="5112" borderId="5047" pivotButton="0" quotePrefix="0" xfId="0"/>
    <xf numFmtId="14" fontId="5108" fillId="5113" borderId="5048" pivotButton="0" quotePrefix="0" xfId="0"/>
    <xf numFmtId="0" fontId="5109" fillId="5114" borderId="5049" pivotButton="0" quotePrefix="0" xfId="0"/>
    <xf numFmtId="0" fontId="5110" fillId="5115" borderId="5050" pivotButton="0" quotePrefix="0" xfId="0"/>
    <xf numFmtId="0" fontId="5111" fillId="5116" borderId="5051" pivotButton="0" quotePrefix="0" xfId="0"/>
    <xf numFmtId="0" fontId="5112" fillId="5117" borderId="5052" pivotButton="0" quotePrefix="0" xfId="0"/>
    <xf numFmtId="0" fontId="5113" fillId="5118" borderId="5053" pivotButton="0" quotePrefix="0" xfId="0"/>
    <xf numFmtId="0" fontId="5114" fillId="5119" borderId="5054" pivotButton="0" quotePrefix="0" xfId="0"/>
    <xf numFmtId="0" fontId="5115" fillId="5120" borderId="5055" pivotButton="0" quotePrefix="0" xfId="0"/>
    <xf numFmtId="0" fontId="5116" fillId="5121" borderId="5056" pivotButton="0" quotePrefix="0" xfId="0"/>
    <xf numFmtId="0" fontId="5117" fillId="5122" borderId="5057" pivotButton="0" quotePrefix="0" xfId="0"/>
    <xf numFmtId="0" fontId="5118" fillId="5123" borderId="5058" pivotButton="0" quotePrefix="0" xfId="0"/>
    <xf numFmtId="14" fontId="5119" fillId="5124" borderId="5059" pivotButton="0" quotePrefix="0" xfId="0"/>
    <xf numFmtId="0" fontId="5120" fillId="5125" borderId="5060" pivotButton="0" quotePrefix="0" xfId="0"/>
    <xf numFmtId="0" fontId="5121" fillId="5126" borderId="5061" pivotButton="0" quotePrefix="0" xfId="0"/>
    <xf numFmtId="0" fontId="5122" fillId="5127" borderId="5062" pivotButton="0" quotePrefix="0" xfId="0"/>
    <xf numFmtId="0" fontId="5123" fillId="5128" borderId="5063" pivotButton="0" quotePrefix="0" xfId="0"/>
    <xf numFmtId="0" fontId="5124" fillId="5129" borderId="5064" pivotButton="0" quotePrefix="0" xfId="0"/>
    <xf numFmtId="0" fontId="5125" fillId="5130" borderId="5065" pivotButton="0" quotePrefix="0" xfId="0"/>
    <xf numFmtId="0" fontId="5126" fillId="5131" borderId="5066" pivotButton="0" quotePrefix="0" xfId="0"/>
    <xf numFmtId="0" fontId="5127" fillId="5132" borderId="5067" pivotButton="0" quotePrefix="0" xfId="0"/>
    <xf numFmtId="0" fontId="5128" fillId="5133" borderId="5068" pivotButton="0" quotePrefix="0" xfId="0"/>
    <xf numFmtId="0" fontId="5129" fillId="5134" borderId="5069" pivotButton="0" quotePrefix="0" xfId="0"/>
    <xf numFmtId="14" fontId="5130" fillId="5135" borderId="5070" pivotButton="0" quotePrefix="0" xfId="0"/>
    <xf numFmtId="0" fontId="5131" fillId="5136" borderId="5071" pivotButton="0" quotePrefix="0" xfId="0"/>
    <xf numFmtId="0" fontId="5132" fillId="5137" borderId="5072" pivotButton="0" quotePrefix="0" xfId="0"/>
    <xf numFmtId="0" fontId="5133" fillId="5138" borderId="5073" pivotButton="0" quotePrefix="0" xfId="0"/>
    <xf numFmtId="0" fontId="5134" fillId="5139" borderId="5074" pivotButton="0" quotePrefix="0" xfId="0"/>
    <xf numFmtId="0" fontId="5135" fillId="5140" borderId="5075" pivotButton="0" quotePrefix="0" xfId="0"/>
    <xf numFmtId="0" fontId="5136" fillId="5141" borderId="5076" pivotButton="0" quotePrefix="0" xfId="0"/>
    <xf numFmtId="0" fontId="5137" fillId="5142" borderId="5077" pivotButton="0" quotePrefix="0" xfId="0"/>
    <xf numFmtId="0" fontId="5138" fillId="5143" borderId="5078" pivotButton="0" quotePrefix="0" xfId="0"/>
    <xf numFmtId="0" fontId="5139" fillId="5144" borderId="5079" pivotButton="0" quotePrefix="0" xfId="0"/>
    <xf numFmtId="0" fontId="5140" fillId="5145" borderId="5080" pivotButton="0" quotePrefix="0" xfId="0"/>
    <xf numFmtId="14" fontId="5141" fillId="5146" borderId="5081" pivotButton="0" quotePrefix="0" xfId="0"/>
    <xf numFmtId="0" fontId="5142" fillId="5147" borderId="5082" pivotButton="0" quotePrefix="0" xfId="0"/>
    <xf numFmtId="0" fontId="5143" fillId="5148" borderId="5083" pivotButton="0" quotePrefix="0" xfId="0"/>
    <xf numFmtId="0" fontId="5144" fillId="5149" borderId="5084" pivotButton="0" quotePrefix="0" xfId="0"/>
    <xf numFmtId="0" fontId="5145" fillId="5150" borderId="5085" pivotButton="0" quotePrefix="0" xfId="0"/>
    <xf numFmtId="0" fontId="5146" fillId="5151" borderId="5086" pivotButton="0" quotePrefix="0" xfId="0"/>
    <xf numFmtId="0" fontId="5147" fillId="5152" borderId="5087" pivotButton="0" quotePrefix="0" xfId="0"/>
    <xf numFmtId="0" fontId="5148" fillId="5153" borderId="5088" pivotButton="0" quotePrefix="0" xfId="0"/>
    <xf numFmtId="0" fontId="5149" fillId="5154" borderId="5089" pivotButton="0" quotePrefix="0" xfId="0"/>
    <xf numFmtId="0" fontId="5150" fillId="5155" borderId="5090" pivotButton="0" quotePrefix="0" xfId="0"/>
    <xf numFmtId="0" fontId="5151" fillId="5156" borderId="5091" pivotButton="0" quotePrefix="0" xfId="0"/>
    <xf numFmtId="14" fontId="5152" fillId="5157" borderId="5092" pivotButton="0" quotePrefix="0" xfId="0"/>
    <xf numFmtId="0" fontId="5153" fillId="5158" borderId="5093" pivotButton="0" quotePrefix="0" xfId="0"/>
    <xf numFmtId="0" fontId="5154" fillId="5159" borderId="5094" pivotButton="0" quotePrefix="0" xfId="0"/>
    <xf numFmtId="0" fontId="5155" fillId="5160" borderId="5095" pivotButton="0" quotePrefix="0" xfId="0"/>
    <xf numFmtId="0" fontId="5156" fillId="5161" borderId="5096" pivotButton="0" quotePrefix="0" xfId="0"/>
    <xf numFmtId="0" fontId="5157" fillId="5162" borderId="5097" pivotButton="0" quotePrefix="0" xfId="0"/>
    <xf numFmtId="0" fontId="5158" fillId="5163" borderId="5098" pivotButton="0" quotePrefix="0" xfId="0"/>
    <xf numFmtId="0" fontId="5159" fillId="5164" borderId="5099" pivotButton="0" quotePrefix="0" xfId="0"/>
    <xf numFmtId="0" fontId="5160" fillId="5165" borderId="5100" pivotButton="0" quotePrefix="0" xfId="0"/>
    <xf numFmtId="0" fontId="5161" fillId="5166" borderId="5101" pivotButton="0" quotePrefix="0" xfId="0"/>
    <xf numFmtId="0" fontId="5162" fillId="5167" borderId="5102" pivotButton="0" quotePrefix="0" xfId="0"/>
    <xf numFmtId="14" fontId="5163" fillId="5168" borderId="5103" pivotButton="0" quotePrefix="0" xfId="0"/>
    <xf numFmtId="0" fontId="5164" fillId="5169" borderId="5104" pivotButton="0" quotePrefix="0" xfId="0"/>
    <xf numFmtId="0" fontId="5165" fillId="5170" borderId="5105" pivotButton="0" quotePrefix="0" xfId="0"/>
    <xf numFmtId="0" fontId="5166" fillId="5171" borderId="5106" pivotButton="0" quotePrefix="0" xfId="0"/>
    <xf numFmtId="0" fontId="5167" fillId="5172" borderId="5107" pivotButton="0" quotePrefix="0" xfId="0"/>
    <xf numFmtId="0" fontId="5168" fillId="5173" borderId="5108" pivotButton="0" quotePrefix="0" xfId="0"/>
    <xf numFmtId="0" fontId="5169" fillId="5174" borderId="5109" pivotButton="0" quotePrefix="0" xfId="0"/>
    <xf numFmtId="0" fontId="5170" fillId="5175" borderId="5110" pivotButton="0" quotePrefix="0" xfId="0"/>
    <xf numFmtId="0" fontId="5171" fillId="5176" borderId="5111" pivotButton="0" quotePrefix="0" xfId="0"/>
    <xf numFmtId="0" fontId="5172" fillId="5177" borderId="5112" pivotButton="0" quotePrefix="0" xfId="0"/>
    <xf numFmtId="0" fontId="5173" fillId="5178" borderId="5113" pivotButton="0" quotePrefix="0" xfId="0"/>
    <xf numFmtId="14" fontId="5174" fillId="5179" borderId="5114" pivotButton="0" quotePrefix="0" xfId="0"/>
    <xf numFmtId="0" fontId="5175" fillId="5180" borderId="5115" pivotButton="0" quotePrefix="0" xfId="0"/>
    <xf numFmtId="0" fontId="5176" fillId="5181" borderId="5116" pivotButton="0" quotePrefix="0" xfId="0"/>
    <xf numFmtId="0" fontId="5177" fillId="5182" borderId="5117" pivotButton="0" quotePrefix="0" xfId="0"/>
    <xf numFmtId="0" fontId="5178" fillId="5183" borderId="5118" pivotButton="0" quotePrefix="0" xfId="0"/>
    <xf numFmtId="0" fontId="5179" fillId="5184" borderId="5119" pivotButton="0" quotePrefix="0" xfId="0"/>
    <xf numFmtId="0" fontId="5180" fillId="5185" borderId="5120" pivotButton="0" quotePrefix="0" xfId="0"/>
    <xf numFmtId="0" fontId="5181" fillId="5186" borderId="5121" pivotButton="0" quotePrefix="0" xfId="0"/>
    <xf numFmtId="0" fontId="5182" fillId="5187" borderId="5122" pivotButton="0" quotePrefix="0" xfId="0"/>
    <xf numFmtId="0" fontId="5183" fillId="5188" borderId="5123" pivotButton="0" quotePrefix="0" xfId="0"/>
    <xf numFmtId="0" fontId="5184" fillId="5189" borderId="5124" pivotButton="0" quotePrefix="0" xfId="0"/>
    <xf numFmtId="14" fontId="5185" fillId="5190" borderId="5125" pivotButton="0" quotePrefix="0" xfId="0"/>
    <xf numFmtId="0" fontId="5186" fillId="5191" borderId="5126" pivotButton="0" quotePrefix="0" xfId="0"/>
    <xf numFmtId="0" fontId="5187" fillId="5192" borderId="5127" pivotButton="0" quotePrefix="0" xfId="0"/>
    <xf numFmtId="0" fontId="5188" fillId="5193" borderId="5128" pivotButton="0" quotePrefix="0" xfId="0"/>
    <xf numFmtId="0" fontId="5189" fillId="5194" borderId="5129" pivotButton="0" quotePrefix="0" xfId="0"/>
    <xf numFmtId="0" fontId="5190" fillId="5195" borderId="5130" pivotButton="0" quotePrefix="0" xfId="0"/>
    <xf numFmtId="0" fontId="5191" fillId="5196" borderId="5131" pivotButton="0" quotePrefix="0" xfId="0"/>
    <xf numFmtId="0" fontId="5192" fillId="5197" borderId="5132" pivotButton="0" quotePrefix="0" xfId="0"/>
    <xf numFmtId="0" fontId="5193" fillId="5198" borderId="5133" pivotButton="0" quotePrefix="0" xfId="0"/>
    <xf numFmtId="0" fontId="5194" fillId="5199" borderId="5134" pivotButton="0" quotePrefix="0" xfId="0"/>
    <xf numFmtId="0" fontId="5195" fillId="5200" borderId="5135" pivotButton="0" quotePrefix="0" xfId="0"/>
    <xf numFmtId="14" fontId="5196" fillId="5201" borderId="5136" pivotButton="0" quotePrefix="0" xfId="0"/>
    <xf numFmtId="0" fontId="5197" fillId="5202" borderId="5137" pivotButton="0" quotePrefix="0" xfId="0"/>
    <xf numFmtId="0" fontId="5198" fillId="5203" borderId="5138" pivotButton="0" quotePrefix="0" xfId="0"/>
    <xf numFmtId="0" fontId="5199" fillId="5204" borderId="5139" pivotButton="0" quotePrefix="0" xfId="0"/>
    <xf numFmtId="0" fontId="5200" fillId="5205" borderId="5140" pivotButton="0" quotePrefix="0" xfId="0"/>
    <xf numFmtId="0" fontId="5201" fillId="5206" borderId="5141" pivotButton="0" quotePrefix="0" xfId="0"/>
    <xf numFmtId="0" fontId="5202" fillId="5207" borderId="5142" pivotButton="0" quotePrefix="0" xfId="0"/>
    <xf numFmtId="0" fontId="5203" fillId="5208" borderId="5143" pivotButton="0" quotePrefix="0" xfId="0"/>
    <xf numFmtId="0" fontId="5204" fillId="5209" borderId="5144" pivotButton="0" quotePrefix="0" xfId="0"/>
    <xf numFmtId="0" fontId="5205" fillId="5210" borderId="5145" pivotButton="0" quotePrefix="0" xfId="0"/>
    <xf numFmtId="0" fontId="5206" fillId="5211" borderId="5146" pivotButton="0" quotePrefix="0" xfId="0"/>
    <xf numFmtId="14" fontId="5207" fillId="5212" borderId="5147" pivotButton="0" quotePrefix="0" xfId="0"/>
    <xf numFmtId="0" fontId="5208" fillId="5213" borderId="5148" pivotButton="0" quotePrefix="0" xfId="0"/>
    <xf numFmtId="0" fontId="5209" fillId="5214" borderId="5149" pivotButton="0" quotePrefix="0" xfId="0"/>
    <xf numFmtId="0" fontId="5210" fillId="5215" borderId="5150" pivotButton="0" quotePrefix="0" xfId="0"/>
    <xf numFmtId="0" fontId="5211" fillId="5216" borderId="5151" pivotButton="0" quotePrefix="0" xfId="0"/>
    <xf numFmtId="0" fontId="5212" fillId="5217" borderId="5152" pivotButton="0" quotePrefix="0" xfId="0"/>
    <xf numFmtId="0" fontId="5213" fillId="5218" borderId="5153" pivotButton="0" quotePrefix="0" xfId="0"/>
    <xf numFmtId="0" fontId="5214" fillId="5219" borderId="5154" pivotButton="0" quotePrefix="0" xfId="0"/>
    <xf numFmtId="0" fontId="5215" fillId="5220" borderId="5155" pivotButton="0" quotePrefix="0" xfId="0"/>
    <xf numFmtId="0" fontId="5216" fillId="5221" borderId="5156" pivotButton="0" quotePrefix="0" xfId="0"/>
    <xf numFmtId="0" fontId="5217" fillId="5222" borderId="5157" pivotButton="0" quotePrefix="0" xfId="0"/>
    <xf numFmtId="14" fontId="5218" fillId="5223" borderId="5158" pivotButton="0" quotePrefix="0" xfId="0"/>
    <xf numFmtId="0" fontId="5219" fillId="5224" borderId="5159" pivotButton="0" quotePrefix="0" xfId="0"/>
    <xf numFmtId="0" fontId="5220" fillId="5225" borderId="5160" pivotButton="0" quotePrefix="0" xfId="0"/>
    <xf numFmtId="0" fontId="5221" fillId="5226" borderId="5161" pivotButton="0" quotePrefix="0" xfId="0"/>
    <xf numFmtId="0" fontId="5222" fillId="5227" borderId="5162" pivotButton="0" quotePrefix="0" xfId="0"/>
    <xf numFmtId="0" fontId="5223" fillId="5228" borderId="5163" pivotButton="0" quotePrefix="0" xfId="0"/>
    <xf numFmtId="0" fontId="5224" fillId="5229" borderId="5164" pivotButton="0" quotePrefix="0" xfId="0"/>
    <xf numFmtId="0" fontId="5225" fillId="5230" borderId="5165" pivotButton="0" quotePrefix="0" xfId="0"/>
    <xf numFmtId="0" fontId="5226" fillId="5231" borderId="5166" pivotButton="0" quotePrefix="0" xfId="0"/>
    <xf numFmtId="0" fontId="5227" fillId="5232" borderId="5167" pivotButton="0" quotePrefix="0" xfId="0"/>
    <xf numFmtId="0" fontId="5228" fillId="5233" borderId="5168" pivotButton="0" quotePrefix="0" xfId="0"/>
    <xf numFmtId="14" fontId="5229" fillId="5234" borderId="5169" pivotButton="0" quotePrefix="0" xfId="0"/>
    <xf numFmtId="0" fontId="5230" fillId="5235" borderId="5170" pivotButton="0" quotePrefix="0" xfId="0"/>
    <xf numFmtId="0" fontId="5231" fillId="5236" borderId="5171" pivotButton="0" quotePrefix="0" xfId="0"/>
    <xf numFmtId="0" fontId="5232" fillId="5237" borderId="5172" pivotButton="0" quotePrefix="0" xfId="0"/>
    <xf numFmtId="0" fontId="5233" fillId="5238" borderId="5173" pivotButton="0" quotePrefix="0" xfId="0"/>
    <xf numFmtId="0" fontId="5234" fillId="5239" borderId="5174" pivotButton="0" quotePrefix="0" xfId="0"/>
    <xf numFmtId="0" fontId="5235" fillId="5240" borderId="5175" pivotButton="0" quotePrefix="0" xfId="0"/>
    <xf numFmtId="0" fontId="5236" fillId="5241" borderId="5176" pivotButton="0" quotePrefix="0" xfId="0"/>
    <xf numFmtId="0" fontId="5237" fillId="5242" borderId="5177" pivotButton="0" quotePrefix="0" xfId="0"/>
    <xf numFmtId="0" fontId="5238" fillId="5243" borderId="5178" pivotButton="0" quotePrefix="0" xfId="0"/>
    <xf numFmtId="0" fontId="5239" fillId="5244" borderId="5179" pivotButton="0" quotePrefix="0" xfId="0"/>
    <xf numFmtId="14" fontId="5240" fillId="5245" borderId="5180" pivotButton="0" quotePrefix="0" xfId="0"/>
    <xf numFmtId="0" fontId="5241" fillId="5246" borderId="5181" pivotButton="0" quotePrefix="0" xfId="0"/>
    <xf numFmtId="0" fontId="5242" fillId="5247" borderId="5182" pivotButton="0" quotePrefix="0" xfId="0"/>
    <xf numFmtId="0" fontId="5243" fillId="5248" borderId="5183" pivotButton="0" quotePrefix="0" xfId="0"/>
    <xf numFmtId="0" fontId="5244" fillId="5249" borderId="5184" pivotButton="0" quotePrefix="0" xfId="0"/>
    <xf numFmtId="0" fontId="5245" fillId="5250" borderId="5185" pivotButton="0" quotePrefix="0" xfId="0"/>
    <xf numFmtId="0" fontId="5246" fillId="5251" borderId="5186" pivotButton="0" quotePrefix="0" xfId="0"/>
    <xf numFmtId="0" fontId="5247" fillId="5252" borderId="5187" pivotButton="0" quotePrefix="0" xfId="0"/>
    <xf numFmtId="0" fontId="5248" fillId="5253" borderId="5188" pivotButton="0" quotePrefix="0" xfId="0"/>
    <xf numFmtId="0" fontId="5249" fillId="5254" borderId="5189" pivotButton="0" quotePrefix="0" xfId="0"/>
    <xf numFmtId="0" fontId="5250" fillId="5255" borderId="5190" pivotButton="0" quotePrefix="0" xfId="0"/>
    <xf numFmtId="14" fontId="5251" fillId="5256" borderId="5191" pivotButton="0" quotePrefix="0" xfId="0"/>
    <xf numFmtId="0" fontId="5252" fillId="5257" borderId="5192" pivotButton="0" quotePrefix="0" xfId="0"/>
    <xf numFmtId="0" fontId="5253" fillId="5258" borderId="5193" pivotButton="0" quotePrefix="0" xfId="0"/>
    <xf numFmtId="0" fontId="5254" fillId="5259" borderId="5194" pivotButton="0" quotePrefix="0" xfId="0"/>
    <xf numFmtId="0" fontId="5255" fillId="5260" borderId="5195" pivotButton="0" quotePrefix="0" xfId="0"/>
    <xf numFmtId="0" fontId="5256" fillId="5261" borderId="5196" pivotButton="0" quotePrefix="0" xfId="0"/>
    <xf numFmtId="0" fontId="5257" fillId="5262" borderId="5197" pivotButton="0" quotePrefix="0" xfId="0"/>
    <xf numFmtId="0" fontId="5258" fillId="5263" borderId="5198" pivotButton="0" quotePrefix="0" xfId="0"/>
    <xf numFmtId="0" fontId="5259" fillId="5264" borderId="5199" pivotButton="0" quotePrefix="0" xfId="0"/>
    <xf numFmtId="0" fontId="5260" fillId="5265" borderId="5200" pivotButton="0" quotePrefix="0" xfId="0"/>
    <xf numFmtId="0" fontId="5261" fillId="5266" borderId="5201" pivotButton="0" quotePrefix="0" xfId="0"/>
    <xf numFmtId="14" fontId="5262" fillId="5267" borderId="5202" pivotButton="0" quotePrefix="0" xfId="0"/>
    <xf numFmtId="0" fontId="5263" fillId="5268" borderId="5203" pivotButton="0" quotePrefix="0" xfId="0"/>
    <xf numFmtId="0" fontId="5264" fillId="5269" borderId="5204" pivotButton="0" quotePrefix="0" xfId="0"/>
    <xf numFmtId="0" fontId="5265" fillId="5270" borderId="5205" pivotButton="0" quotePrefix="0" xfId="0"/>
    <xf numFmtId="0" fontId="5266" fillId="5271" borderId="5206" pivotButton="0" quotePrefix="0" xfId="0"/>
    <xf numFmtId="0" fontId="5267" fillId="5272" borderId="5207" pivotButton="0" quotePrefix="0" xfId="0"/>
    <xf numFmtId="0" fontId="5268" fillId="5273" borderId="5208" pivotButton="0" quotePrefix="0" xfId="0"/>
    <xf numFmtId="0" fontId="5269" fillId="5274" borderId="5209" pivotButton="0" quotePrefix="0" xfId="0"/>
    <xf numFmtId="0" fontId="5270" fillId="5275" borderId="5210" pivotButton="0" quotePrefix="0" xfId="0"/>
    <xf numFmtId="0" fontId="5271" fillId="5276" borderId="5211" pivotButton="0" quotePrefix="0" xfId="0"/>
    <xf numFmtId="0" fontId="5272" fillId="5277" borderId="5212" pivotButton="0" quotePrefix="0" xfId="0"/>
    <xf numFmtId="14" fontId="5273" fillId="5278" borderId="5213" pivotButton="0" quotePrefix="0" xfId="0"/>
    <xf numFmtId="0" fontId="5274" fillId="5279" borderId="5214" pivotButton="0" quotePrefix="0" xfId="0"/>
    <xf numFmtId="0" fontId="5275" fillId="5280" borderId="5215" pivotButton="0" quotePrefix="0" xfId="0"/>
    <xf numFmtId="0" fontId="5276" fillId="5281" borderId="5216" pivotButton="0" quotePrefix="0" xfId="0"/>
    <xf numFmtId="0" fontId="5277" fillId="5282" borderId="5217" pivotButton="0" quotePrefix="0" xfId="0"/>
    <xf numFmtId="0" fontId="5278" fillId="5283" borderId="5218" pivotButton="0" quotePrefix="0" xfId="0"/>
    <xf numFmtId="0" fontId="5279" fillId="5284" borderId="5219" pivotButton="0" quotePrefix="0" xfId="0"/>
    <xf numFmtId="0" fontId="5280" fillId="5285" borderId="5220" pivotButton="0" quotePrefix="0" xfId="0"/>
    <xf numFmtId="0" fontId="5281" fillId="5286" borderId="5221" pivotButton="0" quotePrefix="0" xfId="0"/>
    <xf numFmtId="0" fontId="5282" fillId="5287" borderId="5222" pivotButton="0" quotePrefix="0" xfId="0"/>
    <xf numFmtId="0" fontId="5283" fillId="5288" borderId="5223" pivotButton="0" quotePrefix="0" xfId="0"/>
    <xf numFmtId="14" fontId="5284" fillId="5289" borderId="5224" pivotButton="0" quotePrefix="0" xfId="0"/>
    <xf numFmtId="0" fontId="5285" fillId="5290" borderId="5225" pivotButton="0" quotePrefix="0" xfId="0"/>
    <xf numFmtId="0" fontId="5286" fillId="5291" borderId="5226" pivotButton="0" quotePrefix="0" xfId="0"/>
    <xf numFmtId="0" fontId="5287" fillId="5292" borderId="5227" pivotButton="0" quotePrefix="0" xfId="0"/>
    <xf numFmtId="0" fontId="5288" fillId="5293" borderId="5228" pivotButton="0" quotePrefix="0" xfId="0"/>
    <xf numFmtId="0" fontId="5289" fillId="5294" borderId="5229" pivotButton="0" quotePrefix="0" xfId="0"/>
    <xf numFmtId="0" fontId="5290" fillId="5295" borderId="5230" pivotButton="0" quotePrefix="0" xfId="0"/>
    <xf numFmtId="0" fontId="5291" fillId="5296" borderId="5231" pivotButton="0" quotePrefix="0" xfId="0"/>
    <xf numFmtId="0" fontId="5292" fillId="5297" borderId="5232" pivotButton="0" quotePrefix="0" xfId="0"/>
    <xf numFmtId="0" fontId="5293" fillId="5298" borderId="5233" pivotButton="0" quotePrefix="0" xfId="0"/>
    <xf numFmtId="0" fontId="5294" fillId="5299" borderId="5234" pivotButton="0" quotePrefix="0" xfId="0"/>
    <xf numFmtId="14" fontId="5295" fillId="5300" borderId="5235" pivotButton="0" quotePrefix="0" xfId="0"/>
    <xf numFmtId="0" fontId="5296" fillId="5301" borderId="5236" pivotButton="0" quotePrefix="0" xfId="0"/>
    <xf numFmtId="0" fontId="5297" fillId="5302" borderId="5237" pivotButton="0" quotePrefix="0" xfId="0"/>
    <xf numFmtId="0" fontId="5298" fillId="5303" borderId="5238" pivotButton="0" quotePrefix="0" xfId="0"/>
    <xf numFmtId="0" fontId="5299" fillId="5304" borderId="5239" pivotButton="0" quotePrefix="0" xfId="0"/>
    <xf numFmtId="0" fontId="5300" fillId="5305" borderId="5240" pivotButton="0" quotePrefix="0" xfId="0"/>
    <xf numFmtId="0" fontId="5301" fillId="5306" borderId="5241" pivotButton="0" quotePrefix="0" xfId="0"/>
    <xf numFmtId="0" fontId="5302" fillId="5307" borderId="5242" pivotButton="0" quotePrefix="0" xfId="0"/>
    <xf numFmtId="0" fontId="5303" fillId="5308" borderId="5243" pivotButton="0" quotePrefix="0" xfId="0"/>
    <xf numFmtId="0" fontId="5304" fillId="5309" borderId="5244" pivotButton="0" quotePrefix="0" xfId="0"/>
    <xf numFmtId="0" fontId="5305" fillId="5310" borderId="5245" pivotButton="0" quotePrefix="0" xfId="0"/>
    <xf numFmtId="14" fontId="5306" fillId="5311" borderId="5246" pivotButton="0" quotePrefix="0" xfId="0"/>
    <xf numFmtId="0" fontId="5307" fillId="5312" borderId="5247" pivotButton="0" quotePrefix="0" xfId="0"/>
    <xf numFmtId="0" fontId="5308" fillId="5313" borderId="5248" pivotButton="0" quotePrefix="0" xfId="0"/>
    <xf numFmtId="0" fontId="5309" fillId="5314" borderId="5249" pivotButton="0" quotePrefix="0" xfId="0"/>
    <xf numFmtId="0" fontId="5310" fillId="5315" borderId="5250" pivotButton="0" quotePrefix="0" xfId="0"/>
    <xf numFmtId="0" fontId="5311" fillId="5316" borderId="5251" pivotButton="0" quotePrefix="0" xfId="0"/>
    <xf numFmtId="0" fontId="5312" fillId="5317" borderId="5252" pivotButton="0" quotePrefix="0" xfId="0"/>
    <xf numFmtId="0" fontId="5313" fillId="5318" borderId="5253" pivotButton="0" quotePrefix="0" xfId="0"/>
    <xf numFmtId="0" fontId="5314" fillId="5319" borderId="5254" pivotButton="0" quotePrefix="0" xfId="0"/>
    <xf numFmtId="0" fontId="5315" fillId="5320" borderId="5255" pivotButton="0" quotePrefix="0" xfId="0"/>
    <xf numFmtId="0" fontId="5316" fillId="5321" borderId="5256" pivotButton="0" quotePrefix="0" xfId="0"/>
    <xf numFmtId="14" fontId="5317" fillId="5322" borderId="5257" pivotButton="0" quotePrefix="0" xfId="0"/>
    <xf numFmtId="0" fontId="5318" fillId="5323" borderId="5258" pivotButton="0" quotePrefix="0" xfId="0"/>
    <xf numFmtId="0" fontId="5319" fillId="5324" borderId="5259" pivotButton="0" quotePrefix="0" xfId="0"/>
    <xf numFmtId="0" fontId="5320" fillId="5325" borderId="5260" pivotButton="0" quotePrefix="0" xfId="0"/>
    <xf numFmtId="0" fontId="5321" fillId="5326" borderId="5261" pivotButton="0" quotePrefix="0" xfId="0"/>
    <xf numFmtId="0" fontId="5322" fillId="5327" borderId="5262" pivotButton="0" quotePrefix="0" xfId="0"/>
    <xf numFmtId="0" fontId="5323" fillId="5328" borderId="5263" pivotButton="0" quotePrefix="0" xfId="0"/>
    <xf numFmtId="0" fontId="5324" fillId="5329" borderId="5264" pivotButton="0" quotePrefix="0" xfId="0"/>
    <xf numFmtId="0" fontId="5325" fillId="5330" borderId="5265" pivotButton="0" quotePrefix="0" xfId="0"/>
    <xf numFmtId="0" fontId="5326" fillId="5331" borderId="5266" pivotButton="0" quotePrefix="0" xfId="0"/>
    <xf numFmtId="0" fontId="5327" fillId="5332" borderId="5267" pivotButton="0" quotePrefix="0" xfId="0"/>
    <xf numFmtId="14" fontId="5328" fillId="5333" borderId="5268" pivotButton="0" quotePrefix="0" xfId="0"/>
    <xf numFmtId="0" fontId="5329" fillId="5334" borderId="5269" pivotButton="0" quotePrefix="0" xfId="0"/>
    <xf numFmtId="0" fontId="5330" fillId="5335" borderId="5270" pivotButton="0" quotePrefix="0" xfId="0"/>
    <xf numFmtId="0" fontId="5331" fillId="5336" borderId="5271" pivotButton="0" quotePrefix="0" xfId="0"/>
    <xf numFmtId="0" fontId="5332" fillId="5337" borderId="5272" pivotButton="0" quotePrefix="0" xfId="0"/>
    <xf numFmtId="0" fontId="5333" fillId="5338" borderId="5273" pivotButton="0" quotePrefix="0" xfId="0"/>
    <xf numFmtId="0" fontId="5334" fillId="5339" borderId="5274" pivotButton="0" quotePrefix="0" xfId="0"/>
    <xf numFmtId="0" fontId="5335" fillId="5340" borderId="5275" pivotButton="0" quotePrefix="0" xfId="0"/>
    <xf numFmtId="0" fontId="5336" fillId="5341" borderId="5276" pivotButton="0" quotePrefix="0" xfId="0"/>
    <xf numFmtId="0" fontId="5337" fillId="5342" borderId="5277" pivotButton="0" quotePrefix="0" xfId="0"/>
    <xf numFmtId="0" fontId="5338" fillId="5343" borderId="5278" pivotButton="0" quotePrefix="0" xfId="0"/>
    <xf numFmtId="14" fontId="5339" fillId="5344" borderId="5279" pivotButton="0" quotePrefix="0" xfId="0"/>
    <xf numFmtId="0" fontId="5340" fillId="5345" borderId="5280" pivotButton="0" quotePrefix="0" xfId="0"/>
    <xf numFmtId="0" fontId="5341" fillId="5346" borderId="5281" pivotButton="0" quotePrefix="0" xfId="0"/>
    <xf numFmtId="0" fontId="5342" fillId="5347" borderId="5282" pivotButton="0" quotePrefix="0" xfId="0"/>
    <xf numFmtId="0" fontId="5343" fillId="5348" borderId="5283" pivotButton="0" quotePrefix="0" xfId="0"/>
    <xf numFmtId="0" fontId="5344" fillId="5349" borderId="5284" pivotButton="0" quotePrefix="0" xfId="0"/>
    <xf numFmtId="0" fontId="5345" fillId="5350" borderId="5285" pivotButton="0" quotePrefix="0" xfId="0"/>
    <xf numFmtId="0" fontId="5346" fillId="5351" borderId="5286" pivotButton="0" quotePrefix="0" xfId="0"/>
    <xf numFmtId="0" fontId="5347" fillId="5352" borderId="5287" pivotButton="0" quotePrefix="0" xfId="0"/>
    <xf numFmtId="0" fontId="5348" fillId="5353" borderId="5288" pivotButton="0" quotePrefix="0" xfId="0"/>
    <xf numFmtId="0" fontId="5349" fillId="5354" borderId="5289" pivotButton="0" quotePrefix="0" xfId="0"/>
    <xf numFmtId="14" fontId="5350" fillId="5355" borderId="5290" pivotButton="0" quotePrefix="0" xfId="0"/>
    <xf numFmtId="0" fontId="5351" fillId="5356" borderId="5291" pivotButton="0" quotePrefix="0" xfId="0"/>
    <xf numFmtId="0" fontId="5352" fillId="5357" borderId="5292" pivotButton="0" quotePrefix="0" xfId="0"/>
    <xf numFmtId="0" fontId="5353" fillId="5358" borderId="5293" pivotButton="0" quotePrefix="0" xfId="0"/>
    <xf numFmtId="0" fontId="5354" fillId="5359" borderId="5294" pivotButton="0" quotePrefix="0" xfId="0"/>
    <xf numFmtId="0" fontId="5355" fillId="5360" borderId="5295" pivotButton="0" quotePrefix="0" xfId="0"/>
    <xf numFmtId="0" fontId="5356" fillId="5361" borderId="5296" pivotButton="0" quotePrefix="0" xfId="0"/>
    <xf numFmtId="0" fontId="5357" fillId="5362" borderId="5297" pivotButton="0" quotePrefix="0" xfId="0"/>
    <xf numFmtId="0" fontId="5358" fillId="5363" borderId="5298" pivotButton="0" quotePrefix="0" xfId="0"/>
    <xf numFmtId="0" fontId="5359" fillId="5364" borderId="5299" pivotButton="0" quotePrefix="0" xfId="0"/>
    <xf numFmtId="0" fontId="5360" fillId="5365" borderId="5300" pivotButton="0" quotePrefix="0" xfId="0"/>
    <xf numFmtId="14" fontId="5361" fillId="5366" borderId="5301" pivotButton="0" quotePrefix="0" xfId="0"/>
    <xf numFmtId="0" fontId="5362" fillId="5367" borderId="5302" pivotButton="0" quotePrefix="0" xfId="0"/>
    <xf numFmtId="0" fontId="5363" fillId="5368" borderId="5303" pivotButton="0" quotePrefix="0" xfId="0"/>
    <xf numFmtId="0" fontId="5364" fillId="5369" borderId="5304" pivotButton="0" quotePrefix="0" xfId="0"/>
    <xf numFmtId="0" fontId="5365" fillId="5370" borderId="5305" pivotButton="0" quotePrefix="0" xfId="0"/>
    <xf numFmtId="0" fontId="5366" fillId="5371" borderId="5306" pivotButton="0" quotePrefix="0" xfId="0"/>
    <xf numFmtId="0" fontId="5367" fillId="5372" borderId="5307" pivotButton="0" quotePrefix="0" xfId="0"/>
    <xf numFmtId="0" fontId="5368" fillId="5373" borderId="5308" pivotButton="0" quotePrefix="0" xfId="0"/>
    <xf numFmtId="0" fontId="5369" fillId="5374" borderId="5309" pivotButton="0" quotePrefix="0" xfId="0"/>
    <xf numFmtId="0" fontId="5370" fillId="5375" borderId="5310" pivotButton="0" quotePrefix="0" xfId="0"/>
    <xf numFmtId="0" fontId="5371" fillId="5376" borderId="5311" pivotButton="0" quotePrefix="0" xfId="0"/>
    <xf numFmtId="14" fontId="5372" fillId="5377" borderId="5312" pivotButton="0" quotePrefix="0" xfId="0"/>
    <xf numFmtId="0" fontId="5373" fillId="5378" borderId="5313" pivotButton="0" quotePrefix="0" xfId="0"/>
    <xf numFmtId="0" fontId="5374" fillId="5379" borderId="5314" pivotButton="0" quotePrefix="0" xfId="0"/>
    <xf numFmtId="0" fontId="5375" fillId="5380" borderId="5315" pivotButton="0" quotePrefix="0" xfId="0"/>
    <xf numFmtId="0" fontId="5376" fillId="5381" borderId="5316" pivotButton="0" quotePrefix="0" xfId="0"/>
    <xf numFmtId="0" fontId="5377" fillId="5382" borderId="5317" pivotButton="0" quotePrefix="0" xfId="0"/>
    <xf numFmtId="0" fontId="5378" fillId="5383" borderId="5318" pivotButton="0" quotePrefix="0" xfId="0"/>
    <xf numFmtId="0" fontId="5379" fillId="5384" borderId="5319" pivotButton="0" quotePrefix="0" xfId="0"/>
    <xf numFmtId="0" fontId="5380" fillId="5385" borderId="5320" pivotButton="0" quotePrefix="0" xfId="0"/>
    <xf numFmtId="0" fontId="5381" fillId="5386" borderId="5321" pivotButton="0" quotePrefix="0" xfId="0"/>
    <xf numFmtId="0" fontId="5382" fillId="5387" borderId="5322" pivotButton="0" quotePrefix="0" xfId="0"/>
    <xf numFmtId="14" fontId="5383" fillId="5388" borderId="5323" pivotButton="0" quotePrefix="0" xfId="0"/>
    <xf numFmtId="0" fontId="5384" fillId="5389" borderId="5324" pivotButton="0" quotePrefix="0" xfId="0"/>
    <xf numFmtId="0" fontId="5385" fillId="5390" borderId="5325" pivotButton="0" quotePrefix="0" xfId="0"/>
    <xf numFmtId="0" fontId="5386" fillId="5391" borderId="5326" pivotButton="0" quotePrefix="0" xfId="0"/>
    <xf numFmtId="0" fontId="5387" fillId="5392" borderId="5327" pivotButton="0" quotePrefix="0" xfId="0"/>
    <xf numFmtId="0" fontId="5388" fillId="5393" borderId="5328" pivotButton="0" quotePrefix="0" xfId="0"/>
    <xf numFmtId="0" fontId="5389" fillId="5394" borderId="5329" pivotButton="0" quotePrefix="0" xfId="0"/>
    <xf numFmtId="0" fontId="5390" fillId="5395" borderId="5330" pivotButton="0" quotePrefix="0" xfId="0"/>
    <xf numFmtId="0" fontId="5391" fillId="5396" borderId="5331" pivotButton="0" quotePrefix="0" xfId="0"/>
    <xf numFmtId="0" fontId="5392" fillId="5397" borderId="5332" pivotButton="0" quotePrefix="0" xfId="0"/>
    <xf numFmtId="0" fontId="5393" fillId="5398" borderId="5333" pivotButton="0" quotePrefix="0" xfId="0"/>
    <xf numFmtId="14" fontId="5394" fillId="5399" borderId="5334" pivotButton="0" quotePrefix="0" xfId="0"/>
    <xf numFmtId="0" fontId="5395" fillId="5400" borderId="5335" pivotButton="0" quotePrefix="0" xfId="0"/>
    <xf numFmtId="0" fontId="5396" fillId="5401" borderId="5336" pivotButton="0" quotePrefix="0" xfId="0"/>
    <xf numFmtId="0" fontId="5397" fillId="5402" borderId="5337" pivotButton="0" quotePrefix="0" xfId="0"/>
    <xf numFmtId="0" fontId="5398" fillId="5403" borderId="5338" pivotButton="0" quotePrefix="0" xfId="0"/>
    <xf numFmtId="0" fontId="5399" fillId="5404" borderId="5339" pivotButton="0" quotePrefix="0" xfId="0"/>
    <xf numFmtId="0" fontId="5400" fillId="5405" borderId="5340" pivotButton="0" quotePrefix="0" xfId="0"/>
    <xf numFmtId="0" fontId="5401" fillId="5406" borderId="5341" pivotButton="0" quotePrefix="0" xfId="0"/>
    <xf numFmtId="0" fontId="5402" fillId="5407" borderId="5342" pivotButton="0" quotePrefix="0" xfId="0"/>
    <xf numFmtId="0" fontId="5403" fillId="5408" borderId="5343" pivotButton="0" quotePrefix="0" xfId="0"/>
    <xf numFmtId="0" fontId="5404" fillId="5409" borderId="5344" pivotButton="0" quotePrefix="0" xfId="0"/>
    <xf numFmtId="14" fontId="5405" fillId="5410" borderId="5345" pivotButton="0" quotePrefix="0" xfId="0"/>
    <xf numFmtId="0" fontId="5406" fillId="5411" borderId="5346" pivotButton="0" quotePrefix="0" xfId="0"/>
    <xf numFmtId="0" fontId="5407" fillId="5412" borderId="5347" pivotButton="0" quotePrefix="0" xfId="0"/>
    <xf numFmtId="0" fontId="5408" fillId="5413" borderId="5348" pivotButton="0" quotePrefix="0" xfId="0"/>
    <xf numFmtId="0" fontId="5409" fillId="5414" borderId="5349" pivotButton="0" quotePrefix="0" xfId="0"/>
    <xf numFmtId="0" fontId="5410" fillId="5415" borderId="5350" pivotButton="0" quotePrefix="0" xfId="0"/>
    <xf numFmtId="0" fontId="5411" fillId="5416" borderId="5351" pivotButton="0" quotePrefix="0" xfId="0"/>
    <xf numFmtId="0" fontId="5412" fillId="5417" borderId="5352" pivotButton="0" quotePrefix="0" xfId="0"/>
    <xf numFmtId="0" fontId="5413" fillId="5418" borderId="5353" pivotButton="0" quotePrefix="0" xfId="0"/>
    <xf numFmtId="0" fontId="5414" fillId="5419" borderId="5354" pivotButton="0" quotePrefix="0" xfId="0"/>
    <xf numFmtId="0" fontId="5415" fillId="5420" borderId="5355" pivotButton="0" quotePrefix="0" xfId="0"/>
    <xf numFmtId="14" fontId="5416" fillId="5421" borderId="5356" pivotButton="0" quotePrefix="0" xfId="0"/>
    <xf numFmtId="0" fontId="5417" fillId="5422" borderId="5357" pivotButton="0" quotePrefix="0" xfId="0"/>
    <xf numFmtId="0" fontId="5418" fillId="5423" borderId="5358" pivotButton="0" quotePrefix="0" xfId="0"/>
    <xf numFmtId="0" fontId="5419" fillId="5424" borderId="5359" pivotButton="0" quotePrefix="0" xfId="0"/>
    <xf numFmtId="0" fontId="5420" fillId="5425" borderId="5360" pivotButton="0" quotePrefix="0" xfId="0"/>
    <xf numFmtId="0" fontId="5421" fillId="5426" borderId="5361" pivotButton="0" quotePrefix="0" xfId="0"/>
    <xf numFmtId="0" fontId="5422" fillId="5427" borderId="5362" pivotButton="0" quotePrefix="0" xfId="0"/>
    <xf numFmtId="0" fontId="5423" fillId="5428" borderId="5363" pivotButton="0" quotePrefix="0" xfId="0"/>
    <xf numFmtId="0" fontId="5424" fillId="5429" borderId="5364" pivotButton="0" quotePrefix="0" xfId="0"/>
    <xf numFmtId="0" fontId="5425" fillId="5430" borderId="5365" pivotButton="0" quotePrefix="0" xfId="0"/>
    <xf numFmtId="0" fontId="5426" fillId="5431" borderId="5366" pivotButton="0" quotePrefix="0" xfId="0"/>
    <xf numFmtId="14" fontId="5427" fillId="5432" borderId="5367" pivotButton="0" quotePrefix="0" xfId="0"/>
    <xf numFmtId="0" fontId="5428" fillId="5433" borderId="5368" pivotButton="0" quotePrefix="0" xfId="0"/>
    <xf numFmtId="0" fontId="5429" fillId="5434" borderId="5369" pivotButton="0" quotePrefix="0" xfId="0"/>
    <xf numFmtId="0" fontId="5430" fillId="5435" borderId="5370" pivotButton="0" quotePrefix="0" xfId="0"/>
    <xf numFmtId="0" fontId="5431" fillId="5436" borderId="5371" pivotButton="0" quotePrefix="0" xfId="0"/>
    <xf numFmtId="0" fontId="5432" fillId="5437" borderId="5372" pivotButton="0" quotePrefix="0" xfId="0"/>
    <xf numFmtId="0" fontId="5433" fillId="5438" borderId="5373" pivotButton="0" quotePrefix="0" xfId="0"/>
    <xf numFmtId="0" fontId="5434" fillId="5439" borderId="5374" pivotButton="0" quotePrefix="0" xfId="0"/>
    <xf numFmtId="0" fontId="5435" fillId="5440" borderId="5375" pivotButton="0" quotePrefix="0" xfId="0"/>
    <xf numFmtId="0" fontId="5436" fillId="5441" borderId="5376" pivotButton="0" quotePrefix="0" xfId="0"/>
    <xf numFmtId="0" fontId="5437" fillId="5442" borderId="5377" pivotButton="0" quotePrefix="0" xfId="0"/>
    <xf numFmtId="14" fontId="5438" fillId="5443" borderId="5378" pivotButton="0" quotePrefix="0" xfId="0"/>
    <xf numFmtId="0" fontId="5439" fillId="5444" borderId="5379" pivotButton="0" quotePrefix="0" xfId="0"/>
    <xf numFmtId="0" fontId="5440" fillId="5445" borderId="5380" pivotButton="0" quotePrefix="0" xfId="0"/>
    <xf numFmtId="0" fontId="5441" fillId="5446" borderId="5381" pivotButton="0" quotePrefix="0" xfId="0"/>
    <xf numFmtId="0" fontId="5442" fillId="5447" borderId="5382" pivotButton="0" quotePrefix="0" xfId="0"/>
    <xf numFmtId="0" fontId="5443" fillId="5448" borderId="5383" pivotButton="0" quotePrefix="0" xfId="0"/>
    <xf numFmtId="0" fontId="5444" fillId="5449" borderId="5384" pivotButton="0" quotePrefix="0" xfId="0"/>
    <xf numFmtId="0" fontId="5445" fillId="5450" borderId="5385" pivotButton="0" quotePrefix="0" xfId="0"/>
    <xf numFmtId="0" fontId="5446" fillId="5451" borderId="5386" pivotButton="0" quotePrefix="0" xfId="0"/>
    <xf numFmtId="0" fontId="5447" fillId="5452" borderId="5387" pivotButton="0" quotePrefix="0" xfId="0"/>
    <xf numFmtId="0" fontId="5448" fillId="5453" borderId="5388" pivotButton="0" quotePrefix="0" xfId="0"/>
    <xf numFmtId="14" fontId="5449" fillId="5454" borderId="5389" pivotButton="0" quotePrefix="0" xfId="0"/>
    <xf numFmtId="0" fontId="5450" fillId="5455" borderId="5390" pivotButton="0" quotePrefix="0" xfId="0"/>
    <xf numFmtId="0" fontId="5451" fillId="5456" borderId="5391" pivotButton="0" quotePrefix="0" xfId="0"/>
    <xf numFmtId="0" fontId="5452" fillId="5457" borderId="5392" pivotButton="0" quotePrefix="0" xfId="0"/>
    <xf numFmtId="0" fontId="5453" fillId="5458" borderId="5393" pivotButton="0" quotePrefix="0" xfId="0"/>
    <xf numFmtId="0" fontId="5454" fillId="5459" borderId="5394" pivotButton="0" quotePrefix="0" xfId="0"/>
    <xf numFmtId="0" fontId="5455" fillId="5460" borderId="5395" pivotButton="0" quotePrefix="0" xfId="0"/>
    <xf numFmtId="0" fontId="5456" fillId="5461" borderId="5396" pivotButton="0" quotePrefix="0" xfId="0"/>
    <xf numFmtId="0" fontId="5457" fillId="5462" borderId="5397" pivotButton="0" quotePrefix="0" xfId="0"/>
    <xf numFmtId="0" fontId="5458" fillId="5463" borderId="5398" pivotButton="0" quotePrefix="0" xfId="0"/>
    <xf numFmtId="0" fontId="5459" fillId="5464" borderId="5399" pivotButton="0" quotePrefix="0" xfId="0"/>
    <xf numFmtId="14" fontId="5460" fillId="5465" borderId="5400" pivotButton="0" quotePrefix="0" xfId="0"/>
    <xf numFmtId="0" fontId="5461" fillId="5466" borderId="5401" pivotButton="0" quotePrefix="0" xfId="0"/>
    <xf numFmtId="0" fontId="5462" fillId="5467" borderId="5402" pivotButton="0" quotePrefix="0" xfId="0"/>
    <xf numFmtId="0" fontId="5463" fillId="5468" borderId="5403" pivotButton="0" quotePrefix="0" xfId="0"/>
    <xf numFmtId="0" fontId="5464" fillId="5469" borderId="5404" pivotButton="0" quotePrefix="0" xfId="0"/>
    <xf numFmtId="0" fontId="5465" fillId="5470" borderId="5405" pivotButton="0" quotePrefix="0" xfId="0"/>
    <xf numFmtId="0" fontId="5466" fillId="5471" borderId="5406" pivotButton="0" quotePrefix="0" xfId="0"/>
    <xf numFmtId="0" fontId="5467" fillId="5472" borderId="5407" pivotButton="0" quotePrefix="0" xfId="0"/>
    <xf numFmtId="0" fontId="5468" fillId="5473" borderId="5408" pivotButton="0" quotePrefix="0" xfId="0"/>
    <xf numFmtId="0" fontId="5469" fillId="5474" borderId="5409" pivotButton="0" quotePrefix="0" xfId="0"/>
    <xf numFmtId="0" fontId="5470" fillId="5475" borderId="5410" pivotButton="0" quotePrefix="0" xfId="0"/>
    <xf numFmtId="14" fontId="5471" fillId="5476" borderId="5411" pivotButton="0" quotePrefix="0" xfId="0"/>
    <xf numFmtId="0" fontId="5472" fillId="5477" borderId="5412" pivotButton="0" quotePrefix="0" xfId="0"/>
    <xf numFmtId="0" fontId="5473" fillId="5478" borderId="5413" pivotButton="0" quotePrefix="0" xfId="0"/>
    <xf numFmtId="0" fontId="5474" fillId="5479" borderId="5414" pivotButton="0" quotePrefix="0" xfId="0"/>
    <xf numFmtId="0" fontId="5475" fillId="5480" borderId="5415" pivotButton="0" quotePrefix="0" xfId="0"/>
    <xf numFmtId="0" fontId="5476" fillId="5481" borderId="5416" pivotButton="0" quotePrefix="0" xfId="0"/>
    <xf numFmtId="0" fontId="5477" fillId="5482" borderId="5417" pivotButton="0" quotePrefix="0" xfId="0"/>
    <xf numFmtId="0" fontId="5478" fillId="5483" borderId="5418" pivotButton="0" quotePrefix="0" xfId="0"/>
    <xf numFmtId="0" fontId="5479" fillId="5484" borderId="5419" pivotButton="0" quotePrefix="0" xfId="0"/>
    <xf numFmtId="0" fontId="5480" fillId="5485" borderId="5420" pivotButton="0" quotePrefix="0" xfId="0"/>
    <xf numFmtId="0" fontId="5481" fillId="5486" borderId="5421" pivotButton="0" quotePrefix="0" xfId="0"/>
    <xf numFmtId="14" fontId="5482" fillId="5487" borderId="5422" pivotButton="0" quotePrefix="0" xfId="0"/>
    <xf numFmtId="0" fontId="5483" fillId="5488" borderId="5423" pivotButton="0" quotePrefix="0" xfId="0"/>
    <xf numFmtId="0" fontId="5484" fillId="5489" borderId="5424" pivotButton="0" quotePrefix="0" xfId="0"/>
    <xf numFmtId="0" fontId="5485" fillId="5490" borderId="5425" pivotButton="0" quotePrefix="0" xfId="0"/>
    <xf numFmtId="0" fontId="5486" fillId="5491" borderId="5426" pivotButton="0" quotePrefix="0" xfId="0"/>
    <xf numFmtId="0" fontId="5487" fillId="5492" borderId="5427" pivotButton="0" quotePrefix="0" xfId="0"/>
    <xf numFmtId="0" fontId="5488" fillId="5493" borderId="5428" pivotButton="0" quotePrefix="0" xfId="0"/>
    <xf numFmtId="0" fontId="5489" fillId="5494" borderId="5429" pivotButton="0" quotePrefix="0" xfId="0"/>
    <xf numFmtId="0" fontId="5490" fillId="5495" borderId="5430" pivotButton="0" quotePrefix="0" xfId="0"/>
    <xf numFmtId="0" fontId="5491" fillId="5496" borderId="5431" pivotButton="0" quotePrefix="0" xfId="0"/>
    <xf numFmtId="0" fontId="5492" fillId="5497" borderId="5432" pivotButton="0" quotePrefix="0" xfId="0"/>
    <xf numFmtId="14" fontId="5493" fillId="5498" borderId="5433" pivotButton="0" quotePrefix="0" xfId="0"/>
    <xf numFmtId="0" fontId="5494" fillId="5499" borderId="5434" pivotButton="0" quotePrefix="0" xfId="0"/>
    <xf numFmtId="0" fontId="5495" fillId="5500" borderId="5435" pivotButton="0" quotePrefix="0" xfId="0"/>
    <xf numFmtId="0" fontId="5496" fillId="5501" borderId="5436" pivotButton="0" quotePrefix="0" xfId="0"/>
    <xf numFmtId="0" fontId="5497" fillId="5502" borderId="5437" pivotButton="0" quotePrefix="0" xfId="0"/>
    <xf numFmtId="0" fontId="5498" fillId="5503" borderId="5438" pivotButton="0" quotePrefix="0" xfId="0"/>
    <xf numFmtId="0" fontId="5499" fillId="5504" borderId="5439" pivotButton="0" quotePrefix="0" xfId="0"/>
    <xf numFmtId="0" fontId="5500" fillId="5505" borderId="5440" pivotButton="0" quotePrefix="0" xfId="0"/>
    <xf numFmtId="0" fontId="5501" fillId="5506" borderId="5441" pivotButton="0" quotePrefix="0" xfId="0"/>
    <xf numFmtId="0" fontId="5502" fillId="5507" borderId="5442" pivotButton="0" quotePrefix="0" xfId="0"/>
    <xf numFmtId="0" fontId="5503" fillId="5508" borderId="5443" pivotButton="0" quotePrefix="0" xfId="0"/>
    <xf numFmtId="14" fontId="5504" fillId="5509" borderId="5444" pivotButton="0" quotePrefix="0" xfId="0"/>
    <xf numFmtId="0" fontId="5505" fillId="5510" borderId="5445" pivotButton="0" quotePrefix="0" xfId="0"/>
    <xf numFmtId="0" fontId="5506" fillId="5511" borderId="5446" pivotButton="0" quotePrefix="0" xfId="0"/>
    <xf numFmtId="0" fontId="5507" fillId="5512" borderId="5447" pivotButton="0" quotePrefix="0" xfId="0"/>
    <xf numFmtId="0" fontId="5508" fillId="5513" borderId="5448" pivotButton="0" quotePrefix="0" xfId="0"/>
    <xf numFmtId="0" fontId="5509" fillId="5514" borderId="5449" pivotButton="0" quotePrefix="0" xfId="0"/>
    <xf numFmtId="0" fontId="5510" fillId="5515" borderId="5450" pivotButton="0" quotePrefix="0" xfId="0"/>
    <xf numFmtId="0" fontId="5511" fillId="5516" borderId="5451" pivotButton="0" quotePrefix="0" xfId="0"/>
    <xf numFmtId="0" fontId="5512" fillId="5517" borderId="5452" pivotButton="0" quotePrefix="0" xfId="0"/>
    <xf numFmtId="0" fontId="5513" fillId="5518" borderId="5453" pivotButton="0" quotePrefix="0" xfId="0"/>
    <xf numFmtId="0" fontId="5514" fillId="5519" borderId="5454" pivotButton="0" quotePrefix="0" xfId="0"/>
    <xf numFmtId="14" fontId="5515" fillId="5520" borderId="5455" pivotButton="0" quotePrefix="0" xfId="0"/>
    <xf numFmtId="0" fontId="5516" fillId="5521" borderId="5456" pivotButton="0" quotePrefix="0" xfId="0"/>
    <xf numFmtId="0" fontId="5517" fillId="5522" borderId="5457" pivotButton="0" quotePrefix="0" xfId="0"/>
    <xf numFmtId="0" fontId="5518" fillId="5523" borderId="5458" pivotButton="0" quotePrefix="0" xfId="0"/>
    <xf numFmtId="0" fontId="5519" fillId="5524" borderId="5459" pivotButton="0" quotePrefix="0" xfId="0"/>
    <xf numFmtId="0" fontId="5520" fillId="5525" borderId="5460" pivotButton="0" quotePrefix="0" xfId="0"/>
    <xf numFmtId="0" fontId="5521" fillId="5526" borderId="5461" pivotButton="0" quotePrefix="0" xfId="0"/>
    <xf numFmtId="0" fontId="5522" fillId="5527" borderId="5462" pivotButton="0" quotePrefix="0" xfId="0"/>
    <xf numFmtId="0" fontId="5523" fillId="5528" borderId="5463" pivotButton="0" quotePrefix="0" xfId="0"/>
    <xf numFmtId="0" fontId="5524" fillId="5529" borderId="5464" pivotButton="0" quotePrefix="0" xfId="0"/>
    <xf numFmtId="0" fontId="5525" fillId="5530" borderId="5465" pivotButton="0" quotePrefix="0" xfId="0"/>
    <xf numFmtId="14" fontId="5526" fillId="5531" borderId="5466" pivotButton="0" quotePrefix="0" xfId="0"/>
    <xf numFmtId="0" fontId="5527" fillId="5532" borderId="5467" pivotButton="0" quotePrefix="0" xfId="0"/>
    <xf numFmtId="0" fontId="5528" fillId="5533" borderId="5468" pivotButton="0" quotePrefix="0" xfId="0"/>
    <xf numFmtId="0" fontId="5529" fillId="5534" borderId="5469" pivotButton="0" quotePrefix="0" xfId="0"/>
    <xf numFmtId="0" fontId="5530" fillId="5535" borderId="5470" pivotButton="0" quotePrefix="0" xfId="0"/>
    <xf numFmtId="0" fontId="5531" fillId="5536" borderId="5471" pivotButton="0" quotePrefix="0" xfId="0"/>
    <xf numFmtId="0" fontId="5532" fillId="5537" borderId="5472" pivotButton="0" quotePrefix="0" xfId="0"/>
    <xf numFmtId="0" fontId="5533" fillId="5538" borderId="5473" pivotButton="0" quotePrefix="0" xfId="0"/>
    <xf numFmtId="0" fontId="5534" fillId="5539" borderId="5474" pivotButton="0" quotePrefix="0" xfId="0"/>
    <xf numFmtId="0" fontId="5535" fillId="5540" borderId="5475" pivotButton="0" quotePrefix="0" xfId="0"/>
    <xf numFmtId="0" fontId="5536" fillId="5541" borderId="5476" pivotButton="0" quotePrefix="0" xfId="0"/>
    <xf numFmtId="14" fontId="5537" fillId="5542" borderId="5477" pivotButton="0" quotePrefix="0" xfId="0"/>
    <xf numFmtId="0" fontId="5538" fillId="5543" borderId="5478" pivotButton="0" quotePrefix="0" xfId="0"/>
    <xf numFmtId="0" fontId="5539" fillId="5544" borderId="5479" pivotButton="0" quotePrefix="0" xfId="0"/>
    <xf numFmtId="0" fontId="5540" fillId="5545" borderId="5480" pivotButton="0" quotePrefix="0" xfId="0"/>
    <xf numFmtId="0" fontId="5541" fillId="5546" borderId="5481" pivotButton="0" quotePrefix="0" xfId="0"/>
    <xf numFmtId="0" fontId="5542" fillId="5547" borderId="5482" pivotButton="0" quotePrefix="0" xfId="0"/>
    <xf numFmtId="0" fontId="5543" fillId="5548" borderId="5483" pivotButton="0" quotePrefix="0" xfId="0"/>
    <xf numFmtId="0" fontId="5544" fillId="5549" borderId="5484" pivotButton="0" quotePrefix="0" xfId="0"/>
    <xf numFmtId="0" fontId="5545" fillId="5550" borderId="5485" pivotButton="0" quotePrefix="0" xfId="0"/>
    <xf numFmtId="0" fontId="5546" fillId="5551" borderId="5486" pivotButton="0" quotePrefix="0" xfId="0"/>
    <xf numFmtId="0" fontId="5547" fillId="5552" borderId="5487" pivotButton="0" quotePrefix="0" xfId="0"/>
    <xf numFmtId="14" fontId="5548" fillId="5553" borderId="5488" pivotButton="0" quotePrefix="0" xfId="0"/>
    <xf numFmtId="0" fontId="5549" fillId="5554" borderId="5489" pivotButton="0" quotePrefix="0" xfId="0"/>
    <xf numFmtId="0" fontId="5550" fillId="5555" borderId="5490" pivotButton="0" quotePrefix="0" xfId="0"/>
    <xf numFmtId="0" fontId="5551" fillId="5556" borderId="5491" pivotButton="0" quotePrefix="0" xfId="0"/>
    <xf numFmtId="0" fontId="5552" fillId="5557" borderId="5492" pivotButton="0" quotePrefix="0" xfId="0"/>
    <xf numFmtId="0" fontId="5553" fillId="5558" borderId="5493" pivotButton="0" quotePrefix="0" xfId="0"/>
    <xf numFmtId="0" fontId="5554" fillId="5559" borderId="5494" pivotButton="0" quotePrefix="0" xfId="0"/>
    <xf numFmtId="0" fontId="5555" fillId="5560" borderId="5495" pivotButton="0" quotePrefix="0" xfId="0"/>
    <xf numFmtId="0" fontId="5556" fillId="5561" borderId="5496" pivotButton="0" quotePrefix="0" xfId="0"/>
    <xf numFmtId="0" fontId="5557" fillId="5562" borderId="5497" pivotButton="0" quotePrefix="0" xfId="0"/>
    <xf numFmtId="0" fontId="5558" fillId="5563" borderId="5498" pivotButton="0" quotePrefix="0" xfId="0"/>
    <xf numFmtId="14" fontId="5559" fillId="5564" borderId="5499" pivotButton="0" quotePrefix="0" xfId="0"/>
    <xf numFmtId="0" fontId="5560" fillId="5565" borderId="5500" pivotButton="0" quotePrefix="0" xfId="0"/>
    <xf numFmtId="0" fontId="5561" fillId="5566" borderId="5501" pivotButton="0" quotePrefix="0" xfId="0"/>
    <xf numFmtId="0" fontId="5562" fillId="5567" borderId="5502" pivotButton="0" quotePrefix="0" xfId="0"/>
    <xf numFmtId="0" fontId="5563" fillId="5568" borderId="5503" pivotButton="0" quotePrefix="0" xfId="0"/>
    <xf numFmtId="0" fontId="5564" fillId="5569" borderId="5504" pivotButton="0" quotePrefix="0" xfId="0"/>
    <xf numFmtId="0" fontId="5565" fillId="5570" borderId="5505" pivotButton="0" quotePrefix="0" xfId="0"/>
    <xf numFmtId="0" fontId="5566" fillId="5571" borderId="5506" pivotButton="0" quotePrefix="0" xfId="0"/>
    <xf numFmtId="0" fontId="5567" fillId="5572" borderId="5507" pivotButton="0" quotePrefix="0" xfId="0"/>
    <xf numFmtId="0" fontId="5568" fillId="5573" borderId="5508" pivotButton="0" quotePrefix="0" xfId="0"/>
    <xf numFmtId="0" fontId="5569" fillId="5574" borderId="5509" pivotButton="0" quotePrefix="0" xfId="0"/>
    <xf numFmtId="14" fontId="5570" fillId="5575" borderId="5510" pivotButton="0" quotePrefix="0" xfId="0"/>
    <xf numFmtId="0" fontId="5571" fillId="5576" borderId="5511" pivotButton="0" quotePrefix="0" xfId="0"/>
    <xf numFmtId="0" fontId="5572" fillId="5577" borderId="5512" pivotButton="0" quotePrefix="0" xfId="0"/>
    <xf numFmtId="0" fontId="5573" fillId="5578" borderId="5513" pivotButton="0" quotePrefix="0" xfId="0"/>
    <xf numFmtId="0" fontId="5574" fillId="5579" borderId="5514" pivotButton="0" quotePrefix="0" xfId="0"/>
    <xf numFmtId="0" fontId="5575" fillId="5580" borderId="5515" pivotButton="0" quotePrefix="0" xfId="0"/>
    <xf numFmtId="0" fontId="5576" fillId="5581" borderId="5516" pivotButton="0" quotePrefix="0" xfId="0"/>
    <xf numFmtId="0" fontId="5577" fillId="5582" borderId="5517" pivotButton="0" quotePrefix="0" xfId="0"/>
    <xf numFmtId="0" fontId="5578" fillId="5583" borderId="5518" pivotButton="0" quotePrefix="0" xfId="0"/>
    <xf numFmtId="0" fontId="5579" fillId="5584" borderId="5519" pivotButton="0" quotePrefix="0" xfId="0"/>
    <xf numFmtId="0" fontId="5580" fillId="5585" borderId="5520" pivotButton="0" quotePrefix="0" xfId="0"/>
    <xf numFmtId="14" fontId="5581" fillId="5586" borderId="5521" pivotButton="0" quotePrefix="0" xfId="0"/>
    <xf numFmtId="0" fontId="5582" fillId="5587" borderId="5522" pivotButton="0" quotePrefix="0" xfId="0"/>
    <xf numFmtId="0" fontId="5583" fillId="5588" borderId="5523" pivotButton="0" quotePrefix="0" xfId="0"/>
    <xf numFmtId="0" fontId="5584" fillId="5589" borderId="5524" pivotButton="0" quotePrefix="0" xfId="0"/>
    <xf numFmtId="0" fontId="5585" fillId="5590" borderId="5525" pivotButton="0" quotePrefix="0" xfId="0"/>
    <xf numFmtId="0" fontId="5586" fillId="5591" borderId="5526" pivotButton="0" quotePrefix="0" xfId="0"/>
    <xf numFmtId="0" fontId="5587" fillId="5592" borderId="5527" pivotButton="0" quotePrefix="0" xfId="0"/>
    <xf numFmtId="0" fontId="5588" fillId="5593" borderId="5528" pivotButton="0" quotePrefix="0" xfId="0"/>
    <xf numFmtId="0" fontId="5589" fillId="5594" borderId="5529" pivotButton="0" quotePrefix="0" xfId="0"/>
    <xf numFmtId="0" fontId="5590" fillId="5595" borderId="5530" pivotButton="0" quotePrefix="0" xfId="0"/>
    <xf numFmtId="0" fontId="5591" fillId="5596" borderId="5531" pivotButton="0" quotePrefix="0" xfId="0"/>
    <xf numFmtId="14" fontId="5592" fillId="5597" borderId="5532" pivotButton="0" quotePrefix="0" xfId="0"/>
    <xf numFmtId="0" fontId="5593" fillId="5598" borderId="5533" pivotButton="0" quotePrefix="0" xfId="0"/>
    <xf numFmtId="0" fontId="5594" fillId="5599" borderId="5534" pivotButton="0" quotePrefix="0" xfId="0"/>
    <xf numFmtId="0" fontId="5595" fillId="5600" borderId="5535" pivotButton="0" quotePrefix="0" xfId="0"/>
    <xf numFmtId="0" fontId="5596" fillId="5601" borderId="5536" pivotButton="0" quotePrefix="0" xfId="0"/>
    <xf numFmtId="0" fontId="5597" fillId="5602" borderId="5537" pivotButton="0" quotePrefix="0" xfId="0"/>
    <xf numFmtId="0" fontId="5598" fillId="5603" borderId="5538" pivotButton="0" quotePrefix="0" xfId="0"/>
    <xf numFmtId="0" fontId="5599" fillId="5604" borderId="5539" pivotButton="0" quotePrefix="0" xfId="0"/>
    <xf numFmtId="0" fontId="5600" fillId="5605" borderId="5540" pivotButton="0" quotePrefix="0" xfId="0"/>
    <xf numFmtId="0" fontId="5601" fillId="5606" borderId="5541" pivotButton="0" quotePrefix="0" xfId="0"/>
    <xf numFmtId="0" fontId="5602" fillId="5607" borderId="5542" pivotButton="0" quotePrefix="0" xfId="0"/>
    <xf numFmtId="14" fontId="5603" fillId="5608" borderId="5543" pivotButton="0" quotePrefix="0" xfId="0"/>
    <xf numFmtId="0" fontId="5604" fillId="5609" borderId="5544" pivotButton="0" quotePrefix="0" xfId="0"/>
    <xf numFmtId="0" fontId="5605" fillId="5610" borderId="5545" pivotButton="0" quotePrefix="0" xfId="0"/>
    <xf numFmtId="0" fontId="5606" fillId="5611" borderId="5546" pivotButton="0" quotePrefix="0" xfId="0"/>
    <xf numFmtId="0" fontId="5607" fillId="5612" borderId="5547" pivotButton="0" quotePrefix="0" xfId="0"/>
    <xf numFmtId="0" fontId="5608" fillId="5613" borderId="5548" pivotButton="0" quotePrefix="0" xfId="0"/>
    <xf numFmtId="0" fontId="5609" fillId="5614" borderId="5549" pivotButton="0" quotePrefix="0" xfId="0"/>
    <xf numFmtId="0" fontId="5610" fillId="5615" borderId="5550" pivotButton="0" quotePrefix="0" xfId="0"/>
    <xf numFmtId="0" fontId="5611" fillId="5616" borderId="5551" pivotButton="0" quotePrefix="0" xfId="0"/>
    <xf numFmtId="0" fontId="5612" fillId="5617" borderId="5552" pivotButton="0" quotePrefix="0" xfId="0"/>
    <xf numFmtId="0" fontId="5613" fillId="5618" borderId="5553" pivotButton="0" quotePrefix="0" xfId="0"/>
    <xf numFmtId="14" fontId="5614" fillId="5619" borderId="5554" pivotButton="0" quotePrefix="0" xfId="0"/>
    <xf numFmtId="0" fontId="5615" fillId="5620" borderId="5555" pivotButton="0" quotePrefix="0" xfId="0"/>
    <xf numFmtId="0" fontId="5616" fillId="5621" borderId="5556" pivotButton="0" quotePrefix="0" xfId="0"/>
    <xf numFmtId="0" fontId="5617" fillId="5622" borderId="5557" pivotButton="0" quotePrefix="0" xfId="0"/>
    <xf numFmtId="0" fontId="5618" fillId="5623" borderId="5558" pivotButton="0" quotePrefix="0" xfId="0"/>
    <xf numFmtId="0" fontId="5619" fillId="5624" borderId="5559" pivotButton="0" quotePrefix="0" xfId="0"/>
    <xf numFmtId="0" fontId="5620" fillId="5625" borderId="5560" pivotButton="0" quotePrefix="0" xfId="0"/>
    <xf numFmtId="0" fontId="5621" fillId="5626" borderId="5561" pivotButton="0" quotePrefix="0" xfId="0"/>
    <xf numFmtId="0" fontId="5622" fillId="5627" borderId="5562" pivotButton="0" quotePrefix="0" xfId="0"/>
    <xf numFmtId="0" fontId="5623" fillId="5628" borderId="5563" pivotButton="0" quotePrefix="0" xfId="0"/>
    <xf numFmtId="0" fontId="5624" fillId="5629" borderId="5564" pivotButton="0" quotePrefix="0" xfId="0"/>
    <xf numFmtId="14" fontId="5625" fillId="5630" borderId="5565" pivotButton="0" quotePrefix="0" xfId="0"/>
    <xf numFmtId="0" fontId="5626" fillId="5631" borderId="5566" pivotButton="0" quotePrefix="0" xfId="0"/>
    <xf numFmtId="0" fontId="5627" fillId="5632" borderId="5567" pivotButton="0" quotePrefix="0" xfId="0"/>
    <xf numFmtId="0" fontId="5628" fillId="5633" borderId="5568" pivotButton="0" quotePrefix="0" xfId="0"/>
    <xf numFmtId="0" fontId="5629" fillId="5634" borderId="5569" pivotButton="0" quotePrefix="0" xfId="0"/>
    <xf numFmtId="0" fontId="5630" fillId="5635" borderId="5570" pivotButton="0" quotePrefix="0" xfId="0"/>
    <xf numFmtId="0" fontId="5631" fillId="5636" borderId="5571" pivotButton="0" quotePrefix="0" xfId="0"/>
    <xf numFmtId="0" fontId="5632" fillId="5637" borderId="5572" pivotButton="0" quotePrefix="0" xfId="0"/>
    <xf numFmtId="0" fontId="5633" fillId="5638" borderId="5573" pivotButton="0" quotePrefix="0" xfId="0"/>
    <xf numFmtId="0" fontId="5634" fillId="5639" borderId="5574" pivotButton="0" quotePrefix="0" xfId="0"/>
    <xf numFmtId="0" fontId="5635" fillId="5640" borderId="5575" pivotButton="0" quotePrefix="0" xfId="0"/>
    <xf numFmtId="14" fontId="5636" fillId="5641" borderId="5576" pivotButton="0" quotePrefix="0" xfId="0"/>
    <xf numFmtId="0" fontId="5637" fillId="5642" borderId="5577" pivotButton="0" quotePrefix="0" xfId="0"/>
    <xf numFmtId="0" fontId="5638" fillId="5643" borderId="5578" pivotButton="0" quotePrefix="0" xfId="0"/>
    <xf numFmtId="0" fontId="5639" fillId="5644" borderId="5579" pivotButton="0" quotePrefix="0" xfId="0"/>
    <xf numFmtId="0" fontId="5640" fillId="5645" borderId="5580" pivotButton="0" quotePrefix="0" xfId="0"/>
    <xf numFmtId="0" fontId="5641" fillId="5646" borderId="5581" pivotButton="0" quotePrefix="0" xfId="0"/>
    <xf numFmtId="0" fontId="5642" fillId="5647" borderId="5582" pivotButton="0" quotePrefix="0" xfId="0"/>
    <xf numFmtId="0" fontId="5643" fillId="5648" borderId="5583" pivotButton="0" quotePrefix="0" xfId="0"/>
    <xf numFmtId="0" fontId="5644" fillId="5649" borderId="5584" pivotButton="0" quotePrefix="0" xfId="0"/>
    <xf numFmtId="0" fontId="5645" fillId="5650" borderId="5585" pivotButton="0" quotePrefix="0" xfId="0"/>
    <xf numFmtId="0" fontId="5646" fillId="5651" borderId="5586" pivotButton="0" quotePrefix="0" xfId="0"/>
    <xf numFmtId="14" fontId="5647" fillId="5652" borderId="5587" pivotButton="0" quotePrefix="0" xfId="0"/>
    <xf numFmtId="0" fontId="5648" fillId="5653" borderId="5588" pivotButton="0" quotePrefix="0" xfId="0"/>
    <xf numFmtId="0" fontId="5649" fillId="5654" borderId="5589" pivotButton="0" quotePrefix="0" xfId="0"/>
    <xf numFmtId="0" fontId="5650" fillId="5655" borderId="5590" pivotButton="0" quotePrefix="0" xfId="0"/>
    <xf numFmtId="0" fontId="5651" fillId="5656" borderId="5591" pivotButton="0" quotePrefix="0" xfId="0"/>
    <xf numFmtId="0" fontId="5652" fillId="5657" borderId="5592" pivotButton="0" quotePrefix="0" xfId="0"/>
    <xf numFmtId="0" fontId="5653" fillId="5658" borderId="5593" pivotButton="0" quotePrefix="0" xfId="0"/>
    <xf numFmtId="0" fontId="5654" fillId="5659" borderId="5594" pivotButton="0" quotePrefix="0" xfId="0"/>
    <xf numFmtId="0" fontId="5655" fillId="5660" borderId="5595" pivotButton="0" quotePrefix="0" xfId="0"/>
    <xf numFmtId="0" fontId="5656" fillId="5661" borderId="5596" pivotButton="0" quotePrefix="0" xfId="0"/>
    <xf numFmtId="0" fontId="5657" fillId="5662" borderId="5597" pivotButton="0" quotePrefix="0" xfId="0"/>
    <xf numFmtId="14" fontId="5658" fillId="5663" borderId="5598" pivotButton="0" quotePrefix="0" xfId="0"/>
    <xf numFmtId="0" fontId="5659" fillId="5664" borderId="5599" pivotButton="0" quotePrefix="0" xfId="0"/>
    <xf numFmtId="0" fontId="5660" fillId="5665" borderId="5600" pivotButton="0" quotePrefix="0" xfId="0"/>
    <xf numFmtId="0" fontId="5661" fillId="5666" borderId="5601" pivotButton="0" quotePrefix="0" xfId="0"/>
    <xf numFmtId="0" fontId="5662" fillId="5667" borderId="5602" pivotButton="0" quotePrefix="0" xfId="0"/>
    <xf numFmtId="0" fontId="5663" fillId="5668" borderId="5603" pivotButton="0" quotePrefix="0" xfId="0"/>
    <xf numFmtId="0" fontId="5664" fillId="5669" borderId="5604" pivotButton="0" quotePrefix="0" xfId="0"/>
    <xf numFmtId="0" fontId="5665" fillId="5670" borderId="5605" pivotButton="0" quotePrefix="0" xfId="0"/>
    <xf numFmtId="0" fontId="5666" fillId="5671" borderId="5606" pivotButton="0" quotePrefix="0" xfId="0"/>
    <xf numFmtId="0" fontId="5667" fillId="5672" borderId="5607" pivotButton="0" quotePrefix="0" xfId="0"/>
    <xf numFmtId="0" fontId="5668" fillId="5673" borderId="5608" pivotButton="0" quotePrefix="0" xfId="0"/>
    <xf numFmtId="14" fontId="5669" fillId="5674" borderId="5609" pivotButton="0" quotePrefix="0" xfId="0"/>
    <xf numFmtId="0" fontId="5670" fillId="5675" borderId="5610" pivotButton="0" quotePrefix="0" xfId="0"/>
    <xf numFmtId="0" fontId="5671" fillId="5676" borderId="5611" pivotButton="0" quotePrefix="0" xfId="0"/>
    <xf numFmtId="0" fontId="5672" fillId="5677" borderId="5612" pivotButton="0" quotePrefix="0" xfId="0"/>
    <xf numFmtId="0" fontId="5673" fillId="5678" borderId="5613" pivotButton="0" quotePrefix="0" xfId="0"/>
    <xf numFmtId="0" fontId="5674" fillId="5679" borderId="5614" pivotButton="0" quotePrefix="0" xfId="0"/>
    <xf numFmtId="0" fontId="5675" fillId="5680" borderId="5615" pivotButton="0" quotePrefix="0" xfId="0"/>
    <xf numFmtId="0" fontId="5676" fillId="5681" borderId="5616" pivotButton="0" quotePrefix="0" xfId="0"/>
    <xf numFmtId="0" fontId="5677" fillId="5682" borderId="5617" pivotButton="0" quotePrefix="0" xfId="0"/>
    <xf numFmtId="0" fontId="5678" fillId="5683" borderId="5618" pivotButton="0" quotePrefix="0" xfId="0"/>
    <xf numFmtId="0" fontId="5679" fillId="5684" borderId="5619" pivotButton="0" quotePrefix="0" xfId="0"/>
    <xf numFmtId="14" fontId="5680" fillId="5685" borderId="5620" pivotButton="0" quotePrefix="0" xfId="0"/>
    <xf numFmtId="0" fontId="5681" fillId="5686" borderId="5621" pivotButton="0" quotePrefix="0" xfId="0"/>
    <xf numFmtId="0" fontId="5682" fillId="5687" borderId="5622" pivotButton="0" quotePrefix="0" xfId="0"/>
    <xf numFmtId="0" fontId="5683" fillId="5688" borderId="5623" pivotButton="0" quotePrefix="0" xfId="0"/>
    <xf numFmtId="0" fontId="5684" fillId="5689" borderId="5624" pivotButton="0" quotePrefix="0" xfId="0"/>
    <xf numFmtId="0" fontId="5685" fillId="5690" borderId="5625" pivotButton="0" quotePrefix="0" xfId="0"/>
    <xf numFmtId="0" fontId="5686" fillId="5691" borderId="5626" pivotButton="0" quotePrefix="0" xfId="0"/>
    <xf numFmtId="0" fontId="5687" fillId="5692" borderId="5627" pivotButton="0" quotePrefix="0" xfId="0"/>
    <xf numFmtId="0" fontId="5688" fillId="5693" borderId="5628" pivotButton="0" quotePrefix="0" xfId="0"/>
    <xf numFmtId="0" fontId="5689" fillId="5694" borderId="5629" pivotButton="0" quotePrefix="0" xfId="0"/>
    <xf numFmtId="0" fontId="5690" fillId="5695" borderId="5630" pivotButton="0" quotePrefix="0" xfId="0"/>
    <xf numFmtId="14" fontId="5691" fillId="5696" borderId="5631" pivotButton="0" quotePrefix="0" xfId="0"/>
    <xf numFmtId="0" fontId="5692" fillId="5697" borderId="5632" pivotButton="0" quotePrefix="0" xfId="0"/>
    <xf numFmtId="0" fontId="5693" fillId="5698" borderId="5633" pivotButton="0" quotePrefix="0" xfId="0"/>
    <xf numFmtId="0" fontId="5694" fillId="5699" borderId="5634" pivotButton="0" quotePrefix="0" xfId="0"/>
    <xf numFmtId="0" fontId="5695" fillId="5700" borderId="5635" pivotButton="0" quotePrefix="0" xfId="0"/>
    <xf numFmtId="0" fontId="5696" fillId="5701" borderId="5636" pivotButton="0" quotePrefix="0" xfId="0"/>
    <xf numFmtId="0" fontId="5697" fillId="5702" borderId="5637" pivotButton="0" quotePrefix="0" xfId="0"/>
    <xf numFmtId="0" fontId="5698" fillId="5703" borderId="5638" pivotButton="0" quotePrefix="0" xfId="0"/>
    <xf numFmtId="0" fontId="5699" fillId="5704" borderId="5639" pivotButton="0" quotePrefix="0" xfId="0"/>
    <xf numFmtId="0" fontId="5700" fillId="5705" borderId="5640" pivotButton="0" quotePrefix="0" xfId="0"/>
    <xf numFmtId="0" fontId="5701" fillId="5706" borderId="5641" pivotButton="0" quotePrefix="0" xfId="0"/>
    <xf numFmtId="14" fontId="5702" fillId="5707" borderId="5642" pivotButton="0" quotePrefix="0" xfId="0"/>
    <xf numFmtId="0" fontId="5703" fillId="5708" borderId="5643" pivotButton="0" quotePrefix="0" xfId="0"/>
    <xf numFmtId="0" fontId="5704" fillId="5709" borderId="5644" pivotButton="0" quotePrefix="0" xfId="0"/>
    <xf numFmtId="0" fontId="5705" fillId="5710" borderId="5645" pivotButton="0" quotePrefix="0" xfId="0"/>
    <xf numFmtId="0" fontId="5706" fillId="5711" borderId="5646" pivotButton="0" quotePrefix="0" xfId="0"/>
    <xf numFmtId="0" fontId="5707" fillId="5712" borderId="5647" pivotButton="0" quotePrefix="0" xfId="0"/>
    <xf numFmtId="0" fontId="5708" fillId="5713" borderId="5648" pivotButton="0" quotePrefix="0" xfId="0"/>
    <xf numFmtId="0" fontId="5709" fillId="5714" borderId="5649" pivotButton="0" quotePrefix="0" xfId="0"/>
    <xf numFmtId="0" fontId="5710" fillId="5715" borderId="5650" pivotButton="0" quotePrefix="0" xfId="0"/>
    <xf numFmtId="0" fontId="5711" fillId="5716" borderId="5651" pivotButton="0" quotePrefix="0" xfId="0"/>
    <xf numFmtId="0" fontId="5712" fillId="5717" borderId="5652" pivotButton="0" quotePrefix="0" xfId="0"/>
    <xf numFmtId="14" fontId="5713" fillId="5718" borderId="5653" pivotButton="0" quotePrefix="0" xfId="0"/>
    <xf numFmtId="0" fontId="5714" fillId="5719" borderId="5654" pivotButton="0" quotePrefix="0" xfId="0"/>
    <xf numFmtId="0" fontId="5715" fillId="5720" borderId="5655" pivotButton="0" quotePrefix="0" xfId="0"/>
    <xf numFmtId="0" fontId="5716" fillId="5721" borderId="5656" pivotButton="0" quotePrefix="0" xfId="0"/>
    <xf numFmtId="0" fontId="5717" fillId="5722" borderId="5657" pivotButton="0" quotePrefix="0" xfId="0"/>
    <xf numFmtId="0" fontId="5718" fillId="5723" borderId="5658" pivotButton="0" quotePrefix="0" xfId="0"/>
    <xf numFmtId="0" fontId="5719" fillId="5724" borderId="5659" pivotButton="0" quotePrefix="0" xfId="0"/>
    <xf numFmtId="0" fontId="5720" fillId="5725" borderId="5660" pivotButton="0" quotePrefix="0" xfId="0"/>
    <xf numFmtId="0" fontId="5721" fillId="5726" borderId="5661" pivotButton="0" quotePrefix="0" xfId="0"/>
    <xf numFmtId="0" fontId="5722" fillId="5727" borderId="5662" pivotButton="0" quotePrefix="0" xfId="0"/>
    <xf numFmtId="0" fontId="5723" fillId="5728" borderId="5663" pivotButton="0" quotePrefix="0" xfId="0"/>
    <xf numFmtId="14" fontId="5724" fillId="5729" borderId="5664" pivotButton="0" quotePrefix="0" xfId="0"/>
    <xf numFmtId="0" fontId="5725" fillId="5730" borderId="5665" pivotButton="0" quotePrefix="0" xfId="0"/>
    <xf numFmtId="0" fontId="5726" fillId="5731" borderId="5666" pivotButton="0" quotePrefix="0" xfId="0"/>
    <xf numFmtId="0" fontId="5727" fillId="5732" borderId="5667" pivotButton="0" quotePrefix="0" xfId="0"/>
    <xf numFmtId="0" fontId="5728" fillId="5733" borderId="5668" pivotButton="0" quotePrefix="0" xfId="0"/>
    <xf numFmtId="0" fontId="5729" fillId="5734" borderId="5669" pivotButton="0" quotePrefix="0" xfId="0"/>
    <xf numFmtId="0" fontId="5730" fillId="5735" borderId="5670" pivotButton="0" quotePrefix="0" xfId="0"/>
    <xf numFmtId="0" fontId="5731" fillId="5736" borderId="5671" pivotButton="0" quotePrefix="0" xfId="0"/>
    <xf numFmtId="0" fontId="5732" fillId="5737" borderId="5672" pivotButton="0" quotePrefix="0" xfId="0"/>
    <xf numFmtId="0" fontId="5733" fillId="5738" borderId="5673" pivotButton="0" quotePrefix="0" xfId="0"/>
    <xf numFmtId="0" fontId="5734" fillId="5739" borderId="5674" pivotButton="0" quotePrefix="0" xfId="0"/>
    <xf numFmtId="14" fontId="5735" fillId="5740" borderId="5675" pivotButton="0" quotePrefix="0" xfId="0"/>
    <xf numFmtId="0" fontId="5736" fillId="5741" borderId="5676" pivotButton="0" quotePrefix="0" xfId="0"/>
    <xf numFmtId="0" fontId="5737" fillId="5742" borderId="5677" pivotButton="0" quotePrefix="0" xfId="0"/>
    <xf numFmtId="0" fontId="5738" fillId="5743" borderId="5678" pivotButton="0" quotePrefix="0" xfId="0"/>
    <xf numFmtId="0" fontId="5739" fillId="5744" borderId="5679" pivotButton="0" quotePrefix="0" xfId="0"/>
    <xf numFmtId="0" fontId="5740" fillId="5745" borderId="5680" pivotButton="0" quotePrefix="0" xfId="0"/>
    <xf numFmtId="0" fontId="5741" fillId="5746" borderId="5681" pivotButton="0" quotePrefix="0" xfId="0"/>
    <xf numFmtId="0" fontId="5742" fillId="5747" borderId="5682" pivotButton="0" quotePrefix="0" xfId="0"/>
    <xf numFmtId="0" fontId="5743" fillId="5748" borderId="5683" pivotButton="0" quotePrefix="0" xfId="0"/>
    <xf numFmtId="0" fontId="5744" fillId="5749" borderId="5684" pivotButton="0" quotePrefix="0" xfId="0"/>
    <xf numFmtId="0" fontId="5745" fillId="5750" borderId="5685" pivotButton="0" quotePrefix="0" xfId="0"/>
    <xf numFmtId="14" fontId="5746" fillId="5751" borderId="5686" pivotButton="0" quotePrefix="0" xfId="0"/>
    <xf numFmtId="0" fontId="5747" fillId="5752" borderId="5687" pivotButton="0" quotePrefix="0" xfId="0"/>
    <xf numFmtId="0" fontId="5748" fillId="5753" borderId="5688" pivotButton="0" quotePrefix="0" xfId="0"/>
    <xf numFmtId="0" fontId="5749" fillId="5754" borderId="5689" pivotButton="0" quotePrefix="0" xfId="0"/>
    <xf numFmtId="0" fontId="5750" fillId="5755" borderId="5690" pivotButton="0" quotePrefix="0" xfId="0"/>
    <xf numFmtId="0" fontId="5751" fillId="5756" borderId="5691" pivotButton="0" quotePrefix="0" xfId="0"/>
    <xf numFmtId="0" fontId="5752" fillId="5757" borderId="5692" pivotButton="0" quotePrefix="0" xfId="0"/>
    <xf numFmtId="0" fontId="5753" fillId="5758" borderId="5693" pivotButton="0" quotePrefix="0" xfId="0"/>
    <xf numFmtId="0" fontId="5754" fillId="5759" borderId="5694" pivotButton="0" quotePrefix="0" xfId="0"/>
    <xf numFmtId="0" fontId="5755" fillId="5760" borderId="5695" pivotButton="0" quotePrefix="0" xfId="0"/>
    <xf numFmtId="0" fontId="5756" fillId="5761" borderId="5696" pivotButton="0" quotePrefix="0" xfId="0"/>
    <xf numFmtId="14" fontId="5757" fillId="5762" borderId="5697" pivotButton="0" quotePrefix="0" xfId="0"/>
    <xf numFmtId="0" fontId="5758" fillId="5763" borderId="5698" pivotButton="0" quotePrefix="0" xfId="0"/>
    <xf numFmtId="0" fontId="5759" fillId="5764" borderId="5699" pivotButton="0" quotePrefix="0" xfId="0"/>
    <xf numFmtId="0" fontId="5760" fillId="5765" borderId="5700" pivotButton="0" quotePrefix="0" xfId="0"/>
    <xf numFmtId="0" fontId="5761" fillId="5766" borderId="5701" pivotButton="0" quotePrefix="0" xfId="0"/>
    <xf numFmtId="0" fontId="5762" fillId="5767" borderId="5702" pivotButton="0" quotePrefix="0" xfId="0"/>
    <xf numFmtId="0" fontId="5763" fillId="5768" borderId="5703" pivotButton="0" quotePrefix="0" xfId="0"/>
    <xf numFmtId="0" fontId="5764" fillId="5769" borderId="5704" pivotButton="0" quotePrefix="0" xfId="0"/>
    <xf numFmtId="0" fontId="5765" fillId="5770" borderId="5705" pivotButton="0" quotePrefix="0" xfId="0"/>
    <xf numFmtId="0" fontId="5766" fillId="5771" borderId="5706" pivotButton="0" quotePrefix="0" xfId="0"/>
    <xf numFmtId="0" fontId="5767" fillId="5772" borderId="5707" pivotButton="0" quotePrefix="0" xfId="0"/>
    <xf numFmtId="14" fontId="5768" fillId="5773" borderId="5708" pivotButton="0" quotePrefix="0" xfId="0"/>
    <xf numFmtId="0" fontId="5769" fillId="5774" borderId="5709" pivotButton="0" quotePrefix="0" xfId="0"/>
    <xf numFmtId="0" fontId="5770" fillId="5775" borderId="5710" pivotButton="0" quotePrefix="0" xfId="0"/>
    <xf numFmtId="0" fontId="5771" fillId="5776" borderId="5711" pivotButton="0" quotePrefix="0" xfId="0"/>
    <xf numFmtId="0" fontId="5772" fillId="5777" borderId="5712" pivotButton="0" quotePrefix="0" xfId="0"/>
    <xf numFmtId="0" fontId="5773" fillId="5778" borderId="5713" pivotButton="0" quotePrefix="0" xfId="0"/>
    <xf numFmtId="0" fontId="5774" fillId="5779" borderId="5714" pivotButton="0" quotePrefix="0" xfId="0"/>
    <xf numFmtId="0" fontId="5775" fillId="5780" borderId="5715" pivotButton="0" quotePrefix="0" xfId="0"/>
    <xf numFmtId="0" fontId="5776" fillId="5781" borderId="5716" pivotButton="0" quotePrefix="0" xfId="0"/>
    <xf numFmtId="0" fontId="5777" fillId="5782" borderId="5717" pivotButton="0" quotePrefix="0" xfId="0"/>
    <xf numFmtId="0" fontId="5778" fillId="5783" borderId="5718" pivotButton="0" quotePrefix="0" xfId="0"/>
    <xf numFmtId="14" fontId="5779" fillId="5784" borderId="5719" pivotButton="0" quotePrefix="0" xfId="0"/>
    <xf numFmtId="0" fontId="5780" fillId="5785" borderId="5720" pivotButton="0" quotePrefix="0" xfId="0"/>
    <xf numFmtId="0" fontId="5781" fillId="5786" borderId="5721" pivotButton="0" quotePrefix="0" xfId="0"/>
    <xf numFmtId="0" fontId="5782" fillId="5787" borderId="5722" pivotButton="0" quotePrefix="0" xfId="0"/>
    <xf numFmtId="0" fontId="5783" fillId="5788" borderId="5723" pivotButton="0" quotePrefix="0" xfId="0"/>
    <xf numFmtId="0" fontId="5784" fillId="5789" borderId="5724" pivotButton="0" quotePrefix="0" xfId="0"/>
    <xf numFmtId="0" fontId="5785" fillId="5790" borderId="5725" pivotButton="0" quotePrefix="0" xfId="0"/>
    <xf numFmtId="0" fontId="5786" fillId="5791" borderId="5726" pivotButton="0" quotePrefix="0" xfId="0"/>
    <xf numFmtId="0" fontId="5787" fillId="5792" borderId="5727" pivotButton="0" quotePrefix="0" xfId="0"/>
    <xf numFmtId="0" fontId="5788" fillId="5793" borderId="5728" pivotButton="0" quotePrefix="0" xfId="0"/>
    <xf numFmtId="0" fontId="5789" fillId="5794" borderId="5729" pivotButton="0" quotePrefix="0" xfId="0"/>
    <xf numFmtId="14" fontId="5790" fillId="5795" borderId="5730" pivotButton="0" quotePrefix="0" xfId="0"/>
    <xf numFmtId="0" fontId="5791" fillId="5796" borderId="5731" pivotButton="0" quotePrefix="0" xfId="0"/>
    <xf numFmtId="0" fontId="5792" fillId="5797" borderId="5732" pivotButton="0" quotePrefix="0" xfId="0"/>
    <xf numFmtId="0" fontId="5793" fillId="5798" borderId="5733" pivotButton="0" quotePrefix="0" xfId="0"/>
    <xf numFmtId="0" fontId="5794" fillId="5799" borderId="5734" pivotButton="0" quotePrefix="0" xfId="0"/>
    <xf numFmtId="0" fontId="5795" fillId="5800" borderId="5735" pivotButton="0" quotePrefix="0" xfId="0"/>
    <xf numFmtId="0" fontId="5796" fillId="5801" borderId="5736" pivotButton="0" quotePrefix="0" xfId="0"/>
    <xf numFmtId="0" fontId="5797" fillId="5802" borderId="5737" pivotButton="0" quotePrefix="0" xfId="0"/>
    <xf numFmtId="0" fontId="5798" fillId="5803" borderId="5738" pivotButton="0" quotePrefix="0" xfId="0"/>
    <xf numFmtId="0" fontId="5799" fillId="5804" borderId="5739" pivotButton="0" quotePrefix="0" xfId="0"/>
    <xf numFmtId="0" fontId="5800" fillId="5805" borderId="5740" pivotButton="0" quotePrefix="0" xfId="0"/>
    <xf numFmtId="14" fontId="5801" fillId="5806" borderId="5741" pivotButton="0" quotePrefix="0" xfId="0"/>
    <xf numFmtId="0" fontId="5802" fillId="5807" borderId="5742" pivotButton="0" quotePrefix="0" xfId="0"/>
    <xf numFmtId="0" fontId="5803" fillId="5808" borderId="5743" pivotButton="0" quotePrefix="0" xfId="0"/>
    <xf numFmtId="0" fontId="5804" fillId="5809" borderId="5744" pivotButton="0" quotePrefix="0" xfId="0"/>
    <xf numFmtId="0" fontId="5805" fillId="5810" borderId="5745" pivotButton="0" quotePrefix="0" xfId="0"/>
    <xf numFmtId="0" fontId="5806" fillId="5811" borderId="5746" pivotButton="0" quotePrefix="0" xfId="0"/>
    <xf numFmtId="0" fontId="5807" fillId="5812" borderId="5747" pivotButton="0" quotePrefix="0" xfId="0"/>
    <xf numFmtId="0" fontId="5808" fillId="5813" borderId="5748" pivotButton="0" quotePrefix="0" xfId="0"/>
    <xf numFmtId="0" fontId="5809" fillId="5814" borderId="5749" pivotButton="0" quotePrefix="0" xfId="0"/>
    <xf numFmtId="0" fontId="5810" fillId="5815" borderId="5750" pivotButton="0" quotePrefix="0" xfId="0"/>
    <xf numFmtId="0" fontId="5811" fillId="5816" borderId="5751" pivotButton="0" quotePrefix="0" xfId="0"/>
    <xf numFmtId="14" fontId="5812" fillId="5817" borderId="5752" pivotButton="0" quotePrefix="0" xfId="0"/>
    <xf numFmtId="0" fontId="5813" fillId="5818" borderId="5753" pivotButton="0" quotePrefix="0" xfId="0"/>
    <xf numFmtId="0" fontId="5814" fillId="5819" borderId="5754" pivotButton="0" quotePrefix="0" xfId="0"/>
    <xf numFmtId="0" fontId="5815" fillId="5820" borderId="5755" pivotButton="0" quotePrefix="0" xfId="0"/>
    <xf numFmtId="0" fontId="5816" fillId="5821" borderId="5756" pivotButton="0" quotePrefix="0" xfId="0"/>
    <xf numFmtId="0" fontId="5817" fillId="5822" borderId="5757" pivotButton="0" quotePrefix="0" xfId="0"/>
    <xf numFmtId="0" fontId="5818" fillId="5823" borderId="5758" pivotButton="0" quotePrefix="0" xfId="0"/>
    <xf numFmtId="0" fontId="5819" fillId="5824" borderId="5759" pivotButton="0" quotePrefix="0" xfId="0"/>
    <xf numFmtId="0" fontId="5820" fillId="5825" borderId="5760" pivotButton="0" quotePrefix="0" xfId="0"/>
    <xf numFmtId="0" fontId="5821" fillId="5826" borderId="5761" pivotButton="0" quotePrefix="0" xfId="0"/>
    <xf numFmtId="0" fontId="5822" fillId="5827" borderId="5762" pivotButton="0" quotePrefix="0" xfId="0"/>
    <xf numFmtId="14" fontId="5823" fillId="5828" borderId="5763" pivotButton="0" quotePrefix="0" xfId="0"/>
    <xf numFmtId="0" fontId="5824" fillId="5829" borderId="5764" pivotButton="0" quotePrefix="0" xfId="0"/>
    <xf numFmtId="0" fontId="5825" fillId="5830" borderId="5765" pivotButton="0" quotePrefix="0" xfId="0"/>
    <xf numFmtId="0" fontId="5826" fillId="5831" borderId="5766" pivotButton="0" quotePrefix="0" xfId="0"/>
    <xf numFmtId="0" fontId="5827" fillId="5832" borderId="5767" pivotButton="0" quotePrefix="0" xfId="0"/>
    <xf numFmtId="0" fontId="5828" fillId="5833" borderId="5768" pivotButton="0" quotePrefix="0" xfId="0"/>
    <xf numFmtId="0" fontId="5829" fillId="5834" borderId="5769" pivotButton="0" quotePrefix="0" xfId="0"/>
    <xf numFmtId="0" fontId="5830" fillId="5835" borderId="5770" pivotButton="0" quotePrefix="0" xfId="0"/>
    <xf numFmtId="0" fontId="5831" fillId="5836" borderId="5771" pivotButton="0" quotePrefix="0" xfId="0"/>
    <xf numFmtId="0" fontId="5832" fillId="5837" borderId="5772" pivotButton="0" quotePrefix="0" xfId="0"/>
    <xf numFmtId="0" fontId="5833" fillId="5838" borderId="5773" pivotButton="0" quotePrefix="0" xfId="0"/>
    <xf numFmtId="14" fontId="5834" fillId="5839" borderId="5774" pivotButton="0" quotePrefix="0" xfId="0"/>
    <xf numFmtId="0" fontId="5835" fillId="5840" borderId="5775" pivotButton="0" quotePrefix="0" xfId="0"/>
    <xf numFmtId="0" fontId="5836" fillId="5841" borderId="5776" pivotButton="0" quotePrefix="0" xfId="0"/>
    <xf numFmtId="0" fontId="5837" fillId="5842" borderId="5777" pivotButton="0" quotePrefix="0" xfId="0"/>
    <xf numFmtId="0" fontId="5838" fillId="5843" borderId="5778" pivotButton="0" quotePrefix="0" xfId="0"/>
    <xf numFmtId="0" fontId="5839" fillId="5844" borderId="5779" pivotButton="0" quotePrefix="0" xfId="0"/>
    <xf numFmtId="0" fontId="5840" fillId="5845" borderId="5780" pivotButton="0" quotePrefix="0" xfId="0"/>
    <xf numFmtId="0" fontId="5841" fillId="5846" borderId="5781" pivotButton="0" quotePrefix="0" xfId="0"/>
    <xf numFmtId="0" fontId="5842" fillId="5847" borderId="5782" pivotButton="0" quotePrefix="0" xfId="0"/>
    <xf numFmtId="0" fontId="5843" fillId="5848" borderId="5783" pivotButton="0" quotePrefix="0" xfId="0"/>
    <xf numFmtId="0" fontId="5844" fillId="5849" borderId="5784" pivotButton="0" quotePrefix="0" xfId="0"/>
    <xf numFmtId="14" fontId="5845" fillId="5850" borderId="5785" pivotButton="0" quotePrefix="0" xfId="0"/>
    <xf numFmtId="0" fontId="5846" fillId="5851" borderId="5786" pivotButton="0" quotePrefix="0" xfId="0"/>
    <xf numFmtId="0" fontId="5847" fillId="5852" borderId="5787" pivotButton="0" quotePrefix="0" xfId="0"/>
    <xf numFmtId="0" fontId="5848" fillId="5853" borderId="5788" pivotButton="0" quotePrefix="0" xfId="0"/>
    <xf numFmtId="0" fontId="5849" fillId="5854" borderId="5789" pivotButton="0" quotePrefix="0" xfId="0"/>
    <xf numFmtId="0" fontId="5850" fillId="5855" borderId="5790" pivotButton="0" quotePrefix="0" xfId="0"/>
    <xf numFmtId="0" fontId="5851" fillId="5856" borderId="5791" pivotButton="0" quotePrefix="0" xfId="0"/>
    <xf numFmtId="0" fontId="5852" fillId="5857" borderId="5792" pivotButton="0" quotePrefix="0" xfId="0"/>
    <xf numFmtId="0" fontId="5853" fillId="5858" borderId="5793" pivotButton="0" quotePrefix="0" xfId="0"/>
    <xf numFmtId="0" fontId="5854" fillId="5859" borderId="5794" pivotButton="0" quotePrefix="0" xfId="0"/>
    <xf numFmtId="0" fontId="5855" fillId="5860" borderId="5795" pivotButton="0" quotePrefix="0" xfId="0"/>
    <xf numFmtId="14" fontId="5856" fillId="5861" borderId="5796" pivotButton="0" quotePrefix="0" xfId="0"/>
    <xf numFmtId="0" fontId="5857" fillId="5862" borderId="5797" pivotButton="0" quotePrefix="0" xfId="0"/>
    <xf numFmtId="0" fontId="5858" fillId="5863" borderId="5798" pivotButton="0" quotePrefix="0" xfId="0"/>
    <xf numFmtId="0" fontId="5859" fillId="5864" borderId="5799" pivotButton="0" quotePrefix="0" xfId="0"/>
    <xf numFmtId="0" fontId="5860" fillId="5865" borderId="5800" pivotButton="0" quotePrefix="0" xfId="0"/>
    <xf numFmtId="0" fontId="5861" fillId="5866" borderId="5801" pivotButton="0" quotePrefix="0" xfId="0"/>
    <xf numFmtId="0" fontId="5862" fillId="5867" borderId="5802" pivotButton="0" quotePrefix="0" xfId="0"/>
    <xf numFmtId="0" fontId="5863" fillId="5868" borderId="5803" pivotButton="0" quotePrefix="0" xfId="0"/>
    <xf numFmtId="0" fontId="5864" fillId="5869" borderId="5804" pivotButton="0" quotePrefix="0" xfId="0"/>
    <xf numFmtId="0" fontId="5865" fillId="5870" borderId="5805" pivotButton="0" quotePrefix="0" xfId="0"/>
    <xf numFmtId="0" fontId="5866" fillId="5871" borderId="5806" pivotButton="0" quotePrefix="0" xfId="0"/>
    <xf numFmtId="14" fontId="5867" fillId="5872" borderId="5807" pivotButton="0" quotePrefix="0" xfId="0"/>
    <xf numFmtId="0" fontId="5868" fillId="5873" borderId="5808" pivotButton="0" quotePrefix="0" xfId="0"/>
    <xf numFmtId="0" fontId="5869" fillId="5874" borderId="5809" pivotButton="0" quotePrefix="0" xfId="0"/>
    <xf numFmtId="0" fontId="5870" fillId="5875" borderId="5810" pivotButton="0" quotePrefix="0" xfId="0"/>
    <xf numFmtId="0" fontId="5871" fillId="5876" borderId="5811" pivotButton="0" quotePrefix="0" xfId="0"/>
    <xf numFmtId="0" fontId="5872" fillId="5877" borderId="5812" pivotButton="0" quotePrefix="0" xfId="0"/>
    <xf numFmtId="0" fontId="5873" fillId="5878" borderId="5813" pivotButton="0" quotePrefix="0" xfId="0"/>
    <xf numFmtId="0" fontId="5874" fillId="5879" borderId="5814" pivotButton="0" quotePrefix="0" xfId="0"/>
    <xf numFmtId="0" fontId="5875" fillId="5880" borderId="5815" pivotButton="0" quotePrefix="0" xfId="0"/>
    <xf numFmtId="0" fontId="5876" fillId="5881" borderId="5816" pivotButton="0" quotePrefix="0" xfId="0"/>
    <xf numFmtId="0" fontId="5877" fillId="5882" borderId="5817" pivotButton="0" quotePrefix="0" xfId="0"/>
    <xf numFmtId="14" fontId="5878" fillId="5883" borderId="5818" pivotButton="0" quotePrefix="0" xfId="0"/>
    <xf numFmtId="0" fontId="5879" fillId="5884" borderId="5819" pivotButton="0" quotePrefix="0" xfId="0"/>
    <xf numFmtId="0" fontId="5880" fillId="5885" borderId="5820" pivotButton="0" quotePrefix="0" xfId="0"/>
    <xf numFmtId="0" fontId="5881" fillId="5886" borderId="5821" pivotButton="0" quotePrefix="0" xfId="0"/>
    <xf numFmtId="0" fontId="5882" fillId="5887" borderId="5822" pivotButton="0" quotePrefix="0" xfId="0"/>
    <xf numFmtId="0" fontId="5883" fillId="5888" borderId="5823" pivotButton="0" quotePrefix="0" xfId="0"/>
    <xf numFmtId="0" fontId="5884" fillId="5889" borderId="5824" pivotButton="0" quotePrefix="0" xfId="0"/>
    <xf numFmtId="0" fontId="5885" fillId="5890" borderId="5825" pivotButton="0" quotePrefix="0" xfId="0"/>
    <xf numFmtId="0" fontId="5886" fillId="5891" borderId="5826" pivotButton="0" quotePrefix="0" xfId="0"/>
    <xf numFmtId="0" fontId="5887" fillId="5892" borderId="5827" pivotButton="0" quotePrefix="0" xfId="0"/>
    <xf numFmtId="0" fontId="5888" fillId="5893" borderId="5828" pivotButton="0" quotePrefix="0" xfId="0"/>
    <xf numFmtId="14" fontId="5889" fillId="5894" borderId="5829" pivotButton="0" quotePrefix="0" xfId="0"/>
    <xf numFmtId="0" fontId="5890" fillId="5895" borderId="5830" pivotButton="0" quotePrefix="0" xfId="0"/>
    <xf numFmtId="0" fontId="5891" fillId="5896" borderId="5831" pivotButton="0" quotePrefix="0" xfId="0"/>
    <xf numFmtId="0" fontId="5892" fillId="5897" borderId="5832" pivotButton="0" quotePrefix="0" xfId="0"/>
    <xf numFmtId="0" fontId="5893" fillId="5898" borderId="5833" pivotButton="0" quotePrefix="0" xfId="0"/>
    <xf numFmtId="0" fontId="5894" fillId="5899" borderId="5834" pivotButton="0" quotePrefix="0" xfId="0"/>
    <xf numFmtId="0" fontId="5895" fillId="5900" borderId="5835" pivotButton="0" quotePrefix="0" xfId="0"/>
    <xf numFmtId="0" fontId="5896" fillId="5901" borderId="5836" pivotButton="0" quotePrefix="0" xfId="0"/>
    <xf numFmtId="0" fontId="5897" fillId="5902" borderId="5837" pivotButton="0" quotePrefix="0" xfId="0"/>
    <xf numFmtId="0" fontId="5898" fillId="5903" borderId="5838" pivotButton="0" quotePrefix="0" xfId="0"/>
    <xf numFmtId="0" fontId="5899" fillId="5904" borderId="5839" pivotButton="0" quotePrefix="0" xfId="0"/>
    <xf numFmtId="14" fontId="5900" fillId="5905" borderId="5840" pivotButton="0" quotePrefix="0" xfId="0"/>
    <xf numFmtId="0" fontId="5901" fillId="5906" borderId="5841" pivotButton="0" quotePrefix="0" xfId="0"/>
    <xf numFmtId="0" fontId="5902" fillId="5907" borderId="5842" pivotButton="0" quotePrefix="0" xfId="0"/>
    <xf numFmtId="0" fontId="5903" fillId="5908" borderId="5843" pivotButton="0" quotePrefix="0" xfId="0"/>
    <xf numFmtId="0" fontId="5904" fillId="5909" borderId="5844" pivotButton="0" quotePrefix="0" xfId="0"/>
    <xf numFmtId="0" fontId="5905" fillId="5910" borderId="5845" pivotButton="0" quotePrefix="0" xfId="0"/>
    <xf numFmtId="0" fontId="5906" fillId="5911" borderId="5846" pivotButton="0" quotePrefix="0" xfId="0"/>
    <xf numFmtId="0" fontId="5907" fillId="5912" borderId="5847" pivotButton="0" quotePrefix="0" xfId="0"/>
    <xf numFmtId="0" fontId="5908" fillId="5913" borderId="5848" pivotButton="0" quotePrefix="0" xfId="0"/>
    <xf numFmtId="0" fontId="5909" fillId="5914" borderId="5849" pivotButton="0" quotePrefix="0" xfId="0"/>
    <xf numFmtId="0" fontId="5910" fillId="5915" borderId="5850" pivotButton="0" quotePrefix="0" xfId="0"/>
    <xf numFmtId="14" fontId="5911" fillId="5916" borderId="5851" pivotButton="0" quotePrefix="0" xfId="0"/>
    <xf numFmtId="0" fontId="5912" fillId="5917" borderId="5852" pivotButton="0" quotePrefix="0" xfId="0"/>
    <xf numFmtId="0" fontId="5913" fillId="5918" borderId="5853" pivotButton="0" quotePrefix="0" xfId="0"/>
    <xf numFmtId="0" fontId="5914" fillId="5919" borderId="5854" pivotButton="0" quotePrefix="0" xfId="0"/>
    <xf numFmtId="0" fontId="5915" fillId="5920" borderId="5855" pivotButton="0" quotePrefix="0" xfId="0"/>
    <xf numFmtId="0" fontId="5916" fillId="5921" borderId="5856" pivotButton="0" quotePrefix="0" xfId="0"/>
    <xf numFmtId="0" fontId="5917" fillId="5922" borderId="5857" pivotButton="0" quotePrefix="0" xfId="0"/>
    <xf numFmtId="0" fontId="5918" fillId="5923" borderId="5858" pivotButton="0" quotePrefix="0" xfId="0"/>
    <xf numFmtId="0" fontId="5919" fillId="5924" borderId="5859" pivotButton="0" quotePrefix="0" xfId="0"/>
    <xf numFmtId="0" fontId="5920" fillId="5925" borderId="5860" pivotButton="0" quotePrefix="0" xfId="0"/>
    <xf numFmtId="0" fontId="5921" fillId="5926" borderId="5861" pivotButton="0" quotePrefix="0" xfId="0"/>
    <xf numFmtId="14" fontId="5922" fillId="5927" borderId="5862" pivotButton="0" quotePrefix="0" xfId="0"/>
    <xf numFmtId="0" fontId="5923" fillId="5928" borderId="5863" pivotButton="0" quotePrefix="0" xfId="0"/>
    <xf numFmtId="0" fontId="5924" fillId="5929" borderId="5864" pivotButton="0" quotePrefix="0" xfId="0"/>
    <xf numFmtId="0" fontId="5925" fillId="5930" borderId="5865" pivotButton="0" quotePrefix="0" xfId="0"/>
    <xf numFmtId="0" fontId="5926" fillId="5931" borderId="5866" pivotButton="0" quotePrefix="0" xfId="0"/>
    <xf numFmtId="0" fontId="5927" fillId="5932" borderId="5867" pivotButton="0" quotePrefix="0" xfId="0"/>
    <xf numFmtId="0" fontId="5928" fillId="5933" borderId="5868" pivotButton="0" quotePrefix="0" xfId="0"/>
    <xf numFmtId="0" fontId="5929" fillId="5934" borderId="5869" pivotButton="0" quotePrefix="0" xfId="0"/>
    <xf numFmtId="0" fontId="5930" fillId="5935" borderId="5870" pivotButton="0" quotePrefix="0" xfId="0"/>
    <xf numFmtId="0" fontId="5931" fillId="5936" borderId="5871" pivotButton="0" quotePrefix="0" xfId="0"/>
    <xf numFmtId="0" fontId="5932" fillId="5937" borderId="5872" pivotButton="0" quotePrefix="0" xfId="0"/>
    <xf numFmtId="14" fontId="5933" fillId="5938" borderId="5873" pivotButton="0" quotePrefix="0" xfId="0"/>
    <xf numFmtId="0" fontId="5934" fillId="5939" borderId="5874" pivotButton="0" quotePrefix="0" xfId="0"/>
    <xf numFmtId="0" fontId="5935" fillId="5940" borderId="5875" pivotButton="0" quotePrefix="0" xfId="0"/>
    <xf numFmtId="0" fontId="5936" fillId="5941" borderId="5876" pivotButton="0" quotePrefix="0" xfId="0"/>
    <xf numFmtId="0" fontId="5937" fillId="5942" borderId="5877" pivotButton="0" quotePrefix="0" xfId="0"/>
    <xf numFmtId="0" fontId="5938" fillId="5943" borderId="5878" pivotButton="0" quotePrefix="0" xfId="0"/>
    <xf numFmtId="0" fontId="5939" fillId="5944" borderId="5879" pivotButton="0" quotePrefix="0" xfId="0"/>
    <xf numFmtId="0" fontId="5940" fillId="5945" borderId="5880" pivotButton="0" quotePrefix="0" xfId="0"/>
    <xf numFmtId="0" fontId="5941" fillId="5946" borderId="5881" pivotButton="0" quotePrefix="0" xfId="0"/>
    <xf numFmtId="0" fontId="5942" fillId="5947" borderId="5882" pivotButton="0" quotePrefix="0" xfId="0"/>
    <xf numFmtId="0" fontId="5943" fillId="5948" borderId="5883" pivotButton="0" quotePrefix="0" xfId="0"/>
    <xf numFmtId="14" fontId="5944" fillId="5949" borderId="5884" pivotButton="0" quotePrefix="0" xfId="0"/>
    <xf numFmtId="0" fontId="5945" fillId="5950" borderId="5885" pivotButton="0" quotePrefix="0" xfId="0"/>
    <xf numFmtId="0" fontId="5946" fillId="5951" borderId="5886" pivotButton="0" quotePrefix="0" xfId="0"/>
    <xf numFmtId="0" fontId="5947" fillId="5952" borderId="5887" pivotButton="0" quotePrefix="0" xfId="0"/>
    <xf numFmtId="0" fontId="5948" fillId="5953" borderId="5888" pivotButton="0" quotePrefix="0" xfId="0"/>
    <xf numFmtId="0" fontId="5949" fillId="5954" borderId="5889" pivotButton="0" quotePrefix="0" xfId="0"/>
    <xf numFmtId="0" fontId="5950" fillId="5955" borderId="5890" pivotButton="0" quotePrefix="0" xfId="0"/>
    <xf numFmtId="0" fontId="5951" fillId="5956" borderId="5891" pivotButton="0" quotePrefix="0" xfId="0"/>
    <xf numFmtId="0" fontId="5952" fillId="5957" borderId="5892" pivotButton="0" quotePrefix="0" xfId="0"/>
    <xf numFmtId="0" fontId="5953" fillId="5958" borderId="5893" pivotButton="0" quotePrefix="0" xfId="0"/>
    <xf numFmtId="0" fontId="5954" fillId="5959" borderId="5894" pivotButton="0" quotePrefix="0" xfId="0"/>
    <xf numFmtId="14" fontId="5955" fillId="5960" borderId="5895" pivotButton="0" quotePrefix="0" xfId="0"/>
    <xf numFmtId="0" fontId="5956" fillId="5961" borderId="5896" pivotButton="0" quotePrefix="0" xfId="0"/>
    <xf numFmtId="0" fontId="5957" fillId="5962" borderId="5897" pivotButton="0" quotePrefix="0" xfId="0"/>
    <xf numFmtId="0" fontId="5958" fillId="5963" borderId="5898" pivotButton="0" quotePrefix="0" xfId="0"/>
    <xf numFmtId="0" fontId="5959" fillId="5964" borderId="5899" pivotButton="0" quotePrefix="0" xfId="0"/>
    <xf numFmtId="0" fontId="5960" fillId="5965" borderId="5900" pivotButton="0" quotePrefix="0" xfId="0"/>
    <xf numFmtId="0" fontId="5961" fillId="5966" borderId="5901" pivotButton="0" quotePrefix="0" xfId="0"/>
    <xf numFmtId="0" fontId="5962" fillId="5967" borderId="5902" pivotButton="0" quotePrefix="0" xfId="0"/>
    <xf numFmtId="0" fontId="5963" fillId="5968" borderId="5903" pivotButton="0" quotePrefix="0" xfId="0"/>
    <xf numFmtId="0" fontId="5964" fillId="5969" borderId="5904" pivotButton="0" quotePrefix="0" xfId="0"/>
    <xf numFmtId="0" fontId="5965" fillId="5970" borderId="5905" pivotButton="0" quotePrefix="0" xfId="0"/>
    <xf numFmtId="14" fontId="5966" fillId="5971" borderId="5906" pivotButton="0" quotePrefix="0" xfId="0"/>
    <xf numFmtId="0" fontId="5967" fillId="5972" borderId="5907" pivotButton="0" quotePrefix="0" xfId="0"/>
    <xf numFmtId="0" fontId="5968" fillId="5973" borderId="5908" pivotButton="0" quotePrefix="0" xfId="0"/>
    <xf numFmtId="0" fontId="5969" fillId="5974" borderId="5909" pivotButton="0" quotePrefix="0" xfId="0"/>
    <xf numFmtId="0" fontId="5970" fillId="5975" borderId="5910" pivotButton="0" quotePrefix="0" xfId="0"/>
    <xf numFmtId="0" fontId="5971" fillId="5976" borderId="5911" pivotButton="0" quotePrefix="0" xfId="0"/>
    <xf numFmtId="0" fontId="5972" fillId="5977" borderId="5912" pivotButton="0" quotePrefix="0" xfId="0"/>
    <xf numFmtId="0" fontId="5973" fillId="5978" borderId="5913" pivotButton="0" quotePrefix="0" xfId="0"/>
    <xf numFmtId="0" fontId="5974" fillId="5979" borderId="5914" pivotButton="0" quotePrefix="0" xfId="0"/>
    <xf numFmtId="0" fontId="5975" fillId="5980" borderId="5915" pivotButton="0" quotePrefix="0" xfId="0"/>
    <xf numFmtId="0" fontId="5976" fillId="5981" borderId="5916" pivotButton="0" quotePrefix="0" xfId="0"/>
    <xf numFmtId="14" fontId="5977" fillId="5982" borderId="5917" pivotButton="0" quotePrefix="0" xfId="0"/>
    <xf numFmtId="0" fontId="5978" fillId="5983" borderId="5918" pivotButton="0" quotePrefix="0" xfId="0"/>
    <xf numFmtId="0" fontId="5979" fillId="5984" borderId="5919" pivotButton="0" quotePrefix="0" xfId="0"/>
    <xf numFmtId="0" fontId="5980" fillId="5985" borderId="5920" pivotButton="0" quotePrefix="0" xfId="0"/>
    <xf numFmtId="0" fontId="5981" fillId="5986" borderId="5921" pivotButton="0" quotePrefix="0" xfId="0"/>
    <xf numFmtId="0" fontId="5982" fillId="5987" borderId="5922" pivotButton="0" quotePrefix="0" xfId="0"/>
    <xf numFmtId="0" fontId="5983" fillId="5988" borderId="5923" pivotButton="0" quotePrefix="0" xfId="0"/>
    <xf numFmtId="0" fontId="5984" fillId="5989" borderId="5924" pivotButton="0" quotePrefix="0" xfId="0"/>
    <xf numFmtId="0" fontId="5985" fillId="5990" borderId="5925" pivotButton="0" quotePrefix="0" xfId="0"/>
    <xf numFmtId="0" fontId="5986" fillId="5991" borderId="5926" pivotButton="0" quotePrefix="0" xfId="0"/>
    <xf numFmtId="0" fontId="5987" fillId="5992" borderId="5927" pivotButton="0" quotePrefix="0" xfId="0"/>
    <xf numFmtId="14" fontId="5988" fillId="5993" borderId="5928" pivotButton="0" quotePrefix="0" xfId="0"/>
    <xf numFmtId="0" fontId="5989" fillId="5994" borderId="5929" pivotButton="0" quotePrefix="0" xfId="0"/>
    <xf numFmtId="0" fontId="5990" fillId="5995" borderId="5930" pivotButton="0" quotePrefix="0" xfId="0"/>
    <xf numFmtId="0" fontId="5991" fillId="5996" borderId="5931" pivotButton="0" quotePrefix="0" xfId="0"/>
    <xf numFmtId="0" fontId="5992" fillId="5997" borderId="5932" pivotButton="0" quotePrefix="0" xfId="0"/>
    <xf numFmtId="0" fontId="5993" fillId="5998" borderId="5933" pivotButton="0" quotePrefix="0" xfId="0"/>
    <xf numFmtId="0" fontId="5994" fillId="5999" borderId="5934" pivotButton="0" quotePrefix="0" xfId="0"/>
    <xf numFmtId="0" fontId="5995" fillId="6000" borderId="5935" pivotButton="0" quotePrefix="0" xfId="0"/>
    <xf numFmtId="0" fontId="5996" fillId="6001" borderId="5936" pivotButton="0" quotePrefix="0" xfId="0"/>
    <xf numFmtId="0" fontId="5997" fillId="6002" borderId="5937" pivotButton="0" quotePrefix="0" xfId="0"/>
    <xf numFmtId="0" fontId="5998" fillId="6003" borderId="5938" pivotButton="0" quotePrefix="0" xfId="0"/>
    <xf numFmtId="14" fontId="5999" fillId="6004" borderId="5939" pivotButton="0" quotePrefix="0" xfId="0"/>
    <xf numFmtId="0" fontId="6000" fillId="6005" borderId="5940" pivotButton="0" quotePrefix="0" xfId="0"/>
    <xf numFmtId="0" fontId="6001" fillId="6006" borderId="5941" pivotButton="0" quotePrefix="0" xfId="0"/>
    <xf numFmtId="0" fontId="6002" fillId="6007" borderId="5942" pivotButton="0" quotePrefix="0" xfId="0"/>
    <xf numFmtId="0" fontId="6003" fillId="6008" borderId="5943" pivotButton="0" quotePrefix="0" xfId="0"/>
    <xf numFmtId="0" fontId="6004" fillId="6009" borderId="5944" pivotButton="0" quotePrefix="0" xfId="0"/>
    <xf numFmtId="0" fontId="6005" fillId="6010" borderId="5945" pivotButton="0" quotePrefix="0" xfId="0"/>
    <xf numFmtId="0" fontId="6006" fillId="6011" borderId="5946" pivotButton="0" quotePrefix="0" xfId="0"/>
    <xf numFmtId="0" fontId="6007" fillId="6012" borderId="5947" pivotButton="0" quotePrefix="0" xfId="0"/>
    <xf numFmtId="0" fontId="6008" fillId="6013" borderId="5948" pivotButton="0" quotePrefix="0" xfId="0"/>
    <xf numFmtId="0" fontId="6009" fillId="6014" borderId="5949" pivotButton="0" quotePrefix="0" xfId="0"/>
    <xf numFmtId="14" fontId="6010" fillId="6015" borderId="5950" pivotButton="0" quotePrefix="0" xfId="0"/>
    <xf numFmtId="0" fontId="6011" fillId="6016" borderId="5951" pivotButton="0" quotePrefix="0" xfId="0"/>
    <xf numFmtId="0" fontId="6012" fillId="6017" borderId="5952" pivotButton="0" quotePrefix="0" xfId="0"/>
    <xf numFmtId="0" fontId="6013" fillId="6018" borderId="5953" pivotButton="0" quotePrefix="0" xfId="0"/>
    <xf numFmtId="0" fontId="6014" fillId="6019" borderId="5954" pivotButton="0" quotePrefix="0" xfId="0"/>
    <xf numFmtId="0" fontId="6015" fillId="6020" borderId="5955" pivotButton="0" quotePrefix="0" xfId="0"/>
    <xf numFmtId="0" fontId="6016" fillId="6021" borderId="5956" pivotButton="0" quotePrefix="0" xfId="0"/>
    <xf numFmtId="0" fontId="6017" fillId="6022" borderId="5957" pivotButton="0" quotePrefix="0" xfId="0"/>
    <xf numFmtId="0" fontId="6018" fillId="6023" borderId="5958" pivotButton="0" quotePrefix="0" xfId="0"/>
    <xf numFmtId="0" fontId="6019" fillId="6024" borderId="5959" pivotButton="0" quotePrefix="0" xfId="0"/>
    <xf numFmtId="0" fontId="6020" fillId="6025" borderId="5960" pivotButton="0" quotePrefix="0" xfId="0"/>
    <xf numFmtId="14" fontId="6021" fillId="6026" borderId="5961" pivotButton="0" quotePrefix="0" xfId="0"/>
    <xf numFmtId="0" fontId="6022" fillId="6027" borderId="5962" pivotButton="0" quotePrefix="0" xfId="0"/>
    <xf numFmtId="0" fontId="6023" fillId="6028" borderId="5963" pivotButton="0" quotePrefix="0" xfId="0"/>
    <xf numFmtId="0" fontId="6024" fillId="6029" borderId="5964" pivotButton="0" quotePrefix="0" xfId="0"/>
    <xf numFmtId="0" fontId="6025" fillId="6030" borderId="5965" pivotButton="0" quotePrefix="0" xfId="0"/>
    <xf numFmtId="0" fontId="6026" fillId="6031" borderId="5966" pivotButton="0" quotePrefix="0" xfId="0"/>
    <xf numFmtId="0" fontId="6027" fillId="6032" borderId="5967" pivotButton="0" quotePrefix="0" xfId="0"/>
    <xf numFmtId="0" fontId="6028" fillId="6033" borderId="5968" pivotButton="0" quotePrefix="0" xfId="0"/>
    <xf numFmtId="0" fontId="6029" fillId="6034" borderId="5969" pivotButton="0" quotePrefix="0" xfId="0"/>
    <xf numFmtId="0" fontId="6030" fillId="6035" borderId="5970" pivotButton="0" quotePrefix="0" xfId="0"/>
    <xf numFmtId="0" fontId="6031" fillId="6036" borderId="5971" pivotButton="0" quotePrefix="0" xfId="0"/>
    <xf numFmtId="14" fontId="6032" fillId="6037" borderId="5972" pivotButton="0" quotePrefix="0" xfId="0"/>
    <xf numFmtId="0" fontId="6033" fillId="6038" borderId="5973" pivotButton="0" quotePrefix="0" xfId="0"/>
    <xf numFmtId="0" fontId="6034" fillId="6039" borderId="5974" pivotButton="0" quotePrefix="0" xfId="0"/>
    <xf numFmtId="0" fontId="6035" fillId="6040" borderId="5975" pivotButton="0" quotePrefix="0" xfId="0"/>
    <xf numFmtId="0" fontId="6036" fillId="6041" borderId="5976" pivotButton="0" quotePrefix="0" xfId="0"/>
    <xf numFmtId="0" fontId="6037" fillId="6042" borderId="5977" pivotButton="0" quotePrefix="0" xfId="0"/>
    <xf numFmtId="0" fontId="6038" fillId="6043" borderId="5978" pivotButton="0" quotePrefix="0" xfId="0"/>
    <xf numFmtId="0" fontId="6039" fillId="6044" borderId="5979" pivotButton="0" quotePrefix="0" xfId="0"/>
    <xf numFmtId="0" fontId="6040" fillId="6045" borderId="5980" pivotButton="0" quotePrefix="0" xfId="0"/>
    <xf numFmtId="0" fontId="6041" fillId="6046" borderId="5981" pivotButton="0" quotePrefix="0" xfId="0"/>
    <xf numFmtId="0" fontId="6042" fillId="6047" borderId="5982" pivotButton="0" quotePrefix="0" xfId="0"/>
    <xf numFmtId="14" fontId="6043" fillId="6048" borderId="5983" pivotButton="0" quotePrefix="0" xfId="0"/>
    <xf numFmtId="0" fontId="6044" fillId="6049" borderId="5984" pivotButton="0" quotePrefix="0" xfId="0"/>
    <xf numFmtId="0" fontId="6045" fillId="6050" borderId="5985" pivotButton="0" quotePrefix="0" xfId="0"/>
    <xf numFmtId="0" fontId="6046" fillId="6051" borderId="5986" pivotButton="0" quotePrefix="0" xfId="0"/>
    <xf numFmtId="0" fontId="6047" fillId="6052" borderId="5987" pivotButton="0" quotePrefix="0" xfId="0"/>
    <xf numFmtId="0" fontId="6048" fillId="6053" borderId="5988" pivotButton="0" quotePrefix="0" xfId="0"/>
    <xf numFmtId="0" fontId="6049" fillId="6054" borderId="5989" pivotButton="0" quotePrefix="0" xfId="0"/>
    <xf numFmtId="0" fontId="6050" fillId="6055" borderId="5990" pivotButton="0" quotePrefix="0" xfId="0"/>
    <xf numFmtId="0" fontId="6051" fillId="6056" borderId="5991" pivotButton="0" quotePrefix="0" xfId="0"/>
    <xf numFmtId="0" fontId="6052" fillId="6057" borderId="5992" pivotButton="0" quotePrefix="0" xfId="0"/>
    <xf numFmtId="0" fontId="6053" fillId="6058" borderId="5993" pivotButton="0" quotePrefix="0" xfId="0"/>
    <xf numFmtId="14" fontId="6054" fillId="6059" borderId="5994" pivotButton="0" quotePrefix="0" xfId="0"/>
    <xf numFmtId="0" fontId="6055" fillId="6060" borderId="5995" pivotButton="0" quotePrefix="0" xfId="0"/>
    <xf numFmtId="0" fontId="6056" fillId="6061" borderId="5996" pivotButton="0" quotePrefix="0" xfId="0"/>
    <xf numFmtId="0" fontId="6057" fillId="6062" borderId="5997" pivotButton="0" quotePrefix="0" xfId="0"/>
    <xf numFmtId="0" fontId="6058" fillId="6063" borderId="5998" pivotButton="0" quotePrefix="0" xfId="0"/>
    <xf numFmtId="0" fontId="6059" fillId="6064" borderId="5999" pivotButton="0" quotePrefix="0" xfId="0"/>
    <xf numFmtId="0" fontId="6060" fillId="6065" borderId="6000" pivotButton="0" quotePrefix="0" xfId="0"/>
    <xf numFmtId="0" fontId="6061" fillId="6066" borderId="6001" pivotButton="0" quotePrefix="0" xfId="0"/>
    <xf numFmtId="0" fontId="6062" fillId="6067" borderId="6002" pivotButton="0" quotePrefix="0" xfId="0"/>
    <xf numFmtId="0" fontId="6063" fillId="6068" borderId="6003" pivotButton="0" quotePrefix="0" xfId="0"/>
    <xf numFmtId="0" fontId="6064" fillId="6069" borderId="6004" pivotButton="0" quotePrefix="0" xfId="0"/>
    <xf numFmtId="14" fontId="6065" fillId="6070" borderId="6005" pivotButton="0" quotePrefix="0" xfId="0"/>
    <xf numFmtId="0" fontId="6066" fillId="6071" borderId="6006" pivotButton="0" quotePrefix="0" xfId="0"/>
    <xf numFmtId="0" fontId="6067" fillId="6072" borderId="6007" pivotButton="0" quotePrefix="0" xfId="0"/>
    <xf numFmtId="0" fontId="6068" fillId="6073" borderId="6008" pivotButton="0" quotePrefix="0" xfId="0"/>
    <xf numFmtId="0" fontId="6069" fillId="6074" borderId="6009" pivotButton="0" quotePrefix="0" xfId="0"/>
    <xf numFmtId="0" fontId="6070" fillId="6075" borderId="6010" pivotButton="0" quotePrefix="0" xfId="0"/>
    <xf numFmtId="0" fontId="6071" fillId="6076" borderId="6011" pivotButton="0" quotePrefix="0" xfId="0"/>
    <xf numFmtId="0" fontId="6072" fillId="6077" borderId="6012" pivotButton="0" quotePrefix="0" xfId="0"/>
    <xf numFmtId="0" fontId="6073" fillId="6078" borderId="6013" pivotButton="0" quotePrefix="0" xfId="0"/>
    <xf numFmtId="0" fontId="6074" fillId="6079" borderId="6014" pivotButton="0" quotePrefix="0" xfId="0"/>
    <xf numFmtId="0" fontId="6075" fillId="6080" borderId="6015" pivotButton="0" quotePrefix="0" xfId="0"/>
    <xf numFmtId="14" fontId="6076" fillId="6081" borderId="6016" pivotButton="0" quotePrefix="0" xfId="0"/>
    <xf numFmtId="0" fontId="6077" fillId="6082" borderId="6017" pivotButton="0" quotePrefix="0" xfId="0"/>
    <xf numFmtId="0" fontId="6078" fillId="6083" borderId="6018" pivotButton="0" quotePrefix="0" xfId="0"/>
    <xf numFmtId="0" fontId="6079" fillId="6084" borderId="6019" pivotButton="0" quotePrefix="0" xfId="0"/>
    <xf numFmtId="0" fontId="6080" fillId="6085" borderId="6020" pivotButton="0" quotePrefix="0" xfId="0"/>
    <xf numFmtId="0" fontId="6081" fillId="6086" borderId="6021" pivotButton="0" quotePrefix="0" xfId="0"/>
    <xf numFmtId="0" fontId="6082" fillId="6087" borderId="6022" pivotButton="0" quotePrefix="0" xfId="0"/>
    <xf numFmtId="0" fontId="6083" fillId="6088" borderId="6023" pivotButton="0" quotePrefix="0" xfId="0"/>
    <xf numFmtId="0" fontId="6084" fillId="6089" borderId="6024" pivotButton="0" quotePrefix="0" xfId="0"/>
    <xf numFmtId="0" fontId="6085" fillId="6090" borderId="6025" pivotButton="0" quotePrefix="0" xfId="0"/>
    <xf numFmtId="0" fontId="6086" fillId="6091" borderId="6026" pivotButton="0" quotePrefix="0" xfId="0"/>
    <xf numFmtId="14" fontId="6087" fillId="6092" borderId="6027" pivotButton="0" quotePrefix="0" xfId="0"/>
    <xf numFmtId="0" fontId="6088" fillId="6093" borderId="6028" pivotButton="0" quotePrefix="0" xfId="0"/>
    <xf numFmtId="0" fontId="6089" fillId="6094" borderId="6029" pivotButton="0" quotePrefix="0" xfId="0"/>
    <xf numFmtId="0" fontId="6090" fillId="6095" borderId="6030" pivotButton="0" quotePrefix="0" xfId="0"/>
    <xf numFmtId="0" fontId="6091" fillId="6096" borderId="6031" pivotButton="0" quotePrefix="0" xfId="0"/>
    <xf numFmtId="0" fontId="6092" fillId="6097" borderId="6032" pivotButton="0" quotePrefix="0" xfId="0"/>
    <xf numFmtId="0" fontId="6093" fillId="6098" borderId="6033" pivotButton="0" quotePrefix="0" xfId="0"/>
    <xf numFmtId="0" fontId="6094" fillId="6099" borderId="6034" pivotButton="0" quotePrefix="0" xfId="0"/>
    <xf numFmtId="0" fontId="6095" fillId="6100" borderId="6035" pivotButton="0" quotePrefix="0" xfId="0"/>
    <xf numFmtId="0" fontId="6096" fillId="6101" borderId="6036" pivotButton="0" quotePrefix="0" xfId="0"/>
    <xf numFmtId="0" fontId="6097" fillId="6102" borderId="6037" pivotButton="0" quotePrefix="0" xfId="0"/>
    <xf numFmtId="14" fontId="6098" fillId="6103" borderId="6038" pivotButton="0" quotePrefix="0" xfId="0"/>
    <xf numFmtId="0" fontId="6099" fillId="6104" borderId="6039" pivotButton="0" quotePrefix="0" xfId="0"/>
    <xf numFmtId="0" fontId="6100" fillId="6105" borderId="6040" pivotButton="0" quotePrefix="0" xfId="0"/>
    <xf numFmtId="0" fontId="6101" fillId="6106" borderId="6041" pivotButton="0" quotePrefix="0" xfId="0"/>
    <xf numFmtId="0" fontId="6102" fillId="6107" borderId="6042" pivotButton="0" quotePrefix="0" xfId="0"/>
    <xf numFmtId="0" fontId="6103" fillId="6108" borderId="6043" pivotButton="0" quotePrefix="0" xfId="0"/>
    <xf numFmtId="0" fontId="6104" fillId="6109" borderId="6044" pivotButton="0" quotePrefix="0" xfId="0"/>
    <xf numFmtId="0" fontId="6105" fillId="6110" borderId="6045" pivotButton="0" quotePrefix="0" xfId="0"/>
    <xf numFmtId="0" fontId="6106" fillId="6111" borderId="6046" pivotButton="0" quotePrefix="0" xfId="0"/>
    <xf numFmtId="0" fontId="6107" fillId="6112" borderId="6047" pivotButton="0" quotePrefix="0" xfId="0"/>
    <xf numFmtId="0" fontId="6108" fillId="6113" borderId="6048" pivotButton="0" quotePrefix="0" xfId="0"/>
    <xf numFmtId="14" fontId="6109" fillId="6114" borderId="6049" pivotButton="0" quotePrefix="0" xfId="0"/>
    <xf numFmtId="0" fontId="6110" fillId="6115" borderId="6050" pivotButton="0" quotePrefix="0" xfId="0"/>
    <xf numFmtId="0" fontId="6111" fillId="6116" borderId="6051" pivotButton="0" quotePrefix="0" xfId="0"/>
    <xf numFmtId="0" fontId="6112" fillId="6117" borderId="6052" pivotButton="0" quotePrefix="0" xfId="0"/>
    <xf numFmtId="0" fontId="6113" fillId="6118" borderId="6053" pivotButton="0" quotePrefix="0" xfId="0"/>
    <xf numFmtId="0" fontId="6114" fillId="6119" borderId="6054" pivotButton="0" quotePrefix="0" xfId="0"/>
    <xf numFmtId="0" fontId="6115" fillId="6120" borderId="6055" pivotButton="0" quotePrefix="0" xfId="0"/>
    <xf numFmtId="0" fontId="6116" fillId="6121" borderId="6056" pivotButton="0" quotePrefix="0" xfId="0"/>
    <xf numFmtId="0" fontId="6117" fillId="6122" borderId="6057" pivotButton="0" quotePrefix="0" xfId="0"/>
    <xf numFmtId="0" fontId="6118" fillId="6123" borderId="6058" pivotButton="0" quotePrefix="0" xfId="0"/>
    <xf numFmtId="0" fontId="6119" fillId="6124" borderId="6059" pivotButton="0" quotePrefix="0" xfId="0"/>
    <xf numFmtId="14" fontId="6120" fillId="6125" borderId="6060" pivotButton="0" quotePrefix="0" xfId="0"/>
    <xf numFmtId="0" fontId="6121" fillId="6126" borderId="6061" pivotButton="0" quotePrefix="0" xfId="0"/>
    <xf numFmtId="0" fontId="6122" fillId="6127" borderId="6062" pivotButton="0" quotePrefix="0" xfId="0"/>
    <xf numFmtId="0" fontId="6123" fillId="6128" borderId="6063" pivotButton="0" quotePrefix="0" xfId="0"/>
    <xf numFmtId="0" fontId="6124" fillId="6129" borderId="6064" pivotButton="0" quotePrefix="0" xfId="0"/>
    <xf numFmtId="0" fontId="6125" fillId="6130" borderId="6065" pivotButton="0" quotePrefix="0" xfId="0"/>
    <xf numFmtId="0" fontId="6126" fillId="6131" borderId="6066" pivotButton="0" quotePrefix="0" xfId="0"/>
    <xf numFmtId="0" fontId="6127" fillId="6132" borderId="6067" pivotButton="0" quotePrefix="0" xfId="0"/>
    <xf numFmtId="0" fontId="6128" fillId="6133" borderId="6068" pivotButton="0" quotePrefix="0" xfId="0"/>
    <xf numFmtId="0" fontId="6129" fillId="6134" borderId="6069" pivotButton="0" quotePrefix="0" xfId="0"/>
    <xf numFmtId="0" fontId="6130" fillId="6135" borderId="6070" pivotButton="0" quotePrefix="0" xfId="0"/>
    <xf numFmtId="14" fontId="6131" fillId="6136" borderId="6071" pivotButton="0" quotePrefix="0" xfId="0"/>
    <xf numFmtId="0" fontId="6132" fillId="6137" borderId="6072" pivotButton="0" quotePrefix="0" xfId="0"/>
    <xf numFmtId="0" fontId="6133" fillId="6138" borderId="6073" pivotButton="0" quotePrefix="0" xfId="0"/>
    <xf numFmtId="0" fontId="6134" fillId="6139" borderId="6074" pivotButton="0" quotePrefix="0" xfId="0"/>
    <xf numFmtId="0" fontId="6135" fillId="6140" borderId="6075" pivotButton="0" quotePrefix="0" xfId="0"/>
    <xf numFmtId="0" fontId="6136" fillId="6141" borderId="6076" pivotButton="0" quotePrefix="0" xfId="0"/>
    <xf numFmtId="0" fontId="6137" fillId="6142" borderId="6077" pivotButton="0" quotePrefix="0" xfId="0"/>
    <xf numFmtId="0" fontId="6138" fillId="6143" borderId="6078" pivotButton="0" quotePrefix="0" xfId="0"/>
    <xf numFmtId="0" fontId="6139" fillId="6144" borderId="6079" pivotButton="0" quotePrefix="0" xfId="0"/>
    <xf numFmtId="0" fontId="6140" fillId="6145" borderId="6080" pivotButton="0" quotePrefix="0" xfId="0"/>
    <xf numFmtId="0" fontId="6141" fillId="6146" borderId="6081" pivotButton="0" quotePrefix="0" xfId="0"/>
    <xf numFmtId="14" fontId="6142" fillId="6147" borderId="6082" pivotButton="0" quotePrefix="0" xfId="0"/>
    <xf numFmtId="0" fontId="6143" fillId="6148" borderId="6083" pivotButton="0" quotePrefix="0" xfId="0"/>
    <xf numFmtId="0" fontId="6144" fillId="6149" borderId="6084" pivotButton="0" quotePrefix="0" xfId="0"/>
    <xf numFmtId="0" fontId="6145" fillId="6150" borderId="6085" pivotButton="0" quotePrefix="0" xfId="0"/>
    <xf numFmtId="0" fontId="6146" fillId="6151" borderId="6086" pivotButton="0" quotePrefix="0" xfId="0"/>
    <xf numFmtId="0" fontId="6147" fillId="6152" borderId="6087" pivotButton="0" quotePrefix="0" xfId="0"/>
    <xf numFmtId="0" fontId="6148" fillId="6153" borderId="6088" pivotButton="0" quotePrefix="0" xfId="0"/>
    <xf numFmtId="0" fontId="6149" fillId="6154" borderId="6089" pivotButton="0" quotePrefix="0" xfId="0"/>
    <xf numFmtId="0" fontId="6150" fillId="6155" borderId="6090" pivotButton="0" quotePrefix="0" xfId="0"/>
    <xf numFmtId="0" fontId="6151" fillId="6156" borderId="6091" pivotButton="0" quotePrefix="0" xfId="0"/>
    <xf numFmtId="0" fontId="6152" fillId="6157" borderId="6092" pivotButton="0" quotePrefix="0" xfId="0"/>
    <xf numFmtId="14" fontId="6153" fillId="6158" borderId="6093" pivotButton="0" quotePrefix="0" xfId="0"/>
    <xf numFmtId="0" fontId="6154" fillId="6159" borderId="6094" pivotButton="0" quotePrefix="0" xfId="0"/>
    <xf numFmtId="0" fontId="6155" fillId="6160" borderId="6095" pivotButton="0" quotePrefix="0" xfId="0"/>
    <xf numFmtId="0" fontId="6156" fillId="6161" borderId="6096" pivotButton="0" quotePrefix="0" xfId="0"/>
    <xf numFmtId="0" fontId="6157" fillId="6162" borderId="6097" pivotButton="0" quotePrefix="0" xfId="0"/>
    <xf numFmtId="0" fontId="6158" fillId="6163" borderId="6098" pivotButton="0" quotePrefix="0" xfId="0"/>
    <xf numFmtId="0" fontId="6159" fillId="6164" borderId="6099" pivotButton="0" quotePrefix="0" xfId="0"/>
    <xf numFmtId="0" fontId="6160" fillId="6165" borderId="6100" pivotButton="0" quotePrefix="0" xfId="0"/>
    <xf numFmtId="0" fontId="6161" fillId="6166" borderId="6101" pivotButton="0" quotePrefix="0" xfId="0"/>
    <xf numFmtId="0" fontId="6162" fillId="6167" borderId="6102" pivotButton="0" quotePrefix="0" xfId="0"/>
    <xf numFmtId="0" fontId="6163" fillId="6168" borderId="6103" pivotButton="0" quotePrefix="0" xfId="0"/>
    <xf numFmtId="14" fontId="6164" fillId="6169" borderId="6104" pivotButton="0" quotePrefix="0" xfId="0"/>
    <xf numFmtId="0" fontId="6165" fillId="6170" borderId="6105" pivotButton="0" quotePrefix="0" xfId="0"/>
    <xf numFmtId="0" fontId="6166" fillId="6171" borderId="6106" pivotButton="0" quotePrefix="0" xfId="0"/>
    <xf numFmtId="0" fontId="6167" fillId="6172" borderId="6107" pivotButton="0" quotePrefix="0" xfId="0"/>
    <xf numFmtId="0" fontId="6168" fillId="6173" borderId="6108" pivotButton="0" quotePrefix="0" xfId="0"/>
    <xf numFmtId="0" fontId="6169" fillId="6174" borderId="6109" pivotButton="0" quotePrefix="0" xfId="0"/>
    <xf numFmtId="0" fontId="6170" fillId="6175" borderId="6110" pivotButton="0" quotePrefix="0" xfId="0"/>
    <xf numFmtId="0" fontId="6171" fillId="6176" borderId="6111" pivotButton="0" quotePrefix="0" xfId="0"/>
    <xf numFmtId="0" fontId="6172" fillId="6177" borderId="6112" pivotButton="0" quotePrefix="0" xfId="0"/>
    <xf numFmtId="0" fontId="6173" fillId="6178" borderId="6113" pivotButton="0" quotePrefix="0" xfId="0"/>
    <xf numFmtId="0" fontId="6174" fillId="6179" borderId="6114" pivotButton="0" quotePrefix="0" xfId="0"/>
    <xf numFmtId="14" fontId="6175" fillId="6180" borderId="6115" pivotButton="0" quotePrefix="0" xfId="0"/>
    <xf numFmtId="0" fontId="6176" fillId="6181" borderId="6116" pivotButton="0" quotePrefix="0" xfId="0"/>
    <xf numFmtId="0" fontId="6177" fillId="6182" borderId="6117" pivotButton="0" quotePrefix="0" xfId="0"/>
    <xf numFmtId="0" fontId="6178" fillId="6183" borderId="6118" pivotButton="0" quotePrefix="0" xfId="0"/>
    <xf numFmtId="0" fontId="6179" fillId="6184" borderId="6119" pivotButton="0" quotePrefix="0" xfId="0"/>
    <xf numFmtId="0" fontId="6180" fillId="6185" borderId="6120" pivotButton="0" quotePrefix="0" xfId="0"/>
    <xf numFmtId="0" fontId="6181" fillId="6186" borderId="6121" pivotButton="0" quotePrefix="0" xfId="0"/>
    <xf numFmtId="0" fontId="6182" fillId="6187" borderId="6122" pivotButton="0" quotePrefix="0" xfId="0"/>
    <xf numFmtId="0" fontId="6183" fillId="6188" borderId="6123" pivotButton="0" quotePrefix="0" xfId="0"/>
    <xf numFmtId="0" fontId="6184" fillId="6189" borderId="6124" pivotButton="0" quotePrefix="0" xfId="0"/>
    <xf numFmtId="0" fontId="6185" fillId="6190" borderId="6125" pivotButton="0" quotePrefix="0" xfId="0"/>
    <xf numFmtId="14" fontId="6186" fillId="6191" borderId="6126" pivotButton="0" quotePrefix="0" xfId="0"/>
    <xf numFmtId="0" fontId="6187" fillId="6192" borderId="6127" pivotButton="0" quotePrefix="0" xfId="0"/>
    <xf numFmtId="0" fontId="6188" fillId="6193" borderId="6128" pivotButton="0" quotePrefix="0" xfId="0"/>
    <xf numFmtId="0" fontId="6189" fillId="6194" borderId="6129" pivotButton="0" quotePrefix="0" xfId="0"/>
    <xf numFmtId="0" fontId="6190" fillId="6195" borderId="6130" pivotButton="0" quotePrefix="0" xfId="0"/>
    <xf numFmtId="0" fontId="6191" fillId="6196" borderId="6131" pivotButton="0" quotePrefix="0" xfId="0"/>
    <xf numFmtId="0" fontId="6192" fillId="6197" borderId="6132" pivotButton="0" quotePrefix="0" xfId="0"/>
    <xf numFmtId="0" fontId="6193" fillId="6198" borderId="6133" pivotButton="0" quotePrefix="0" xfId="0"/>
    <xf numFmtId="0" fontId="6194" fillId="6199" borderId="6134" pivotButton="0" quotePrefix="0" xfId="0"/>
    <xf numFmtId="0" fontId="6195" fillId="6200" borderId="6135" pivotButton="0" quotePrefix="0" xfId="0"/>
    <xf numFmtId="0" fontId="6196" fillId="6201" borderId="6136" pivotButton="0" quotePrefix="0" xfId="0"/>
    <xf numFmtId="14" fontId="6197" fillId="6202" borderId="6137" pivotButton="0" quotePrefix="0" xfId="0"/>
    <xf numFmtId="0" fontId="6198" fillId="6203" borderId="6138" pivotButton="0" quotePrefix="0" xfId="0"/>
    <xf numFmtId="0" fontId="6199" fillId="6204" borderId="6139" pivotButton="0" quotePrefix="0" xfId="0"/>
    <xf numFmtId="0" fontId="6200" fillId="6205" borderId="6140" pivotButton="0" quotePrefix="0" xfId="0"/>
    <xf numFmtId="0" fontId="6201" fillId="6206" borderId="6141" pivotButton="0" quotePrefix="0" xfId="0"/>
    <xf numFmtId="0" fontId="6202" fillId="6207" borderId="6142" pivotButton="0" quotePrefix="0" xfId="0"/>
    <xf numFmtId="0" fontId="6203" fillId="6208" borderId="6143" pivotButton="0" quotePrefix="0" xfId="0"/>
    <xf numFmtId="0" fontId="6204" fillId="6209" borderId="6144" pivotButton="0" quotePrefix="0" xfId="0"/>
    <xf numFmtId="0" fontId="6205" fillId="6210" borderId="6145" pivotButton="0" quotePrefix="0" xfId="0"/>
    <xf numFmtId="0" fontId="6206" fillId="6211" borderId="6146" pivotButton="0" quotePrefix="0" xfId="0"/>
    <xf numFmtId="0" fontId="6207" fillId="6212" borderId="6147" pivotButton="0" quotePrefix="0" xfId="0"/>
    <xf numFmtId="14" fontId="6208" fillId="6213" borderId="6148" pivotButton="0" quotePrefix="0" xfId="0"/>
    <xf numFmtId="0" fontId="6209" fillId="6214" borderId="6149" pivotButton="0" quotePrefix="0" xfId="0"/>
    <xf numFmtId="0" fontId="6210" fillId="6215" borderId="6150" pivotButton="0" quotePrefix="0" xfId="0"/>
    <xf numFmtId="0" fontId="6211" fillId="6216" borderId="6151" pivotButton="0" quotePrefix="0" xfId="0"/>
    <xf numFmtId="0" fontId="6212" fillId="6217" borderId="6152" pivotButton="0" quotePrefix="0" xfId="0"/>
    <xf numFmtId="0" fontId="6213" fillId="6218" borderId="6153" pivotButton="0" quotePrefix="0" xfId="0"/>
    <xf numFmtId="0" fontId="6214" fillId="6219" borderId="6154" pivotButton="0" quotePrefix="0" xfId="0"/>
    <xf numFmtId="0" fontId="6215" fillId="6220" borderId="6155" pivotButton="0" quotePrefix="0" xfId="0"/>
    <xf numFmtId="0" fontId="6216" fillId="6221" borderId="6156" pivotButton="0" quotePrefix="0" xfId="0"/>
    <xf numFmtId="0" fontId="6217" fillId="6222" borderId="6157" pivotButton="0" quotePrefix="0" xfId="0"/>
    <xf numFmtId="0" fontId="6218" fillId="6223" borderId="6158" pivotButton="0" quotePrefix="0" xfId="0"/>
    <xf numFmtId="14" fontId="6219" fillId="6224" borderId="6159" pivotButton="0" quotePrefix="0" xfId="0"/>
    <xf numFmtId="0" fontId="6220" fillId="6225" borderId="6160" pivotButton="0" quotePrefix="0" xfId="0"/>
    <xf numFmtId="0" fontId="6221" fillId="6226" borderId="6161" pivotButton="0" quotePrefix="0" xfId="0"/>
    <xf numFmtId="0" fontId="6222" fillId="6227" borderId="6162" pivotButton="0" quotePrefix="0" xfId="0"/>
    <xf numFmtId="0" fontId="6223" fillId="6228" borderId="6163" pivotButton="0" quotePrefix="0" xfId="0"/>
    <xf numFmtId="0" fontId="6224" fillId="6229" borderId="6164" pivotButton="0" quotePrefix="0" xfId="0"/>
    <xf numFmtId="0" fontId="6225" fillId="6230" borderId="6165" pivotButton="0" quotePrefix="0" xfId="0"/>
    <xf numFmtId="0" fontId="6226" fillId="6231" borderId="6166" pivotButton="0" quotePrefix="0" xfId="0"/>
    <xf numFmtId="0" fontId="6227" fillId="6232" borderId="6167" pivotButton="0" quotePrefix="0" xfId="0"/>
    <xf numFmtId="0" fontId="6228" fillId="6233" borderId="6168" pivotButton="0" quotePrefix="0" xfId="0"/>
    <xf numFmtId="0" fontId="6229" fillId="6234" borderId="6169" pivotButton="0" quotePrefix="0" xfId="0"/>
    <xf numFmtId="14" fontId="6230" fillId="6235" borderId="6170" pivotButton="0" quotePrefix="0" xfId="0"/>
    <xf numFmtId="0" fontId="6231" fillId="6236" borderId="6171" pivotButton="0" quotePrefix="0" xfId="0"/>
    <xf numFmtId="0" fontId="6232" fillId="6237" borderId="6172" pivotButton="0" quotePrefix="0" xfId="0"/>
    <xf numFmtId="0" fontId="6233" fillId="6238" borderId="6173" pivotButton="0" quotePrefix="0" xfId="0"/>
    <xf numFmtId="0" fontId="6234" fillId="6239" borderId="6174" pivotButton="0" quotePrefix="0" xfId="0"/>
    <xf numFmtId="0" fontId="6235" fillId="6240" borderId="6175" pivotButton="0" quotePrefix="0" xfId="0"/>
    <xf numFmtId="0" fontId="6236" fillId="6241" borderId="6176" pivotButton="0" quotePrefix="0" xfId="0"/>
    <xf numFmtId="0" fontId="6237" fillId="6242" borderId="6177" pivotButton="0" quotePrefix="0" xfId="0"/>
    <xf numFmtId="0" fontId="6238" fillId="6243" borderId="6178" pivotButton="0" quotePrefix="0" xfId="0"/>
    <xf numFmtId="0" fontId="6239" fillId="6244" borderId="6179" pivotButton="0" quotePrefix="0" xfId="0"/>
    <xf numFmtId="0" fontId="6240" fillId="6245" borderId="6180" pivotButton="0" quotePrefix="0" xfId="0"/>
    <xf numFmtId="14" fontId="6241" fillId="6246" borderId="6181" pivotButton="0" quotePrefix="0" xfId="0"/>
    <xf numFmtId="0" fontId="6242" fillId="6247" borderId="6182" pivotButton="0" quotePrefix="0" xfId="0"/>
    <xf numFmtId="0" fontId="6243" fillId="6248" borderId="6183" pivotButton="0" quotePrefix="0" xfId="0"/>
    <xf numFmtId="0" fontId="6244" fillId="6249" borderId="6184" pivotButton="0" quotePrefix="0" xfId="0"/>
    <xf numFmtId="0" fontId="6245" fillId="6250" borderId="6185" pivotButton="0" quotePrefix="0" xfId="0"/>
    <xf numFmtId="0" fontId="6246" fillId="6251" borderId="6186" pivotButton="0" quotePrefix="0" xfId="0"/>
    <xf numFmtId="0" fontId="6247" fillId="6252" borderId="6187" pivotButton="0" quotePrefix="0" xfId="0"/>
    <xf numFmtId="0" fontId="6248" fillId="6253" borderId="6188" pivotButton="0" quotePrefix="0" xfId="0"/>
    <xf numFmtId="0" fontId="6249" fillId="6254" borderId="6189" pivotButton="0" quotePrefix="0" xfId="0"/>
    <xf numFmtId="0" fontId="6250" fillId="6255" borderId="6190" pivotButton="0" quotePrefix="0" xfId="0"/>
    <xf numFmtId="0" fontId="6251" fillId="6256" borderId="6191" pivotButton="0" quotePrefix="0" xfId="0"/>
    <xf numFmtId="14" fontId="6252" fillId="6257" borderId="6192" pivotButton="0" quotePrefix="0" xfId="0"/>
    <xf numFmtId="0" fontId="6253" fillId="6258" borderId="6193" pivotButton="0" quotePrefix="0" xfId="0"/>
    <xf numFmtId="0" fontId="6254" fillId="6259" borderId="6194" pivotButton="0" quotePrefix="0" xfId="0"/>
    <xf numFmtId="0" fontId="6255" fillId="6260" borderId="6195" pivotButton="0" quotePrefix="0" xfId="0"/>
    <xf numFmtId="0" fontId="6256" fillId="6261" borderId="6196" pivotButton="0" quotePrefix="0" xfId="0"/>
    <xf numFmtId="0" fontId="6257" fillId="6262" borderId="6197" pivotButton="0" quotePrefix="0" xfId="0"/>
    <xf numFmtId="0" fontId="6258" fillId="6263" borderId="6198" pivotButton="0" quotePrefix="0" xfId="0"/>
    <xf numFmtId="0" fontId="6259" fillId="6264" borderId="6199" pivotButton="0" quotePrefix="0" xfId="0"/>
    <xf numFmtId="0" fontId="6260" fillId="6265" borderId="6200" pivotButton="0" quotePrefix="0" xfId="0"/>
    <xf numFmtId="0" fontId="6261" fillId="6266" borderId="6201" pivotButton="0" quotePrefix="0" xfId="0"/>
    <xf numFmtId="0" fontId="6262" fillId="6267" borderId="6202" pivotButton="0" quotePrefix="0" xfId="0"/>
    <xf numFmtId="14" fontId="6263" fillId="6268" borderId="6203" pivotButton="0" quotePrefix="0" xfId="0"/>
    <xf numFmtId="0" fontId="6264" fillId="6269" borderId="6204" pivotButton="0" quotePrefix="0" xfId="0"/>
    <xf numFmtId="0" fontId="6265" fillId="6270" borderId="6205" pivotButton="0" quotePrefix="0" xfId="0"/>
    <xf numFmtId="0" fontId="6266" fillId="6271" borderId="6206" pivotButton="0" quotePrefix="0" xfId="0"/>
    <xf numFmtId="0" fontId="6267" fillId="6272" borderId="6207" pivotButton="0" quotePrefix="0" xfId="0"/>
    <xf numFmtId="0" fontId="6268" fillId="6273" borderId="6208" pivotButton="0" quotePrefix="0" xfId="0"/>
    <xf numFmtId="0" fontId="6269" fillId="6274" borderId="6209" pivotButton="0" quotePrefix="0" xfId="0"/>
    <xf numFmtId="0" fontId="6270" fillId="6275" borderId="6210" pivotButton="0" quotePrefix="0" xfId="0"/>
    <xf numFmtId="0" fontId="6271" fillId="6276" borderId="6211" pivotButton="0" quotePrefix="0" xfId="0"/>
    <xf numFmtId="0" fontId="6272" fillId="6277" borderId="6212" pivotButton="0" quotePrefix="0" xfId="0"/>
    <xf numFmtId="0" fontId="6273" fillId="6278" borderId="6213" pivotButton="0" quotePrefix="0" xfId="0"/>
    <xf numFmtId="14" fontId="6274" fillId="6279" borderId="6214" pivotButton="0" quotePrefix="0" xfId="0"/>
    <xf numFmtId="0" fontId="6275" fillId="6280" borderId="6215" pivotButton="0" quotePrefix="0" xfId="0"/>
    <xf numFmtId="0" fontId="6276" fillId="6281" borderId="6216" pivotButton="0" quotePrefix="0" xfId="0"/>
    <xf numFmtId="0" fontId="6277" fillId="6282" borderId="6217" pivotButton="0" quotePrefix="0" xfId="0"/>
    <xf numFmtId="0" fontId="6278" fillId="6283" borderId="6218" pivotButton="0" quotePrefix="0" xfId="0"/>
    <xf numFmtId="0" fontId="6279" fillId="6284" borderId="6219" pivotButton="0" quotePrefix="0" xfId="0"/>
    <xf numFmtId="0" fontId="6280" fillId="6285" borderId="6220" pivotButton="0" quotePrefix="0" xfId="0"/>
    <xf numFmtId="0" fontId="6281" fillId="6286" borderId="6221" pivotButton="0" quotePrefix="0" xfId="0"/>
    <xf numFmtId="0" fontId="6282" fillId="6287" borderId="6222" pivotButton="0" quotePrefix="0" xfId="0"/>
    <xf numFmtId="0" fontId="6283" fillId="6288" borderId="6223" pivotButton="0" quotePrefix="0" xfId="0"/>
    <xf numFmtId="0" fontId="6284" fillId="6289" borderId="6224" pivotButton="0" quotePrefix="0" xfId="0"/>
    <xf numFmtId="14" fontId="6285" fillId="6290" borderId="6225" pivotButton="0" quotePrefix="0" xfId="0"/>
    <xf numFmtId="0" fontId="6286" fillId="6291" borderId="6226" pivotButton="0" quotePrefix="0" xfId="0"/>
    <xf numFmtId="0" fontId="6287" fillId="6292" borderId="6227" pivotButton="0" quotePrefix="0" xfId="0"/>
    <xf numFmtId="0" fontId="6288" fillId="6293" borderId="6228" pivotButton="0" quotePrefix="0" xfId="0"/>
    <xf numFmtId="0" fontId="6289" fillId="6294" borderId="6229" pivotButton="0" quotePrefix="0" xfId="0"/>
    <xf numFmtId="0" fontId="6290" fillId="6295" borderId="6230" pivotButton="0" quotePrefix="0" xfId="0"/>
    <xf numFmtId="0" fontId="6291" fillId="6296" borderId="6231" pivotButton="0" quotePrefix="0" xfId="0"/>
    <xf numFmtId="0" fontId="6292" fillId="6297" borderId="6232" pivotButton="0" quotePrefix="0" xfId="0"/>
    <xf numFmtId="0" fontId="6293" fillId="6298" borderId="6233" pivotButton="0" quotePrefix="0" xfId="0"/>
    <xf numFmtId="0" fontId="6294" fillId="6299" borderId="6234" pivotButton="0" quotePrefix="0" xfId="0"/>
    <xf numFmtId="0" fontId="6295" fillId="6300" borderId="6235" pivotButton="0" quotePrefix="0" xfId="0"/>
    <xf numFmtId="14" fontId="6296" fillId="6301" borderId="6236" pivotButton="0" quotePrefix="0" xfId="0"/>
    <xf numFmtId="0" fontId="6297" fillId="6302" borderId="6237" pivotButton="0" quotePrefix="0" xfId="0"/>
    <xf numFmtId="0" fontId="6298" fillId="6303" borderId="6238" pivotButton="0" quotePrefix="0" xfId="0"/>
    <xf numFmtId="0" fontId="6299" fillId="6304" borderId="6239" pivotButton="0" quotePrefix="0" xfId="0"/>
    <xf numFmtId="0" fontId="6300" fillId="6305" borderId="6240" pivotButton="0" quotePrefix="0" xfId="0"/>
    <xf numFmtId="0" fontId="6301" fillId="6306" borderId="6241" pivotButton="0" quotePrefix="0" xfId="0"/>
    <xf numFmtId="0" fontId="6302" fillId="6307" borderId="6242" pivotButton="0" quotePrefix="0" xfId="0"/>
    <xf numFmtId="0" fontId="6303" fillId="6308" borderId="6243" pivotButton="0" quotePrefix="0" xfId="0"/>
    <xf numFmtId="0" fontId="6304" fillId="6309" borderId="6244" pivotButton="0" quotePrefix="0" xfId="0"/>
    <xf numFmtId="0" fontId="6305" fillId="6310" borderId="6245" pivotButton="0" quotePrefix="0" xfId="0"/>
    <xf numFmtId="0" fontId="6306" fillId="6311" borderId="6246" pivotButton="0" quotePrefix="0" xfId="0"/>
    <xf numFmtId="14" fontId="6307" fillId="6312" borderId="6247" pivotButton="0" quotePrefix="0" xfId="0"/>
    <xf numFmtId="0" fontId="6308" fillId="6313" borderId="6248" pivotButton="0" quotePrefix="0" xfId="0"/>
    <xf numFmtId="0" fontId="6309" fillId="6314" borderId="6249" pivotButton="0" quotePrefix="0" xfId="0"/>
    <xf numFmtId="0" fontId="6310" fillId="6315" borderId="6250" pivotButton="0" quotePrefix="0" xfId="0"/>
    <xf numFmtId="0" fontId="6311" fillId="6316" borderId="6251" pivotButton="0" quotePrefix="0" xfId="0"/>
    <xf numFmtId="0" fontId="6312" fillId="6317" borderId="6252" pivotButton="0" quotePrefix="0" xfId="0"/>
    <xf numFmtId="0" fontId="6313" fillId="6318" borderId="6253" pivotButton="0" quotePrefix="0" xfId="0"/>
    <xf numFmtId="0" fontId="6314" fillId="6319" borderId="6254" pivotButton="0" quotePrefix="0" xfId="0"/>
    <xf numFmtId="0" fontId="6315" fillId="6320" borderId="6255" pivotButton="0" quotePrefix="0" xfId="0"/>
    <xf numFmtId="0" fontId="6316" fillId="6321" borderId="6256" pivotButton="0" quotePrefix="0" xfId="0"/>
    <xf numFmtId="0" fontId="6317" fillId="6322" borderId="6257" pivotButton="0" quotePrefix="0" xfId="0"/>
    <xf numFmtId="14" fontId="6318" fillId="6323" borderId="6258" pivotButton="0" quotePrefix="0" xfId="0"/>
    <xf numFmtId="0" fontId="6319" fillId="6324" borderId="6259" pivotButton="0" quotePrefix="0" xfId="0"/>
    <xf numFmtId="0" fontId="6320" fillId="6325" borderId="6260" pivotButton="0" quotePrefix="0" xfId="0"/>
    <xf numFmtId="0" fontId="6321" fillId="6326" borderId="6261" pivotButton="0" quotePrefix="0" xfId="0"/>
    <xf numFmtId="0" fontId="6322" fillId="6327" borderId="6262" pivotButton="0" quotePrefix="0" xfId="0"/>
    <xf numFmtId="0" fontId="6323" fillId="6328" borderId="6263" pivotButton="0" quotePrefix="0" xfId="0"/>
    <xf numFmtId="0" fontId="6324" fillId="6329" borderId="6264" pivotButton="0" quotePrefix="0" xfId="0"/>
    <xf numFmtId="0" fontId="6325" fillId="6330" borderId="6265" pivotButton="0" quotePrefix="0" xfId="0"/>
    <xf numFmtId="0" fontId="6326" fillId="6331" borderId="6266" pivotButton="0" quotePrefix="0" xfId="0"/>
    <xf numFmtId="0" fontId="6327" fillId="6332" borderId="6267" pivotButton="0" quotePrefix="0" xfId="0"/>
    <xf numFmtId="0" fontId="6328" fillId="6333" borderId="6268" pivotButton="0" quotePrefix="0" xfId="0"/>
    <xf numFmtId="14" fontId="6329" fillId="6334" borderId="6269" pivotButton="0" quotePrefix="0" xfId="0"/>
    <xf numFmtId="0" fontId="6330" fillId="6335" borderId="6270" pivotButton="0" quotePrefix="0" xfId="0"/>
    <xf numFmtId="0" fontId="6331" fillId="6336" borderId="6271" pivotButton="0" quotePrefix="0" xfId="0"/>
    <xf numFmtId="0" fontId="6332" fillId="6337" borderId="6272" pivotButton="0" quotePrefix="0" xfId="0"/>
    <xf numFmtId="0" fontId="6333" fillId="6338" borderId="6273" pivotButton="0" quotePrefix="0" xfId="0"/>
    <xf numFmtId="0" fontId="6334" fillId="6339" borderId="6274" pivotButton="0" quotePrefix="0" xfId="0"/>
    <xf numFmtId="0" fontId="6335" fillId="6340" borderId="6275" pivotButton="0" quotePrefix="0" xfId="0"/>
    <xf numFmtId="0" fontId="6336" fillId="6341" borderId="6276" pivotButton="0" quotePrefix="0" xfId="0"/>
    <xf numFmtId="0" fontId="6337" fillId="6342" borderId="6277" pivotButton="0" quotePrefix="0" xfId="0"/>
    <xf numFmtId="0" fontId="6338" fillId="6343" borderId="6278" pivotButton="0" quotePrefix="0" xfId="0"/>
    <xf numFmtId="0" fontId="6339" fillId="6344" borderId="6279" pivotButton="0" quotePrefix="0" xfId="0"/>
    <xf numFmtId="14" fontId="6340" fillId="6345" borderId="6280" pivotButton="0" quotePrefix="0" xfId="0"/>
    <xf numFmtId="0" fontId="6341" fillId="6346" borderId="6281" pivotButton="0" quotePrefix="0" xfId="0"/>
    <xf numFmtId="0" fontId="6342" fillId="6347" borderId="6282" pivotButton="0" quotePrefix="0" xfId="0"/>
    <xf numFmtId="0" fontId="6343" fillId="6348" borderId="6283" pivotButton="0" quotePrefix="0" xfId="0"/>
    <xf numFmtId="0" fontId="6344" fillId="6349" borderId="6284" pivotButton="0" quotePrefix="0" xfId="0"/>
    <xf numFmtId="0" fontId="6345" fillId="6350" borderId="6285" pivotButton="0" quotePrefix="0" xfId="0"/>
    <xf numFmtId="0" fontId="6346" fillId="6351" borderId="6286" pivotButton="0" quotePrefix="0" xfId="0"/>
    <xf numFmtId="0" fontId="6347" fillId="6352" borderId="6287" pivotButton="0" quotePrefix="0" xfId="0"/>
    <xf numFmtId="0" fontId="6348" fillId="6353" borderId="6288" pivotButton="0" quotePrefix="0" xfId="0"/>
    <xf numFmtId="0" fontId="6349" fillId="6354" borderId="6289" pivotButton="0" quotePrefix="0" xfId="0"/>
    <xf numFmtId="0" fontId="6350" fillId="6355" borderId="6290" pivotButton="0" quotePrefix="0" xfId="0"/>
    <xf numFmtId="14" fontId="6351" fillId="6356" borderId="6291" pivotButton="0" quotePrefix="0" xfId="0"/>
    <xf numFmtId="0" fontId="6352" fillId="6357" borderId="6292" pivotButton="0" quotePrefix="0" xfId="0"/>
    <xf numFmtId="0" fontId="6353" fillId="6358" borderId="6293" pivotButton="0" quotePrefix="0" xfId="0"/>
    <xf numFmtId="0" fontId="6354" fillId="6359" borderId="6294" pivotButton="0" quotePrefix="0" xfId="0"/>
    <xf numFmtId="0" fontId="6355" fillId="6360" borderId="6295" pivotButton="0" quotePrefix="0" xfId="0"/>
    <xf numFmtId="0" fontId="6356" fillId="6361" borderId="6296" pivotButton="0" quotePrefix="0" xfId="0"/>
    <xf numFmtId="0" fontId="6357" fillId="6362" borderId="6297" pivotButton="0" quotePrefix="0" xfId="0"/>
    <xf numFmtId="0" fontId="6358" fillId="6363" borderId="6298" pivotButton="0" quotePrefix="0" xfId="0"/>
    <xf numFmtId="0" fontId="6359" fillId="6364" borderId="6299" pivotButton="0" quotePrefix="0" xfId="0"/>
    <xf numFmtId="0" fontId="6360" fillId="6365" borderId="6300" pivotButton="0" quotePrefix="0" xfId="0"/>
    <xf numFmtId="0" fontId="6361" fillId="6366" borderId="6301" pivotButton="0" quotePrefix="0" xfId="0"/>
    <xf numFmtId="14" fontId="6362" fillId="6367" borderId="6302" pivotButton="0" quotePrefix="0" xfId="0"/>
    <xf numFmtId="0" fontId="6363" fillId="6368" borderId="6303" pivotButton="0" quotePrefix="0" xfId="0"/>
    <xf numFmtId="0" fontId="6364" fillId="6369" borderId="6304" pivotButton="0" quotePrefix="0" xfId="0"/>
    <xf numFmtId="0" fontId="6365" fillId="6370" borderId="6305" pivotButton="0" quotePrefix="0" xfId="0"/>
    <xf numFmtId="0" fontId="6366" fillId="6371" borderId="6306" pivotButton="0" quotePrefix="0" xfId="0"/>
    <xf numFmtId="0" fontId="6367" fillId="6372" borderId="6307" pivotButton="0" quotePrefix="0" xfId="0"/>
    <xf numFmtId="0" fontId="6368" fillId="6373" borderId="6308" pivotButton="0" quotePrefix="0" xfId="0"/>
    <xf numFmtId="0" fontId="6369" fillId="6374" borderId="6309" pivotButton="0" quotePrefix="0" xfId="0"/>
    <xf numFmtId="0" fontId="6370" fillId="6375" borderId="6310" pivotButton="0" quotePrefix="0" xfId="0"/>
    <xf numFmtId="0" fontId="6371" fillId="6376" borderId="6311" pivotButton="0" quotePrefix="0" xfId="0"/>
    <xf numFmtId="0" fontId="6372" fillId="6377" borderId="6312" pivotButton="0" quotePrefix="0" xfId="0"/>
    <xf numFmtId="14" fontId="6373" fillId="6378" borderId="6313" pivotButton="0" quotePrefix="0" xfId="0"/>
    <xf numFmtId="0" fontId="6374" fillId="6379" borderId="6314" pivotButton="0" quotePrefix="0" xfId="0"/>
    <xf numFmtId="0" fontId="6375" fillId="6380" borderId="6315" pivotButton="0" quotePrefix="0" xfId="0"/>
    <xf numFmtId="0" fontId="6376" fillId="6381" borderId="6316" pivotButton="0" quotePrefix="0" xfId="0"/>
    <xf numFmtId="0" fontId="6377" fillId="6382" borderId="6317" pivotButton="0" quotePrefix="0" xfId="0"/>
    <xf numFmtId="0" fontId="6378" fillId="6383" borderId="6318" pivotButton="0" quotePrefix="0" xfId="0"/>
    <xf numFmtId="0" fontId="6379" fillId="6384" borderId="6319" pivotButton="0" quotePrefix="0" xfId="0"/>
    <xf numFmtId="0" fontId="6380" fillId="6385" borderId="6320" pivotButton="0" quotePrefix="0" xfId="0"/>
    <xf numFmtId="0" fontId="6381" fillId="6386" borderId="6321" pivotButton="0" quotePrefix="0" xfId="0"/>
    <xf numFmtId="0" fontId="6382" fillId="6387" borderId="6322" pivotButton="0" quotePrefix="0" xfId="0"/>
    <xf numFmtId="0" fontId="6383" fillId="6388" borderId="6323" pivotButton="0" quotePrefix="0" xfId="0"/>
    <xf numFmtId="14" fontId="6384" fillId="6389" borderId="6324" pivotButton="0" quotePrefix="0" xfId="0"/>
    <xf numFmtId="0" fontId="6385" fillId="6390" borderId="6325" pivotButton="0" quotePrefix="0" xfId="0"/>
    <xf numFmtId="0" fontId="6386" fillId="6391" borderId="6326" pivotButton="0" quotePrefix="0" xfId="0"/>
    <xf numFmtId="0" fontId="6387" fillId="6392" borderId="6327" pivotButton="0" quotePrefix="0" xfId="0"/>
    <xf numFmtId="0" fontId="6388" fillId="6393" borderId="6328" pivotButton="0" quotePrefix="0" xfId="0"/>
    <xf numFmtId="0" fontId="6389" fillId="6394" borderId="6329" pivotButton="0" quotePrefix="0" xfId="0"/>
    <xf numFmtId="0" fontId="6390" fillId="6395" borderId="6330" pivotButton="0" quotePrefix="0" xfId="0"/>
    <xf numFmtId="0" fontId="6391" fillId="6396" borderId="6331" pivotButton="0" quotePrefix="0" xfId="0"/>
    <xf numFmtId="0" fontId="6392" fillId="6397" borderId="6332" pivotButton="0" quotePrefix="0" xfId="0"/>
    <xf numFmtId="0" fontId="6393" fillId="6398" borderId="6333" pivotButton="0" quotePrefix="0" xfId="0"/>
    <xf numFmtId="0" fontId="6394" fillId="6399" borderId="6334" pivotButton="0" quotePrefix="0" xfId="0"/>
    <xf numFmtId="14" fontId="6395" fillId="6400" borderId="6335" pivotButton="0" quotePrefix="0" xfId="0"/>
    <xf numFmtId="0" fontId="6396" fillId="6401" borderId="6336" pivotButton="0" quotePrefix="0" xfId="0"/>
    <xf numFmtId="0" fontId="6397" fillId="6402" borderId="6337" pivotButton="0" quotePrefix="0" xfId="0"/>
    <xf numFmtId="0" fontId="6398" fillId="6403" borderId="6338" pivotButton="0" quotePrefix="0" xfId="0"/>
    <xf numFmtId="0" fontId="6399" fillId="6404" borderId="6339" pivotButton="0" quotePrefix="0" xfId="0"/>
    <xf numFmtId="0" fontId="6400" fillId="6405" borderId="6340" pivotButton="0" quotePrefix="0" xfId="0"/>
    <xf numFmtId="0" fontId="6401" fillId="6406" borderId="6341" pivotButton="0" quotePrefix="0" xfId="0"/>
    <xf numFmtId="0" fontId="6402" fillId="6407" borderId="6342" pivotButton="0" quotePrefix="0" xfId="0"/>
    <xf numFmtId="0" fontId="6403" fillId="6408" borderId="6343" pivotButton="0" quotePrefix="0" xfId="0"/>
    <xf numFmtId="0" fontId="6404" fillId="6409" borderId="6344" pivotButton="0" quotePrefix="0" xfId="0"/>
    <xf numFmtId="0" fontId="6405" fillId="6410" borderId="6345" pivotButton="0" quotePrefix="0" xfId="0"/>
    <xf numFmtId="14" fontId="6406" fillId="6411" borderId="6346" pivotButton="0" quotePrefix="0" xfId="0"/>
    <xf numFmtId="0" fontId="6407" fillId="6412" borderId="6347" pivotButton="0" quotePrefix="0" xfId="0"/>
    <xf numFmtId="0" fontId="6408" fillId="6413" borderId="6348" pivotButton="0" quotePrefix="0" xfId="0"/>
    <xf numFmtId="0" fontId="6409" fillId="6414" borderId="6349" pivotButton="0" quotePrefix="0" xfId="0"/>
    <xf numFmtId="0" fontId="6410" fillId="6415" borderId="6350" pivotButton="0" quotePrefix="0" xfId="0"/>
    <xf numFmtId="0" fontId="6411" fillId="6416" borderId="6351" pivotButton="0" quotePrefix="0" xfId="0"/>
    <xf numFmtId="0" fontId="6412" fillId="6417" borderId="6352" pivotButton="0" quotePrefix="0" xfId="0"/>
    <xf numFmtId="0" fontId="6413" fillId="6418" borderId="6353" pivotButton="0" quotePrefix="0" xfId="0"/>
    <xf numFmtId="0" fontId="6414" fillId="6419" borderId="6354" pivotButton="0" quotePrefix="0" xfId="0"/>
    <xf numFmtId="0" fontId="6415" fillId="6420" borderId="6355" pivotButton="0" quotePrefix="0" xfId="0"/>
    <xf numFmtId="0" fontId="6416" fillId="6421" borderId="6356" pivotButton="0" quotePrefix="0" xfId="0"/>
    <xf numFmtId="14" fontId="6417" fillId="6422" borderId="6357" pivotButton="0" quotePrefix="0" xfId="0"/>
    <xf numFmtId="0" fontId="6418" fillId="6423" borderId="6358" pivotButton="0" quotePrefix="0" xfId="0"/>
    <xf numFmtId="0" fontId="6419" fillId="6424" borderId="6359" pivotButton="0" quotePrefix="0" xfId="0"/>
    <xf numFmtId="0" fontId="6420" fillId="6425" borderId="6360" pivotButton="0" quotePrefix="0" xfId="0"/>
    <xf numFmtId="0" fontId="6421" fillId="6426" borderId="6361" pivotButton="0" quotePrefix="0" xfId="0"/>
    <xf numFmtId="0" fontId="6422" fillId="6427" borderId="6362" pivotButton="0" quotePrefix="0" xfId="0"/>
    <xf numFmtId="0" fontId="6423" fillId="6428" borderId="6363" pivotButton="0" quotePrefix="0" xfId="0"/>
    <xf numFmtId="0" fontId="6424" fillId="6429" borderId="6364" pivotButton="0" quotePrefix="0" xfId="0"/>
    <xf numFmtId="0" fontId="6425" fillId="6430" borderId="6365" pivotButton="0" quotePrefix="0" xfId="0"/>
    <xf numFmtId="0" fontId="6426" fillId="6431" borderId="6366" pivotButton="0" quotePrefix="0" xfId="0"/>
    <xf numFmtId="0" fontId="6427" fillId="6432" borderId="6367" pivotButton="0" quotePrefix="0" xfId="0"/>
    <xf numFmtId="14" fontId="6428" fillId="6433" borderId="6368" pivotButton="0" quotePrefix="0" xfId="0"/>
    <xf numFmtId="0" fontId="6429" fillId="6434" borderId="6369" pivotButton="0" quotePrefix="0" xfId="0"/>
    <xf numFmtId="0" fontId="6430" fillId="6435" borderId="6370" pivotButton="0" quotePrefix="0" xfId="0"/>
    <xf numFmtId="0" fontId="6431" fillId="6436" borderId="6371" pivotButton="0" quotePrefix="0" xfId="0"/>
    <xf numFmtId="0" fontId="6432" fillId="6437" borderId="6372" pivotButton="0" quotePrefix="0" xfId="0"/>
    <xf numFmtId="0" fontId="6433" fillId="6438" borderId="6373" pivotButton="0" quotePrefix="0" xfId="0"/>
    <xf numFmtId="0" fontId="6434" fillId="6439" borderId="6374" pivotButton="0" quotePrefix="0" xfId="0"/>
    <xf numFmtId="0" fontId="6435" fillId="6440" borderId="6375" pivotButton="0" quotePrefix="0" xfId="0"/>
    <xf numFmtId="0" fontId="6436" fillId="6441" borderId="6376" pivotButton="0" quotePrefix="0" xfId="0"/>
    <xf numFmtId="0" fontId="6437" fillId="6442" borderId="6377" pivotButton="0" quotePrefix="0" xfId="0"/>
    <xf numFmtId="0" fontId="6438" fillId="6443" borderId="6378" pivotButton="0" quotePrefix="0" xfId="0"/>
    <xf numFmtId="14" fontId="6439" fillId="6444" borderId="6379" pivotButton="0" quotePrefix="0" xfId="0"/>
    <xf numFmtId="0" fontId="6440" fillId="6445" borderId="6380" pivotButton="0" quotePrefix="0" xfId="0"/>
    <xf numFmtId="0" fontId="6441" fillId="6446" borderId="6381" pivotButton="0" quotePrefix="0" xfId="0"/>
    <xf numFmtId="0" fontId="6442" fillId="6447" borderId="6382" pivotButton="0" quotePrefix="0" xfId="0"/>
    <xf numFmtId="0" fontId="6443" fillId="6448" borderId="6383" pivotButton="0" quotePrefix="0" xfId="0"/>
    <xf numFmtId="0" fontId="6444" fillId="6449" borderId="6384" pivotButton="0" quotePrefix="0" xfId="0"/>
    <xf numFmtId="0" fontId="6445" fillId="6450" borderId="6385" pivotButton="0" quotePrefix="0" xfId="0"/>
    <xf numFmtId="0" fontId="6446" fillId="6451" borderId="6386" pivotButton="0" quotePrefix="0" xfId="0"/>
    <xf numFmtId="0" fontId="6447" fillId="6452" borderId="6387" pivotButton="0" quotePrefix="0" xfId="0"/>
    <xf numFmtId="0" fontId="6448" fillId="6453" borderId="6388" pivotButton="0" quotePrefix="0" xfId="0"/>
    <xf numFmtId="0" fontId="6449" fillId="6454" borderId="6389" pivotButton="0" quotePrefix="0" xfId="0"/>
    <xf numFmtId="14" fontId="6450" fillId="6455" borderId="6390" pivotButton="0" quotePrefix="0" xfId="0"/>
    <xf numFmtId="0" fontId="6451" fillId="6456" borderId="6391" pivotButton="0" quotePrefix="0" xfId="0"/>
    <xf numFmtId="0" fontId="6452" fillId="6457" borderId="6392" pivotButton="0" quotePrefix="0" xfId="0"/>
    <xf numFmtId="0" fontId="6453" fillId="6458" borderId="6393" pivotButton="0" quotePrefix="0" xfId="0"/>
    <xf numFmtId="0" fontId="6454" fillId="6459" borderId="6394" pivotButton="0" quotePrefix="0" xfId="0"/>
    <xf numFmtId="0" fontId="6455" fillId="6460" borderId="6395" pivotButton="0" quotePrefix="0" xfId="0"/>
    <xf numFmtId="0" fontId="6456" fillId="6461" borderId="6396" pivotButton="0" quotePrefix="0" xfId="0"/>
    <xf numFmtId="0" fontId="6457" fillId="6462" borderId="6397" pivotButton="0" quotePrefix="0" xfId="0"/>
    <xf numFmtId="0" fontId="6458" fillId="6463" borderId="6398" pivotButton="0" quotePrefix="0" xfId="0"/>
    <xf numFmtId="0" fontId="6459" fillId="6464" borderId="6399" pivotButton="0" quotePrefix="0" xfId="0"/>
    <xf numFmtId="0" fontId="6460" fillId="6465" borderId="6400" pivotButton="0" quotePrefix="0" xfId="0"/>
    <xf numFmtId="14" fontId="6461" fillId="6466" borderId="6401" pivotButton="0" quotePrefix="0" xfId="0"/>
    <xf numFmtId="0" fontId="6462" fillId="6467" borderId="6402" pivotButton="0" quotePrefix="0" xfId="0"/>
    <xf numFmtId="0" fontId="6463" fillId="6468" borderId="6403" pivotButton="0" quotePrefix="0" xfId="0"/>
    <xf numFmtId="0" fontId="6464" fillId="6469" borderId="6404" pivotButton="0" quotePrefix="0" xfId="0"/>
    <xf numFmtId="0" fontId="6465" fillId="6470" borderId="6405" pivotButton="0" quotePrefix="0" xfId="0"/>
    <xf numFmtId="0" fontId="6466" fillId="6471" borderId="6406" pivotButton="0" quotePrefix="0" xfId="0"/>
    <xf numFmtId="0" fontId="6467" fillId="6472" borderId="6407" pivotButton="0" quotePrefix="0" xfId="0"/>
    <xf numFmtId="0" fontId="6468" fillId="6473" borderId="6408" pivotButton="0" quotePrefix="0" xfId="0"/>
    <xf numFmtId="0" fontId="6469" fillId="6474" borderId="6409" pivotButton="0" quotePrefix="0" xfId="0"/>
    <xf numFmtId="0" fontId="6470" fillId="6475" borderId="6410" pivotButton="0" quotePrefix="0" xfId="0"/>
    <xf numFmtId="0" fontId="6471" fillId="6476" borderId="6411" pivotButton="0" quotePrefix="0" xfId="0"/>
    <xf numFmtId="14" fontId="6472" fillId="6477" borderId="6412" pivotButton="0" quotePrefix="0" xfId="0"/>
    <xf numFmtId="0" fontId="6473" fillId="6478" borderId="6413" pivotButton="0" quotePrefix="0" xfId="0"/>
    <xf numFmtId="0" fontId="6474" fillId="6479" borderId="6414" pivotButton="0" quotePrefix="0" xfId="0"/>
    <xf numFmtId="0" fontId="6475" fillId="6480" borderId="6415" pivotButton="0" quotePrefix="0" xfId="0"/>
    <xf numFmtId="0" fontId="6476" fillId="6481" borderId="6416" pivotButton="0" quotePrefix="0" xfId="0"/>
    <xf numFmtId="0" fontId="6477" fillId="6482" borderId="6417" pivotButton="0" quotePrefix="0" xfId="0"/>
    <xf numFmtId="0" fontId="6478" fillId="6483" borderId="6418" pivotButton="0" quotePrefix="0" xfId="0"/>
    <xf numFmtId="0" fontId="6479" fillId="6484" borderId="6419" pivotButton="0" quotePrefix="0" xfId="0"/>
    <xf numFmtId="0" fontId="6480" fillId="6485" borderId="6420" pivotButton="0" quotePrefix="0" xfId="0"/>
    <xf numFmtId="0" fontId="6481" fillId="6486" borderId="6421" pivotButton="0" quotePrefix="0" xfId="0"/>
    <xf numFmtId="0" fontId="6482" fillId="6487" borderId="6422" pivotButton="0" quotePrefix="0" xfId="0"/>
    <xf numFmtId="14" fontId="6483" fillId="6488" borderId="6423" pivotButton="0" quotePrefix="0" xfId="0"/>
    <xf numFmtId="0" fontId="6484" fillId="6489" borderId="6424" pivotButton="0" quotePrefix="0" xfId="0"/>
    <xf numFmtId="0" fontId="6485" fillId="6490" borderId="6425" pivotButton="0" quotePrefix="0" xfId="0"/>
    <xf numFmtId="0" fontId="6486" fillId="6491" borderId="6426" pivotButton="0" quotePrefix="0" xfId="0"/>
    <xf numFmtId="0" fontId="6487" fillId="6492" borderId="6427" pivotButton="0" quotePrefix="0" xfId="0"/>
    <xf numFmtId="0" fontId="6488" fillId="6493" borderId="6428" pivotButton="0" quotePrefix="0" xfId="0"/>
    <xf numFmtId="0" fontId="6489" fillId="6494" borderId="6429" pivotButton="0" quotePrefix="0" xfId="0"/>
    <xf numFmtId="0" fontId="6490" fillId="6495" borderId="6430" pivotButton="0" quotePrefix="0" xfId="0"/>
    <xf numFmtId="0" fontId="6491" fillId="6496" borderId="6431" pivotButton="0" quotePrefix="0" xfId="0"/>
    <xf numFmtId="0" fontId="6492" fillId="6497" borderId="6432" pivotButton="0" quotePrefix="0" xfId="0"/>
    <xf numFmtId="0" fontId="6493" fillId="6498" borderId="6433" pivotButton="0" quotePrefix="0" xfId="0"/>
    <xf numFmtId="14" fontId="6494" fillId="6499" borderId="6434" pivotButton="0" quotePrefix="0" xfId="0"/>
    <xf numFmtId="0" fontId="6495" fillId="6500" borderId="6435" pivotButton="0" quotePrefix="0" xfId="0"/>
    <xf numFmtId="0" fontId="6496" fillId="6501" borderId="6436" pivotButton="0" quotePrefix="0" xfId="0"/>
    <xf numFmtId="0" fontId="6497" fillId="6502" borderId="6437" pivotButton="0" quotePrefix="0" xfId="0"/>
    <xf numFmtId="0" fontId="6498" fillId="6503" borderId="6438" pivotButton="0" quotePrefix="0" xfId="0"/>
    <xf numFmtId="0" fontId="6499" fillId="6504" borderId="6439" pivotButton="0" quotePrefix="0" xfId="0"/>
    <xf numFmtId="0" fontId="6500" fillId="6505" borderId="6440" pivotButton="0" quotePrefix="0" xfId="0"/>
    <xf numFmtId="0" fontId="6501" fillId="6506" borderId="6441" pivotButton="0" quotePrefix="0" xfId="0"/>
    <xf numFmtId="0" fontId="6502" fillId="6507" borderId="6442" pivotButton="0" quotePrefix="0" xfId="0"/>
    <xf numFmtId="0" fontId="6503" fillId="6508" borderId="6443" pivotButton="0" quotePrefix="0" xfId="0"/>
    <xf numFmtId="0" fontId="6504" fillId="6509" borderId="6444" pivotButton="0" quotePrefix="0" xfId="0"/>
    <xf numFmtId="14" fontId="6505" fillId="6510" borderId="6445" pivotButton="0" quotePrefix="0" xfId="0"/>
    <xf numFmtId="0" fontId="6506" fillId="6511" borderId="6446" pivotButton="0" quotePrefix="0" xfId="0"/>
    <xf numFmtId="0" fontId="6507" fillId="6512" borderId="6447" pivotButton="0" quotePrefix="0" xfId="0"/>
    <xf numFmtId="0" fontId="6508" fillId="6513" borderId="6448" pivotButton="0" quotePrefix="0" xfId="0"/>
    <xf numFmtId="0" fontId="6509" fillId="6514" borderId="6449" pivotButton="0" quotePrefix="0" xfId="0"/>
    <xf numFmtId="0" fontId="6510" fillId="6515" borderId="6450" pivotButton="0" quotePrefix="0" xfId="0"/>
    <xf numFmtId="0" fontId="6511" fillId="6516" borderId="6451" pivotButton="0" quotePrefix="0" xfId="0"/>
    <xf numFmtId="0" fontId="6512" fillId="6517" borderId="6452" pivotButton="0" quotePrefix="0" xfId="0"/>
    <xf numFmtId="0" fontId="6513" fillId="6518" borderId="6453" pivotButton="0" quotePrefix="0" xfId="0"/>
    <xf numFmtId="0" fontId="6514" fillId="6519" borderId="6454" applyAlignment="1" pivotButton="0" quotePrefix="0" xfId="0">
      <alignment horizontal="center" wrapText="1"/>
    </xf>
    <xf numFmtId="0" fontId="6515" fillId="6520" borderId="6455" applyAlignment="1" pivotButton="0" quotePrefix="0" xfId="0">
      <alignment horizontal="center" wrapText="1"/>
    </xf>
    <xf numFmtId="0" fontId="6516" fillId="6521" borderId="6456" applyAlignment="1" pivotButton="0" quotePrefix="0" xfId="0">
      <alignment horizontal="center" wrapText="1"/>
    </xf>
    <xf numFmtId="0" fontId="6517" fillId="6522" borderId="6457" applyAlignment="1" pivotButton="0" quotePrefix="0" xfId="0">
      <alignment horizontal="center" wrapText="1"/>
    </xf>
    <xf numFmtId="0" fontId="6518" fillId="6523" borderId="6458" applyAlignment="1" pivotButton="0" quotePrefix="0" xfId="0">
      <alignment horizontal="center" wrapText="1"/>
    </xf>
    <xf numFmtId="0" fontId="6519" fillId="6524" borderId="6459" applyAlignment="1" pivotButton="0" quotePrefix="0" xfId="0">
      <alignment horizontal="center" wrapText="1"/>
    </xf>
    <xf numFmtId="0" fontId="6520" fillId="6525" borderId="6460" applyAlignment="1" pivotButton="0" quotePrefix="0" xfId="0">
      <alignment horizontal="center" wrapText="1"/>
    </xf>
    <xf numFmtId="0" fontId="6521" fillId="6526" borderId="6461" applyAlignment="1" pivotButton="0" quotePrefix="0" xfId="0">
      <alignment horizontal="center" wrapText="1"/>
    </xf>
    <xf numFmtId="0" fontId="6522" fillId="6527" borderId="6462" applyAlignment="1" pivotButton="0" quotePrefix="0" xfId="0">
      <alignment horizontal="center" wrapText="1"/>
    </xf>
    <xf numFmtId="0" fontId="6523" fillId="6528" borderId="6463" applyAlignment="1" pivotButton="0" quotePrefix="0" xfId="0">
      <alignment horizontal="center" wrapText="1"/>
    </xf>
    <xf numFmtId="0" fontId="6524" fillId="6529" borderId="6464" pivotButton="0" quotePrefix="0" xfId="0"/>
    <xf numFmtId="14" fontId="6525" fillId="6530" borderId="6465" pivotButton="0" quotePrefix="0" xfId="0"/>
    <xf numFmtId="14" fontId="6526" fillId="6531" borderId="6466" pivotButton="0" quotePrefix="0" xfId="0"/>
    <xf numFmtId="0" fontId="6527" fillId="6532" borderId="6467" pivotButton="0" quotePrefix="0" xfId="0"/>
    <xf numFmtId="14" fontId="6528" fillId="6533" borderId="6468" pivotButton="0" quotePrefix="0" xfId="0"/>
    <xf numFmtId="0" fontId="6529" fillId="6534" borderId="6469" pivotButton="0" quotePrefix="0" xfId="0"/>
    <xf numFmtId="0" fontId="6530" fillId="6535" borderId="6470" pivotButton="0" quotePrefix="0" xfId="0"/>
    <xf numFmtId="0" fontId="6531" fillId="6536" borderId="6471" pivotButton="0" quotePrefix="0" xfId="0"/>
    <xf numFmtId="0" fontId="6532" fillId="6537" borderId="6472" pivotButton="0" quotePrefix="0" xfId="0"/>
    <xf numFmtId="0" fontId="6533" fillId="6538" borderId="6473" pivotButton="0" quotePrefix="0" xfId="0"/>
    <xf numFmtId="0" fontId="6534" fillId="6539" borderId="6474" pivotButton="0" quotePrefix="0" xfId="0"/>
    <xf numFmtId="14" fontId="6535" fillId="6540" borderId="6475" pivotButton="0" quotePrefix="0" xfId="0"/>
    <xf numFmtId="14" fontId="6536" fillId="6541" borderId="6476" pivotButton="0" quotePrefix="0" xfId="0"/>
    <xf numFmtId="0" fontId="6537" fillId="6542" borderId="6477" pivotButton="0" quotePrefix="0" xfId="0"/>
    <xf numFmtId="14" fontId="6538" fillId="6543" borderId="6478" pivotButton="0" quotePrefix="0" xfId="0"/>
    <xf numFmtId="0" fontId="6539" fillId="6544" borderId="6479" pivotButton="0" quotePrefix="0" xfId="0"/>
    <xf numFmtId="0" fontId="6540" fillId="6545" borderId="6480" pivotButton="0" quotePrefix="0" xfId="0"/>
    <xf numFmtId="0" fontId="6541" fillId="6546" borderId="6481" pivotButton="0" quotePrefix="0" xfId="0"/>
    <xf numFmtId="0" fontId="6542" fillId="6547" borderId="6482" pivotButton="0" quotePrefix="0" xfId="0"/>
    <xf numFmtId="0" fontId="6543" fillId="6548" borderId="6483" pivotButton="0" quotePrefix="0" xfId="0"/>
    <xf numFmtId="0" fontId="6544" fillId="6549" borderId="6484" pivotButton="0" quotePrefix="0" xfId="0"/>
    <xf numFmtId="14" fontId="6545" fillId="6550" borderId="6485" pivotButton="0" quotePrefix="0" xfId="0"/>
    <xf numFmtId="14" fontId="6546" fillId="6551" borderId="6486" pivotButton="0" quotePrefix="0" xfId="0"/>
    <xf numFmtId="0" fontId="6547" fillId="6552" borderId="6487" pivotButton="0" quotePrefix="0" xfId="0"/>
    <xf numFmtId="14" fontId="6548" fillId="6553" borderId="6488" pivotButton="0" quotePrefix="0" xfId="0"/>
    <xf numFmtId="0" fontId="6549" fillId="6554" borderId="6489" pivotButton="0" quotePrefix="0" xfId="0"/>
    <xf numFmtId="0" fontId="6550" fillId="6555" borderId="6490" pivotButton="0" quotePrefix="0" xfId="0"/>
    <xf numFmtId="0" fontId="6551" fillId="6556" borderId="6491" pivotButton="0" quotePrefix="0" xfId="0"/>
    <xf numFmtId="0" fontId="6552" fillId="6557" borderId="6492" pivotButton="0" quotePrefix="0" xfId="0"/>
    <xf numFmtId="0" fontId="6553" fillId="6558" borderId="6493" pivotButton="0" quotePrefix="0" xfId="0"/>
    <xf numFmtId="0" fontId="6554" fillId="6559" borderId="6494" pivotButton="0" quotePrefix="0" xfId="0"/>
    <xf numFmtId="14" fontId="6555" fillId="6560" borderId="6495" pivotButton="0" quotePrefix="0" xfId="0"/>
    <xf numFmtId="14" fontId="6556" fillId="6561" borderId="6496" pivotButton="0" quotePrefix="0" xfId="0"/>
    <xf numFmtId="0" fontId="6557" fillId="6562" borderId="6497" pivotButton="0" quotePrefix="0" xfId="0"/>
    <xf numFmtId="14" fontId="6558" fillId="6563" borderId="6498" pivotButton="0" quotePrefix="0" xfId="0"/>
    <xf numFmtId="0" fontId="6559" fillId="6564" borderId="6499" pivotButton="0" quotePrefix="0" xfId="0"/>
    <xf numFmtId="0" fontId="6560" fillId="6565" borderId="6500" pivotButton="0" quotePrefix="0" xfId="0"/>
    <xf numFmtId="0" fontId="6561" fillId="6566" borderId="6501" pivotButton="0" quotePrefix="0" xfId="0"/>
    <xf numFmtId="0" fontId="6562" fillId="6567" borderId="6502" pivotButton="0" quotePrefix="0" xfId="0"/>
    <xf numFmtId="0" fontId="6563" fillId="6568" borderId="6503" pivotButton="0" quotePrefix="0" xfId="0"/>
    <xf numFmtId="0" fontId="6564" fillId="6569" borderId="6504" pivotButton="0" quotePrefix="0" xfId="0"/>
    <xf numFmtId="14" fontId="6565" fillId="6570" borderId="6505" pivotButton="0" quotePrefix="0" xfId="0"/>
    <xf numFmtId="14" fontId="6566" fillId="6571" borderId="6506" pivotButton="0" quotePrefix="0" xfId="0"/>
    <xf numFmtId="0" fontId="6567" fillId="6572" borderId="6507" pivotButton="0" quotePrefix="0" xfId="0"/>
    <xf numFmtId="14" fontId="6568" fillId="6573" borderId="6508" pivotButton="0" quotePrefix="0" xfId="0"/>
    <xf numFmtId="0" fontId="6569" fillId="6574" borderId="6509" pivotButton="0" quotePrefix="0" xfId="0"/>
    <xf numFmtId="0" fontId="6570" fillId="6575" borderId="6510" pivotButton="0" quotePrefix="0" xfId="0"/>
    <xf numFmtId="0" fontId="6571" fillId="6576" borderId="6511" pivotButton="0" quotePrefix="0" xfId="0"/>
    <xf numFmtId="0" fontId="6572" fillId="6577" borderId="6512" pivotButton="0" quotePrefix="0" xfId="0"/>
    <xf numFmtId="0" fontId="6573" fillId="6578" borderId="6513" pivotButton="0" quotePrefix="0" xfId="0"/>
    <xf numFmtId="0" fontId="6574" fillId="6579" borderId="6514" pivotButton="0" quotePrefix="0" xfId="0"/>
    <xf numFmtId="14" fontId="6575" fillId="6580" borderId="6515" pivotButton="0" quotePrefix="0" xfId="0"/>
    <xf numFmtId="14" fontId="6576" fillId="6581" borderId="6516" pivotButton="0" quotePrefix="0" xfId="0"/>
    <xf numFmtId="0" fontId="6577" fillId="6582" borderId="6517" pivotButton="0" quotePrefix="0" xfId="0"/>
    <xf numFmtId="14" fontId="6578" fillId="6583" borderId="6518" pivotButton="0" quotePrefix="0" xfId="0"/>
    <xf numFmtId="0" fontId="6579" fillId="6584" borderId="6519" pivotButton="0" quotePrefix="0" xfId="0"/>
    <xf numFmtId="0" fontId="6580" fillId="6585" borderId="6520" pivotButton="0" quotePrefix="0" xfId="0"/>
    <xf numFmtId="0" fontId="6581" fillId="6586" borderId="6521" pivotButton="0" quotePrefix="0" xfId="0"/>
    <xf numFmtId="0" fontId="6582" fillId="6587" borderId="6522" pivotButton="0" quotePrefix="0" xfId="0"/>
    <xf numFmtId="0" fontId="6583" fillId="6588" borderId="6523" pivotButton="0" quotePrefix="0" xfId="0"/>
    <xf numFmtId="0" fontId="6584" fillId="6589" borderId="6524" pivotButton="0" quotePrefix="0" xfId="0"/>
    <xf numFmtId="14" fontId="6585" fillId="6590" borderId="6525" pivotButton="0" quotePrefix="0" xfId="0"/>
    <xf numFmtId="14" fontId="6586" fillId="6591" borderId="6526" pivotButton="0" quotePrefix="0" xfId="0"/>
    <xf numFmtId="0" fontId="6587" fillId="6592" borderId="6527" pivotButton="0" quotePrefix="0" xfId="0"/>
    <xf numFmtId="14" fontId="6588" fillId="6593" borderId="6528" pivotButton="0" quotePrefix="0" xfId="0"/>
    <xf numFmtId="0" fontId="6589" fillId="6594" borderId="6529" pivotButton="0" quotePrefix="0" xfId="0"/>
    <xf numFmtId="0" fontId="6590" fillId="6595" borderId="6530" pivotButton="0" quotePrefix="0" xfId="0"/>
    <xf numFmtId="0" fontId="6591" fillId="6596" borderId="6531" pivotButton="0" quotePrefix="0" xfId="0"/>
    <xf numFmtId="0" fontId="6592" fillId="6597" borderId="6532" pivotButton="0" quotePrefix="0" xfId="0"/>
    <xf numFmtId="0" fontId="6593" fillId="6598" borderId="6533" pivotButton="0" quotePrefix="0" xfId="0"/>
    <xf numFmtId="0" fontId="6594" fillId="6599" borderId="6534" pivotButton="0" quotePrefix="0" xfId="0"/>
    <xf numFmtId="14" fontId="6595" fillId="6600" borderId="6535" pivotButton="0" quotePrefix="0" xfId="0"/>
    <xf numFmtId="14" fontId="6596" fillId="6601" borderId="6536" pivotButton="0" quotePrefix="0" xfId="0"/>
    <xf numFmtId="0" fontId="6597" fillId="6602" borderId="6537" pivotButton="0" quotePrefix="0" xfId="0"/>
    <xf numFmtId="14" fontId="6598" fillId="6603" borderId="6538" pivotButton="0" quotePrefix="0" xfId="0"/>
    <xf numFmtId="0" fontId="6599" fillId="6604" borderId="6539" pivotButton="0" quotePrefix="0" xfId="0"/>
    <xf numFmtId="0" fontId="6600" fillId="6605" borderId="6540" pivotButton="0" quotePrefix="0" xfId="0"/>
    <xf numFmtId="0" fontId="6601" fillId="6606" borderId="6541" pivotButton="0" quotePrefix="0" xfId="0"/>
    <xf numFmtId="0" fontId="6602" fillId="6607" borderId="6542" pivotButton="0" quotePrefix="0" xfId="0"/>
    <xf numFmtId="0" fontId="6603" fillId="6608" borderId="6543" pivotButton="0" quotePrefix="0" xfId="0"/>
    <xf numFmtId="0" fontId="6604" fillId="6609" borderId="6544" pivotButton="0" quotePrefix="0" xfId="0"/>
    <xf numFmtId="14" fontId="6605" fillId="6610" borderId="6545" pivotButton="0" quotePrefix="0" xfId="0"/>
    <xf numFmtId="14" fontId="6606" fillId="6611" borderId="6546" pivotButton="0" quotePrefix="0" xfId="0"/>
    <xf numFmtId="0" fontId="6607" fillId="6612" borderId="6547" pivotButton="0" quotePrefix="0" xfId="0"/>
    <xf numFmtId="14" fontId="6608" fillId="6613" borderId="6548" pivotButton="0" quotePrefix="0" xfId="0"/>
    <xf numFmtId="0" fontId="6609" fillId="6614" borderId="6549" pivotButton="0" quotePrefix="0" xfId="0"/>
    <xf numFmtId="0" fontId="6610" fillId="6615" borderId="6550" pivotButton="0" quotePrefix="0" xfId="0"/>
    <xf numFmtId="0" fontId="6611" fillId="6616" borderId="6551" pivotButton="0" quotePrefix="0" xfId="0"/>
    <xf numFmtId="0" fontId="6612" fillId="6617" borderId="6552" pivotButton="0" quotePrefix="0" xfId="0"/>
    <xf numFmtId="0" fontId="6613" fillId="6618" borderId="6553" pivotButton="0" quotePrefix="0" xfId="0"/>
    <xf numFmtId="0" fontId="6614" fillId="6619" borderId="6554" pivotButton="0" quotePrefix="0" xfId="0"/>
    <xf numFmtId="14" fontId="6615" fillId="6620" borderId="6555" pivotButton="0" quotePrefix="0" xfId="0"/>
    <xf numFmtId="14" fontId="6616" fillId="6621" borderId="6556" pivotButton="0" quotePrefix="0" xfId="0"/>
    <xf numFmtId="0" fontId="6617" fillId="6622" borderId="6557" pivotButton="0" quotePrefix="0" xfId="0"/>
    <xf numFmtId="14" fontId="6618" fillId="6623" borderId="6558" pivotButton="0" quotePrefix="0" xfId="0"/>
    <xf numFmtId="0" fontId="6619" fillId="6624" borderId="6559" pivotButton="0" quotePrefix="0" xfId="0"/>
    <xf numFmtId="0" fontId="6620" fillId="6625" borderId="6560" pivotButton="0" quotePrefix="0" xfId="0"/>
    <xf numFmtId="0" fontId="6621" fillId="6626" borderId="6561" pivotButton="0" quotePrefix="0" xfId="0"/>
    <xf numFmtId="0" fontId="6622" fillId="6627" borderId="6562" pivotButton="0" quotePrefix="0" xfId="0"/>
    <xf numFmtId="0" fontId="6623" fillId="6628" borderId="6563" pivotButton="0" quotePrefix="0" xfId="0"/>
    <xf numFmtId="0" fontId="6624" fillId="6629" borderId="6564" pivotButton="0" quotePrefix="0" xfId="0"/>
    <xf numFmtId="14" fontId="6625" fillId="6630" borderId="6565" pivotButton="0" quotePrefix="0" xfId="0"/>
    <xf numFmtId="14" fontId="6626" fillId="6631" borderId="6566" pivotButton="0" quotePrefix="0" xfId="0"/>
    <xf numFmtId="0" fontId="6627" fillId="6632" borderId="6567" pivotButton="0" quotePrefix="0" xfId="0"/>
    <xf numFmtId="14" fontId="6628" fillId="6633" borderId="6568" pivotButton="0" quotePrefix="0" xfId="0"/>
    <xf numFmtId="0" fontId="6629" fillId="6634" borderId="6569" pivotButton="0" quotePrefix="0" xfId="0"/>
    <xf numFmtId="0" fontId="6630" fillId="6635" borderId="6570" pivotButton="0" quotePrefix="0" xfId="0"/>
    <xf numFmtId="0" fontId="6631" fillId="6636" borderId="6571" pivotButton="0" quotePrefix="0" xfId="0"/>
    <xf numFmtId="0" fontId="6632" fillId="6637" borderId="6572" pivotButton="0" quotePrefix="0" xfId="0"/>
    <xf numFmtId="0" fontId="6633" fillId="6638" borderId="6573" pivotButton="0" quotePrefix="0" xfId="0"/>
    <xf numFmtId="0" fontId="6634" fillId="6639" borderId="6574" pivotButton="0" quotePrefix="0" xfId="0"/>
    <xf numFmtId="14" fontId="6635" fillId="6640" borderId="6575" pivotButton="0" quotePrefix="0" xfId="0"/>
    <xf numFmtId="14" fontId="6636" fillId="6641" borderId="6576" pivotButton="0" quotePrefix="0" xfId="0"/>
    <xf numFmtId="0" fontId="6637" fillId="6642" borderId="6577" pivotButton="0" quotePrefix="0" xfId="0"/>
    <xf numFmtId="14" fontId="6638" fillId="6643" borderId="6578" pivotButton="0" quotePrefix="0" xfId="0"/>
    <xf numFmtId="0" fontId="6639" fillId="6644" borderId="6579" pivotButton="0" quotePrefix="0" xfId="0"/>
    <xf numFmtId="0" fontId="6640" fillId="6645" borderId="6580" pivotButton="0" quotePrefix="0" xfId="0"/>
    <xf numFmtId="0" fontId="6641" fillId="6646" borderId="6581" pivotButton="0" quotePrefix="0" xfId="0"/>
    <xf numFmtId="0" fontId="6642" fillId="6647" borderId="6582" pivotButton="0" quotePrefix="0" xfId="0"/>
    <xf numFmtId="0" fontId="6643" fillId="6648" borderId="6583" pivotButton="0" quotePrefix="0" xfId="0"/>
    <xf numFmtId="0" fontId="6644" fillId="6649" borderId="6584" pivotButton="0" quotePrefix="0" xfId="0"/>
    <xf numFmtId="14" fontId="6645" fillId="6650" borderId="6585" pivotButton="0" quotePrefix="0" xfId="0"/>
    <xf numFmtId="14" fontId="6646" fillId="6651" borderId="6586" pivotButton="0" quotePrefix="0" xfId="0"/>
    <xf numFmtId="0" fontId="6647" fillId="6652" borderId="6587" pivotButton="0" quotePrefix="0" xfId="0"/>
    <xf numFmtId="14" fontId="6648" fillId="6653" borderId="6588" pivotButton="0" quotePrefix="0" xfId="0"/>
    <xf numFmtId="0" fontId="6649" fillId="6654" borderId="6589" pivotButton="0" quotePrefix="0" xfId="0"/>
    <xf numFmtId="0" fontId="6650" fillId="6655" borderId="6590" pivotButton="0" quotePrefix="0" xfId="0"/>
    <xf numFmtId="0" fontId="6651" fillId="6656" borderId="6591" pivotButton="0" quotePrefix="0" xfId="0"/>
    <xf numFmtId="0" fontId="6652" fillId="6657" borderId="6592" pivotButton="0" quotePrefix="0" xfId="0"/>
    <xf numFmtId="0" fontId="6653" fillId="6658" borderId="6593" pivotButton="0" quotePrefix="0" xfId="0"/>
    <xf numFmtId="0" fontId="6654" fillId="6659" borderId="6594" pivotButton="0" quotePrefix="0" xfId="0"/>
    <xf numFmtId="14" fontId="6655" fillId="6660" borderId="6595" pivotButton="0" quotePrefix="0" xfId="0"/>
    <xf numFmtId="14" fontId="6656" fillId="6661" borderId="6596" pivotButton="0" quotePrefix="0" xfId="0"/>
    <xf numFmtId="0" fontId="6657" fillId="6662" borderId="6597" pivotButton="0" quotePrefix="0" xfId="0"/>
    <xf numFmtId="14" fontId="6658" fillId="6663" borderId="6598" pivotButton="0" quotePrefix="0" xfId="0"/>
    <xf numFmtId="0" fontId="6659" fillId="6664" borderId="6599" pivotButton="0" quotePrefix="0" xfId="0"/>
    <xf numFmtId="0" fontId="6660" fillId="6665" borderId="6600" pivotButton="0" quotePrefix="0" xfId="0"/>
    <xf numFmtId="0" fontId="6661" fillId="6666" borderId="6601" pivotButton="0" quotePrefix="0" xfId="0"/>
    <xf numFmtId="0" fontId="6662" fillId="6667" borderId="6602" pivotButton="0" quotePrefix="0" xfId="0"/>
    <xf numFmtId="0" fontId="6663" fillId="6668" borderId="6603" pivotButton="0" quotePrefix="0" xfId="0"/>
    <xf numFmtId="0" fontId="6664" fillId="6669" borderId="6604" pivotButton="0" quotePrefix="0" xfId="0"/>
    <xf numFmtId="14" fontId="6665" fillId="6670" borderId="6605" pivotButton="0" quotePrefix="0" xfId="0"/>
    <xf numFmtId="14" fontId="6666" fillId="6671" borderId="6606" pivotButton="0" quotePrefix="0" xfId="0"/>
    <xf numFmtId="0" fontId="6667" fillId="6672" borderId="6607" pivotButton="0" quotePrefix="0" xfId="0"/>
    <xf numFmtId="14" fontId="6668" fillId="6673" borderId="6608" pivotButton="0" quotePrefix="0" xfId="0"/>
    <xf numFmtId="0" fontId="6669" fillId="6674" borderId="6609" pivotButton="0" quotePrefix="0" xfId="0"/>
    <xf numFmtId="0" fontId="6670" fillId="6675" borderId="6610" pivotButton="0" quotePrefix="0" xfId="0"/>
    <xf numFmtId="0" fontId="6671" fillId="6676" borderId="6611" pivotButton="0" quotePrefix="0" xfId="0"/>
    <xf numFmtId="0" fontId="6672" fillId="6677" borderId="6612" pivotButton="0" quotePrefix="0" xfId="0"/>
    <xf numFmtId="0" fontId="6673" fillId="6678" borderId="6613" pivotButton="0" quotePrefix="0" xfId="0"/>
    <xf numFmtId="0" fontId="6674" fillId="6679" borderId="6614" pivotButton="0" quotePrefix="0" xfId="0"/>
    <xf numFmtId="14" fontId="6675" fillId="6680" borderId="6615" pivotButton="0" quotePrefix="0" xfId="0"/>
    <xf numFmtId="14" fontId="6676" fillId="6681" borderId="6616" pivotButton="0" quotePrefix="0" xfId="0"/>
    <xf numFmtId="0" fontId="6677" fillId="6682" borderId="6617" pivotButton="0" quotePrefix="0" xfId="0"/>
    <xf numFmtId="14" fontId="6678" fillId="6683" borderId="6618" pivotButton="0" quotePrefix="0" xfId="0"/>
    <xf numFmtId="0" fontId="6679" fillId="6684" borderId="6619" pivotButton="0" quotePrefix="0" xfId="0"/>
    <xf numFmtId="0" fontId="6680" fillId="6685" borderId="6620" pivotButton="0" quotePrefix="0" xfId="0"/>
    <xf numFmtId="0" fontId="6681" fillId="6686" borderId="6621" pivotButton="0" quotePrefix="0" xfId="0"/>
    <xf numFmtId="0" fontId="6682" fillId="6687" borderId="6622" pivotButton="0" quotePrefix="0" xfId="0"/>
    <xf numFmtId="0" fontId="6683" fillId="6688" borderId="6623" pivotButton="0" quotePrefix="0" xfId="0"/>
    <xf numFmtId="0" fontId="6684" fillId="6689" borderId="6624" pivotButton="0" quotePrefix="0" xfId="0"/>
    <xf numFmtId="14" fontId="6685" fillId="6690" borderId="6625" pivotButton="0" quotePrefix="0" xfId="0"/>
    <xf numFmtId="14" fontId="6686" fillId="6691" borderId="6626" pivotButton="0" quotePrefix="0" xfId="0"/>
    <xf numFmtId="0" fontId="6687" fillId="6692" borderId="6627" pivotButton="0" quotePrefix="0" xfId="0"/>
    <xf numFmtId="14" fontId="6688" fillId="6693" borderId="6628" pivotButton="0" quotePrefix="0" xfId="0"/>
    <xf numFmtId="0" fontId="6689" fillId="6694" borderId="6629" pivotButton="0" quotePrefix="0" xfId="0"/>
    <xf numFmtId="0" fontId="6690" fillId="6695" borderId="6630" pivotButton="0" quotePrefix="0" xfId="0"/>
    <xf numFmtId="0" fontId="6691" fillId="6696" borderId="6631" pivotButton="0" quotePrefix="0" xfId="0"/>
    <xf numFmtId="0" fontId="6692" fillId="6697" borderId="6632" pivotButton="0" quotePrefix="0" xfId="0"/>
    <xf numFmtId="0" fontId="6693" fillId="6698" borderId="6633" pivotButton="0" quotePrefix="0" xfId="0"/>
    <xf numFmtId="0" fontId="6694" fillId="6699" borderId="6634" pivotButton="0" quotePrefix="0" xfId="0"/>
    <xf numFmtId="14" fontId="6695" fillId="6700" borderId="6635" pivotButton="0" quotePrefix="0" xfId="0"/>
    <xf numFmtId="14" fontId="6696" fillId="6701" borderId="6636" pivotButton="0" quotePrefix="0" xfId="0"/>
    <xf numFmtId="0" fontId="6697" fillId="6702" borderId="6637" pivotButton="0" quotePrefix="0" xfId="0"/>
    <xf numFmtId="14" fontId="6698" fillId="6703" borderId="6638" pivotButton="0" quotePrefix="0" xfId="0"/>
    <xf numFmtId="0" fontId="6699" fillId="6704" borderId="6639" pivotButton="0" quotePrefix="0" xfId="0"/>
    <xf numFmtId="0" fontId="6700" fillId="6705" borderId="6640" pivotButton="0" quotePrefix="0" xfId="0"/>
    <xf numFmtId="0" fontId="6701" fillId="6706" borderId="6641" pivotButton="0" quotePrefix="0" xfId="0"/>
    <xf numFmtId="0" fontId="6702" fillId="6707" borderId="6642" pivotButton="0" quotePrefix="0" xfId="0"/>
    <xf numFmtId="0" fontId="6703" fillId="6708" borderId="6643" pivotButton="0" quotePrefix="0" xfId="0"/>
    <xf numFmtId="0" fontId="6704" fillId="6709" borderId="6644" pivotButton="0" quotePrefix="0" xfId="0"/>
    <xf numFmtId="14" fontId="6705" fillId="6710" borderId="6645" pivotButton="0" quotePrefix="0" xfId="0"/>
    <xf numFmtId="14" fontId="6706" fillId="6711" borderId="6646" pivotButton="0" quotePrefix="0" xfId="0"/>
    <xf numFmtId="0" fontId="6707" fillId="6712" borderId="6647" pivotButton="0" quotePrefix="0" xfId="0"/>
    <xf numFmtId="14" fontId="6708" fillId="6713" borderId="6648" pivotButton="0" quotePrefix="0" xfId="0"/>
    <xf numFmtId="0" fontId="6709" fillId="6714" borderId="6649" pivotButton="0" quotePrefix="0" xfId="0"/>
    <xf numFmtId="0" fontId="6710" fillId="6715" borderId="6650" pivotButton="0" quotePrefix="0" xfId="0"/>
    <xf numFmtId="0" fontId="6711" fillId="6716" borderId="6651" pivotButton="0" quotePrefix="0" xfId="0"/>
    <xf numFmtId="0" fontId="6712" fillId="6717" borderId="6652" pivotButton="0" quotePrefix="0" xfId="0"/>
    <xf numFmtId="0" fontId="6713" fillId="6718" borderId="6653" pivotButton="0" quotePrefix="0" xfId="0"/>
    <xf numFmtId="0" fontId="6714" fillId="6719" borderId="6654" pivotButton="0" quotePrefix="0" xfId="0"/>
    <xf numFmtId="14" fontId="6715" fillId="6720" borderId="6655" pivotButton="0" quotePrefix="0" xfId="0"/>
    <xf numFmtId="14" fontId="6716" fillId="6721" borderId="6656" pivotButton="0" quotePrefix="0" xfId="0"/>
    <xf numFmtId="0" fontId="6717" fillId="6722" borderId="6657" pivotButton="0" quotePrefix="0" xfId="0"/>
    <xf numFmtId="14" fontId="6718" fillId="6723" borderId="6658" pivotButton="0" quotePrefix="0" xfId="0"/>
    <xf numFmtId="0" fontId="6719" fillId="6724" borderId="6659" pivotButton="0" quotePrefix="0" xfId="0"/>
    <xf numFmtId="0" fontId="6720" fillId="6725" borderId="6660" pivotButton="0" quotePrefix="0" xfId="0"/>
    <xf numFmtId="0" fontId="6721" fillId="6726" borderId="6661" pivotButton="0" quotePrefix="0" xfId="0"/>
    <xf numFmtId="0" fontId="6722" fillId="6727" borderId="6662" pivotButton="0" quotePrefix="0" xfId="0"/>
    <xf numFmtId="0" fontId="6723" fillId="6728" borderId="6663" pivotButton="0" quotePrefix="0" xfId="0"/>
    <xf numFmtId="0" fontId="6724" fillId="6729" borderId="6664" pivotButton="0" quotePrefix="0" xfId="0"/>
    <xf numFmtId="14" fontId="6725" fillId="6730" borderId="6665" pivotButton="0" quotePrefix="0" xfId="0"/>
    <xf numFmtId="14" fontId="6726" fillId="6731" borderId="6666" pivotButton="0" quotePrefix="0" xfId="0"/>
    <xf numFmtId="0" fontId="6727" fillId="6732" borderId="6667" pivotButton="0" quotePrefix="0" xfId="0"/>
    <xf numFmtId="14" fontId="6728" fillId="6733" borderId="6668" pivotButton="0" quotePrefix="0" xfId="0"/>
    <xf numFmtId="0" fontId="6729" fillId="6734" borderId="6669" pivotButton="0" quotePrefix="0" xfId="0"/>
    <xf numFmtId="0" fontId="6730" fillId="6735" borderId="6670" pivotButton="0" quotePrefix="0" xfId="0"/>
    <xf numFmtId="0" fontId="6731" fillId="6736" borderId="6671" pivotButton="0" quotePrefix="0" xfId="0"/>
    <xf numFmtId="0" fontId="6732" fillId="6737" borderId="6672" pivotButton="0" quotePrefix="0" xfId="0"/>
    <xf numFmtId="0" fontId="6733" fillId="6738" borderId="6673" pivotButton="0" quotePrefix="0" xfId="0"/>
    <xf numFmtId="0" fontId="6734" fillId="6739" borderId="6674" pivotButton="0" quotePrefix="0" xfId="0"/>
    <xf numFmtId="14" fontId="6735" fillId="6740" borderId="6675" pivotButton="0" quotePrefix="0" xfId="0"/>
    <xf numFmtId="14" fontId="6736" fillId="6741" borderId="6676" pivotButton="0" quotePrefix="0" xfId="0"/>
    <xf numFmtId="0" fontId="6737" fillId="6742" borderId="6677" pivotButton="0" quotePrefix="0" xfId="0"/>
    <xf numFmtId="14" fontId="6738" fillId="6743" borderId="6678" pivotButton="0" quotePrefix="0" xfId="0"/>
    <xf numFmtId="0" fontId="6739" fillId="6744" borderId="6679" pivotButton="0" quotePrefix="0" xfId="0"/>
    <xf numFmtId="0" fontId="6740" fillId="6745" borderId="6680" pivotButton="0" quotePrefix="0" xfId="0"/>
    <xf numFmtId="0" fontId="6741" fillId="6746" borderId="6681" pivotButton="0" quotePrefix="0" xfId="0"/>
    <xf numFmtId="0" fontId="6742" fillId="6747" borderId="6682" pivotButton="0" quotePrefix="0" xfId="0"/>
    <xf numFmtId="0" fontId="6743" fillId="6748" borderId="6683" pivotButton="0" quotePrefix="0" xfId="0"/>
    <xf numFmtId="0" fontId="6744" fillId="6749" borderId="6684" pivotButton="0" quotePrefix="0" xfId="0"/>
    <xf numFmtId="14" fontId="6745" fillId="6750" borderId="6685" pivotButton="0" quotePrefix="0" xfId="0"/>
    <xf numFmtId="14" fontId="6746" fillId="6751" borderId="6686" pivotButton="0" quotePrefix="0" xfId="0"/>
    <xf numFmtId="0" fontId="6747" fillId="6752" borderId="6687" pivotButton="0" quotePrefix="0" xfId="0"/>
    <xf numFmtId="14" fontId="6748" fillId="6753" borderId="6688" pivotButton="0" quotePrefix="0" xfId="0"/>
    <xf numFmtId="0" fontId="6749" fillId="6754" borderId="6689" pivotButton="0" quotePrefix="0" xfId="0"/>
    <xf numFmtId="0" fontId="6750" fillId="6755" borderId="6690" pivotButton="0" quotePrefix="0" xfId="0"/>
    <xf numFmtId="0" fontId="6751" fillId="6756" borderId="6691" pivotButton="0" quotePrefix="0" xfId="0"/>
    <xf numFmtId="0" fontId="6752" fillId="6757" borderId="6692" pivotButton="0" quotePrefix="0" xfId="0"/>
    <xf numFmtId="0" fontId="6753" fillId="6758" borderId="6693" pivotButton="0" quotePrefix="0" xfId="0"/>
    <xf numFmtId="0" fontId="6754" fillId="6759" borderId="6694" pivotButton="0" quotePrefix="0" xfId="0"/>
    <xf numFmtId="14" fontId="6755" fillId="6760" borderId="6695" pivotButton="0" quotePrefix="0" xfId="0"/>
    <xf numFmtId="14" fontId="6756" fillId="6761" borderId="6696" pivotButton="0" quotePrefix="0" xfId="0"/>
    <xf numFmtId="0" fontId="6757" fillId="6762" borderId="6697" pivotButton="0" quotePrefix="0" xfId="0"/>
    <xf numFmtId="14" fontId="6758" fillId="6763" borderId="6698" pivotButton="0" quotePrefix="0" xfId="0"/>
    <xf numFmtId="0" fontId="6759" fillId="6764" borderId="6699" pivotButton="0" quotePrefix="0" xfId="0"/>
    <xf numFmtId="0" fontId="6760" fillId="6765" borderId="6700" pivotButton="0" quotePrefix="0" xfId="0"/>
    <xf numFmtId="0" fontId="6761" fillId="6766" borderId="6701" pivotButton="0" quotePrefix="0" xfId="0"/>
    <xf numFmtId="0" fontId="6762" fillId="6767" borderId="6702" pivotButton="0" quotePrefix="0" xfId="0"/>
    <xf numFmtId="0" fontId="6763" fillId="6768" borderId="6703" pivotButton="0" quotePrefix="0" xfId="0"/>
    <xf numFmtId="0" fontId="6764" fillId="6769" borderId="6704" pivotButton="0" quotePrefix="0" xfId="0"/>
    <xf numFmtId="14" fontId="6765" fillId="6770" borderId="6705" pivotButton="0" quotePrefix="0" xfId="0"/>
    <xf numFmtId="14" fontId="6766" fillId="6771" borderId="6706" pivotButton="0" quotePrefix="0" xfId="0"/>
    <xf numFmtId="0" fontId="6767" fillId="6772" borderId="6707" pivotButton="0" quotePrefix="0" xfId="0"/>
    <xf numFmtId="14" fontId="6768" fillId="6773" borderId="6708" pivotButton="0" quotePrefix="0" xfId="0"/>
    <xf numFmtId="0" fontId="6769" fillId="6774" borderId="6709" pivotButton="0" quotePrefix="0" xfId="0"/>
    <xf numFmtId="0" fontId="6770" fillId="6775" borderId="6710" pivotButton="0" quotePrefix="0" xfId="0"/>
    <xf numFmtId="0" fontId="6771" fillId="6776" borderId="6711" pivotButton="0" quotePrefix="0" xfId="0"/>
    <xf numFmtId="0" fontId="6772" fillId="6777" borderId="6712" pivotButton="0" quotePrefix="0" xfId="0"/>
    <xf numFmtId="0" fontId="6773" fillId="6778" borderId="6713" pivotButton="0" quotePrefix="0" xfId="0"/>
    <xf numFmtId="0" fontId="6774" fillId="6779" borderId="6714" pivotButton="0" quotePrefix="0" xfId="0"/>
    <xf numFmtId="14" fontId="6775" fillId="6780" borderId="6715" pivotButton="0" quotePrefix="0" xfId="0"/>
    <xf numFmtId="14" fontId="6776" fillId="6781" borderId="6716" pivotButton="0" quotePrefix="0" xfId="0"/>
    <xf numFmtId="0" fontId="6777" fillId="6782" borderId="6717" pivotButton="0" quotePrefix="0" xfId="0"/>
    <xf numFmtId="14" fontId="6778" fillId="6783" borderId="6718" pivotButton="0" quotePrefix="0" xfId="0"/>
    <xf numFmtId="0" fontId="6779" fillId="6784" borderId="6719" pivotButton="0" quotePrefix="0" xfId="0"/>
    <xf numFmtId="0" fontId="6780" fillId="6785" borderId="6720" pivotButton="0" quotePrefix="0" xfId="0"/>
    <xf numFmtId="0" fontId="6781" fillId="6786" borderId="6721" pivotButton="0" quotePrefix="0" xfId="0"/>
    <xf numFmtId="0" fontId="6782" fillId="6787" borderId="6722" pivotButton="0" quotePrefix="0" xfId="0"/>
    <xf numFmtId="0" fontId="6783" fillId="6788" borderId="6723" pivotButton="0" quotePrefix="0" xfId="0"/>
    <xf numFmtId="0" fontId="6784" fillId="6789" borderId="6724" pivotButton="0" quotePrefix="0" xfId="0"/>
    <xf numFmtId="14" fontId="6785" fillId="6790" borderId="6725" pivotButton="0" quotePrefix="0" xfId="0"/>
    <xf numFmtId="14" fontId="6786" fillId="6791" borderId="6726" pivotButton="0" quotePrefix="0" xfId="0"/>
    <xf numFmtId="0" fontId="6787" fillId="6792" borderId="6727" pivotButton="0" quotePrefix="0" xfId="0"/>
    <xf numFmtId="14" fontId="6788" fillId="6793" borderId="6728" pivotButton="0" quotePrefix="0" xfId="0"/>
    <xf numFmtId="0" fontId="6789" fillId="6794" borderId="6729" pivotButton="0" quotePrefix="0" xfId="0"/>
    <xf numFmtId="0" fontId="6790" fillId="6795" borderId="6730" pivotButton="0" quotePrefix="0" xfId="0"/>
    <xf numFmtId="0" fontId="6791" fillId="6796" borderId="6731" pivotButton="0" quotePrefix="0" xfId="0"/>
    <xf numFmtId="0" fontId="6792" fillId="6797" borderId="6732" pivotButton="0" quotePrefix="0" xfId="0"/>
    <xf numFmtId="0" fontId="6793" fillId="6798" borderId="6733" pivotButton="0" quotePrefix="0" xfId="0"/>
    <xf numFmtId="0" fontId="6794" fillId="6799" borderId="6734" pivotButton="0" quotePrefix="0" xfId="0"/>
    <xf numFmtId="14" fontId="6795" fillId="6800" borderId="6735" pivotButton="0" quotePrefix="0" xfId="0"/>
    <xf numFmtId="14" fontId="6796" fillId="6801" borderId="6736" pivotButton="0" quotePrefix="0" xfId="0"/>
    <xf numFmtId="0" fontId="6797" fillId="6802" borderId="6737" pivotButton="0" quotePrefix="0" xfId="0"/>
    <xf numFmtId="14" fontId="6798" fillId="6803" borderId="6738" pivotButton="0" quotePrefix="0" xfId="0"/>
    <xf numFmtId="0" fontId="6799" fillId="6804" borderId="6739" pivotButton="0" quotePrefix="0" xfId="0"/>
    <xf numFmtId="0" fontId="6800" fillId="6805" borderId="6740" pivotButton="0" quotePrefix="0" xfId="0"/>
    <xf numFmtId="0" fontId="6801" fillId="6806" borderId="6741" pivotButton="0" quotePrefix="0" xfId="0"/>
    <xf numFmtId="0" fontId="6802" fillId="6807" borderId="6742" pivotButton="0" quotePrefix="0" xfId="0"/>
    <xf numFmtId="0" fontId="6803" fillId="6808" borderId="6743" pivotButton="0" quotePrefix="0" xfId="0"/>
    <xf numFmtId="0" fontId="6804" fillId="6809" borderId="6744" pivotButton="0" quotePrefix="0" xfId="0"/>
    <xf numFmtId="14" fontId="6805" fillId="6810" borderId="6745" pivotButton="0" quotePrefix="0" xfId="0"/>
    <xf numFmtId="14" fontId="6806" fillId="6811" borderId="6746" pivotButton="0" quotePrefix="0" xfId="0"/>
    <xf numFmtId="0" fontId="6807" fillId="6812" borderId="6747" pivotButton="0" quotePrefix="0" xfId="0"/>
    <xf numFmtId="14" fontId="6808" fillId="6813" borderId="6748" pivotButton="0" quotePrefix="0" xfId="0"/>
    <xf numFmtId="0" fontId="6809" fillId="6814" borderId="6749" pivotButton="0" quotePrefix="0" xfId="0"/>
    <xf numFmtId="0" fontId="6810" fillId="6815" borderId="6750" pivotButton="0" quotePrefix="0" xfId="0"/>
    <xf numFmtId="0" fontId="6811" fillId="6816" borderId="6751" pivotButton="0" quotePrefix="0" xfId="0"/>
    <xf numFmtId="0" fontId="6812" fillId="6817" borderId="6752" pivotButton="0" quotePrefix="0" xfId="0"/>
    <xf numFmtId="0" fontId="6813" fillId="6818" borderId="6753" pivotButton="0" quotePrefix="0" xfId="0"/>
    <xf numFmtId="0" fontId="6814" fillId="6819" borderId="6754" pivotButton="0" quotePrefix="0" xfId="0"/>
    <xf numFmtId="14" fontId="6815" fillId="6820" borderId="6755" pivotButton="0" quotePrefix="0" xfId="0"/>
    <xf numFmtId="14" fontId="6816" fillId="6821" borderId="6756" pivotButton="0" quotePrefix="0" xfId="0"/>
    <xf numFmtId="0" fontId="6817" fillId="6822" borderId="6757" pivotButton="0" quotePrefix="0" xfId="0"/>
    <xf numFmtId="14" fontId="6818" fillId="6823" borderId="6758" pivotButton="0" quotePrefix="0" xfId="0"/>
    <xf numFmtId="0" fontId="6819" fillId="6824" borderId="6759" pivotButton="0" quotePrefix="0" xfId="0"/>
    <xf numFmtId="0" fontId="6820" fillId="6825" borderId="6760" pivotButton="0" quotePrefix="0" xfId="0"/>
    <xf numFmtId="0" fontId="6821" fillId="6826" borderId="6761" pivotButton="0" quotePrefix="0" xfId="0"/>
    <xf numFmtId="0" fontId="6822" fillId="6827" borderId="6762" pivotButton="0" quotePrefix="0" xfId="0"/>
    <xf numFmtId="0" fontId="6823" fillId="6828" borderId="6763" pivotButton="0" quotePrefix="0" xfId="0"/>
    <xf numFmtId="0" fontId="6824" fillId="6829" borderId="6764" pivotButton="0" quotePrefix="0" xfId="0"/>
    <xf numFmtId="14" fontId="6825" fillId="6830" borderId="6765" pivotButton="0" quotePrefix="0" xfId="0"/>
    <xf numFmtId="14" fontId="6826" fillId="6831" borderId="6766" pivotButton="0" quotePrefix="0" xfId="0"/>
    <xf numFmtId="0" fontId="6827" fillId="6832" borderId="6767" pivotButton="0" quotePrefix="0" xfId="0"/>
    <xf numFmtId="14" fontId="6828" fillId="6833" borderId="6768" pivotButton="0" quotePrefix="0" xfId="0"/>
    <xf numFmtId="0" fontId="6829" fillId="6834" borderId="6769" pivotButton="0" quotePrefix="0" xfId="0"/>
    <xf numFmtId="0" fontId="6830" fillId="6835" borderId="6770" pivotButton="0" quotePrefix="0" xfId="0"/>
    <xf numFmtId="0" fontId="6831" fillId="6836" borderId="6771" pivotButton="0" quotePrefix="0" xfId="0"/>
    <xf numFmtId="0" fontId="6832" fillId="6837" borderId="6772" pivotButton="0" quotePrefix="0" xfId="0"/>
    <xf numFmtId="0" fontId="6833" fillId="6838" borderId="6773" pivotButton="0" quotePrefix="0" xfId="0"/>
    <xf numFmtId="0" fontId="6834" fillId="6839" borderId="6774" pivotButton="0" quotePrefix="0" xfId="0"/>
    <xf numFmtId="14" fontId="6835" fillId="6840" borderId="6775" pivotButton="0" quotePrefix="0" xfId="0"/>
    <xf numFmtId="14" fontId="6836" fillId="6841" borderId="6776" pivotButton="0" quotePrefix="0" xfId="0"/>
    <xf numFmtId="0" fontId="6837" fillId="6842" borderId="6777" pivotButton="0" quotePrefix="0" xfId="0"/>
    <xf numFmtId="14" fontId="6838" fillId="6843" borderId="6778" pivotButton="0" quotePrefix="0" xfId="0"/>
    <xf numFmtId="0" fontId="6839" fillId="6844" borderId="6779" pivotButton="0" quotePrefix="0" xfId="0"/>
    <xf numFmtId="0" fontId="6840" fillId="6845" borderId="6780" pivotButton="0" quotePrefix="0" xfId="0"/>
    <xf numFmtId="0" fontId="6841" fillId="6846" borderId="6781" pivotButton="0" quotePrefix="0" xfId="0"/>
    <xf numFmtId="0" fontId="6842" fillId="6847" borderId="6782" pivotButton="0" quotePrefix="0" xfId="0"/>
    <xf numFmtId="0" fontId="6843" fillId="6848" borderId="6783" pivotButton="0" quotePrefix="0" xfId="0"/>
    <xf numFmtId="0" fontId="6844" fillId="6849" borderId="6784" pivotButton="0" quotePrefix="0" xfId="0"/>
    <xf numFmtId="14" fontId="6845" fillId="6850" borderId="6785" pivotButton="0" quotePrefix="0" xfId="0"/>
    <xf numFmtId="14" fontId="6846" fillId="6851" borderId="6786" pivotButton="0" quotePrefix="0" xfId="0"/>
    <xf numFmtId="0" fontId="6847" fillId="6852" borderId="6787" pivotButton="0" quotePrefix="0" xfId="0"/>
    <xf numFmtId="14" fontId="6848" fillId="6853" borderId="6788" pivotButton="0" quotePrefix="0" xfId="0"/>
    <xf numFmtId="0" fontId="6849" fillId="6854" borderId="6789" pivotButton="0" quotePrefix="0" xfId="0"/>
    <xf numFmtId="0" fontId="6850" fillId="6855" borderId="6790" pivotButton="0" quotePrefix="0" xfId="0"/>
    <xf numFmtId="0" fontId="6851" fillId="6856" borderId="6791" pivotButton="0" quotePrefix="0" xfId="0"/>
    <xf numFmtId="0" fontId="6852" fillId="6857" borderId="6792" pivotButton="0" quotePrefix="0" xfId="0"/>
    <xf numFmtId="0" fontId="6853" fillId="6858" borderId="6793" pivotButton="0" quotePrefix="0" xfId="0"/>
    <xf numFmtId="0" fontId="6854" fillId="6859" borderId="6794" pivotButton="0" quotePrefix="0" xfId="0"/>
    <xf numFmtId="14" fontId="6855" fillId="6860" borderId="6795" pivotButton="0" quotePrefix="0" xfId="0"/>
    <xf numFmtId="14" fontId="6856" fillId="6861" borderId="6796" pivotButton="0" quotePrefix="0" xfId="0"/>
    <xf numFmtId="0" fontId="6857" fillId="6862" borderId="6797" pivotButton="0" quotePrefix="0" xfId="0"/>
    <xf numFmtId="14" fontId="6858" fillId="6863" borderId="6798" pivotButton="0" quotePrefix="0" xfId="0"/>
    <xf numFmtId="0" fontId="6859" fillId="6864" borderId="6799" pivotButton="0" quotePrefix="0" xfId="0"/>
    <xf numFmtId="0" fontId="6860" fillId="6865" borderId="6800" pivotButton="0" quotePrefix="0" xfId="0"/>
    <xf numFmtId="0" fontId="6861" fillId="6866" borderId="6801" pivotButton="0" quotePrefix="0" xfId="0"/>
    <xf numFmtId="0" fontId="6862" fillId="6867" borderId="6802" pivotButton="0" quotePrefix="0" xfId="0"/>
    <xf numFmtId="0" fontId="6863" fillId="6868" borderId="6803" pivotButton="0" quotePrefix="0" xfId="0"/>
    <xf numFmtId="0" fontId="6864" fillId="6869" borderId="6804" pivotButton="0" quotePrefix="0" xfId="0"/>
    <xf numFmtId="14" fontId="6865" fillId="6870" borderId="6805" pivotButton="0" quotePrefix="0" xfId="0"/>
    <xf numFmtId="14" fontId="6866" fillId="6871" borderId="6806" pivotButton="0" quotePrefix="0" xfId="0"/>
    <xf numFmtId="0" fontId="6867" fillId="6872" borderId="6807" pivotButton="0" quotePrefix="0" xfId="0"/>
    <xf numFmtId="14" fontId="6868" fillId="6873" borderId="6808" pivotButton="0" quotePrefix="0" xfId="0"/>
    <xf numFmtId="0" fontId="6869" fillId="6874" borderId="6809" pivotButton="0" quotePrefix="0" xfId="0"/>
    <xf numFmtId="0" fontId="6870" fillId="6875" borderId="6810" pivotButton="0" quotePrefix="0" xfId="0"/>
    <xf numFmtId="0" fontId="6871" fillId="6876" borderId="6811" pivotButton="0" quotePrefix="0" xfId="0"/>
    <xf numFmtId="0" fontId="6872" fillId="6877" borderId="6812" pivotButton="0" quotePrefix="0" xfId="0"/>
    <xf numFmtId="0" fontId="6873" fillId="6878" borderId="6813" pivotButton="0" quotePrefix="0" xfId="0"/>
    <xf numFmtId="0" fontId="6874" fillId="6879" borderId="6814" pivotButton="0" quotePrefix="0" xfId="0"/>
    <xf numFmtId="14" fontId="6875" fillId="6880" borderId="6815" pivotButton="0" quotePrefix="0" xfId="0"/>
    <xf numFmtId="14" fontId="6876" fillId="6881" borderId="6816" pivotButton="0" quotePrefix="0" xfId="0"/>
    <xf numFmtId="0" fontId="6877" fillId="6882" borderId="6817" pivotButton="0" quotePrefix="0" xfId="0"/>
    <xf numFmtId="14" fontId="6878" fillId="6883" borderId="6818" pivotButton="0" quotePrefix="0" xfId="0"/>
    <xf numFmtId="0" fontId="6879" fillId="6884" borderId="6819" pivotButton="0" quotePrefix="0" xfId="0"/>
    <xf numFmtId="0" fontId="6880" fillId="6885" borderId="6820" pivotButton="0" quotePrefix="0" xfId="0"/>
    <xf numFmtId="0" fontId="6881" fillId="6886" borderId="6821" pivotButton="0" quotePrefix="0" xfId="0"/>
    <xf numFmtId="0" fontId="6882" fillId="6887" borderId="6822" pivotButton="0" quotePrefix="0" xfId="0"/>
    <xf numFmtId="0" fontId="6883" fillId="6888" borderId="6823" pivotButton="0" quotePrefix="0" xfId="0"/>
    <xf numFmtId="0" fontId="6884" fillId="6889" borderId="6824" pivotButton="0" quotePrefix="0" xfId="0"/>
    <xf numFmtId="14" fontId="6885" fillId="6890" borderId="6825" pivotButton="0" quotePrefix="0" xfId="0"/>
    <xf numFmtId="14" fontId="6886" fillId="6891" borderId="6826" pivotButton="0" quotePrefix="0" xfId="0"/>
    <xf numFmtId="0" fontId="6887" fillId="6892" borderId="6827" pivotButton="0" quotePrefix="0" xfId="0"/>
    <xf numFmtId="14" fontId="6888" fillId="6893" borderId="6828" pivotButton="0" quotePrefix="0" xfId="0"/>
    <xf numFmtId="0" fontId="6889" fillId="6894" borderId="6829" pivotButton="0" quotePrefix="0" xfId="0"/>
    <xf numFmtId="0" fontId="6890" fillId="6895" borderId="6830" pivotButton="0" quotePrefix="0" xfId="0"/>
    <xf numFmtId="0" fontId="6891" fillId="6896" borderId="6831" pivotButton="0" quotePrefix="0" xfId="0"/>
    <xf numFmtId="0" fontId="6892" fillId="6897" borderId="6832" pivotButton="0" quotePrefix="0" xfId="0"/>
    <xf numFmtId="0" fontId="6893" fillId="6898" borderId="6833" pivotButton="0" quotePrefix="0" xfId="0"/>
    <xf numFmtId="0" fontId="6894" fillId="6899" borderId="6834" pivotButton="0" quotePrefix="0" xfId="0"/>
    <xf numFmtId="14" fontId="6895" fillId="6900" borderId="6835" pivotButton="0" quotePrefix="0" xfId="0"/>
    <xf numFmtId="14" fontId="6896" fillId="6901" borderId="6836" pivotButton="0" quotePrefix="0" xfId="0"/>
    <xf numFmtId="0" fontId="6897" fillId="6902" borderId="6837" pivotButton="0" quotePrefix="0" xfId="0"/>
    <xf numFmtId="14" fontId="6898" fillId="6903" borderId="6838" pivotButton="0" quotePrefix="0" xfId="0"/>
    <xf numFmtId="0" fontId="6899" fillId="6904" borderId="6839" pivotButton="0" quotePrefix="0" xfId="0"/>
    <xf numFmtId="0" fontId="6900" fillId="6905" borderId="6840" pivotButton="0" quotePrefix="0" xfId="0"/>
    <xf numFmtId="0" fontId="6901" fillId="6906" borderId="6841" pivotButton="0" quotePrefix="0" xfId="0"/>
    <xf numFmtId="0" fontId="6902" fillId="6907" borderId="6842" pivotButton="0" quotePrefix="0" xfId="0"/>
    <xf numFmtId="0" fontId="6903" fillId="6908" borderId="6843" pivotButton="0" quotePrefix="0" xfId="0"/>
    <xf numFmtId="0" fontId="6904" fillId="6909" borderId="6844" pivotButton="0" quotePrefix="0" xfId="0"/>
    <xf numFmtId="14" fontId="6905" fillId="6910" borderId="6845" pivotButton="0" quotePrefix="0" xfId="0"/>
    <xf numFmtId="14" fontId="6906" fillId="6911" borderId="6846" pivotButton="0" quotePrefix="0" xfId="0"/>
    <xf numFmtId="0" fontId="6907" fillId="6912" borderId="6847" pivotButton="0" quotePrefix="0" xfId="0"/>
    <xf numFmtId="14" fontId="6908" fillId="6913" borderId="6848" pivotButton="0" quotePrefix="0" xfId="0"/>
    <xf numFmtId="0" fontId="6909" fillId="6914" borderId="6849" pivotButton="0" quotePrefix="0" xfId="0"/>
    <xf numFmtId="0" fontId="6910" fillId="6915" borderId="6850" pivotButton="0" quotePrefix="0" xfId="0"/>
    <xf numFmtId="0" fontId="6911" fillId="6916" borderId="6851" pivotButton="0" quotePrefix="0" xfId="0"/>
    <xf numFmtId="0" fontId="6912" fillId="6917" borderId="6852" pivotButton="0" quotePrefix="0" xfId="0"/>
    <xf numFmtId="0" fontId="6913" fillId="6918" borderId="6853" pivotButton="0" quotePrefix="0" xfId="0"/>
    <xf numFmtId="0" fontId="6914" fillId="6919" borderId="6854" pivotButton="0" quotePrefix="0" xfId="0"/>
    <xf numFmtId="14" fontId="6915" fillId="6920" borderId="6855" pivotButton="0" quotePrefix="0" xfId="0"/>
    <xf numFmtId="14" fontId="6916" fillId="6921" borderId="6856" pivotButton="0" quotePrefix="0" xfId="0"/>
    <xf numFmtId="0" fontId="6917" fillId="6922" borderId="6857" pivotButton="0" quotePrefix="0" xfId="0"/>
    <xf numFmtId="14" fontId="6918" fillId="6923" borderId="6858" pivotButton="0" quotePrefix="0" xfId="0"/>
    <xf numFmtId="0" fontId="6919" fillId="6924" borderId="6859" pivotButton="0" quotePrefix="0" xfId="0"/>
    <xf numFmtId="0" fontId="6920" fillId="6925" borderId="6860" pivotButton="0" quotePrefix="0" xfId="0"/>
    <xf numFmtId="0" fontId="6921" fillId="6926" borderId="6861" pivotButton="0" quotePrefix="0" xfId="0"/>
    <xf numFmtId="0" fontId="6922" fillId="6927" borderId="6862" pivotButton="0" quotePrefix="0" xfId="0"/>
    <xf numFmtId="0" fontId="6923" fillId="6928" borderId="6863" pivotButton="0" quotePrefix="0" xfId="0"/>
    <xf numFmtId="0" fontId="6924" fillId="6929" borderId="6864" pivotButton="0" quotePrefix="0" xfId="0"/>
    <xf numFmtId="14" fontId="6925" fillId="6930" borderId="6865" pivotButton="0" quotePrefix="0" xfId="0"/>
    <xf numFmtId="14" fontId="6926" fillId="6931" borderId="6866" pivotButton="0" quotePrefix="0" xfId="0"/>
    <xf numFmtId="0" fontId="6927" fillId="6932" borderId="6867" pivotButton="0" quotePrefix="0" xfId="0"/>
    <xf numFmtId="14" fontId="6928" fillId="6933" borderId="6868" pivotButton="0" quotePrefix="0" xfId="0"/>
    <xf numFmtId="0" fontId="6929" fillId="6934" borderId="6869" pivotButton="0" quotePrefix="0" xfId="0"/>
    <xf numFmtId="0" fontId="6930" fillId="6935" borderId="6870" pivotButton="0" quotePrefix="0" xfId="0"/>
    <xf numFmtId="0" fontId="6931" fillId="6936" borderId="6871" pivotButton="0" quotePrefix="0" xfId="0"/>
    <xf numFmtId="0" fontId="6932" fillId="6937" borderId="6872" pivotButton="0" quotePrefix="0" xfId="0"/>
    <xf numFmtId="0" fontId="6933" fillId="6938" borderId="6873" pivotButton="0" quotePrefix="0" xfId="0"/>
    <xf numFmtId="0" fontId="6934" fillId="6939" borderId="6874" pivotButton="0" quotePrefix="0" xfId="0"/>
    <xf numFmtId="14" fontId="6935" fillId="6940" borderId="6875" pivotButton="0" quotePrefix="0" xfId="0"/>
    <xf numFmtId="14" fontId="6936" fillId="6941" borderId="6876" pivotButton="0" quotePrefix="0" xfId="0"/>
    <xf numFmtId="0" fontId="6937" fillId="6942" borderId="6877" pivotButton="0" quotePrefix="0" xfId="0"/>
    <xf numFmtId="14" fontId="6938" fillId="6943" borderId="6878" pivotButton="0" quotePrefix="0" xfId="0"/>
    <xf numFmtId="0" fontId="6939" fillId="6944" borderId="6879" pivotButton="0" quotePrefix="0" xfId="0"/>
    <xf numFmtId="0" fontId="6940" fillId="6945" borderId="6880" pivotButton="0" quotePrefix="0" xfId="0"/>
    <xf numFmtId="0" fontId="6941" fillId="6946" borderId="6881" pivotButton="0" quotePrefix="0" xfId="0"/>
    <xf numFmtId="0" fontId="6942" fillId="6947" borderId="6882" pivotButton="0" quotePrefix="0" xfId="0"/>
    <xf numFmtId="0" fontId="6943" fillId="6948" borderId="6883" pivotButton="0" quotePrefix="0" xfId="0"/>
    <xf numFmtId="0" fontId="6944" fillId="6949" borderId="6884" pivotButton="0" quotePrefix="0" xfId="0"/>
    <xf numFmtId="14" fontId="6945" fillId="6950" borderId="6885" pivotButton="0" quotePrefix="0" xfId="0"/>
    <xf numFmtId="14" fontId="6946" fillId="6951" borderId="6886" pivotButton="0" quotePrefix="0" xfId="0"/>
    <xf numFmtId="0" fontId="6947" fillId="6952" borderId="6887" pivotButton="0" quotePrefix="0" xfId="0"/>
    <xf numFmtId="14" fontId="6948" fillId="6953" borderId="6888" pivotButton="0" quotePrefix="0" xfId="0"/>
    <xf numFmtId="0" fontId="6949" fillId="6954" borderId="6889" pivotButton="0" quotePrefix="0" xfId="0"/>
    <xf numFmtId="0" fontId="6950" fillId="6955" borderId="6890" pivotButton="0" quotePrefix="0" xfId="0"/>
    <xf numFmtId="0" fontId="6951" fillId="6956" borderId="6891" pivotButton="0" quotePrefix="0" xfId="0"/>
    <xf numFmtId="0" fontId="6952" fillId="6957" borderId="6892" pivotButton="0" quotePrefix="0" xfId="0"/>
    <xf numFmtId="0" fontId="6953" fillId="6958" borderId="6893" pivotButton="0" quotePrefix="0" xfId="0"/>
    <xf numFmtId="0" fontId="6954" fillId="6959" borderId="6894" pivotButton="0" quotePrefix="0" xfId="0"/>
    <xf numFmtId="14" fontId="6955" fillId="6960" borderId="6895" pivotButton="0" quotePrefix="0" xfId="0"/>
    <xf numFmtId="14" fontId="6956" fillId="6961" borderId="6896" pivotButton="0" quotePrefix="0" xfId="0"/>
    <xf numFmtId="0" fontId="6957" fillId="6962" borderId="6897" pivotButton="0" quotePrefix="0" xfId="0"/>
    <xf numFmtId="14" fontId="6958" fillId="6963" borderId="6898" pivotButton="0" quotePrefix="0" xfId="0"/>
    <xf numFmtId="0" fontId="6959" fillId="6964" borderId="6899" pivotButton="0" quotePrefix="0" xfId="0"/>
    <xf numFmtId="0" fontId="6960" fillId="6965" borderId="6900" pivotButton="0" quotePrefix="0" xfId="0"/>
    <xf numFmtId="0" fontId="6961" fillId="6966" borderId="6901" pivotButton="0" quotePrefix="0" xfId="0"/>
    <xf numFmtId="0" fontId="6962" fillId="6967" borderId="6902" pivotButton="0" quotePrefix="0" xfId="0"/>
    <xf numFmtId="0" fontId="6963" fillId="6968" borderId="6903" pivotButton="0" quotePrefix="0" xfId="0"/>
    <xf numFmtId="0" fontId="6964" fillId="6969" borderId="6904" pivotButton="0" quotePrefix="0" xfId="0"/>
    <xf numFmtId="14" fontId="6965" fillId="6970" borderId="6905" pivotButton="0" quotePrefix="0" xfId="0"/>
    <xf numFmtId="14" fontId="6966" fillId="6971" borderId="6906" pivotButton="0" quotePrefix="0" xfId="0"/>
    <xf numFmtId="0" fontId="6967" fillId="6972" borderId="6907" pivotButton="0" quotePrefix="0" xfId="0"/>
    <xf numFmtId="14" fontId="6968" fillId="6973" borderId="6908" pivotButton="0" quotePrefix="0" xfId="0"/>
    <xf numFmtId="0" fontId="6969" fillId="6974" borderId="6909" pivotButton="0" quotePrefix="0" xfId="0"/>
    <xf numFmtId="0" fontId="6970" fillId="6975" borderId="6910" pivotButton="0" quotePrefix="0" xfId="0"/>
    <xf numFmtId="0" fontId="6971" fillId="6976" borderId="6911" pivotButton="0" quotePrefix="0" xfId="0"/>
    <xf numFmtId="0" fontId="6972" fillId="6977" borderId="6912" pivotButton="0" quotePrefix="0" xfId="0"/>
    <xf numFmtId="0" fontId="6973" fillId="6978" borderId="6913" pivotButton="0" quotePrefix="0" xfId="0"/>
    <xf numFmtId="0" fontId="6974" fillId="6979" borderId="6914" pivotButton="0" quotePrefix="0" xfId="0"/>
    <xf numFmtId="14" fontId="6975" fillId="6980" borderId="6915" pivotButton="0" quotePrefix="0" xfId="0"/>
    <xf numFmtId="14" fontId="6976" fillId="6981" borderId="6916" pivotButton="0" quotePrefix="0" xfId="0"/>
    <xf numFmtId="0" fontId="6977" fillId="6982" borderId="6917" pivotButton="0" quotePrefix="0" xfId="0"/>
    <xf numFmtId="14" fontId="6978" fillId="6983" borderId="6918" pivotButton="0" quotePrefix="0" xfId="0"/>
    <xf numFmtId="0" fontId="6979" fillId="6984" borderId="6919" pivotButton="0" quotePrefix="0" xfId="0"/>
    <xf numFmtId="0" fontId="6980" fillId="6985" borderId="6920" pivotButton="0" quotePrefix="0" xfId="0"/>
    <xf numFmtId="0" fontId="6981" fillId="6986" borderId="6921" pivotButton="0" quotePrefix="0" xfId="0"/>
    <xf numFmtId="0" fontId="6982" fillId="6987" borderId="6922" pivotButton="0" quotePrefix="0" xfId="0"/>
    <xf numFmtId="0" fontId="6983" fillId="6988" borderId="6923" pivotButton="0" quotePrefix="0" xfId="0"/>
    <xf numFmtId="0" fontId="6984" fillId="6989" borderId="6924" pivotButton="0" quotePrefix="0" xfId="0"/>
    <xf numFmtId="14" fontId="6985" fillId="6990" borderId="6925" pivotButton="0" quotePrefix="0" xfId="0"/>
    <xf numFmtId="14" fontId="6986" fillId="6991" borderId="6926" pivotButton="0" quotePrefix="0" xfId="0"/>
    <xf numFmtId="0" fontId="6987" fillId="6992" borderId="6927" pivotButton="0" quotePrefix="0" xfId="0"/>
    <xf numFmtId="14" fontId="6988" fillId="6993" borderId="6928" pivotButton="0" quotePrefix="0" xfId="0"/>
    <xf numFmtId="0" fontId="6989" fillId="6994" borderId="6929" pivotButton="0" quotePrefix="0" xfId="0"/>
    <xf numFmtId="0" fontId="6990" fillId="6995" borderId="6930" pivotButton="0" quotePrefix="0" xfId="0"/>
    <xf numFmtId="0" fontId="6991" fillId="6996" borderId="6931" pivotButton="0" quotePrefix="0" xfId="0"/>
    <xf numFmtId="0" fontId="6992" fillId="6997" borderId="6932" pivotButton="0" quotePrefix="0" xfId="0"/>
    <xf numFmtId="0" fontId="6993" fillId="6998" borderId="6933" pivotButton="0" quotePrefix="0" xfId="0"/>
    <xf numFmtId="0" fontId="6994" fillId="6999" borderId="6934" pivotButton="0" quotePrefix="0" xfId="0"/>
    <xf numFmtId="14" fontId="6995" fillId="7000" borderId="6935" pivotButton="0" quotePrefix="0" xfId="0"/>
    <xf numFmtId="14" fontId="6996" fillId="7001" borderId="6936" pivotButton="0" quotePrefix="0" xfId="0"/>
    <xf numFmtId="0" fontId="6997" fillId="7002" borderId="6937" pivotButton="0" quotePrefix="0" xfId="0"/>
    <xf numFmtId="14" fontId="6998" fillId="7003" borderId="6938" pivotButton="0" quotePrefix="0" xfId="0"/>
    <xf numFmtId="0" fontId="6999" fillId="7004" borderId="6939" pivotButton="0" quotePrefix="0" xfId="0"/>
    <xf numFmtId="0" fontId="7000" fillId="7005" borderId="6940" pivotButton="0" quotePrefix="0" xfId="0"/>
    <xf numFmtId="0" fontId="7001" fillId="7006" borderId="6941" pivotButton="0" quotePrefix="0" xfId="0"/>
    <xf numFmtId="0" fontId="7002" fillId="7007" borderId="6942" pivotButton="0" quotePrefix="0" xfId="0"/>
    <xf numFmtId="0" fontId="7003" fillId="7008" borderId="6943" pivotButton="0" quotePrefix="0" xfId="0"/>
    <xf numFmtId="0" fontId="7004" fillId="7009" borderId="6944" pivotButton="0" quotePrefix="0" xfId="0"/>
    <xf numFmtId="14" fontId="7005" fillId="7010" borderId="6945" pivotButton="0" quotePrefix="0" xfId="0"/>
    <xf numFmtId="14" fontId="7006" fillId="7011" borderId="6946" pivotButton="0" quotePrefix="0" xfId="0"/>
    <xf numFmtId="0" fontId="7007" fillId="7012" borderId="6947" pivotButton="0" quotePrefix="0" xfId="0"/>
    <xf numFmtId="14" fontId="7008" fillId="7013" borderId="6948" pivotButton="0" quotePrefix="0" xfId="0"/>
    <xf numFmtId="0" fontId="7009" fillId="7014" borderId="6949" pivotButton="0" quotePrefix="0" xfId="0"/>
    <xf numFmtId="0" fontId="7010" fillId="7015" borderId="6950" pivotButton="0" quotePrefix="0" xfId="0"/>
    <xf numFmtId="0" fontId="7011" fillId="7016" borderId="6951" pivotButton="0" quotePrefix="0" xfId="0"/>
    <xf numFmtId="0" fontId="7012" fillId="7017" borderId="6952" pivotButton="0" quotePrefix="0" xfId="0"/>
    <xf numFmtId="0" fontId="7013" fillId="7018" borderId="6953" pivotButton="0" quotePrefix="0" xfId="0"/>
    <xf numFmtId="0" fontId="7014" fillId="7019" borderId="6954" pivotButton="0" quotePrefix="0" xfId="0"/>
    <xf numFmtId="14" fontId="7015" fillId="7020" borderId="6955" pivotButton="0" quotePrefix="0" xfId="0"/>
    <xf numFmtId="14" fontId="7016" fillId="7021" borderId="6956" pivotButton="0" quotePrefix="0" xfId="0"/>
    <xf numFmtId="0" fontId="7017" fillId="7022" borderId="6957" pivotButton="0" quotePrefix="0" xfId="0"/>
    <xf numFmtId="14" fontId="7018" fillId="7023" borderId="6958" pivotButton="0" quotePrefix="0" xfId="0"/>
    <xf numFmtId="0" fontId="7019" fillId="7024" borderId="6959" pivotButton="0" quotePrefix="0" xfId="0"/>
    <xf numFmtId="0" fontId="7020" fillId="7025" borderId="6960" pivotButton="0" quotePrefix="0" xfId="0"/>
    <xf numFmtId="0" fontId="7021" fillId="7026" borderId="6961" pivotButton="0" quotePrefix="0" xfId="0"/>
    <xf numFmtId="0" fontId="7022" fillId="7027" borderId="6962" pivotButton="0" quotePrefix="0" xfId="0"/>
    <xf numFmtId="0" fontId="7023" fillId="7028" borderId="6963" pivotButton="0" quotePrefix="0" xfId="0"/>
    <xf numFmtId="0" fontId="7024" fillId="7029" borderId="6964" pivotButton="0" quotePrefix="0" xfId="0"/>
    <xf numFmtId="14" fontId="7025" fillId="7030" borderId="6965" pivotButton="0" quotePrefix="0" xfId="0"/>
    <xf numFmtId="14" fontId="7026" fillId="7031" borderId="6966" pivotButton="0" quotePrefix="0" xfId="0"/>
    <xf numFmtId="0" fontId="7027" fillId="7032" borderId="6967" pivotButton="0" quotePrefix="0" xfId="0"/>
    <xf numFmtId="14" fontId="7028" fillId="7033" borderId="6968" pivotButton="0" quotePrefix="0" xfId="0"/>
    <xf numFmtId="0" fontId="7029" fillId="7034" borderId="6969" pivotButton="0" quotePrefix="0" xfId="0"/>
    <xf numFmtId="0" fontId="7030" fillId="7035" borderId="6970" pivotButton="0" quotePrefix="0" xfId="0"/>
    <xf numFmtId="0" fontId="7031" fillId="7036" borderId="6971" pivotButton="0" quotePrefix="0" xfId="0"/>
    <xf numFmtId="0" fontId="7032" fillId="7037" borderId="6972" pivotButton="0" quotePrefix="0" xfId="0"/>
    <xf numFmtId="0" fontId="7033" fillId="7038" borderId="6973" pivotButton="0" quotePrefix="0" xfId="0"/>
    <xf numFmtId="0" fontId="7034" fillId="7039" borderId="6974" pivotButton="0" quotePrefix="0" xfId="0"/>
    <xf numFmtId="14" fontId="7035" fillId="7040" borderId="6975" pivotButton="0" quotePrefix="0" xfId="0"/>
    <xf numFmtId="14" fontId="7036" fillId="7041" borderId="6976" pivotButton="0" quotePrefix="0" xfId="0"/>
    <xf numFmtId="0" fontId="7037" fillId="7042" borderId="6977" pivotButton="0" quotePrefix="0" xfId="0"/>
    <xf numFmtId="14" fontId="7038" fillId="7043" borderId="6978" pivotButton="0" quotePrefix="0" xfId="0"/>
    <xf numFmtId="0" fontId="7039" fillId="7044" borderId="6979" pivotButton="0" quotePrefix="0" xfId="0"/>
    <xf numFmtId="0" fontId="7040" fillId="7045" borderId="6980" pivotButton="0" quotePrefix="0" xfId="0"/>
    <xf numFmtId="0" fontId="7041" fillId="7046" borderId="6981" pivotButton="0" quotePrefix="0" xfId="0"/>
    <xf numFmtId="0" fontId="7042" fillId="7047" borderId="6982" pivotButton="0" quotePrefix="0" xfId="0"/>
    <xf numFmtId="0" fontId="7043" fillId="7048" borderId="6983" pivotButton="0" quotePrefix="0" xfId="0"/>
    <xf numFmtId="0" fontId="7044" fillId="7049" borderId="6984" pivotButton="0" quotePrefix="0" xfId="0"/>
    <xf numFmtId="14" fontId="7045" fillId="7050" borderId="6985" pivotButton="0" quotePrefix="0" xfId="0"/>
    <xf numFmtId="14" fontId="7046" fillId="7051" borderId="6986" pivotButton="0" quotePrefix="0" xfId="0"/>
    <xf numFmtId="0" fontId="7047" fillId="7052" borderId="6987" pivotButton="0" quotePrefix="0" xfId="0"/>
    <xf numFmtId="14" fontId="7048" fillId="7053" borderId="6988" pivotButton="0" quotePrefix="0" xfId="0"/>
    <xf numFmtId="0" fontId="7049" fillId="7054" borderId="6989" pivotButton="0" quotePrefix="0" xfId="0"/>
    <xf numFmtId="0" fontId="7050" fillId="7055" borderId="6990" pivotButton="0" quotePrefix="0" xfId="0"/>
    <xf numFmtId="0" fontId="7051" fillId="7056" borderId="6991" pivotButton="0" quotePrefix="0" xfId="0"/>
    <xf numFmtId="0" fontId="7052" fillId="7057" borderId="6992" pivotButton="0" quotePrefix="0" xfId="0"/>
    <xf numFmtId="0" fontId="7053" fillId="7058" borderId="6993" pivotButton="0" quotePrefix="0" xfId="0"/>
    <xf numFmtId="0" fontId="7054" fillId="7059" borderId="6994" pivotButton="0" quotePrefix="0" xfId="0"/>
    <xf numFmtId="14" fontId="7055" fillId="7060" borderId="6995" pivotButton="0" quotePrefix="0" xfId="0"/>
    <xf numFmtId="14" fontId="7056" fillId="7061" borderId="6996" pivotButton="0" quotePrefix="0" xfId="0"/>
    <xf numFmtId="0" fontId="7057" fillId="7062" borderId="6997" pivotButton="0" quotePrefix="0" xfId="0"/>
    <xf numFmtId="14" fontId="7058" fillId="7063" borderId="6998" pivotButton="0" quotePrefix="0" xfId="0"/>
    <xf numFmtId="0" fontId="7059" fillId="7064" borderId="6999" pivotButton="0" quotePrefix="0" xfId="0"/>
    <xf numFmtId="0" fontId="7060" fillId="7065" borderId="7000" pivotButton="0" quotePrefix="0" xfId="0"/>
    <xf numFmtId="0" fontId="7061" fillId="7066" borderId="7001" pivotButton="0" quotePrefix="0" xfId="0"/>
    <xf numFmtId="0" fontId="7062" fillId="7067" borderId="7002" pivotButton="0" quotePrefix="0" xfId="0"/>
    <xf numFmtId="0" fontId="7063" fillId="7068" borderId="7003" pivotButton="0" quotePrefix="0" xfId="0"/>
    <xf numFmtId="0" fontId="7064" fillId="7069" borderId="7004" pivotButton="0" quotePrefix="0" xfId="0"/>
    <xf numFmtId="14" fontId="7065" fillId="7070" borderId="7005" pivotButton="0" quotePrefix="0" xfId="0"/>
    <xf numFmtId="14" fontId="7066" fillId="7071" borderId="7006" pivotButton="0" quotePrefix="0" xfId="0"/>
    <xf numFmtId="0" fontId="7067" fillId="7072" borderId="7007" pivotButton="0" quotePrefix="0" xfId="0"/>
    <xf numFmtId="14" fontId="7068" fillId="7073" borderId="7008" pivotButton="0" quotePrefix="0" xfId="0"/>
    <xf numFmtId="0" fontId="7069" fillId="7074" borderId="7009" pivotButton="0" quotePrefix="0" xfId="0"/>
    <xf numFmtId="0" fontId="7070" fillId="7075" borderId="7010" pivotButton="0" quotePrefix="0" xfId="0"/>
    <xf numFmtId="0" fontId="7071" fillId="7076" borderId="7011" pivotButton="0" quotePrefix="0" xfId="0"/>
    <xf numFmtId="0" fontId="7072" fillId="7077" borderId="7012" pivotButton="0" quotePrefix="0" xfId="0"/>
    <xf numFmtId="0" fontId="7073" fillId="7078" borderId="7013" pivotButton="0" quotePrefix="0" xfId="0"/>
    <xf numFmtId="0" fontId="7074" fillId="7079" borderId="7014" pivotButton="0" quotePrefix="0" xfId="0"/>
    <xf numFmtId="14" fontId="7075" fillId="7080" borderId="7015" pivotButton="0" quotePrefix="0" xfId="0"/>
    <xf numFmtId="14" fontId="7076" fillId="7081" borderId="7016" pivotButton="0" quotePrefix="0" xfId="0"/>
    <xf numFmtId="0" fontId="7077" fillId="7082" borderId="7017" pivotButton="0" quotePrefix="0" xfId="0"/>
    <xf numFmtId="14" fontId="7078" fillId="7083" borderId="7018" pivotButton="0" quotePrefix="0" xfId="0"/>
    <xf numFmtId="0" fontId="7079" fillId="7084" borderId="7019" pivotButton="0" quotePrefix="0" xfId="0"/>
    <xf numFmtId="0" fontId="7080" fillId="7085" borderId="7020" pivotButton="0" quotePrefix="0" xfId="0"/>
    <xf numFmtId="0" fontId="7081" fillId="7086" borderId="7021" pivotButton="0" quotePrefix="0" xfId="0"/>
    <xf numFmtId="0" fontId="7082" fillId="7087" borderId="7022" pivotButton="0" quotePrefix="0" xfId="0"/>
    <xf numFmtId="0" fontId="7083" fillId="7088" borderId="7023" pivotButton="0" quotePrefix="0" xfId="0"/>
    <xf numFmtId="0" fontId="7084" fillId="7089" borderId="7024" pivotButton="0" quotePrefix="0" xfId="0"/>
    <xf numFmtId="14" fontId="7085" fillId="7090" borderId="7025" pivotButton="0" quotePrefix="0" xfId="0"/>
    <xf numFmtId="14" fontId="7086" fillId="7091" borderId="7026" pivotButton="0" quotePrefix="0" xfId="0"/>
    <xf numFmtId="0" fontId="7087" fillId="7092" borderId="7027" pivotButton="0" quotePrefix="0" xfId="0"/>
    <xf numFmtId="14" fontId="7088" fillId="7093" borderId="7028" pivotButton="0" quotePrefix="0" xfId="0"/>
    <xf numFmtId="0" fontId="7089" fillId="7094" borderId="7029" pivotButton="0" quotePrefix="0" xfId="0"/>
    <xf numFmtId="0" fontId="7090" fillId="7095" borderId="7030" pivotButton="0" quotePrefix="0" xfId="0"/>
    <xf numFmtId="0" fontId="7091" fillId="7096" borderId="7031" pivotButton="0" quotePrefix="0" xfId="0"/>
    <xf numFmtId="0" fontId="7092" fillId="7097" borderId="7032" pivotButton="0" quotePrefix="0" xfId="0"/>
    <xf numFmtId="0" fontId="7093" fillId="7098" borderId="7033" pivotButton="0" quotePrefix="0" xfId="0"/>
    <xf numFmtId="0" fontId="7094" fillId="7099" borderId="7034" pivotButton="0" quotePrefix="0" xfId="0"/>
    <xf numFmtId="14" fontId="7095" fillId="7100" borderId="7035" pivotButton="0" quotePrefix="0" xfId="0"/>
    <xf numFmtId="14" fontId="7096" fillId="7101" borderId="7036" pivotButton="0" quotePrefix="0" xfId="0"/>
    <xf numFmtId="0" fontId="7097" fillId="7102" borderId="7037" pivotButton="0" quotePrefix="0" xfId="0"/>
    <xf numFmtId="14" fontId="7098" fillId="7103" borderId="7038" pivotButton="0" quotePrefix="0" xfId="0"/>
    <xf numFmtId="0" fontId="7099" fillId="7104" borderId="7039" pivotButton="0" quotePrefix="0" xfId="0"/>
    <xf numFmtId="0" fontId="7100" fillId="7105" borderId="7040" pivotButton="0" quotePrefix="0" xfId="0"/>
    <xf numFmtId="0" fontId="7101" fillId="7106" borderId="7041" pivotButton="0" quotePrefix="0" xfId="0"/>
    <xf numFmtId="0" fontId="7102" fillId="7107" borderId="7042" pivotButton="0" quotePrefix="0" xfId="0"/>
    <xf numFmtId="0" fontId="7103" fillId="7108" borderId="7043" pivotButton="0" quotePrefix="0" xfId="0"/>
    <xf numFmtId="0" fontId="7104" fillId="7109" borderId="7044" pivotButton="0" quotePrefix="0" xfId="0"/>
    <xf numFmtId="14" fontId="7105" fillId="7110" borderId="7045" pivotButton="0" quotePrefix="0" xfId="0"/>
    <xf numFmtId="14" fontId="7106" fillId="7111" borderId="7046" pivotButton="0" quotePrefix="0" xfId="0"/>
    <xf numFmtId="0" fontId="7107" fillId="7112" borderId="7047" pivotButton="0" quotePrefix="0" xfId="0"/>
    <xf numFmtId="14" fontId="7108" fillId="7113" borderId="7048" pivotButton="0" quotePrefix="0" xfId="0"/>
    <xf numFmtId="0" fontId="7109" fillId="7114" borderId="7049" pivotButton="0" quotePrefix="0" xfId="0"/>
    <xf numFmtId="0" fontId="7110" fillId="7115" borderId="7050" pivotButton="0" quotePrefix="0" xfId="0"/>
    <xf numFmtId="0" fontId="7111" fillId="7116" borderId="7051" pivotButton="0" quotePrefix="0" xfId="0"/>
    <xf numFmtId="0" fontId="7112" fillId="7117" borderId="7052" pivotButton="0" quotePrefix="0" xfId="0"/>
    <xf numFmtId="0" fontId="7113" fillId="7118" borderId="7053" pivotButton="0" quotePrefix="0" xfId="0"/>
    <xf numFmtId="0" fontId="7114" fillId="7119" borderId="7054" pivotButton="0" quotePrefix="0" xfId="0"/>
    <xf numFmtId="14" fontId="7115" fillId="7120" borderId="7055" pivotButton="0" quotePrefix="0" xfId="0"/>
    <xf numFmtId="14" fontId="7116" fillId="7121" borderId="7056" pivotButton="0" quotePrefix="0" xfId="0"/>
    <xf numFmtId="0" fontId="7117" fillId="7122" borderId="7057" pivotButton="0" quotePrefix="0" xfId="0"/>
    <xf numFmtId="14" fontId="7118" fillId="7123" borderId="7058" pivotButton="0" quotePrefix="0" xfId="0"/>
    <xf numFmtId="0" fontId="7119" fillId="7124" borderId="7059" pivotButton="0" quotePrefix="0" xfId="0"/>
    <xf numFmtId="0" fontId="7120" fillId="7125" borderId="7060" pivotButton="0" quotePrefix="0" xfId="0"/>
    <xf numFmtId="0" fontId="7121" fillId="7126" borderId="7061" pivotButton="0" quotePrefix="0" xfId="0"/>
    <xf numFmtId="0" fontId="7122" fillId="7127" borderId="7062" pivotButton="0" quotePrefix="0" xfId="0"/>
    <xf numFmtId="0" fontId="7123" fillId="7128" borderId="7063" pivotButton="0" quotePrefix="0" xfId="0"/>
    <xf numFmtId="0" fontId="7124" fillId="7129" borderId="7064" pivotButton="0" quotePrefix="0" xfId="0"/>
    <xf numFmtId="14" fontId="7125" fillId="7130" borderId="7065" pivotButton="0" quotePrefix="0" xfId="0"/>
    <xf numFmtId="14" fontId="7126" fillId="7131" borderId="7066" pivotButton="0" quotePrefix="0" xfId="0"/>
    <xf numFmtId="0" fontId="7127" fillId="7132" borderId="7067" pivotButton="0" quotePrefix="0" xfId="0"/>
    <xf numFmtId="14" fontId="7128" fillId="7133" borderId="7068" pivotButton="0" quotePrefix="0" xfId="0"/>
    <xf numFmtId="0" fontId="7129" fillId="7134" borderId="7069" pivotButton="0" quotePrefix="0" xfId="0"/>
    <xf numFmtId="0" fontId="7130" fillId="7135" borderId="7070" pivotButton="0" quotePrefix="0" xfId="0"/>
    <xf numFmtId="0" fontId="7131" fillId="7136" borderId="7071" pivotButton="0" quotePrefix="0" xfId="0"/>
    <xf numFmtId="0" fontId="7132" fillId="7137" borderId="7072" pivotButton="0" quotePrefix="0" xfId="0"/>
    <xf numFmtId="0" fontId="7133" fillId="7138" borderId="7073" pivotButton="0" quotePrefix="0" xfId="0"/>
    <xf numFmtId="0" fontId="7134" fillId="7139" borderId="7074" pivotButton="0" quotePrefix="0" xfId="0"/>
    <xf numFmtId="14" fontId="7135" fillId="7140" borderId="7075" pivotButton="0" quotePrefix="0" xfId="0"/>
    <xf numFmtId="14" fontId="7136" fillId="7141" borderId="7076" pivotButton="0" quotePrefix="0" xfId="0"/>
    <xf numFmtId="0" fontId="7137" fillId="7142" borderId="7077" pivotButton="0" quotePrefix="0" xfId="0"/>
    <xf numFmtId="14" fontId="7138" fillId="7143" borderId="7078" pivotButton="0" quotePrefix="0" xfId="0"/>
    <xf numFmtId="0" fontId="7139" fillId="7144" borderId="7079" pivotButton="0" quotePrefix="0" xfId="0"/>
    <xf numFmtId="0" fontId="7140" fillId="7145" borderId="7080" pivotButton="0" quotePrefix="0" xfId="0"/>
    <xf numFmtId="0" fontId="7141" fillId="7146" borderId="7081" pivotButton="0" quotePrefix="0" xfId="0"/>
    <xf numFmtId="0" fontId="7142" fillId="7147" borderId="7082" pivotButton="0" quotePrefix="0" xfId="0"/>
    <xf numFmtId="0" fontId="7143" fillId="7148" borderId="7083" pivotButton="0" quotePrefix="0" xfId="0"/>
    <xf numFmtId="0" fontId="7144" fillId="7149" borderId="7084" pivotButton="0" quotePrefix="0" xfId="0"/>
    <xf numFmtId="14" fontId="7145" fillId="7150" borderId="7085" pivotButton="0" quotePrefix="0" xfId="0"/>
    <xf numFmtId="14" fontId="7146" fillId="7151" borderId="7086" pivotButton="0" quotePrefix="0" xfId="0"/>
    <xf numFmtId="0" fontId="7147" fillId="7152" borderId="7087" pivotButton="0" quotePrefix="0" xfId="0"/>
    <xf numFmtId="14" fontId="7148" fillId="7153" borderId="7088" pivotButton="0" quotePrefix="0" xfId="0"/>
    <xf numFmtId="0" fontId="7149" fillId="7154" borderId="7089" pivotButton="0" quotePrefix="0" xfId="0"/>
    <xf numFmtId="0" fontId="7150" fillId="7155" borderId="7090" pivotButton="0" quotePrefix="0" xfId="0"/>
    <xf numFmtId="0" fontId="7151" fillId="7156" borderId="7091" pivotButton="0" quotePrefix="0" xfId="0"/>
    <xf numFmtId="0" fontId="7152" fillId="7157" borderId="7092" pivotButton="0" quotePrefix="0" xfId="0"/>
    <xf numFmtId="0" fontId="7153" fillId="7158" borderId="7093" pivotButton="0" quotePrefix="0" xfId="0"/>
    <xf numFmtId="0" fontId="7154" fillId="7159" borderId="7094" pivotButton="0" quotePrefix="0" xfId="0"/>
    <xf numFmtId="14" fontId="7155" fillId="7160" borderId="7095" pivotButton="0" quotePrefix="0" xfId="0"/>
    <xf numFmtId="14" fontId="7156" fillId="7161" borderId="7096" pivotButton="0" quotePrefix="0" xfId="0"/>
    <xf numFmtId="0" fontId="7157" fillId="7162" borderId="7097" pivotButton="0" quotePrefix="0" xfId="0"/>
    <xf numFmtId="14" fontId="7158" fillId="7163" borderId="7098" pivotButton="0" quotePrefix="0" xfId="0"/>
    <xf numFmtId="0" fontId="7159" fillId="7164" borderId="7099" pivotButton="0" quotePrefix="0" xfId="0"/>
    <xf numFmtId="0" fontId="7160" fillId="7165" borderId="7100" pivotButton="0" quotePrefix="0" xfId="0"/>
    <xf numFmtId="0" fontId="7161" fillId="7166" borderId="7101" pivotButton="0" quotePrefix="0" xfId="0"/>
    <xf numFmtId="0" fontId="7162" fillId="7167" borderId="7102" pivotButton="0" quotePrefix="0" xfId="0"/>
    <xf numFmtId="0" fontId="7163" fillId="7168" borderId="7103" pivotButton="0" quotePrefix="0" xfId="0"/>
    <xf numFmtId="0" fontId="7164" fillId="7169" borderId="7104" pivotButton="0" quotePrefix="0" xfId="0"/>
    <xf numFmtId="14" fontId="7165" fillId="7170" borderId="7105" pivotButton="0" quotePrefix="0" xfId="0"/>
    <xf numFmtId="14" fontId="7166" fillId="7171" borderId="7106" pivotButton="0" quotePrefix="0" xfId="0"/>
    <xf numFmtId="0" fontId="7167" fillId="7172" borderId="7107" pivotButton="0" quotePrefix="0" xfId="0"/>
    <xf numFmtId="14" fontId="7168" fillId="7173" borderId="7108" pivotButton="0" quotePrefix="0" xfId="0"/>
    <xf numFmtId="0" fontId="7169" fillId="7174" borderId="7109" pivotButton="0" quotePrefix="0" xfId="0"/>
    <xf numFmtId="0" fontId="7170" fillId="7175" borderId="7110" pivotButton="0" quotePrefix="0" xfId="0"/>
    <xf numFmtId="0" fontId="7171" fillId="7176" borderId="7111" pivotButton="0" quotePrefix="0" xfId="0"/>
    <xf numFmtId="0" fontId="7172" fillId="7177" borderId="7112" pivotButton="0" quotePrefix="0" xfId="0"/>
    <xf numFmtId="0" fontId="7173" fillId="7178" borderId="7113" pivotButton="0" quotePrefix="0" xfId="0"/>
    <xf numFmtId="0" fontId="7174" fillId="7179" borderId="7114" pivotButton="0" quotePrefix="0" xfId="0"/>
    <xf numFmtId="14" fontId="7175" fillId="7180" borderId="7115" pivotButton="0" quotePrefix="0" xfId="0"/>
    <xf numFmtId="14" fontId="7176" fillId="7181" borderId="7116" pivotButton="0" quotePrefix="0" xfId="0"/>
    <xf numFmtId="0" fontId="7177" fillId="7182" borderId="7117" pivotButton="0" quotePrefix="0" xfId="0"/>
    <xf numFmtId="14" fontId="7178" fillId="7183" borderId="7118" pivotButton="0" quotePrefix="0" xfId="0"/>
    <xf numFmtId="0" fontId="7179" fillId="7184" borderId="7119" pivotButton="0" quotePrefix="0" xfId="0"/>
    <xf numFmtId="0" fontId="7180" fillId="7185" borderId="7120" pivotButton="0" quotePrefix="0" xfId="0"/>
    <xf numFmtId="0" fontId="7181" fillId="7186" borderId="7121" pivotButton="0" quotePrefix="0" xfId="0"/>
    <xf numFmtId="0" fontId="7182" fillId="7187" borderId="7122" pivotButton="0" quotePrefix="0" xfId="0"/>
    <xf numFmtId="0" fontId="7183" fillId="7188" borderId="7123" pivotButton="0" quotePrefix="0" xfId="0"/>
    <xf numFmtId="0" fontId="7184" fillId="7189" borderId="7124" pivotButton="0" quotePrefix="0" xfId="0"/>
    <xf numFmtId="14" fontId="7185" fillId="7190" borderId="7125" pivotButton="0" quotePrefix="0" xfId="0"/>
    <xf numFmtId="14" fontId="7186" fillId="7191" borderId="7126" pivotButton="0" quotePrefix="0" xfId="0"/>
    <xf numFmtId="0" fontId="7187" fillId="7192" borderId="7127" pivotButton="0" quotePrefix="0" xfId="0"/>
    <xf numFmtId="14" fontId="7188" fillId="7193" borderId="7128" pivotButton="0" quotePrefix="0" xfId="0"/>
    <xf numFmtId="0" fontId="7189" fillId="7194" borderId="7129" pivotButton="0" quotePrefix="0" xfId="0"/>
    <xf numFmtId="0" fontId="7190" fillId="7195" borderId="7130" pivotButton="0" quotePrefix="0" xfId="0"/>
    <xf numFmtId="0" fontId="7191" fillId="7196" borderId="7131" pivotButton="0" quotePrefix="0" xfId="0"/>
    <xf numFmtId="0" fontId="7192" fillId="7197" borderId="7132" pivotButton="0" quotePrefix="0" xfId="0"/>
    <xf numFmtId="0" fontId="7193" fillId="7198" borderId="7133" pivotButton="0" quotePrefix="0" xfId="0"/>
    <xf numFmtId="0" fontId="7194" fillId="7199" borderId="7134" pivotButton="0" quotePrefix="0" xfId="0"/>
    <xf numFmtId="14" fontId="7195" fillId="7200" borderId="7135" pivotButton="0" quotePrefix="0" xfId="0"/>
    <xf numFmtId="14" fontId="7196" fillId="7201" borderId="7136" pivotButton="0" quotePrefix="0" xfId="0"/>
    <xf numFmtId="0" fontId="7197" fillId="7202" borderId="7137" pivotButton="0" quotePrefix="0" xfId="0"/>
    <xf numFmtId="14" fontId="7198" fillId="7203" borderId="7138" pivotButton="0" quotePrefix="0" xfId="0"/>
    <xf numFmtId="0" fontId="7199" fillId="7204" borderId="7139" pivotButton="0" quotePrefix="0" xfId="0"/>
    <xf numFmtId="0" fontId="7200" fillId="7205" borderId="7140" pivotButton="0" quotePrefix="0" xfId="0"/>
    <xf numFmtId="0" fontId="7201" fillId="7206" borderId="7141" pivotButton="0" quotePrefix="0" xfId="0"/>
    <xf numFmtId="0" fontId="7202" fillId="7207" borderId="7142" pivotButton="0" quotePrefix="0" xfId="0"/>
    <xf numFmtId="0" fontId="7203" fillId="7208" borderId="7143" pivotButton="0" quotePrefix="0" xfId="0"/>
    <xf numFmtId="0" fontId="7204" fillId="7209" borderId="7144" pivotButton="0" quotePrefix="0" xfId="0"/>
    <xf numFmtId="14" fontId="7205" fillId="7210" borderId="7145" pivotButton="0" quotePrefix="0" xfId="0"/>
    <xf numFmtId="14" fontId="7206" fillId="7211" borderId="7146" pivotButton="0" quotePrefix="0" xfId="0"/>
    <xf numFmtId="0" fontId="7207" fillId="7212" borderId="7147" pivotButton="0" quotePrefix="0" xfId="0"/>
    <xf numFmtId="14" fontId="7208" fillId="7213" borderId="7148" pivotButton="0" quotePrefix="0" xfId="0"/>
    <xf numFmtId="0" fontId="7209" fillId="7214" borderId="7149" pivotButton="0" quotePrefix="0" xfId="0"/>
    <xf numFmtId="0" fontId="7210" fillId="7215" borderId="7150" pivotButton="0" quotePrefix="0" xfId="0"/>
    <xf numFmtId="0" fontId="7211" fillId="7216" borderId="7151" pivotButton="0" quotePrefix="0" xfId="0"/>
    <xf numFmtId="0" fontId="7212" fillId="7217" borderId="7152" pivotButton="0" quotePrefix="0" xfId="0"/>
    <xf numFmtId="0" fontId="7213" fillId="7218" borderId="7153" pivotButton="0" quotePrefix="0" xfId="0"/>
    <xf numFmtId="0" fontId="7214" fillId="7219" borderId="7154" pivotButton="0" quotePrefix="0" xfId="0"/>
    <xf numFmtId="14" fontId="7215" fillId="7220" borderId="7155" pivotButton="0" quotePrefix="0" xfId="0"/>
    <xf numFmtId="14" fontId="7216" fillId="7221" borderId="7156" pivotButton="0" quotePrefix="0" xfId="0"/>
    <xf numFmtId="0" fontId="7217" fillId="7222" borderId="7157" pivotButton="0" quotePrefix="0" xfId="0"/>
    <xf numFmtId="14" fontId="7218" fillId="7223" borderId="7158" pivotButton="0" quotePrefix="0" xfId="0"/>
    <xf numFmtId="0" fontId="7219" fillId="7224" borderId="7159" pivotButton="0" quotePrefix="0" xfId="0"/>
    <xf numFmtId="0" fontId="7220" fillId="7225" borderId="7160" pivotButton="0" quotePrefix="0" xfId="0"/>
    <xf numFmtId="0" fontId="7221" fillId="7226" borderId="7161" pivotButton="0" quotePrefix="0" xfId="0"/>
    <xf numFmtId="0" fontId="7222" fillId="7227" borderId="7162" pivotButton="0" quotePrefix="0" xfId="0"/>
    <xf numFmtId="0" fontId="7223" fillId="7228" borderId="7163" pivotButton="0" quotePrefix="0" xfId="0"/>
    <xf numFmtId="0" fontId="7224" fillId="7229" borderId="7164" pivotButton="0" quotePrefix="0" xfId="0"/>
    <xf numFmtId="14" fontId="7225" fillId="7230" borderId="7165" pivotButton="0" quotePrefix="0" xfId="0"/>
    <xf numFmtId="14" fontId="7226" fillId="7231" borderId="7166" pivotButton="0" quotePrefix="0" xfId="0"/>
    <xf numFmtId="0" fontId="7227" fillId="7232" borderId="7167" pivotButton="0" quotePrefix="0" xfId="0"/>
    <xf numFmtId="14" fontId="7228" fillId="7233" borderId="7168" pivotButton="0" quotePrefix="0" xfId="0"/>
    <xf numFmtId="0" fontId="7229" fillId="7234" borderId="7169" pivotButton="0" quotePrefix="0" xfId="0"/>
    <xf numFmtId="0" fontId="7230" fillId="7235" borderId="7170" pivotButton="0" quotePrefix="0" xfId="0"/>
    <xf numFmtId="0" fontId="7231" fillId="7236" borderId="7171" pivotButton="0" quotePrefix="0" xfId="0"/>
    <xf numFmtId="0" fontId="7232" fillId="7237" borderId="7172" pivotButton="0" quotePrefix="0" xfId="0"/>
    <xf numFmtId="0" fontId="7233" fillId="7238" borderId="7173" pivotButton="0" quotePrefix="0" xfId="0"/>
    <xf numFmtId="0" fontId="7234" fillId="7239" borderId="7174" pivotButton="0" quotePrefix="0" xfId="0"/>
    <xf numFmtId="14" fontId="7235" fillId="7240" borderId="7175" pivotButton="0" quotePrefix="0" xfId="0"/>
    <xf numFmtId="14" fontId="7236" fillId="7241" borderId="7176" pivotButton="0" quotePrefix="0" xfId="0"/>
    <xf numFmtId="0" fontId="7237" fillId="7242" borderId="7177" pivotButton="0" quotePrefix="0" xfId="0"/>
    <xf numFmtId="14" fontId="7238" fillId="7243" borderId="7178" pivotButton="0" quotePrefix="0" xfId="0"/>
    <xf numFmtId="0" fontId="7239" fillId="7244" borderId="7179" pivotButton="0" quotePrefix="0" xfId="0"/>
    <xf numFmtId="0" fontId="7240" fillId="7245" borderId="7180" pivotButton="0" quotePrefix="0" xfId="0"/>
    <xf numFmtId="0" fontId="7241" fillId="7246" borderId="7181" pivotButton="0" quotePrefix="0" xfId="0"/>
    <xf numFmtId="0" fontId="7242" fillId="7247" borderId="7182" pivotButton="0" quotePrefix="0" xfId="0"/>
    <xf numFmtId="0" fontId="7243" fillId="7248" borderId="7183" pivotButton="0" quotePrefix="0" xfId="0"/>
    <xf numFmtId="0" fontId="7244" fillId="7249" borderId="7184" pivotButton="0" quotePrefix="0" xfId="0"/>
    <xf numFmtId="14" fontId="7245" fillId="7250" borderId="7185" pivotButton="0" quotePrefix="0" xfId="0"/>
    <xf numFmtId="14" fontId="7246" fillId="7251" borderId="7186" pivotButton="0" quotePrefix="0" xfId="0"/>
    <xf numFmtId="0" fontId="7247" fillId="7252" borderId="7187" pivotButton="0" quotePrefix="0" xfId="0"/>
    <xf numFmtId="14" fontId="7248" fillId="7253" borderId="7188" pivotButton="0" quotePrefix="0" xfId="0"/>
    <xf numFmtId="0" fontId="7249" fillId="7254" borderId="7189" pivotButton="0" quotePrefix="0" xfId="0"/>
    <xf numFmtId="0" fontId="7250" fillId="7255" borderId="7190" pivotButton="0" quotePrefix="0" xfId="0"/>
    <xf numFmtId="0" fontId="7251" fillId="7256" borderId="7191" pivotButton="0" quotePrefix="0" xfId="0"/>
    <xf numFmtId="0" fontId="7252" fillId="7257" borderId="7192" pivotButton="0" quotePrefix="0" xfId="0"/>
    <xf numFmtId="0" fontId="7253" fillId="7258" borderId="7193" pivotButton="0" quotePrefix="0" xfId="0"/>
    <xf numFmtId="0" fontId="7254" fillId="7259" borderId="7194" pivotButton="0" quotePrefix="0" xfId="0"/>
    <xf numFmtId="14" fontId="7255" fillId="7260" borderId="7195" pivotButton="0" quotePrefix="0" xfId="0"/>
    <xf numFmtId="14" fontId="7256" fillId="7261" borderId="7196" pivotButton="0" quotePrefix="0" xfId="0"/>
    <xf numFmtId="0" fontId="7257" fillId="7262" borderId="7197" pivotButton="0" quotePrefix="0" xfId="0"/>
    <xf numFmtId="14" fontId="7258" fillId="7263" borderId="7198" pivotButton="0" quotePrefix="0" xfId="0"/>
    <xf numFmtId="0" fontId="7259" fillId="7264" borderId="7199" pivotButton="0" quotePrefix="0" xfId="0"/>
    <xf numFmtId="0" fontId="7260" fillId="7265" borderId="7200" pivotButton="0" quotePrefix="0" xfId="0"/>
    <xf numFmtId="0" fontId="7261" fillId="7266" borderId="7201" pivotButton="0" quotePrefix="0" xfId="0"/>
    <xf numFmtId="0" fontId="7262" fillId="7267" borderId="7202" pivotButton="0" quotePrefix="0" xfId="0"/>
    <xf numFmtId="0" fontId="7263" fillId="7268" borderId="7203" pivotButton="0" quotePrefix="0" xfId="0"/>
    <xf numFmtId="0" fontId="7264" fillId="7269" borderId="7204" pivotButton="0" quotePrefix="0" xfId="0"/>
    <xf numFmtId="14" fontId="7265" fillId="7270" borderId="7205" pivotButton="0" quotePrefix="0" xfId="0"/>
    <xf numFmtId="14" fontId="7266" fillId="7271" borderId="7206" pivotButton="0" quotePrefix="0" xfId="0"/>
    <xf numFmtId="0" fontId="7267" fillId="7272" borderId="7207" pivotButton="0" quotePrefix="0" xfId="0"/>
    <xf numFmtId="14" fontId="7268" fillId="7273" borderId="7208" pivotButton="0" quotePrefix="0" xfId="0"/>
    <xf numFmtId="0" fontId="7269" fillId="7274" borderId="7209" pivotButton="0" quotePrefix="0" xfId="0"/>
    <xf numFmtId="0" fontId="7270" fillId="7275" borderId="7210" pivotButton="0" quotePrefix="0" xfId="0"/>
    <xf numFmtId="0" fontId="7271" fillId="7276" borderId="7211" pivotButton="0" quotePrefix="0" xfId="0"/>
    <xf numFmtId="0" fontId="7272" fillId="7277" borderId="7212" pivotButton="0" quotePrefix="0" xfId="0"/>
    <xf numFmtId="0" fontId="7273" fillId="7278" borderId="7213" pivotButton="0" quotePrefix="0" xfId="0"/>
    <xf numFmtId="0" fontId="7274" fillId="7279" borderId="7214" pivotButton="0" quotePrefix="0" xfId="0"/>
    <xf numFmtId="14" fontId="7275" fillId="7280" borderId="7215" pivotButton="0" quotePrefix="0" xfId="0"/>
    <xf numFmtId="14" fontId="7276" fillId="7281" borderId="7216" pivotButton="0" quotePrefix="0" xfId="0"/>
    <xf numFmtId="0" fontId="7277" fillId="7282" borderId="7217" pivotButton="0" quotePrefix="0" xfId="0"/>
    <xf numFmtId="14" fontId="7278" fillId="7283" borderId="7218" pivotButton="0" quotePrefix="0" xfId="0"/>
    <xf numFmtId="0" fontId="7279" fillId="7284" borderId="7219" pivotButton="0" quotePrefix="0" xfId="0"/>
    <xf numFmtId="0" fontId="7280" fillId="7285" borderId="7220" pivotButton="0" quotePrefix="0" xfId="0"/>
    <xf numFmtId="0" fontId="7281" fillId="7286" borderId="7221" pivotButton="0" quotePrefix="0" xfId="0"/>
    <xf numFmtId="0" fontId="7282" fillId="7287" borderId="7222" pivotButton="0" quotePrefix="0" xfId="0"/>
    <xf numFmtId="0" fontId="7283" fillId="7288" borderId="7223" pivotButton="0" quotePrefix="0" xfId="0"/>
    <xf numFmtId="0" fontId="7284" fillId="7289" borderId="7224" pivotButton="0" quotePrefix="0" xfId="0"/>
    <xf numFmtId="14" fontId="7285" fillId="7290" borderId="7225" pivotButton="0" quotePrefix="0" xfId="0"/>
    <xf numFmtId="14" fontId="7286" fillId="7291" borderId="7226" pivotButton="0" quotePrefix="0" xfId="0"/>
    <xf numFmtId="0" fontId="7287" fillId="7292" borderId="7227" pivotButton="0" quotePrefix="0" xfId="0"/>
    <xf numFmtId="14" fontId="7288" fillId="7293" borderId="7228" pivotButton="0" quotePrefix="0" xfId="0"/>
    <xf numFmtId="0" fontId="7289" fillId="7294" borderId="7229" pivotButton="0" quotePrefix="0" xfId="0"/>
    <xf numFmtId="0" fontId="7290" fillId="7295" borderId="7230" pivotButton="0" quotePrefix="0" xfId="0"/>
    <xf numFmtId="0" fontId="7291" fillId="7296" borderId="7231" pivotButton="0" quotePrefix="0" xfId="0"/>
    <xf numFmtId="0" fontId="7292" fillId="7297" borderId="7232" pivotButton="0" quotePrefix="0" xfId="0"/>
    <xf numFmtId="0" fontId="7293" fillId="7298" borderId="7233" pivotButton="0" quotePrefix="0" xfId="0"/>
    <xf numFmtId="0" fontId="7294" fillId="7299" borderId="7234" pivotButton="0" quotePrefix="0" xfId="0"/>
    <xf numFmtId="14" fontId="7295" fillId="7300" borderId="7235" pivotButton="0" quotePrefix="0" xfId="0"/>
    <xf numFmtId="14" fontId="7296" fillId="7301" borderId="7236" pivotButton="0" quotePrefix="0" xfId="0"/>
    <xf numFmtId="0" fontId="7297" fillId="7302" borderId="7237" pivotButton="0" quotePrefix="0" xfId="0"/>
    <xf numFmtId="14" fontId="7298" fillId="7303" borderId="7238" pivotButton="0" quotePrefix="0" xfId="0"/>
    <xf numFmtId="0" fontId="7299" fillId="7304" borderId="7239" pivotButton="0" quotePrefix="0" xfId="0"/>
    <xf numFmtId="0" fontId="7300" fillId="7305" borderId="7240" pivotButton="0" quotePrefix="0" xfId="0"/>
    <xf numFmtId="0" fontId="7301" fillId="7306" borderId="7241" pivotButton="0" quotePrefix="0" xfId="0"/>
    <xf numFmtId="0" fontId="7302" fillId="7307" borderId="7242" pivotButton="0" quotePrefix="0" xfId="0"/>
    <xf numFmtId="0" fontId="7303" fillId="7308" borderId="7243" pivotButton="0" quotePrefix="0" xfId="0"/>
    <xf numFmtId="0" fontId="7304" fillId="7309" borderId="7244" pivotButton="0" quotePrefix="0" xfId="0"/>
    <xf numFmtId="14" fontId="7305" fillId="7310" borderId="7245" pivotButton="0" quotePrefix="0" xfId="0"/>
    <xf numFmtId="14" fontId="7306" fillId="7311" borderId="7246" pivotButton="0" quotePrefix="0" xfId="0"/>
    <xf numFmtId="0" fontId="7307" fillId="7312" borderId="7247" pivotButton="0" quotePrefix="0" xfId="0"/>
    <xf numFmtId="14" fontId="7308" fillId="7313" borderId="7248" pivotButton="0" quotePrefix="0" xfId="0"/>
    <xf numFmtId="0" fontId="7309" fillId="7314" borderId="7249" pivotButton="0" quotePrefix="0" xfId="0"/>
    <xf numFmtId="0" fontId="7310" fillId="7315" borderId="7250" pivotButton="0" quotePrefix="0" xfId="0"/>
    <xf numFmtId="0" fontId="7311" fillId="7316" borderId="7251" pivotButton="0" quotePrefix="0" xfId="0"/>
    <xf numFmtId="0" fontId="7312" fillId="7317" borderId="7252" pivotButton="0" quotePrefix="0" xfId="0"/>
    <xf numFmtId="0" fontId="7313" fillId="7318" borderId="7253" pivotButton="0" quotePrefix="0" xfId="0"/>
    <xf numFmtId="0" fontId="7314" fillId="7319" borderId="7254" pivotButton="0" quotePrefix="0" xfId="0"/>
    <xf numFmtId="14" fontId="7315" fillId="7320" borderId="7255" pivotButton="0" quotePrefix="0" xfId="0"/>
    <xf numFmtId="14" fontId="7316" fillId="7321" borderId="7256" pivotButton="0" quotePrefix="0" xfId="0"/>
    <xf numFmtId="0" fontId="7317" fillId="7322" borderId="7257" pivotButton="0" quotePrefix="0" xfId="0"/>
    <xf numFmtId="14" fontId="7318" fillId="7323" borderId="7258" pivotButton="0" quotePrefix="0" xfId="0"/>
    <xf numFmtId="0" fontId="7319" fillId="7324" borderId="7259" pivotButton="0" quotePrefix="0" xfId="0"/>
    <xf numFmtId="0" fontId="7320" fillId="7325" borderId="7260" pivotButton="0" quotePrefix="0" xfId="0"/>
    <xf numFmtId="0" fontId="7321" fillId="7326" borderId="7261" pivotButton="0" quotePrefix="0" xfId="0"/>
    <xf numFmtId="0" fontId="7322" fillId="7327" borderId="7262" pivotButton="0" quotePrefix="0" xfId="0"/>
    <xf numFmtId="0" fontId="7323" fillId="7328" borderId="7263" pivotButton="0" quotePrefix="0" xfId="0"/>
    <xf numFmtId="0" fontId="7324" fillId="7329" borderId="7264" pivotButton="0" quotePrefix="0" xfId="0"/>
    <xf numFmtId="14" fontId="7325" fillId="7330" borderId="7265" pivotButton="0" quotePrefix="0" xfId="0"/>
    <xf numFmtId="14" fontId="7326" fillId="7331" borderId="7266" pivotButton="0" quotePrefix="0" xfId="0"/>
    <xf numFmtId="0" fontId="7327" fillId="7332" borderId="7267" pivotButton="0" quotePrefix="0" xfId="0"/>
    <xf numFmtId="14" fontId="7328" fillId="7333" borderId="7268" pivotButton="0" quotePrefix="0" xfId="0"/>
    <xf numFmtId="0" fontId="7329" fillId="7334" borderId="7269" pivotButton="0" quotePrefix="0" xfId="0"/>
    <xf numFmtId="0" fontId="7330" fillId="7335" borderId="7270" pivotButton="0" quotePrefix="0" xfId="0"/>
    <xf numFmtId="0" fontId="7331" fillId="7336" borderId="7271" pivotButton="0" quotePrefix="0" xfId="0"/>
    <xf numFmtId="0" fontId="7332" fillId="7337" borderId="7272" pivotButton="0" quotePrefix="0" xfId="0"/>
    <xf numFmtId="0" fontId="7333" fillId="7338" borderId="7273" pivotButton="0" quotePrefix="0" xfId="0"/>
    <xf numFmtId="0" fontId="7334" fillId="7339" borderId="7274" pivotButton="0" quotePrefix="0" xfId="0"/>
    <xf numFmtId="14" fontId="7335" fillId="7340" borderId="7275" pivotButton="0" quotePrefix="0" xfId="0"/>
    <xf numFmtId="14" fontId="7336" fillId="7341" borderId="7276" pivotButton="0" quotePrefix="0" xfId="0"/>
    <xf numFmtId="0" fontId="7337" fillId="7342" borderId="7277" pivotButton="0" quotePrefix="0" xfId="0"/>
    <xf numFmtId="14" fontId="7338" fillId="7343" borderId="7278" pivotButton="0" quotePrefix="0" xfId="0"/>
    <xf numFmtId="0" fontId="7339" fillId="7344" borderId="7279" pivotButton="0" quotePrefix="0" xfId="0"/>
    <xf numFmtId="0" fontId="7340" fillId="7345" borderId="7280" pivotButton="0" quotePrefix="0" xfId="0"/>
    <xf numFmtId="0" fontId="7341" fillId="7346" borderId="7281" pivotButton="0" quotePrefix="0" xfId="0"/>
    <xf numFmtId="0" fontId="7342" fillId="7347" borderId="7282" pivotButton="0" quotePrefix="0" xfId="0"/>
    <xf numFmtId="0" fontId="7343" fillId="7348" borderId="7283" pivotButton="0" quotePrefix="0" xfId="0"/>
    <xf numFmtId="0" fontId="7344" fillId="7349" borderId="7284" pivotButton="0" quotePrefix="0" xfId="0"/>
    <xf numFmtId="14" fontId="7345" fillId="7350" borderId="7285" pivotButton="0" quotePrefix="0" xfId="0"/>
    <xf numFmtId="14" fontId="7346" fillId="7351" borderId="7286" pivotButton="0" quotePrefix="0" xfId="0"/>
    <xf numFmtId="0" fontId="7347" fillId="7352" borderId="7287" pivotButton="0" quotePrefix="0" xfId="0"/>
    <xf numFmtId="14" fontId="7348" fillId="7353" borderId="7288" pivotButton="0" quotePrefix="0" xfId="0"/>
    <xf numFmtId="0" fontId="7349" fillId="7354" borderId="7289" pivotButton="0" quotePrefix="0" xfId="0"/>
    <xf numFmtId="0" fontId="7350" fillId="7355" borderId="7290" pivotButton="0" quotePrefix="0" xfId="0"/>
    <xf numFmtId="0" fontId="7351" fillId="7356" borderId="7291" pivotButton="0" quotePrefix="0" xfId="0"/>
    <xf numFmtId="0" fontId="7352" fillId="7357" borderId="7292" pivotButton="0" quotePrefix="0" xfId="0"/>
    <xf numFmtId="0" fontId="7353" fillId="7358" borderId="7293" pivotButton="0" quotePrefix="0" xfId="0"/>
    <xf numFmtId="0" fontId="7354" fillId="7359" borderId="7294" pivotButton="0" quotePrefix="0" xfId="0"/>
    <xf numFmtId="14" fontId="7355" fillId="7360" borderId="7295" pivotButton="0" quotePrefix="0" xfId="0"/>
    <xf numFmtId="14" fontId="7356" fillId="7361" borderId="7296" pivotButton="0" quotePrefix="0" xfId="0"/>
    <xf numFmtId="0" fontId="7357" fillId="7362" borderId="7297" pivotButton="0" quotePrefix="0" xfId="0"/>
    <xf numFmtId="14" fontId="7358" fillId="7363" borderId="7298" pivotButton="0" quotePrefix="0" xfId="0"/>
    <xf numFmtId="0" fontId="7359" fillId="7364" borderId="7299" pivotButton="0" quotePrefix="0" xfId="0"/>
    <xf numFmtId="0" fontId="7360" fillId="7365" borderId="7300" pivotButton="0" quotePrefix="0" xfId="0"/>
    <xf numFmtId="0" fontId="7361" fillId="7366" borderId="7301" pivotButton="0" quotePrefix="0" xfId="0"/>
    <xf numFmtId="0" fontId="7362" fillId="7367" borderId="7302" pivotButton="0" quotePrefix="0" xfId="0"/>
    <xf numFmtId="0" fontId="7363" fillId="7368" borderId="7303" pivotButton="0" quotePrefix="0" xfId="0"/>
    <xf numFmtId="0" fontId="7364" fillId="7369" borderId="7304" pivotButton="0" quotePrefix="0" xfId="0"/>
    <xf numFmtId="14" fontId="7365" fillId="7370" borderId="7305" pivotButton="0" quotePrefix="0" xfId="0"/>
    <xf numFmtId="14" fontId="7366" fillId="7371" borderId="7306" pivotButton="0" quotePrefix="0" xfId="0"/>
    <xf numFmtId="0" fontId="7367" fillId="7372" borderId="7307" pivotButton="0" quotePrefix="0" xfId="0"/>
    <xf numFmtId="14" fontId="7368" fillId="7373" borderId="7308" pivotButton="0" quotePrefix="0" xfId="0"/>
    <xf numFmtId="0" fontId="7369" fillId="7374" borderId="7309" pivotButton="0" quotePrefix="0" xfId="0"/>
    <xf numFmtId="0" fontId="7370" fillId="7375" borderId="7310" pivotButton="0" quotePrefix="0" xfId="0"/>
    <xf numFmtId="0" fontId="7371" fillId="7376" borderId="7311" pivotButton="0" quotePrefix="0" xfId="0"/>
    <xf numFmtId="0" fontId="7372" fillId="7377" borderId="7312" pivotButton="0" quotePrefix="0" xfId="0"/>
    <xf numFmtId="0" fontId="7373" fillId="7378" borderId="7313" pivotButton="0" quotePrefix="0" xfId="0"/>
    <xf numFmtId="0" fontId="7374" fillId="7379" borderId="7314" pivotButton="0" quotePrefix="0" xfId="0"/>
    <xf numFmtId="14" fontId="7375" fillId="7380" borderId="7315" pivotButton="0" quotePrefix="0" xfId="0"/>
    <xf numFmtId="14" fontId="7376" fillId="7381" borderId="7316" pivotButton="0" quotePrefix="0" xfId="0"/>
    <xf numFmtId="0" fontId="7377" fillId="7382" borderId="7317" pivotButton="0" quotePrefix="0" xfId="0"/>
    <xf numFmtId="14" fontId="7378" fillId="7383" borderId="7318" pivotButton="0" quotePrefix="0" xfId="0"/>
    <xf numFmtId="0" fontId="7379" fillId="7384" borderId="7319" pivotButton="0" quotePrefix="0" xfId="0"/>
    <xf numFmtId="0" fontId="7380" fillId="7385" borderId="7320" pivotButton="0" quotePrefix="0" xfId="0"/>
    <xf numFmtId="0" fontId="7381" fillId="7386" borderId="7321" pivotButton="0" quotePrefix="0" xfId="0"/>
    <xf numFmtId="0" fontId="7382" fillId="7387" borderId="7322" pivotButton="0" quotePrefix="0" xfId="0"/>
    <xf numFmtId="0" fontId="7383" fillId="7388" borderId="7323" pivotButton="0" quotePrefix="0" xfId="0"/>
    <xf numFmtId="0" fontId="7384" fillId="7389" borderId="7324" pivotButton="0" quotePrefix="0" xfId="0"/>
    <xf numFmtId="14" fontId="7385" fillId="7390" borderId="7325" pivotButton="0" quotePrefix="0" xfId="0"/>
    <xf numFmtId="14" fontId="7386" fillId="7391" borderId="7326" pivotButton="0" quotePrefix="0" xfId="0"/>
    <xf numFmtId="0" fontId="7387" fillId="7392" borderId="7327" pivotButton="0" quotePrefix="0" xfId="0"/>
    <xf numFmtId="14" fontId="7388" fillId="7393" borderId="7328" pivotButton="0" quotePrefix="0" xfId="0"/>
    <xf numFmtId="0" fontId="7389" fillId="7394" borderId="7329" pivotButton="0" quotePrefix="0" xfId="0"/>
    <xf numFmtId="0" fontId="7390" fillId="7395" borderId="7330" pivotButton="0" quotePrefix="0" xfId="0"/>
    <xf numFmtId="0" fontId="7391" fillId="7396" borderId="7331" pivotButton="0" quotePrefix="0" xfId="0"/>
    <xf numFmtId="0" fontId="7392" fillId="7397" borderId="7332" pivotButton="0" quotePrefix="0" xfId="0"/>
    <xf numFmtId="0" fontId="7393" fillId="7398" borderId="7333" pivotButton="0" quotePrefix="0" xfId="0"/>
    <xf numFmtId="0" fontId="7394" fillId="7399" borderId="7334" pivotButton="0" quotePrefix="0" xfId="0"/>
    <xf numFmtId="14" fontId="7395" fillId="7400" borderId="7335" pivotButton="0" quotePrefix="0" xfId="0"/>
    <xf numFmtId="14" fontId="7396" fillId="7401" borderId="7336" pivotButton="0" quotePrefix="0" xfId="0"/>
    <xf numFmtId="0" fontId="7397" fillId="7402" borderId="7337" pivotButton="0" quotePrefix="0" xfId="0"/>
    <xf numFmtId="14" fontId="7398" fillId="7403" borderId="7338" pivotButton="0" quotePrefix="0" xfId="0"/>
    <xf numFmtId="0" fontId="7399" fillId="7404" borderId="7339" pivotButton="0" quotePrefix="0" xfId="0"/>
    <xf numFmtId="0" fontId="7400" fillId="7405" borderId="7340" pivotButton="0" quotePrefix="0" xfId="0"/>
    <xf numFmtId="0" fontId="7401" fillId="7406" borderId="7341" pivotButton="0" quotePrefix="0" xfId="0"/>
    <xf numFmtId="0" fontId="7402" fillId="7407" borderId="7342" pivotButton="0" quotePrefix="0" xfId="0"/>
    <xf numFmtId="0" fontId="7403" fillId="7408" borderId="7343" pivotButton="0" quotePrefix="0" xfId="0"/>
    <xf numFmtId="0" fontId="7404" fillId="7409" borderId="7344" pivotButton="0" quotePrefix="0" xfId="0"/>
    <xf numFmtId="14" fontId="7405" fillId="7410" borderId="7345" pivotButton="0" quotePrefix="0" xfId="0"/>
    <xf numFmtId="14" fontId="7406" fillId="7411" borderId="7346" pivotButton="0" quotePrefix="0" xfId="0"/>
    <xf numFmtId="0" fontId="7407" fillId="7412" borderId="7347" pivotButton="0" quotePrefix="0" xfId="0"/>
    <xf numFmtId="14" fontId="7408" fillId="7413" borderId="7348" pivotButton="0" quotePrefix="0" xfId="0"/>
    <xf numFmtId="0" fontId="7409" fillId="7414" borderId="7349" pivotButton="0" quotePrefix="0" xfId="0"/>
    <xf numFmtId="0" fontId="7410" fillId="7415" borderId="7350" pivotButton="0" quotePrefix="0" xfId="0"/>
    <xf numFmtId="0" fontId="7411" fillId="7416" borderId="7351" pivotButton="0" quotePrefix="0" xfId="0"/>
    <xf numFmtId="0" fontId="7412" fillId="7417" borderId="7352" pivotButton="0" quotePrefix="0" xfId="0"/>
    <xf numFmtId="0" fontId="7413" fillId="7418" borderId="7353" pivotButton="0" quotePrefix="0" xfId="0"/>
    <xf numFmtId="0" fontId="7414" fillId="7419" borderId="7354" pivotButton="0" quotePrefix="0" xfId="0"/>
    <xf numFmtId="14" fontId="7415" fillId="7420" borderId="7355" pivotButton="0" quotePrefix="0" xfId="0"/>
    <xf numFmtId="14" fontId="7416" fillId="7421" borderId="7356" pivotButton="0" quotePrefix="0" xfId="0"/>
    <xf numFmtId="0" fontId="7417" fillId="7422" borderId="7357" pivotButton="0" quotePrefix="0" xfId="0"/>
    <xf numFmtId="14" fontId="7418" fillId="7423" borderId="7358" pivotButton="0" quotePrefix="0" xfId="0"/>
    <xf numFmtId="0" fontId="7419" fillId="7424" borderId="7359" pivotButton="0" quotePrefix="0" xfId="0"/>
    <xf numFmtId="0" fontId="7420" fillId="7425" borderId="7360" pivotButton="0" quotePrefix="0" xfId="0"/>
    <xf numFmtId="0" fontId="7421" fillId="7426" borderId="7361" pivotButton="0" quotePrefix="0" xfId="0"/>
    <xf numFmtId="0" fontId="7422" fillId="7427" borderId="7362" pivotButton="0" quotePrefix="0" xfId="0"/>
    <xf numFmtId="0" fontId="7423" fillId="7428" borderId="7363" pivotButton="0" quotePrefix="0" xfId="0"/>
    <xf numFmtId="0" fontId="7424" fillId="7429" borderId="7364" pivotButton="0" quotePrefix="0" xfId="0"/>
    <xf numFmtId="14" fontId="7425" fillId="7430" borderId="7365" pivotButton="0" quotePrefix="0" xfId="0"/>
    <xf numFmtId="14" fontId="7426" fillId="7431" borderId="7366" pivotButton="0" quotePrefix="0" xfId="0"/>
    <xf numFmtId="0" fontId="7427" fillId="7432" borderId="7367" pivotButton="0" quotePrefix="0" xfId="0"/>
    <xf numFmtId="14" fontId="7428" fillId="7433" borderId="7368" pivotButton="0" quotePrefix="0" xfId="0"/>
    <xf numFmtId="0" fontId="7429" fillId="7434" borderId="7369" pivotButton="0" quotePrefix="0" xfId="0"/>
    <xf numFmtId="0" fontId="7430" fillId="7435" borderId="7370" pivotButton="0" quotePrefix="0" xfId="0"/>
    <xf numFmtId="0" fontId="7431" fillId="7436" borderId="7371" pivotButton="0" quotePrefix="0" xfId="0"/>
    <xf numFmtId="0" fontId="7432" fillId="7437" borderId="7372" pivotButton="0" quotePrefix="0" xfId="0"/>
    <xf numFmtId="0" fontId="7433" fillId="7438" borderId="7373" pivotButton="0" quotePrefix="0" xfId="0"/>
    <xf numFmtId="0" fontId="7434" fillId="7439" borderId="7374" pivotButton="0" quotePrefix="0" xfId="0"/>
    <xf numFmtId="14" fontId="7435" fillId="7440" borderId="7375" pivotButton="0" quotePrefix="0" xfId="0"/>
    <xf numFmtId="14" fontId="7436" fillId="7441" borderId="7376" pivotButton="0" quotePrefix="0" xfId="0"/>
    <xf numFmtId="0" fontId="7437" fillId="7442" borderId="7377" pivotButton="0" quotePrefix="0" xfId="0"/>
    <xf numFmtId="14" fontId="7438" fillId="7443" borderId="7378" pivotButton="0" quotePrefix="0" xfId="0"/>
    <xf numFmtId="0" fontId="7439" fillId="7444" borderId="7379" pivotButton="0" quotePrefix="0" xfId="0"/>
    <xf numFmtId="0" fontId="7440" fillId="7445" borderId="7380" pivotButton="0" quotePrefix="0" xfId="0"/>
    <xf numFmtId="0" fontId="7441" fillId="7446" borderId="7381" pivotButton="0" quotePrefix="0" xfId="0"/>
    <xf numFmtId="0" fontId="7442" fillId="7447" borderId="7382" pivotButton="0" quotePrefix="0" xfId="0"/>
    <xf numFmtId="0" fontId="7443" fillId="7448" borderId="7383" pivotButton="0" quotePrefix="0" xfId="0"/>
    <xf numFmtId="0" fontId="7444" fillId="7449" borderId="7384" pivotButton="0" quotePrefix="0" xfId="0"/>
    <xf numFmtId="14" fontId="7445" fillId="7450" borderId="7385" pivotButton="0" quotePrefix="0" xfId="0"/>
    <xf numFmtId="14" fontId="7446" fillId="7451" borderId="7386" pivotButton="0" quotePrefix="0" xfId="0"/>
    <xf numFmtId="0" fontId="7447" fillId="7452" borderId="7387" pivotButton="0" quotePrefix="0" xfId="0"/>
    <xf numFmtId="14" fontId="7448" fillId="7453" borderId="7388" pivotButton="0" quotePrefix="0" xfId="0"/>
    <xf numFmtId="0" fontId="7449" fillId="7454" borderId="7389" pivotButton="0" quotePrefix="0" xfId="0"/>
    <xf numFmtId="0" fontId="7450" fillId="7455" borderId="7390" pivotButton="0" quotePrefix="0" xfId="0"/>
    <xf numFmtId="0" fontId="7451" fillId="7456" borderId="7391" pivotButton="0" quotePrefix="0" xfId="0"/>
    <xf numFmtId="0" fontId="7452" fillId="7457" borderId="7392" pivotButton="0" quotePrefix="0" xfId="0"/>
    <xf numFmtId="0" fontId="7453" fillId="7458" borderId="7393" pivotButton="0" quotePrefix="0" xfId="0"/>
    <xf numFmtId="0" fontId="7454" fillId="7459" borderId="7394" pivotButton="0" quotePrefix="0" xfId="0"/>
    <xf numFmtId="14" fontId="7455" fillId="7460" borderId="7395" pivotButton="0" quotePrefix="0" xfId="0"/>
    <xf numFmtId="14" fontId="7456" fillId="7461" borderId="7396" pivotButton="0" quotePrefix="0" xfId="0"/>
    <xf numFmtId="0" fontId="7457" fillId="7462" borderId="7397" pivotButton="0" quotePrefix="0" xfId="0"/>
    <xf numFmtId="14" fontId="7458" fillId="7463" borderId="7398" pivotButton="0" quotePrefix="0" xfId="0"/>
    <xf numFmtId="0" fontId="7459" fillId="7464" borderId="7399" pivotButton="0" quotePrefix="0" xfId="0"/>
    <xf numFmtId="0" fontId="7460" fillId="7465" borderId="7400" pivotButton="0" quotePrefix="0" xfId="0"/>
    <xf numFmtId="0" fontId="7461" fillId="7466" borderId="7401" pivotButton="0" quotePrefix="0" xfId="0"/>
    <xf numFmtId="0" fontId="7462" fillId="7467" borderId="7402" pivotButton="0" quotePrefix="0" xfId="0"/>
    <xf numFmtId="0" fontId="7463" fillId="7468" borderId="7403" pivotButton="0" quotePrefix="0" xfId="0"/>
    <xf numFmtId="0" fontId="7464" fillId="7469" borderId="7404" pivotButton="0" quotePrefix="0" xfId="0"/>
    <xf numFmtId="14" fontId="7465" fillId="7470" borderId="7405" pivotButton="0" quotePrefix="0" xfId="0"/>
    <xf numFmtId="14" fontId="7466" fillId="7471" borderId="7406" pivotButton="0" quotePrefix="0" xfId="0"/>
    <xf numFmtId="0" fontId="7467" fillId="7472" borderId="7407" pivotButton="0" quotePrefix="0" xfId="0"/>
    <xf numFmtId="14" fontId="7468" fillId="7473" borderId="7408" pivotButton="0" quotePrefix="0" xfId="0"/>
    <xf numFmtId="0" fontId="7469" fillId="7474" borderId="7409" pivotButton="0" quotePrefix="0" xfId="0"/>
    <xf numFmtId="0" fontId="7470" fillId="7475" borderId="7410" pivotButton="0" quotePrefix="0" xfId="0"/>
    <xf numFmtId="0" fontId="7471" fillId="7476" borderId="7411" pivotButton="0" quotePrefix="0" xfId="0"/>
    <xf numFmtId="0" fontId="7472" fillId="7477" borderId="7412" pivotButton="0" quotePrefix="0" xfId="0"/>
    <xf numFmtId="0" fontId="7473" fillId="7478" borderId="7413" pivotButton="0" quotePrefix="0" xfId="0"/>
    <xf numFmtId="0" fontId="7474" fillId="7479" borderId="7414" pivotButton="0" quotePrefix="0" xfId="0"/>
    <xf numFmtId="14" fontId="7475" fillId="7480" borderId="7415" pivotButton="0" quotePrefix="0" xfId="0"/>
    <xf numFmtId="14" fontId="7476" fillId="7481" borderId="7416" pivotButton="0" quotePrefix="0" xfId="0"/>
    <xf numFmtId="0" fontId="7477" fillId="7482" borderId="7417" pivotButton="0" quotePrefix="0" xfId="0"/>
    <xf numFmtId="14" fontId="7478" fillId="7483" borderId="7418" pivotButton="0" quotePrefix="0" xfId="0"/>
    <xf numFmtId="0" fontId="7479" fillId="7484" borderId="7419" pivotButton="0" quotePrefix="0" xfId="0"/>
    <xf numFmtId="0" fontId="7480" fillId="7485" borderId="7420" pivotButton="0" quotePrefix="0" xfId="0"/>
    <xf numFmtId="0" fontId="7481" fillId="7486" borderId="7421" pivotButton="0" quotePrefix="0" xfId="0"/>
    <xf numFmtId="0" fontId="7482" fillId="7487" borderId="7422" pivotButton="0" quotePrefix="0" xfId="0"/>
    <xf numFmtId="0" fontId="7483" fillId="7488" borderId="7423" pivotButton="0" quotePrefix="0" xfId="0"/>
    <xf numFmtId="0" fontId="7484" fillId="7489" borderId="7424" pivotButton="0" quotePrefix="0" xfId="0"/>
    <xf numFmtId="14" fontId="7485" fillId="7490" borderId="7425" pivotButton="0" quotePrefix="0" xfId="0"/>
    <xf numFmtId="14" fontId="7486" fillId="7491" borderId="7426" pivotButton="0" quotePrefix="0" xfId="0"/>
    <xf numFmtId="0" fontId="7487" fillId="7492" borderId="7427" pivotButton="0" quotePrefix="0" xfId="0"/>
    <xf numFmtId="14" fontId="7488" fillId="7493" borderId="7428" pivotButton="0" quotePrefix="0" xfId="0"/>
    <xf numFmtId="0" fontId="7489" fillId="7494" borderId="7429" pivotButton="0" quotePrefix="0" xfId="0"/>
    <xf numFmtId="0" fontId="7490" fillId="7495" borderId="7430" pivotButton="0" quotePrefix="0" xfId="0"/>
    <xf numFmtId="0" fontId="7491" fillId="7496" borderId="7431" pivotButton="0" quotePrefix="0" xfId="0"/>
    <xf numFmtId="0" fontId="7492" fillId="7497" borderId="7432" pivotButton="0" quotePrefix="0" xfId="0"/>
    <xf numFmtId="0" fontId="7493" fillId="7498" borderId="7433" pivotButton="0" quotePrefix="0" xfId="0"/>
    <xf numFmtId="0" fontId="7494" fillId="7499" borderId="7434" pivotButton="0" quotePrefix="0" xfId="0"/>
    <xf numFmtId="14" fontId="7495" fillId="7500" borderId="7435" pivotButton="0" quotePrefix="0" xfId="0"/>
    <xf numFmtId="14" fontId="7496" fillId="7501" borderId="7436" pivotButton="0" quotePrefix="0" xfId="0"/>
    <xf numFmtId="0" fontId="7497" fillId="7502" borderId="7437" pivotButton="0" quotePrefix="0" xfId="0"/>
    <xf numFmtId="14" fontId="7498" fillId="7503" borderId="7438" pivotButton="0" quotePrefix="0" xfId="0"/>
    <xf numFmtId="0" fontId="7499" fillId="7504" borderId="7439" pivotButton="0" quotePrefix="0" xfId="0"/>
    <xf numFmtId="0" fontId="7500" fillId="7505" borderId="7440" pivotButton="0" quotePrefix="0" xfId="0"/>
    <xf numFmtId="0" fontId="7501" fillId="7506" borderId="7441" pivotButton="0" quotePrefix="0" xfId="0"/>
    <xf numFmtId="0" fontId="7502" fillId="7507" borderId="7442" pivotButton="0" quotePrefix="0" xfId="0"/>
    <xf numFmtId="0" fontId="7503" fillId="7508" borderId="7443" pivotButton="0" quotePrefix="0" xfId="0"/>
    <xf numFmtId="0" fontId="7504" fillId="7509" borderId="7444" pivotButton="0" quotePrefix="0" xfId="0"/>
    <xf numFmtId="14" fontId="7505" fillId="7510" borderId="7445" pivotButton="0" quotePrefix="0" xfId="0"/>
    <xf numFmtId="14" fontId="7506" fillId="7511" borderId="7446" pivotButton="0" quotePrefix="0" xfId="0"/>
    <xf numFmtId="0" fontId="7507" fillId="7512" borderId="7447" pivotButton="0" quotePrefix="0" xfId="0"/>
    <xf numFmtId="14" fontId="7508" fillId="7513" borderId="7448" pivotButton="0" quotePrefix="0" xfId="0"/>
    <xf numFmtId="0" fontId="7509" fillId="7514" borderId="7449" pivotButton="0" quotePrefix="0" xfId="0"/>
    <xf numFmtId="0" fontId="7510" fillId="7515" borderId="7450" pivotButton="0" quotePrefix="0" xfId="0"/>
    <xf numFmtId="0" fontId="7511" fillId="7516" borderId="7451" pivotButton="0" quotePrefix="0" xfId="0"/>
    <xf numFmtId="0" fontId="7512" fillId="7517" borderId="7452" pivotButton="0" quotePrefix="0" xfId="0"/>
    <xf numFmtId="0" fontId="7513" fillId="7518" borderId="7453" pivotButton="0" quotePrefix="0" xfId="0"/>
    <xf numFmtId="0" fontId="7514" fillId="7519" borderId="7454" pivotButton="0" quotePrefix="0" xfId="0"/>
    <xf numFmtId="14" fontId="7515" fillId="7520" borderId="7455" pivotButton="0" quotePrefix="0" xfId="0"/>
    <xf numFmtId="14" fontId="7516" fillId="7521" borderId="7456" pivotButton="0" quotePrefix="0" xfId="0"/>
    <xf numFmtId="0" fontId="7517" fillId="7522" borderId="7457" pivotButton="0" quotePrefix="0" xfId="0"/>
    <xf numFmtId="14" fontId="7518" fillId="7523" borderId="7458" pivotButton="0" quotePrefix="0" xfId="0"/>
    <xf numFmtId="0" fontId="7519" fillId="7524" borderId="7459" pivotButton="0" quotePrefix="0" xfId="0"/>
    <xf numFmtId="0" fontId="7520" fillId="7525" borderId="7460" pivotButton="0" quotePrefix="0" xfId="0"/>
    <xf numFmtId="0" fontId="7521" fillId="7526" borderId="7461" pivotButton="0" quotePrefix="0" xfId="0"/>
    <xf numFmtId="0" fontId="7522" fillId="7527" borderId="7462" pivotButton="0" quotePrefix="0" xfId="0"/>
    <xf numFmtId="0" fontId="7523" fillId="7528" borderId="7463" pivotButton="0" quotePrefix="0" xfId="0"/>
    <xf numFmtId="0" fontId="7524" fillId="7529" borderId="7464" pivotButton="0" quotePrefix="0" xfId="0"/>
    <xf numFmtId="14" fontId="7525" fillId="7530" borderId="7465" pivotButton="0" quotePrefix="0" xfId="0"/>
    <xf numFmtId="14" fontId="7526" fillId="7531" borderId="7466" pivotButton="0" quotePrefix="0" xfId="0"/>
    <xf numFmtId="0" fontId="7527" fillId="7532" borderId="7467" pivotButton="0" quotePrefix="0" xfId="0"/>
    <xf numFmtId="14" fontId="7528" fillId="7533" borderId="7468" pivotButton="0" quotePrefix="0" xfId="0"/>
    <xf numFmtId="0" fontId="7529" fillId="7534" borderId="7469" pivotButton="0" quotePrefix="0" xfId="0"/>
    <xf numFmtId="0" fontId="7530" fillId="7535" borderId="7470" pivotButton="0" quotePrefix="0" xfId="0"/>
    <xf numFmtId="0" fontId="7531" fillId="7536" borderId="7471" pivotButton="0" quotePrefix="0" xfId="0"/>
    <xf numFmtId="0" fontId="7532" fillId="7537" borderId="7472" pivotButton="0" quotePrefix="0" xfId="0"/>
    <xf numFmtId="0" fontId="7533" fillId="7538" borderId="7473" pivotButton="0" quotePrefix="0" xfId="0"/>
    <xf numFmtId="0" fontId="7534" fillId="7539" borderId="7474" pivotButton="0" quotePrefix="0" xfId="0"/>
    <xf numFmtId="14" fontId="7535" fillId="7540" borderId="7475" pivotButton="0" quotePrefix="0" xfId="0"/>
    <xf numFmtId="14" fontId="7536" fillId="7541" borderId="7476" pivotButton="0" quotePrefix="0" xfId="0"/>
    <xf numFmtId="0" fontId="7537" fillId="7542" borderId="7477" pivotButton="0" quotePrefix="0" xfId="0"/>
    <xf numFmtId="14" fontId="7538" fillId="7543" borderId="7478" pivotButton="0" quotePrefix="0" xfId="0"/>
    <xf numFmtId="0" fontId="7539" fillId="7544" borderId="7479" pivotButton="0" quotePrefix="0" xfId="0"/>
    <xf numFmtId="0" fontId="7540" fillId="7545" borderId="7480" pivotButton="0" quotePrefix="0" xfId="0"/>
    <xf numFmtId="0" fontId="7541" fillId="7546" borderId="7481" pivotButton="0" quotePrefix="0" xfId="0"/>
    <xf numFmtId="0" fontId="7542" fillId="7547" borderId="7482" pivotButton="0" quotePrefix="0" xfId="0"/>
    <xf numFmtId="0" fontId="7543" fillId="7548" borderId="7483" pivotButton="0" quotePrefix="0" xfId="0"/>
    <xf numFmtId="0" fontId="7544" fillId="7549" borderId="7484" pivotButton="0" quotePrefix="0" xfId="0"/>
    <xf numFmtId="14" fontId="7545" fillId="7550" borderId="7485" pivotButton="0" quotePrefix="0" xfId="0"/>
    <xf numFmtId="14" fontId="7546" fillId="7551" borderId="7486" pivotButton="0" quotePrefix="0" xfId="0"/>
    <xf numFmtId="0" fontId="7547" fillId="7552" borderId="7487" pivotButton="0" quotePrefix="0" xfId="0"/>
    <xf numFmtId="14" fontId="7548" fillId="7553" borderId="7488" pivotButton="0" quotePrefix="0" xfId="0"/>
    <xf numFmtId="0" fontId="7549" fillId="7554" borderId="7489" pivotButton="0" quotePrefix="0" xfId="0"/>
    <xf numFmtId="0" fontId="7550" fillId="7555" borderId="7490" pivotButton="0" quotePrefix="0" xfId="0"/>
    <xf numFmtId="0" fontId="7551" fillId="7556" borderId="7491" pivotButton="0" quotePrefix="0" xfId="0"/>
    <xf numFmtId="0" fontId="7552" fillId="7557" borderId="7492" pivotButton="0" quotePrefix="0" xfId="0"/>
    <xf numFmtId="0" fontId="7553" fillId="7558" borderId="7493" pivotButton="0" quotePrefix="0" xfId="0"/>
    <xf numFmtId="0" fontId="7554" fillId="7559" borderId="7494" pivotButton="0" quotePrefix="0" xfId="0"/>
    <xf numFmtId="14" fontId="7555" fillId="7560" borderId="7495" pivotButton="0" quotePrefix="0" xfId="0"/>
    <xf numFmtId="14" fontId="7556" fillId="7561" borderId="7496" pivotButton="0" quotePrefix="0" xfId="0"/>
    <xf numFmtId="0" fontId="7557" fillId="7562" borderId="7497" pivotButton="0" quotePrefix="0" xfId="0"/>
    <xf numFmtId="14" fontId="7558" fillId="7563" borderId="7498" pivotButton="0" quotePrefix="0" xfId="0"/>
    <xf numFmtId="0" fontId="7559" fillId="7564" borderId="7499" pivotButton="0" quotePrefix="0" xfId="0"/>
    <xf numFmtId="0" fontId="7560" fillId="7565" borderId="7500" pivotButton="0" quotePrefix="0" xfId="0"/>
    <xf numFmtId="0" fontId="7561" fillId="7566" borderId="7501" pivotButton="0" quotePrefix="0" xfId="0"/>
    <xf numFmtId="0" fontId="7562" fillId="7567" borderId="7502" pivotButton="0" quotePrefix="0" xfId="0"/>
    <xf numFmtId="0" fontId="7563" fillId="7568" borderId="7503" pivotButton="0" quotePrefix="0" xfId="0"/>
    <xf numFmtId="0" fontId="7564" fillId="7569" borderId="7504" pivotButton="0" quotePrefix="0" xfId="0"/>
    <xf numFmtId="14" fontId="7565" fillId="7570" borderId="7505" pivotButton="0" quotePrefix="0" xfId="0"/>
    <xf numFmtId="14" fontId="7566" fillId="7571" borderId="7506" pivotButton="0" quotePrefix="0" xfId="0"/>
    <xf numFmtId="0" fontId="7567" fillId="7572" borderId="7507" pivotButton="0" quotePrefix="0" xfId="0"/>
    <xf numFmtId="14" fontId="7568" fillId="7573" borderId="7508" pivotButton="0" quotePrefix="0" xfId="0"/>
    <xf numFmtId="0" fontId="7569" fillId="7574" borderId="7509" pivotButton="0" quotePrefix="0" xfId="0"/>
    <xf numFmtId="0" fontId="7570" fillId="7575" borderId="7510" pivotButton="0" quotePrefix="0" xfId="0"/>
    <xf numFmtId="0" fontId="7571" fillId="7576" borderId="7511" pivotButton="0" quotePrefix="0" xfId="0"/>
    <xf numFmtId="0" fontId="7572" fillId="7577" borderId="7512" pivotButton="0" quotePrefix="0" xfId="0"/>
    <xf numFmtId="0" fontId="7573" fillId="7578" borderId="7513" pivotButton="0" quotePrefix="0" xfId="0"/>
    <xf numFmtId="0" fontId="7574" fillId="7579" borderId="7514" pivotButton="0" quotePrefix="0" xfId="0"/>
    <xf numFmtId="14" fontId="7575" fillId="7580" borderId="7515" pivotButton="0" quotePrefix="0" xfId="0"/>
    <xf numFmtId="14" fontId="7576" fillId="7581" borderId="7516" pivotButton="0" quotePrefix="0" xfId="0"/>
    <xf numFmtId="0" fontId="7577" fillId="7582" borderId="7517" pivotButton="0" quotePrefix="0" xfId="0"/>
    <xf numFmtId="14" fontId="7578" fillId="7583" borderId="7518" pivotButton="0" quotePrefix="0" xfId="0"/>
    <xf numFmtId="0" fontId="7579" fillId="7584" borderId="7519" pivotButton="0" quotePrefix="0" xfId="0"/>
    <xf numFmtId="0" fontId="7580" fillId="7585" borderId="7520" pivotButton="0" quotePrefix="0" xfId="0"/>
    <xf numFmtId="0" fontId="7581" fillId="7586" borderId="7521" pivotButton="0" quotePrefix="0" xfId="0"/>
    <xf numFmtId="0" fontId="7582" fillId="7587" borderId="7522" pivotButton="0" quotePrefix="0" xfId="0"/>
    <xf numFmtId="0" fontId="7583" fillId="7588" borderId="7523" pivotButton="0" quotePrefix="0" xfId="0"/>
    <xf numFmtId="0" fontId="7584" fillId="7589" borderId="7524" pivotButton="0" quotePrefix="0" xfId="0"/>
    <xf numFmtId="14" fontId="7585" fillId="7590" borderId="7525" pivotButton="0" quotePrefix="0" xfId="0"/>
    <xf numFmtId="14" fontId="7586" fillId="7591" borderId="7526" pivotButton="0" quotePrefix="0" xfId="0"/>
    <xf numFmtId="0" fontId="7587" fillId="7592" borderId="7527" pivotButton="0" quotePrefix="0" xfId="0"/>
    <xf numFmtId="14" fontId="7588" fillId="7593" borderId="7528" pivotButton="0" quotePrefix="0" xfId="0"/>
    <xf numFmtId="0" fontId="7589" fillId="7594" borderId="7529" pivotButton="0" quotePrefix="0" xfId="0"/>
    <xf numFmtId="0" fontId="7590" fillId="7595" borderId="7530" pivotButton="0" quotePrefix="0" xfId="0"/>
    <xf numFmtId="0" fontId="7591" fillId="7596" borderId="7531" pivotButton="0" quotePrefix="0" xfId="0"/>
    <xf numFmtId="0" fontId="7592" fillId="7597" borderId="7532" pivotButton="0" quotePrefix="0" xfId="0"/>
    <xf numFmtId="0" fontId="7593" fillId="7598" borderId="7533" pivotButton="0" quotePrefix="0" xfId="0"/>
    <xf numFmtId="0" fontId="7594" fillId="7599" borderId="7534" pivotButton="0" quotePrefix="0" xfId="0"/>
    <xf numFmtId="14" fontId="7595" fillId="7600" borderId="7535" pivotButton="0" quotePrefix="0" xfId="0"/>
    <xf numFmtId="14" fontId="7596" fillId="7601" borderId="7536" pivotButton="0" quotePrefix="0" xfId="0"/>
    <xf numFmtId="0" fontId="7597" fillId="7602" borderId="7537" pivotButton="0" quotePrefix="0" xfId="0"/>
    <xf numFmtId="14" fontId="7598" fillId="7603" borderId="7538" pivotButton="0" quotePrefix="0" xfId="0"/>
    <xf numFmtId="0" fontId="7599" fillId="7604" borderId="7539" pivotButton="0" quotePrefix="0" xfId="0"/>
    <xf numFmtId="0" fontId="7600" fillId="7605" borderId="7540" pivotButton="0" quotePrefix="0" xfId="0"/>
    <xf numFmtId="0" fontId="7601" fillId="7606" borderId="7541" pivotButton="0" quotePrefix="0" xfId="0"/>
    <xf numFmtId="0" fontId="7602" fillId="7607" borderId="7542" pivotButton="0" quotePrefix="0" xfId="0"/>
    <xf numFmtId="0" fontId="7603" fillId="7608" borderId="7543" pivotButton="0" quotePrefix="0" xfId="0"/>
    <xf numFmtId="0" fontId="7604" fillId="7609" borderId="7544" pivotButton="0" quotePrefix="0" xfId="0"/>
    <xf numFmtId="14" fontId="7605" fillId="7610" borderId="7545" pivotButton="0" quotePrefix="0" xfId="0"/>
    <xf numFmtId="14" fontId="7606" fillId="7611" borderId="7546" pivotButton="0" quotePrefix="0" xfId="0"/>
    <xf numFmtId="0" fontId="7607" fillId="7612" borderId="7547" pivotButton="0" quotePrefix="0" xfId="0"/>
    <xf numFmtId="14" fontId="7608" fillId="7613" borderId="7548" pivotButton="0" quotePrefix="0" xfId="0"/>
    <xf numFmtId="0" fontId="7609" fillId="7614" borderId="7549" pivotButton="0" quotePrefix="0" xfId="0"/>
    <xf numFmtId="0" fontId="7610" fillId="7615" borderId="7550" pivotButton="0" quotePrefix="0" xfId="0"/>
    <xf numFmtId="0" fontId="7611" fillId="7616" borderId="7551" pivotButton="0" quotePrefix="0" xfId="0"/>
    <xf numFmtId="0" fontId="7612" fillId="7617" borderId="7552" pivotButton="0" quotePrefix="0" xfId="0"/>
    <xf numFmtId="0" fontId="7613" fillId="7618" borderId="7553" pivotButton="0" quotePrefix="0" xfId="0"/>
    <xf numFmtId="0" fontId="7614" fillId="7619" borderId="7554" pivotButton="0" quotePrefix="0" xfId="0"/>
    <xf numFmtId="14" fontId="7615" fillId="7620" borderId="7555" pivotButton="0" quotePrefix="0" xfId="0"/>
    <xf numFmtId="14" fontId="7616" fillId="7621" borderId="7556" pivotButton="0" quotePrefix="0" xfId="0"/>
    <xf numFmtId="0" fontId="7617" fillId="7622" borderId="7557" pivotButton="0" quotePrefix="0" xfId="0"/>
    <xf numFmtId="14" fontId="7618" fillId="7623" borderId="7558" pivotButton="0" quotePrefix="0" xfId="0"/>
    <xf numFmtId="0" fontId="7619" fillId="7624" borderId="7559" pivotButton="0" quotePrefix="0" xfId="0"/>
    <xf numFmtId="0" fontId="7620" fillId="7625" borderId="7560" pivotButton="0" quotePrefix="0" xfId="0"/>
    <xf numFmtId="0" fontId="7621" fillId="7626" borderId="7561" pivotButton="0" quotePrefix="0" xfId="0"/>
    <xf numFmtId="0" fontId="7622" fillId="7627" borderId="7562" pivotButton="0" quotePrefix="0" xfId="0"/>
    <xf numFmtId="0" fontId="7623" fillId="7628" borderId="7563" pivotButton="0" quotePrefix="0" xfId="0"/>
    <xf numFmtId="0" fontId="7624" fillId="7629" borderId="7564" pivotButton="0" quotePrefix="0" xfId="0"/>
    <xf numFmtId="14" fontId="7625" fillId="7630" borderId="7565" pivotButton="0" quotePrefix="0" xfId="0"/>
    <xf numFmtId="14" fontId="7626" fillId="7631" borderId="7566" pivotButton="0" quotePrefix="0" xfId="0"/>
    <xf numFmtId="0" fontId="7627" fillId="7632" borderId="7567" pivotButton="0" quotePrefix="0" xfId="0"/>
    <xf numFmtId="14" fontId="7628" fillId="7633" borderId="7568" pivotButton="0" quotePrefix="0" xfId="0"/>
    <xf numFmtId="0" fontId="7629" fillId="7634" borderId="7569" pivotButton="0" quotePrefix="0" xfId="0"/>
    <xf numFmtId="0" fontId="7630" fillId="7635" borderId="7570" pivotButton="0" quotePrefix="0" xfId="0"/>
    <xf numFmtId="0" fontId="7631" fillId="7636" borderId="7571" pivotButton="0" quotePrefix="0" xfId="0"/>
    <xf numFmtId="0" fontId="7632" fillId="7637" borderId="7572" pivotButton="0" quotePrefix="0" xfId="0"/>
    <xf numFmtId="0" fontId="7633" fillId="7638" borderId="7573" pivotButton="0" quotePrefix="0" xfId="0"/>
    <xf numFmtId="0" fontId="7634" fillId="7639" borderId="7574" pivotButton="0" quotePrefix="0" xfId="0"/>
    <xf numFmtId="14" fontId="7635" fillId="7640" borderId="7575" pivotButton="0" quotePrefix="0" xfId="0"/>
    <xf numFmtId="14" fontId="7636" fillId="7641" borderId="7576" pivotButton="0" quotePrefix="0" xfId="0"/>
    <xf numFmtId="0" fontId="7637" fillId="7642" borderId="7577" pivotButton="0" quotePrefix="0" xfId="0"/>
    <xf numFmtId="14" fontId="7638" fillId="7643" borderId="7578" pivotButton="0" quotePrefix="0" xfId="0"/>
    <xf numFmtId="0" fontId="7639" fillId="7644" borderId="7579" pivotButton="0" quotePrefix="0" xfId="0"/>
    <xf numFmtId="0" fontId="7640" fillId="7645" borderId="7580" pivotButton="0" quotePrefix="0" xfId="0"/>
    <xf numFmtId="0" fontId="7641" fillId="7646" borderId="7581" pivotButton="0" quotePrefix="0" xfId="0"/>
    <xf numFmtId="0" fontId="7642" fillId="7647" borderId="7582" pivotButton="0" quotePrefix="0" xfId="0"/>
    <xf numFmtId="0" fontId="7643" fillId="7648" borderId="7583" pivotButton="0" quotePrefix="0" xfId="0"/>
    <xf numFmtId="0" fontId="7644" fillId="7649" borderId="7584" pivotButton="0" quotePrefix="0" xfId="0"/>
    <xf numFmtId="14" fontId="7645" fillId="7650" borderId="7585" pivotButton="0" quotePrefix="0" xfId="0"/>
    <xf numFmtId="14" fontId="7646" fillId="7651" borderId="7586" pivotButton="0" quotePrefix="0" xfId="0"/>
    <xf numFmtId="0" fontId="7647" fillId="7652" borderId="7587" pivotButton="0" quotePrefix="0" xfId="0"/>
    <xf numFmtId="14" fontId="7648" fillId="7653" borderId="7588" pivotButton="0" quotePrefix="0" xfId="0"/>
    <xf numFmtId="0" fontId="7649" fillId="7654" borderId="7589" pivotButton="0" quotePrefix="0" xfId="0"/>
    <xf numFmtId="0" fontId="7650" fillId="7655" borderId="7590" pivotButton="0" quotePrefix="0" xfId="0"/>
    <xf numFmtId="0" fontId="7651" fillId="7656" borderId="7591" pivotButton="0" quotePrefix="0" xfId="0"/>
    <xf numFmtId="0" fontId="7652" fillId="7657" borderId="7592" pivotButton="0" quotePrefix="0" xfId="0"/>
    <xf numFmtId="0" fontId="7653" fillId="7658" borderId="7593" pivotButton="0" quotePrefix="0" xfId="0"/>
    <xf numFmtId="0" fontId="7654" fillId="7659" borderId="7594" pivotButton="0" quotePrefix="0" xfId="0"/>
    <xf numFmtId="14" fontId="7655" fillId="7660" borderId="7595" pivotButton="0" quotePrefix="0" xfId="0"/>
    <xf numFmtId="14" fontId="7656" fillId="7661" borderId="7596" pivotButton="0" quotePrefix="0" xfId="0"/>
    <xf numFmtId="0" fontId="7657" fillId="7662" borderId="7597" pivotButton="0" quotePrefix="0" xfId="0"/>
    <xf numFmtId="14" fontId="7658" fillId="7663" borderId="7598" pivotButton="0" quotePrefix="0" xfId="0"/>
    <xf numFmtId="0" fontId="7659" fillId="7664" borderId="7599" pivotButton="0" quotePrefix="0" xfId="0"/>
    <xf numFmtId="0" fontId="7660" fillId="7665" borderId="7600" pivotButton="0" quotePrefix="0" xfId="0"/>
    <xf numFmtId="0" fontId="7661" fillId="7666" borderId="7601" pivotButton="0" quotePrefix="0" xfId="0"/>
    <xf numFmtId="0" fontId="7662" fillId="7667" borderId="7602" pivotButton="0" quotePrefix="0" xfId="0"/>
    <xf numFmtId="0" fontId="7663" fillId="7668" borderId="7603" pivotButton="0" quotePrefix="0" xfId="0"/>
    <xf numFmtId="0" fontId="7664" fillId="7669" borderId="7604" pivotButton="0" quotePrefix="0" xfId="0"/>
    <xf numFmtId="14" fontId="7665" fillId="7670" borderId="7605" pivotButton="0" quotePrefix="0" xfId="0"/>
    <xf numFmtId="14" fontId="7666" fillId="7671" borderId="7606" pivotButton="0" quotePrefix="0" xfId="0"/>
    <xf numFmtId="0" fontId="7667" fillId="7672" borderId="7607" pivotButton="0" quotePrefix="0" xfId="0"/>
    <xf numFmtId="14" fontId="7668" fillId="7673" borderId="7608" pivotButton="0" quotePrefix="0" xfId="0"/>
    <xf numFmtId="0" fontId="7669" fillId="7674" borderId="7609" pivotButton="0" quotePrefix="0" xfId="0"/>
    <xf numFmtId="0" fontId="7670" fillId="7675" borderId="7610" pivotButton="0" quotePrefix="0" xfId="0"/>
    <xf numFmtId="0" fontId="7671" fillId="7676" borderId="7611" pivotButton="0" quotePrefix="0" xfId="0"/>
    <xf numFmtId="0" fontId="7672" fillId="7677" borderId="7612" pivotButton="0" quotePrefix="0" xfId="0"/>
    <xf numFmtId="0" fontId="7673" fillId="7678" borderId="7613" pivotButton="0" quotePrefix="0" xfId="0"/>
    <xf numFmtId="0" fontId="7674" fillId="7679" borderId="7614" pivotButton="0" quotePrefix="0" xfId="0"/>
    <xf numFmtId="14" fontId="7675" fillId="7680" borderId="7615" pivotButton="0" quotePrefix="0" xfId="0"/>
    <xf numFmtId="14" fontId="7676" fillId="7681" borderId="7616" pivotButton="0" quotePrefix="0" xfId="0"/>
    <xf numFmtId="0" fontId="7677" fillId="7682" borderId="7617" pivotButton="0" quotePrefix="0" xfId="0"/>
    <xf numFmtId="14" fontId="7678" fillId="7683" borderId="7618" pivotButton="0" quotePrefix="0" xfId="0"/>
    <xf numFmtId="0" fontId="7679" fillId="7684" borderId="7619" pivotButton="0" quotePrefix="0" xfId="0"/>
    <xf numFmtId="0" fontId="7680" fillId="7685" borderId="7620" pivotButton="0" quotePrefix="0" xfId="0"/>
    <xf numFmtId="0" fontId="7681" fillId="7686" borderId="7621" pivotButton="0" quotePrefix="0" xfId="0"/>
    <xf numFmtId="0" fontId="7682" fillId="7687" borderId="7622" pivotButton="0" quotePrefix="0" xfId="0"/>
    <xf numFmtId="0" fontId="7683" fillId="7688" borderId="7623" pivotButton="0" quotePrefix="0" xfId="0"/>
    <xf numFmtId="0" fontId="7684" fillId="7689" borderId="7624" pivotButton="0" quotePrefix="0" xfId="0"/>
    <xf numFmtId="14" fontId="7685" fillId="7690" borderId="7625" pivotButton="0" quotePrefix="0" xfId="0"/>
    <xf numFmtId="14" fontId="7686" fillId="7691" borderId="7626" pivotButton="0" quotePrefix="0" xfId="0"/>
    <xf numFmtId="0" fontId="7687" fillId="7692" borderId="7627" pivotButton="0" quotePrefix="0" xfId="0"/>
    <xf numFmtId="14" fontId="7688" fillId="7693" borderId="7628" pivotButton="0" quotePrefix="0" xfId="0"/>
    <xf numFmtId="0" fontId="7689" fillId="7694" borderId="7629" pivotButton="0" quotePrefix="0" xfId="0"/>
    <xf numFmtId="0" fontId="7690" fillId="7695" borderId="7630" pivotButton="0" quotePrefix="0" xfId="0"/>
    <xf numFmtId="0" fontId="7691" fillId="7696" borderId="7631" pivotButton="0" quotePrefix="0" xfId="0"/>
    <xf numFmtId="0" fontId="7692" fillId="7697" borderId="7632" pivotButton="0" quotePrefix="0" xfId="0"/>
    <xf numFmtId="0" fontId="7693" fillId="7698" borderId="7633" pivotButton="0" quotePrefix="0" xfId="0"/>
    <xf numFmtId="0" fontId="7694" fillId="7699" borderId="7634" pivotButton="0" quotePrefix="0" xfId="0"/>
    <xf numFmtId="14" fontId="7695" fillId="7700" borderId="7635" pivotButton="0" quotePrefix="0" xfId="0"/>
    <xf numFmtId="14" fontId="7696" fillId="7701" borderId="7636" pivotButton="0" quotePrefix="0" xfId="0"/>
    <xf numFmtId="0" fontId="7697" fillId="7702" borderId="7637" pivotButton="0" quotePrefix="0" xfId="0"/>
    <xf numFmtId="14" fontId="7698" fillId="7703" borderId="7638" pivotButton="0" quotePrefix="0" xfId="0"/>
    <xf numFmtId="0" fontId="7699" fillId="7704" borderId="7639" pivotButton="0" quotePrefix="0" xfId="0"/>
    <xf numFmtId="0" fontId="7700" fillId="7705" borderId="7640" pivotButton="0" quotePrefix="0" xfId="0"/>
    <xf numFmtId="0" fontId="7701" fillId="7706" borderId="7641" pivotButton="0" quotePrefix="0" xfId="0"/>
    <xf numFmtId="0" fontId="7702" fillId="7707" borderId="7642" pivotButton="0" quotePrefix="0" xfId="0"/>
    <xf numFmtId="0" fontId="7703" fillId="7708" borderId="7643" pivotButton="0" quotePrefix="0" xfId="0"/>
    <xf numFmtId="0" fontId="7704" fillId="7709" borderId="7644" pivotButton="0" quotePrefix="0" xfId="0"/>
    <xf numFmtId="14" fontId="7705" fillId="7710" borderId="7645" pivotButton="0" quotePrefix="0" xfId="0"/>
    <xf numFmtId="14" fontId="7706" fillId="7711" borderId="7646" pivotButton="0" quotePrefix="0" xfId="0"/>
    <xf numFmtId="0" fontId="7707" fillId="7712" borderId="7647" pivotButton="0" quotePrefix="0" xfId="0"/>
    <xf numFmtId="14" fontId="7708" fillId="7713" borderId="7648" pivotButton="0" quotePrefix="0" xfId="0"/>
    <xf numFmtId="0" fontId="7709" fillId="7714" borderId="7649" pivotButton="0" quotePrefix="0" xfId="0"/>
    <xf numFmtId="0" fontId="7710" fillId="7715" borderId="7650" pivotButton="0" quotePrefix="0" xfId="0"/>
    <xf numFmtId="0" fontId="7711" fillId="7716" borderId="7651" pivotButton="0" quotePrefix="0" xfId="0"/>
    <xf numFmtId="0" fontId="7712" fillId="7717" borderId="7652" pivotButton="0" quotePrefix="0" xfId="0"/>
    <xf numFmtId="0" fontId="7713" fillId="7718" borderId="7653" pivotButton="0" quotePrefix="0" xfId="0"/>
    <xf numFmtId="0" fontId="7714" fillId="7719" borderId="7654" pivotButton="0" quotePrefix="0" xfId="0"/>
    <xf numFmtId="14" fontId="7715" fillId="7720" borderId="7655" pivotButton="0" quotePrefix="0" xfId="0"/>
    <xf numFmtId="14" fontId="7716" fillId="7721" borderId="7656" pivotButton="0" quotePrefix="0" xfId="0"/>
    <xf numFmtId="0" fontId="7717" fillId="7722" borderId="7657" pivotButton="0" quotePrefix="0" xfId="0"/>
    <xf numFmtId="14" fontId="7718" fillId="7723" borderId="7658" pivotButton="0" quotePrefix="0" xfId="0"/>
    <xf numFmtId="0" fontId="7719" fillId="7724" borderId="7659" pivotButton="0" quotePrefix="0" xfId="0"/>
    <xf numFmtId="0" fontId="7720" fillId="7725" borderId="7660" pivotButton="0" quotePrefix="0" xfId="0"/>
    <xf numFmtId="0" fontId="7721" fillId="7726" borderId="7661" pivotButton="0" quotePrefix="0" xfId="0"/>
    <xf numFmtId="0" fontId="7722" fillId="7727" borderId="7662" pivotButton="0" quotePrefix="0" xfId="0"/>
    <xf numFmtId="0" fontId="7723" fillId="7728" borderId="7663" pivotButton="0" quotePrefix="0" xfId="0"/>
    <xf numFmtId="0" fontId="7724" fillId="7729" borderId="7664" pivotButton="0" quotePrefix="0" xfId="0"/>
    <xf numFmtId="14" fontId="7725" fillId="7730" borderId="7665" pivotButton="0" quotePrefix="0" xfId="0"/>
    <xf numFmtId="14" fontId="7726" fillId="7731" borderId="7666" pivotButton="0" quotePrefix="0" xfId="0"/>
    <xf numFmtId="0" fontId="7727" fillId="7732" borderId="7667" pivotButton="0" quotePrefix="0" xfId="0"/>
    <xf numFmtId="14" fontId="7728" fillId="7733" borderId="7668" pivotButton="0" quotePrefix="0" xfId="0"/>
    <xf numFmtId="0" fontId="7729" fillId="7734" borderId="7669" pivotButton="0" quotePrefix="0" xfId="0"/>
    <xf numFmtId="0" fontId="7730" fillId="7735" borderId="7670" pivotButton="0" quotePrefix="0" xfId="0"/>
    <xf numFmtId="0" fontId="7731" fillId="7736" borderId="7671" pivotButton="0" quotePrefix="0" xfId="0"/>
    <xf numFmtId="0" fontId="7732" fillId="7737" borderId="7672" pivotButton="0" quotePrefix="0" xfId="0"/>
    <xf numFmtId="0" fontId="7733" fillId="7738" borderId="7673" pivotButton="0" quotePrefix="0" xfId="0"/>
    <xf numFmtId="0" fontId="7734" fillId="7739" borderId="7674" pivotButton="0" quotePrefix="0" xfId="0"/>
    <xf numFmtId="14" fontId="7735" fillId="7740" borderId="7675" pivotButton="0" quotePrefix="0" xfId="0"/>
    <xf numFmtId="14" fontId="7736" fillId="7741" borderId="7676" pivotButton="0" quotePrefix="0" xfId="0"/>
    <xf numFmtId="0" fontId="7737" fillId="7742" borderId="7677" pivotButton="0" quotePrefix="0" xfId="0"/>
    <xf numFmtId="14" fontId="7738" fillId="7743" borderId="7678" pivotButton="0" quotePrefix="0" xfId="0"/>
    <xf numFmtId="0" fontId="7739" fillId="7744" borderId="7679" pivotButton="0" quotePrefix="0" xfId="0"/>
    <xf numFmtId="0" fontId="7740" fillId="7745" borderId="7680" pivotButton="0" quotePrefix="0" xfId="0"/>
    <xf numFmtId="0" fontId="7741" fillId="7746" borderId="7681" pivotButton="0" quotePrefix="0" xfId="0"/>
    <xf numFmtId="0" fontId="7742" fillId="7747" borderId="7682" pivotButton="0" quotePrefix="0" xfId="0"/>
    <xf numFmtId="0" fontId="7743" fillId="7748" borderId="7683" pivotButton="0" quotePrefix="0" xfId="0"/>
    <xf numFmtId="0" fontId="7744" fillId="7749" borderId="7684" pivotButton="0" quotePrefix="0" xfId="0"/>
    <xf numFmtId="14" fontId="7745" fillId="7750" borderId="7685" pivotButton="0" quotePrefix="0" xfId="0"/>
    <xf numFmtId="14" fontId="7746" fillId="7751" borderId="7686" pivotButton="0" quotePrefix="0" xfId="0"/>
    <xf numFmtId="0" fontId="7747" fillId="7752" borderId="7687" pivotButton="0" quotePrefix="0" xfId="0"/>
    <xf numFmtId="14" fontId="7748" fillId="7753" borderId="7688" pivotButton="0" quotePrefix="0" xfId="0"/>
    <xf numFmtId="0" fontId="7749" fillId="7754" borderId="7689" pivotButton="0" quotePrefix="0" xfId="0"/>
    <xf numFmtId="0" fontId="7750" fillId="7755" borderId="7690" pivotButton="0" quotePrefix="0" xfId="0"/>
    <xf numFmtId="0" fontId="7751" fillId="7756" borderId="7691" pivotButton="0" quotePrefix="0" xfId="0"/>
    <xf numFmtId="0" fontId="7752" fillId="7757" borderId="7692" pivotButton="0" quotePrefix="0" xfId="0"/>
    <xf numFmtId="0" fontId="7753" fillId="7758" borderId="7693" pivotButton="0" quotePrefix="0" xfId="0"/>
    <xf numFmtId="0" fontId="7754" fillId="7759" borderId="7694" pivotButton="0" quotePrefix="0" xfId="0"/>
    <xf numFmtId="14" fontId="7755" fillId="7760" borderId="7695" pivotButton="0" quotePrefix="0" xfId="0"/>
    <xf numFmtId="14" fontId="7756" fillId="7761" borderId="7696" pivotButton="0" quotePrefix="0" xfId="0"/>
    <xf numFmtId="0" fontId="7757" fillId="7762" borderId="7697" pivotButton="0" quotePrefix="0" xfId="0"/>
    <xf numFmtId="14" fontId="7758" fillId="7763" borderId="7698" pivotButton="0" quotePrefix="0" xfId="0"/>
    <xf numFmtId="0" fontId="7759" fillId="7764" borderId="7699" pivotButton="0" quotePrefix="0" xfId="0"/>
    <xf numFmtId="0" fontId="7760" fillId="7765" borderId="7700" pivotButton="0" quotePrefix="0" xfId="0"/>
    <xf numFmtId="0" fontId="7761" fillId="7766" borderId="7701" pivotButton="0" quotePrefix="0" xfId="0"/>
    <xf numFmtId="0" fontId="7762" fillId="7767" borderId="7702" pivotButton="0" quotePrefix="0" xfId="0"/>
    <xf numFmtId="0" fontId="7763" fillId="7768" borderId="7703" pivotButton="0" quotePrefix="0" xfId="0"/>
    <xf numFmtId="0" fontId="7764" fillId="7769" borderId="7704" pivotButton="0" quotePrefix="0" xfId="0"/>
    <xf numFmtId="14" fontId="7765" fillId="7770" borderId="7705" pivotButton="0" quotePrefix="0" xfId="0"/>
    <xf numFmtId="14" fontId="7766" fillId="7771" borderId="7706" pivotButton="0" quotePrefix="0" xfId="0"/>
    <xf numFmtId="0" fontId="7767" fillId="7772" borderId="7707" pivotButton="0" quotePrefix="0" xfId="0"/>
    <xf numFmtId="14" fontId="7768" fillId="7773" borderId="7708" pivotButton="0" quotePrefix="0" xfId="0"/>
    <xf numFmtId="0" fontId="7769" fillId="7774" borderId="7709" pivotButton="0" quotePrefix="0" xfId="0"/>
    <xf numFmtId="0" fontId="7770" fillId="7775" borderId="7710" pivotButton="0" quotePrefix="0" xfId="0"/>
    <xf numFmtId="0" fontId="7771" fillId="7776" borderId="7711" pivotButton="0" quotePrefix="0" xfId="0"/>
    <xf numFmtId="0" fontId="7772" fillId="7777" borderId="7712" pivotButton="0" quotePrefix="0" xfId="0"/>
    <xf numFmtId="0" fontId="7773" fillId="7778" borderId="7713" pivotButton="0" quotePrefix="0" xfId="0"/>
    <xf numFmtId="0" fontId="7774" fillId="7779" borderId="7714" pivotButton="0" quotePrefix="0" xfId="0"/>
    <xf numFmtId="14" fontId="7775" fillId="7780" borderId="7715" pivotButton="0" quotePrefix="0" xfId="0"/>
    <xf numFmtId="14" fontId="7776" fillId="7781" borderId="7716" pivotButton="0" quotePrefix="0" xfId="0"/>
    <xf numFmtId="0" fontId="7777" fillId="7782" borderId="7717" pivotButton="0" quotePrefix="0" xfId="0"/>
    <xf numFmtId="14" fontId="7778" fillId="7783" borderId="7718" pivotButton="0" quotePrefix="0" xfId="0"/>
    <xf numFmtId="0" fontId="7779" fillId="7784" borderId="7719" pivotButton="0" quotePrefix="0" xfId="0"/>
    <xf numFmtId="0" fontId="7780" fillId="7785" borderId="7720" pivotButton="0" quotePrefix="0" xfId="0"/>
    <xf numFmtId="0" fontId="7781" fillId="7786" borderId="7721" pivotButton="0" quotePrefix="0" xfId="0"/>
    <xf numFmtId="0" fontId="7782" fillId="7787" borderId="7722" pivotButton="0" quotePrefix="0" xfId="0"/>
    <xf numFmtId="0" fontId="7783" fillId="7788" borderId="7723" pivotButton="0" quotePrefix="0" xfId="0"/>
    <xf numFmtId="0" fontId="7784" fillId="7789" borderId="7724" pivotButton="0" quotePrefix="0" xfId="0"/>
    <xf numFmtId="14" fontId="7785" fillId="7790" borderId="7725" pivotButton="0" quotePrefix="0" xfId="0"/>
    <xf numFmtId="14" fontId="7786" fillId="7791" borderId="7726" pivotButton="0" quotePrefix="0" xfId="0"/>
    <xf numFmtId="0" fontId="7787" fillId="7792" borderId="7727" pivotButton="0" quotePrefix="0" xfId="0"/>
    <xf numFmtId="14" fontId="7788" fillId="7793" borderId="7728" pivotButton="0" quotePrefix="0" xfId="0"/>
    <xf numFmtId="0" fontId="7789" fillId="7794" borderId="7729" pivotButton="0" quotePrefix="0" xfId="0"/>
    <xf numFmtId="0" fontId="7790" fillId="7795" borderId="7730" pivotButton="0" quotePrefix="0" xfId="0"/>
    <xf numFmtId="0" fontId="7791" fillId="7796" borderId="7731" pivotButton="0" quotePrefix="0" xfId="0"/>
    <xf numFmtId="0" fontId="7792" fillId="7797" borderId="7732" pivotButton="0" quotePrefix="0" xfId="0"/>
    <xf numFmtId="0" fontId="7793" fillId="7798" borderId="7733" pivotButton="0" quotePrefix="0" xfId="0"/>
    <xf numFmtId="0" fontId="7794" fillId="7799" borderId="7734" pivotButton="0" quotePrefix="0" xfId="0"/>
    <xf numFmtId="14" fontId="7795" fillId="7800" borderId="7735" pivotButton="0" quotePrefix="0" xfId="0"/>
    <xf numFmtId="14" fontId="7796" fillId="7801" borderId="7736" pivotButton="0" quotePrefix="0" xfId="0"/>
    <xf numFmtId="0" fontId="7797" fillId="7802" borderId="7737" pivotButton="0" quotePrefix="0" xfId="0"/>
    <xf numFmtId="14" fontId="7798" fillId="7803" borderId="7738" pivotButton="0" quotePrefix="0" xfId="0"/>
    <xf numFmtId="0" fontId="7799" fillId="7804" borderId="7739" pivotButton="0" quotePrefix="0" xfId="0"/>
    <xf numFmtId="0" fontId="7800" fillId="7805" borderId="7740" pivotButton="0" quotePrefix="0" xfId="0"/>
    <xf numFmtId="0" fontId="7801" fillId="7806" borderId="7741" pivotButton="0" quotePrefix="0" xfId="0"/>
    <xf numFmtId="0" fontId="7802" fillId="7807" borderId="7742" pivotButton="0" quotePrefix="0" xfId="0"/>
    <xf numFmtId="0" fontId="7803" fillId="7808" borderId="7743" pivotButton="0" quotePrefix="0" xfId="0"/>
    <xf numFmtId="0" fontId="7804" fillId="7809" borderId="7744" pivotButton="0" quotePrefix="0" xfId="0"/>
    <xf numFmtId="14" fontId="7805" fillId="7810" borderId="7745" pivotButton="0" quotePrefix="0" xfId="0"/>
    <xf numFmtId="14" fontId="7806" fillId="7811" borderId="7746" pivotButton="0" quotePrefix="0" xfId="0"/>
    <xf numFmtId="0" fontId="7807" fillId="7812" borderId="7747" pivotButton="0" quotePrefix="0" xfId="0"/>
    <xf numFmtId="14" fontId="7808" fillId="7813" borderId="7748" pivotButton="0" quotePrefix="0" xfId="0"/>
    <xf numFmtId="0" fontId="7809" fillId="7814" borderId="7749" pivotButton="0" quotePrefix="0" xfId="0"/>
    <xf numFmtId="0" fontId="7810" fillId="7815" borderId="7750" pivotButton="0" quotePrefix="0" xfId="0"/>
    <xf numFmtId="0" fontId="7811" fillId="7816" borderId="7751" pivotButton="0" quotePrefix="0" xfId="0"/>
    <xf numFmtId="0" fontId="7812" fillId="7817" borderId="7752" pivotButton="0" quotePrefix="0" xfId="0"/>
    <xf numFmtId="0" fontId="7813" fillId="7818" borderId="7753" pivotButton="0" quotePrefix="0" xfId="0"/>
    <xf numFmtId="0" fontId="7814" fillId="7819" borderId="7754" pivotButton="0" quotePrefix="0" xfId="0"/>
    <xf numFmtId="14" fontId="7815" fillId="7820" borderId="7755" pivotButton="0" quotePrefix="0" xfId="0"/>
    <xf numFmtId="14" fontId="7816" fillId="7821" borderId="7756" pivotButton="0" quotePrefix="0" xfId="0"/>
    <xf numFmtId="0" fontId="7817" fillId="7822" borderId="7757" pivotButton="0" quotePrefix="0" xfId="0"/>
    <xf numFmtId="14" fontId="7818" fillId="7823" borderId="7758" pivotButton="0" quotePrefix="0" xfId="0"/>
    <xf numFmtId="0" fontId="7819" fillId="7824" borderId="7759" pivotButton="0" quotePrefix="0" xfId="0"/>
    <xf numFmtId="0" fontId="7820" fillId="7825" borderId="7760" pivotButton="0" quotePrefix="0" xfId="0"/>
    <xf numFmtId="0" fontId="7821" fillId="7826" borderId="7761" pivotButton="0" quotePrefix="0" xfId="0"/>
    <xf numFmtId="0" fontId="7822" fillId="7827" borderId="7762" pivotButton="0" quotePrefix="0" xfId="0"/>
    <xf numFmtId="0" fontId="7823" fillId="7828" borderId="7763" pivotButton="0" quotePrefix="0" xfId="0"/>
    <xf numFmtId="0" fontId="7824" fillId="7829" borderId="7764" pivotButton="0" quotePrefix="0" xfId="0"/>
    <xf numFmtId="14" fontId="7825" fillId="7830" borderId="7765" pivotButton="0" quotePrefix="0" xfId="0"/>
    <xf numFmtId="14" fontId="7826" fillId="7831" borderId="7766" pivotButton="0" quotePrefix="0" xfId="0"/>
    <xf numFmtId="0" fontId="7827" fillId="7832" borderId="7767" pivotButton="0" quotePrefix="0" xfId="0"/>
    <xf numFmtId="14" fontId="7828" fillId="7833" borderId="7768" pivotButton="0" quotePrefix="0" xfId="0"/>
    <xf numFmtId="0" fontId="7829" fillId="7834" borderId="7769" pivotButton="0" quotePrefix="0" xfId="0"/>
    <xf numFmtId="0" fontId="7830" fillId="7835" borderId="7770" pivotButton="0" quotePrefix="0" xfId="0"/>
    <xf numFmtId="0" fontId="7831" fillId="7836" borderId="7771" pivotButton="0" quotePrefix="0" xfId="0"/>
    <xf numFmtId="0" fontId="7832" fillId="7837" borderId="7772" pivotButton="0" quotePrefix="0" xfId="0"/>
    <xf numFmtId="0" fontId="7833" fillId="7838" borderId="7773" pivotButton="0" quotePrefix="0" xfId="0"/>
    <xf numFmtId="0" fontId="7834" fillId="7839" borderId="7774" pivotButton="0" quotePrefix="0" xfId="0"/>
    <xf numFmtId="14" fontId="7835" fillId="7840" borderId="7775" pivotButton="0" quotePrefix="0" xfId="0"/>
    <xf numFmtId="14" fontId="7836" fillId="7841" borderId="7776" pivotButton="0" quotePrefix="0" xfId="0"/>
    <xf numFmtId="0" fontId="7837" fillId="7842" borderId="7777" pivotButton="0" quotePrefix="0" xfId="0"/>
    <xf numFmtId="14" fontId="7838" fillId="7843" borderId="7778" pivotButton="0" quotePrefix="0" xfId="0"/>
    <xf numFmtId="0" fontId="7839" fillId="7844" borderId="7779" pivotButton="0" quotePrefix="0" xfId="0"/>
    <xf numFmtId="0" fontId="7840" fillId="7845" borderId="7780" pivotButton="0" quotePrefix="0" xfId="0"/>
    <xf numFmtId="0" fontId="7841" fillId="7846" borderId="7781" pivotButton="0" quotePrefix="0" xfId="0"/>
    <xf numFmtId="0" fontId="7842" fillId="7847" borderId="7782" pivotButton="0" quotePrefix="0" xfId="0"/>
    <xf numFmtId="0" fontId="7843" fillId="7848" borderId="7783" pivotButton="0" quotePrefix="0" xfId="0"/>
    <xf numFmtId="0" fontId="7844" fillId="7849" borderId="7784" pivotButton="0" quotePrefix="0" xfId="0"/>
    <xf numFmtId="14" fontId="7845" fillId="7850" borderId="7785" pivotButton="0" quotePrefix="0" xfId="0"/>
    <xf numFmtId="14" fontId="7846" fillId="7851" borderId="7786" pivotButton="0" quotePrefix="0" xfId="0"/>
    <xf numFmtId="0" fontId="7847" fillId="7852" borderId="7787" pivotButton="0" quotePrefix="0" xfId="0"/>
    <xf numFmtId="14" fontId="7848" fillId="7853" borderId="7788" pivotButton="0" quotePrefix="0" xfId="0"/>
    <xf numFmtId="0" fontId="7849" fillId="7854" borderId="7789" pivotButton="0" quotePrefix="0" xfId="0"/>
    <xf numFmtId="0" fontId="7850" fillId="7855" borderId="7790" pivotButton="0" quotePrefix="0" xfId="0"/>
    <xf numFmtId="0" fontId="7851" fillId="7856" borderId="7791" pivotButton="0" quotePrefix="0" xfId="0"/>
    <xf numFmtId="0" fontId="7852" fillId="7857" borderId="7792" pivotButton="0" quotePrefix="0" xfId="0"/>
    <xf numFmtId="0" fontId="7853" fillId="7858" borderId="7793" pivotButton="0" quotePrefix="0" xfId="0"/>
    <xf numFmtId="0" fontId="7854" fillId="7859" borderId="7794" pivotButton="0" quotePrefix="0" xfId="0"/>
    <xf numFmtId="14" fontId="7855" fillId="7860" borderId="7795" pivotButton="0" quotePrefix="0" xfId="0"/>
    <xf numFmtId="14" fontId="7856" fillId="7861" borderId="7796" pivotButton="0" quotePrefix="0" xfId="0"/>
    <xf numFmtId="0" fontId="7857" fillId="7862" borderId="7797" pivotButton="0" quotePrefix="0" xfId="0"/>
    <xf numFmtId="14" fontId="7858" fillId="7863" borderId="7798" pivotButton="0" quotePrefix="0" xfId="0"/>
    <xf numFmtId="0" fontId="7859" fillId="7864" borderId="7799" pivotButton="0" quotePrefix="0" xfId="0"/>
    <xf numFmtId="0" fontId="7860" fillId="7865" borderId="7800" pivotButton="0" quotePrefix="0" xfId="0"/>
    <xf numFmtId="0" fontId="7861" fillId="7866" borderId="7801" pivotButton="0" quotePrefix="0" xfId="0"/>
    <xf numFmtId="0" fontId="7862" fillId="7867" borderId="7802" pivotButton="0" quotePrefix="0" xfId="0"/>
    <xf numFmtId="0" fontId="7863" fillId="7868" borderId="7803" pivotButton="0" quotePrefix="0" xfId="0"/>
    <xf numFmtId="0" fontId="7864" fillId="7869" borderId="7804" pivotButton="0" quotePrefix="0" xfId="0"/>
    <xf numFmtId="14" fontId="7865" fillId="7870" borderId="7805" pivotButton="0" quotePrefix="0" xfId="0"/>
    <xf numFmtId="14" fontId="7866" fillId="7871" borderId="7806" pivotButton="0" quotePrefix="0" xfId="0"/>
    <xf numFmtId="0" fontId="7867" fillId="7872" borderId="7807" pivotButton="0" quotePrefix="0" xfId="0"/>
    <xf numFmtId="14" fontId="7868" fillId="7873" borderId="7808" pivotButton="0" quotePrefix="0" xfId="0"/>
    <xf numFmtId="0" fontId="7869" fillId="7874" borderId="7809" pivotButton="0" quotePrefix="0" xfId="0"/>
    <xf numFmtId="0" fontId="7870" fillId="7875" borderId="7810" pivotButton="0" quotePrefix="0" xfId="0"/>
    <xf numFmtId="0" fontId="7871" fillId="7876" borderId="7811" pivotButton="0" quotePrefix="0" xfId="0"/>
    <xf numFmtId="0" fontId="7872" fillId="7877" borderId="7812" pivotButton="0" quotePrefix="0" xfId="0"/>
    <xf numFmtId="0" fontId="7873" fillId="7878" borderId="7813" pivotButton="0" quotePrefix="0" xfId="0"/>
    <xf numFmtId="0" fontId="7874" fillId="7879" borderId="7814" pivotButton="0" quotePrefix="0" xfId="0"/>
    <xf numFmtId="14" fontId="7875" fillId="7880" borderId="7815" pivotButton="0" quotePrefix="0" xfId="0"/>
    <xf numFmtId="14" fontId="7876" fillId="7881" borderId="7816" pivotButton="0" quotePrefix="0" xfId="0"/>
    <xf numFmtId="0" fontId="7877" fillId="7882" borderId="7817" pivotButton="0" quotePrefix="0" xfId="0"/>
    <xf numFmtId="14" fontId="7878" fillId="7883" borderId="7818" pivotButton="0" quotePrefix="0" xfId="0"/>
    <xf numFmtId="0" fontId="7879" fillId="7884" borderId="7819" pivotButton="0" quotePrefix="0" xfId="0"/>
    <xf numFmtId="0" fontId="7880" fillId="7885" borderId="7820" pivotButton="0" quotePrefix="0" xfId="0"/>
    <xf numFmtId="0" fontId="7881" fillId="7886" borderId="7821" pivotButton="0" quotePrefix="0" xfId="0"/>
    <xf numFmtId="0" fontId="7882" fillId="7887" borderId="7822" pivotButton="0" quotePrefix="0" xfId="0"/>
    <xf numFmtId="0" fontId="7883" fillId="7888" borderId="7823" pivotButton="0" quotePrefix="0" xfId="0"/>
    <xf numFmtId="0" fontId="7884" fillId="7889" borderId="7824" pivotButton="0" quotePrefix="0" xfId="0"/>
    <xf numFmtId="14" fontId="7885" fillId="7890" borderId="7825" pivotButton="0" quotePrefix="0" xfId="0"/>
    <xf numFmtId="14" fontId="7886" fillId="7891" borderId="7826" pivotButton="0" quotePrefix="0" xfId="0"/>
    <xf numFmtId="0" fontId="7887" fillId="7892" borderId="7827" pivotButton="0" quotePrefix="0" xfId="0"/>
    <xf numFmtId="14" fontId="7888" fillId="7893" borderId="7828" pivotButton="0" quotePrefix="0" xfId="0"/>
    <xf numFmtId="0" fontId="7889" fillId="7894" borderId="7829" pivotButton="0" quotePrefix="0" xfId="0"/>
    <xf numFmtId="0" fontId="7890" fillId="7895" borderId="7830" pivotButton="0" quotePrefix="0" xfId="0"/>
    <xf numFmtId="0" fontId="7891" fillId="7896" borderId="7831" pivotButton="0" quotePrefix="0" xfId="0"/>
    <xf numFmtId="0" fontId="7892" fillId="7897" borderId="7832" pivotButton="0" quotePrefix="0" xfId="0"/>
    <xf numFmtId="0" fontId="7893" fillId="7898" borderId="7833" pivotButton="0" quotePrefix="0" xfId="0"/>
    <xf numFmtId="0" fontId="7894" fillId="7899" borderId="7834" pivotButton="0" quotePrefix="0" xfId="0"/>
    <xf numFmtId="14" fontId="7895" fillId="7900" borderId="7835" pivotButton="0" quotePrefix="0" xfId="0"/>
    <xf numFmtId="14" fontId="7896" fillId="7901" borderId="7836" pivotButton="0" quotePrefix="0" xfId="0"/>
    <xf numFmtId="0" fontId="7897" fillId="7902" borderId="7837" pivotButton="0" quotePrefix="0" xfId="0"/>
    <xf numFmtId="14" fontId="7898" fillId="7903" borderId="7838" pivotButton="0" quotePrefix="0" xfId="0"/>
    <xf numFmtId="0" fontId="7899" fillId="7904" borderId="7839" pivotButton="0" quotePrefix="0" xfId="0"/>
    <xf numFmtId="0" fontId="7900" fillId="7905" borderId="7840" pivotButton="0" quotePrefix="0" xfId="0"/>
    <xf numFmtId="0" fontId="7901" fillId="7906" borderId="7841" pivotButton="0" quotePrefix="0" xfId="0"/>
    <xf numFmtId="0" fontId="7902" fillId="7907" borderId="7842" pivotButton="0" quotePrefix="0" xfId="0"/>
    <xf numFmtId="0" fontId="7903" fillId="7908" borderId="7843" pivotButton="0" quotePrefix="0" xfId="0"/>
    <xf numFmtId="0" fontId="7904" fillId="7909" borderId="7844" pivotButton="0" quotePrefix="0" xfId="0"/>
    <xf numFmtId="14" fontId="7905" fillId="7910" borderId="7845" pivotButton="0" quotePrefix="0" xfId="0"/>
    <xf numFmtId="14" fontId="7906" fillId="7911" borderId="7846" pivotButton="0" quotePrefix="0" xfId="0"/>
    <xf numFmtId="0" fontId="7907" fillId="7912" borderId="7847" pivotButton="0" quotePrefix="0" xfId="0"/>
    <xf numFmtId="14" fontId="7908" fillId="7913" borderId="7848" pivotButton="0" quotePrefix="0" xfId="0"/>
    <xf numFmtId="0" fontId="7909" fillId="7914" borderId="7849" pivotButton="0" quotePrefix="0" xfId="0"/>
    <xf numFmtId="0" fontId="7910" fillId="7915" borderId="7850" pivotButton="0" quotePrefix="0" xfId="0"/>
    <xf numFmtId="0" fontId="7911" fillId="7916" borderId="7851" pivotButton="0" quotePrefix="0" xfId="0"/>
    <xf numFmtId="0" fontId="7912" fillId="7917" borderId="7852" pivotButton="0" quotePrefix="0" xfId="0"/>
    <xf numFmtId="0" fontId="7913" fillId="7918" borderId="7853" pivotButton="0" quotePrefix="0" xfId="0"/>
    <xf numFmtId="0" fontId="7914" fillId="7919" borderId="7854" pivotButton="0" quotePrefix="0" xfId="0"/>
    <xf numFmtId="14" fontId="7915" fillId="7920" borderId="7855" pivotButton="0" quotePrefix="0" xfId="0"/>
    <xf numFmtId="14" fontId="7916" fillId="7921" borderId="7856" pivotButton="0" quotePrefix="0" xfId="0"/>
    <xf numFmtId="0" fontId="7917" fillId="7922" borderId="7857" pivotButton="0" quotePrefix="0" xfId="0"/>
    <xf numFmtId="14" fontId="7918" fillId="7923" borderId="7858" pivotButton="0" quotePrefix="0" xfId="0"/>
    <xf numFmtId="0" fontId="7919" fillId="7924" borderId="7859" pivotButton="0" quotePrefix="0" xfId="0"/>
    <xf numFmtId="0" fontId="7920" fillId="7925" borderId="7860" pivotButton="0" quotePrefix="0" xfId="0"/>
    <xf numFmtId="0" fontId="7921" fillId="7926" borderId="7861" pivotButton="0" quotePrefix="0" xfId="0"/>
    <xf numFmtId="0" fontId="7922" fillId="7927" borderId="7862" pivotButton="0" quotePrefix="0" xfId="0"/>
    <xf numFmtId="0" fontId="7923" fillId="7928" borderId="7863" pivotButton="0" quotePrefix="0" xfId="0"/>
    <xf numFmtId="0" fontId="7924" fillId="7929" borderId="7864" pivotButton="0" quotePrefix="0" xfId="0"/>
    <xf numFmtId="14" fontId="7925" fillId="7930" borderId="7865" pivotButton="0" quotePrefix="0" xfId="0"/>
    <xf numFmtId="14" fontId="7926" fillId="7931" borderId="7866" pivotButton="0" quotePrefix="0" xfId="0"/>
    <xf numFmtId="0" fontId="7927" fillId="7932" borderId="7867" pivotButton="0" quotePrefix="0" xfId="0"/>
    <xf numFmtId="14" fontId="7928" fillId="7933" borderId="7868" pivotButton="0" quotePrefix="0" xfId="0"/>
    <xf numFmtId="0" fontId="7929" fillId="7934" borderId="7869" pivotButton="0" quotePrefix="0" xfId="0"/>
    <xf numFmtId="0" fontId="7930" fillId="7935" borderId="7870" pivotButton="0" quotePrefix="0" xfId="0"/>
    <xf numFmtId="0" fontId="7931" fillId="7936" borderId="7871" pivotButton="0" quotePrefix="0" xfId="0"/>
    <xf numFmtId="0" fontId="7932" fillId="7937" borderId="7872" pivotButton="0" quotePrefix="0" xfId="0"/>
    <xf numFmtId="0" fontId="7933" fillId="7938" borderId="7873" pivotButton="0" quotePrefix="0" xfId="0"/>
    <xf numFmtId="0" fontId="7934" fillId="7939" borderId="7874" pivotButton="0" quotePrefix="0" xfId="0"/>
    <xf numFmtId="14" fontId="7935" fillId="7940" borderId="7875" pivotButton="0" quotePrefix="0" xfId="0"/>
    <xf numFmtId="14" fontId="7936" fillId="7941" borderId="7876" pivotButton="0" quotePrefix="0" xfId="0"/>
    <xf numFmtId="0" fontId="7937" fillId="7942" borderId="7877" pivotButton="0" quotePrefix="0" xfId="0"/>
    <xf numFmtId="14" fontId="7938" fillId="7943" borderId="7878" pivotButton="0" quotePrefix="0" xfId="0"/>
    <xf numFmtId="0" fontId="7939" fillId="7944" borderId="7879" pivotButton="0" quotePrefix="0" xfId="0"/>
    <xf numFmtId="0" fontId="7940" fillId="7945" borderId="7880" pivotButton="0" quotePrefix="0" xfId="0"/>
    <xf numFmtId="0" fontId="7941" fillId="7946" borderId="7881" pivotButton="0" quotePrefix="0" xfId="0"/>
    <xf numFmtId="0" fontId="7942" fillId="7947" borderId="7882" pivotButton="0" quotePrefix="0" xfId="0"/>
    <xf numFmtId="0" fontId="7943" fillId="7948" borderId="7883" pivotButton="0" quotePrefix="0" xfId="0"/>
    <xf numFmtId="0" fontId="7944" fillId="7949" borderId="7884" pivotButton="0" quotePrefix="0" xfId="0"/>
    <xf numFmtId="14" fontId="7945" fillId="7950" borderId="7885" pivotButton="0" quotePrefix="0" xfId="0"/>
    <xf numFmtId="14" fontId="7946" fillId="7951" borderId="7886" pivotButton="0" quotePrefix="0" xfId="0"/>
    <xf numFmtId="0" fontId="7947" fillId="7952" borderId="7887" pivotButton="0" quotePrefix="0" xfId="0"/>
    <xf numFmtId="14" fontId="7948" fillId="7953" borderId="7888" pivotButton="0" quotePrefix="0" xfId="0"/>
    <xf numFmtId="0" fontId="7949" fillId="7954" borderId="7889" pivotButton="0" quotePrefix="0" xfId="0"/>
    <xf numFmtId="0" fontId="7950" fillId="7955" borderId="7890" pivotButton="0" quotePrefix="0" xfId="0"/>
    <xf numFmtId="0" fontId="7951" fillId="7956" borderId="7891" pivotButton="0" quotePrefix="0" xfId="0"/>
    <xf numFmtId="0" fontId="7952" fillId="7957" borderId="7892" pivotButton="0" quotePrefix="0" xfId="0"/>
    <xf numFmtId="0" fontId="7953" fillId="7958" borderId="7893" pivotButton="0" quotePrefix="0" xfId="0"/>
    <xf numFmtId="0" fontId="7954" fillId="7959" borderId="7894" pivotButton="0" quotePrefix="0" xfId="0"/>
    <xf numFmtId="14" fontId="7955" fillId="7960" borderId="7895" pivotButton="0" quotePrefix="0" xfId="0"/>
    <xf numFmtId="14" fontId="7956" fillId="7961" borderId="7896" pivotButton="0" quotePrefix="0" xfId="0"/>
    <xf numFmtId="0" fontId="7957" fillId="7962" borderId="7897" pivotButton="0" quotePrefix="0" xfId="0"/>
    <xf numFmtId="14" fontId="7958" fillId="7963" borderId="7898" pivotButton="0" quotePrefix="0" xfId="0"/>
    <xf numFmtId="0" fontId="7959" fillId="7964" borderId="7899" pivotButton="0" quotePrefix="0" xfId="0"/>
    <xf numFmtId="0" fontId="7960" fillId="7965" borderId="7900" pivotButton="0" quotePrefix="0" xfId="0"/>
    <xf numFmtId="0" fontId="7961" fillId="7966" borderId="7901" pivotButton="0" quotePrefix="0" xfId="0"/>
    <xf numFmtId="0" fontId="7962" fillId="7967" borderId="7902" pivotButton="0" quotePrefix="0" xfId="0"/>
    <xf numFmtId="0" fontId="7963" fillId="7968" borderId="7903" pivotButton="0" quotePrefix="0" xfId="0"/>
    <xf numFmtId="0" fontId="7964" fillId="7969" borderId="7904" pivotButton="0" quotePrefix="0" xfId="0"/>
    <xf numFmtId="14" fontId="7965" fillId="7970" borderId="7905" pivotButton="0" quotePrefix="0" xfId="0"/>
    <xf numFmtId="14" fontId="7966" fillId="7971" borderId="7906" pivotButton="0" quotePrefix="0" xfId="0"/>
    <xf numFmtId="0" fontId="7967" fillId="7972" borderId="7907" pivotButton="0" quotePrefix="0" xfId="0"/>
    <xf numFmtId="14" fontId="7968" fillId="7973" borderId="7908" pivotButton="0" quotePrefix="0" xfId="0"/>
    <xf numFmtId="0" fontId="7969" fillId="7974" borderId="7909" pivotButton="0" quotePrefix="0" xfId="0"/>
    <xf numFmtId="0" fontId="7970" fillId="7975" borderId="7910" pivotButton="0" quotePrefix="0" xfId="0"/>
    <xf numFmtId="0" fontId="7971" fillId="7976" borderId="7911" pivotButton="0" quotePrefix="0" xfId="0"/>
    <xf numFmtId="0" fontId="7972" fillId="7977" borderId="7912" pivotButton="0" quotePrefix="0" xfId="0"/>
    <xf numFmtId="0" fontId="7973" fillId="7978" borderId="7913" pivotButton="0" quotePrefix="0" xfId="0"/>
    <xf numFmtId="0" fontId="7974" fillId="7979" borderId="7914" pivotButton="0" quotePrefix="0" xfId="0"/>
    <xf numFmtId="14" fontId="7975" fillId="7980" borderId="7915" pivotButton="0" quotePrefix="0" xfId="0"/>
    <xf numFmtId="14" fontId="7976" fillId="7981" borderId="7916" pivotButton="0" quotePrefix="0" xfId="0"/>
    <xf numFmtId="0" fontId="7977" fillId="7982" borderId="7917" pivotButton="0" quotePrefix="0" xfId="0"/>
    <xf numFmtId="14" fontId="7978" fillId="7983" borderId="7918" pivotButton="0" quotePrefix="0" xfId="0"/>
    <xf numFmtId="0" fontId="7979" fillId="7984" borderId="7919" pivotButton="0" quotePrefix="0" xfId="0"/>
    <xf numFmtId="0" fontId="7980" fillId="7985" borderId="7920" pivotButton="0" quotePrefix="0" xfId="0"/>
    <xf numFmtId="0" fontId="7981" fillId="7986" borderId="7921" pivotButton="0" quotePrefix="0" xfId="0"/>
    <xf numFmtId="0" fontId="7982" fillId="7987" borderId="7922" pivotButton="0" quotePrefix="0" xfId="0"/>
    <xf numFmtId="0" fontId="7983" fillId="7988" borderId="7923" pivotButton="0" quotePrefix="0" xfId="0"/>
    <xf numFmtId="0" fontId="7984" fillId="7989" borderId="7924" pivotButton="0" quotePrefix="0" xfId="0"/>
    <xf numFmtId="14" fontId="7985" fillId="7990" borderId="7925" pivotButton="0" quotePrefix="0" xfId="0"/>
    <xf numFmtId="14" fontId="7986" fillId="7991" borderId="7926" pivotButton="0" quotePrefix="0" xfId="0"/>
    <xf numFmtId="0" fontId="7987" fillId="7992" borderId="7927" pivotButton="0" quotePrefix="0" xfId="0"/>
    <xf numFmtId="14" fontId="7988" fillId="7993" borderId="7928" pivotButton="0" quotePrefix="0" xfId="0"/>
    <xf numFmtId="0" fontId="7989" fillId="7994" borderId="7929" pivotButton="0" quotePrefix="0" xfId="0"/>
    <xf numFmtId="0" fontId="7990" fillId="7995" borderId="7930" pivotButton="0" quotePrefix="0" xfId="0"/>
    <xf numFmtId="0" fontId="7991" fillId="7996" borderId="7931" pivotButton="0" quotePrefix="0" xfId="0"/>
    <xf numFmtId="0" fontId="7992" fillId="7997" borderId="7932" pivotButton="0" quotePrefix="0" xfId="0"/>
    <xf numFmtId="0" fontId="7993" fillId="7998" borderId="7933" pivotButton="0" quotePrefix="0" xfId="0"/>
    <xf numFmtId="0" fontId="7994" fillId="7999" borderId="7934" pivotButton="0" quotePrefix="0" xfId="0"/>
    <xf numFmtId="14" fontId="7995" fillId="8000" borderId="7935" pivotButton="0" quotePrefix="0" xfId="0"/>
    <xf numFmtId="14" fontId="7996" fillId="8001" borderId="7936" pivotButton="0" quotePrefix="0" xfId="0"/>
    <xf numFmtId="0" fontId="7997" fillId="8002" borderId="7937" pivotButton="0" quotePrefix="0" xfId="0"/>
    <xf numFmtId="14" fontId="7998" fillId="8003" borderId="7938" pivotButton="0" quotePrefix="0" xfId="0"/>
    <xf numFmtId="0" fontId="7999" fillId="8004" borderId="7939" pivotButton="0" quotePrefix="0" xfId="0"/>
    <xf numFmtId="0" fontId="8000" fillId="8005" borderId="7940" pivotButton="0" quotePrefix="0" xfId="0"/>
    <xf numFmtId="0" fontId="8001" fillId="8006" borderId="7941" pivotButton="0" quotePrefix="0" xfId="0"/>
    <xf numFmtId="0" fontId="8002" fillId="8007" borderId="7942" pivotButton="0" quotePrefix="0" xfId="0"/>
    <xf numFmtId="0" fontId="8003" fillId="8008" borderId="7943" pivotButton="0" quotePrefix="0" xfId="0"/>
    <xf numFmtId="0" fontId="8004" fillId="8009" borderId="7944" pivotButton="0" quotePrefix="0" xfId="0"/>
    <xf numFmtId="14" fontId="8005" fillId="8010" borderId="7945" pivotButton="0" quotePrefix="0" xfId="0"/>
    <xf numFmtId="14" fontId="8006" fillId="8011" borderId="7946" pivotButton="0" quotePrefix="0" xfId="0"/>
    <xf numFmtId="0" fontId="8007" fillId="8012" borderId="7947" pivotButton="0" quotePrefix="0" xfId="0"/>
    <xf numFmtId="14" fontId="8008" fillId="8013" borderId="7948" pivotButton="0" quotePrefix="0" xfId="0"/>
    <xf numFmtId="0" fontId="8009" fillId="8014" borderId="7949" pivotButton="0" quotePrefix="0" xfId="0"/>
    <xf numFmtId="0" fontId="8010" fillId="8015" borderId="7950" pivotButton="0" quotePrefix="0" xfId="0"/>
    <xf numFmtId="0" fontId="8011" fillId="8016" borderId="7951" pivotButton="0" quotePrefix="0" xfId="0"/>
    <xf numFmtId="0" fontId="8012" fillId="8017" borderId="7952" pivotButton="0" quotePrefix="0" xfId="0"/>
    <xf numFmtId="0" fontId="8013" fillId="8018" borderId="7953" pivotButton="0" quotePrefix="0" xfId="0"/>
    <xf numFmtId="0" fontId="8014" fillId="8019" borderId="7954" pivotButton="0" quotePrefix="0" xfId="0"/>
    <xf numFmtId="14" fontId="8015" fillId="8020" borderId="7955" pivotButton="0" quotePrefix="0" xfId="0"/>
    <xf numFmtId="14" fontId="8016" fillId="8021" borderId="7956" pivotButton="0" quotePrefix="0" xfId="0"/>
    <xf numFmtId="0" fontId="8017" fillId="8022" borderId="7957" pivotButton="0" quotePrefix="0" xfId="0"/>
    <xf numFmtId="14" fontId="8018" fillId="8023" borderId="7958" pivotButton="0" quotePrefix="0" xfId="0"/>
    <xf numFmtId="0" fontId="8019" fillId="8024" borderId="7959" pivotButton="0" quotePrefix="0" xfId="0"/>
    <xf numFmtId="0" fontId="8020" fillId="8025" borderId="7960" pivotButton="0" quotePrefix="0" xfId="0"/>
    <xf numFmtId="0" fontId="8021" fillId="8026" borderId="7961" pivotButton="0" quotePrefix="0" xfId="0"/>
    <xf numFmtId="0" fontId="8022" fillId="8027" borderId="7962" pivotButton="0" quotePrefix="0" xfId="0"/>
    <xf numFmtId="0" fontId="8023" fillId="8028" borderId="7963" pivotButton="0" quotePrefix="0" xfId="0"/>
    <xf numFmtId="0" fontId="8024" fillId="8029" borderId="7964" pivotButton="0" quotePrefix="0" xfId="0"/>
    <xf numFmtId="14" fontId="8025" fillId="8030" borderId="7965" pivotButton="0" quotePrefix="0" xfId="0"/>
    <xf numFmtId="14" fontId="8026" fillId="8031" borderId="7966" pivotButton="0" quotePrefix="0" xfId="0"/>
    <xf numFmtId="0" fontId="8027" fillId="8032" borderId="7967" pivotButton="0" quotePrefix="0" xfId="0"/>
    <xf numFmtId="14" fontId="8028" fillId="8033" borderId="7968" pivotButton="0" quotePrefix="0" xfId="0"/>
    <xf numFmtId="0" fontId="8029" fillId="8034" borderId="7969" pivotButton="0" quotePrefix="0" xfId="0"/>
    <xf numFmtId="0" fontId="8030" fillId="8035" borderId="7970" pivotButton="0" quotePrefix="0" xfId="0"/>
    <xf numFmtId="0" fontId="8031" fillId="8036" borderId="7971" pivotButton="0" quotePrefix="0" xfId="0"/>
    <xf numFmtId="0" fontId="8032" fillId="8037" borderId="7972" pivotButton="0" quotePrefix="0" xfId="0"/>
    <xf numFmtId="0" fontId="8033" fillId="8038" borderId="7973" pivotButton="0" quotePrefix="0" xfId="0"/>
    <xf numFmtId="0" fontId="8034" fillId="8039" borderId="7974" pivotButton="0" quotePrefix="0" xfId="0"/>
    <xf numFmtId="14" fontId="8035" fillId="8040" borderId="7975" pivotButton="0" quotePrefix="0" xfId="0"/>
    <xf numFmtId="14" fontId="8036" fillId="8041" borderId="7976" pivotButton="0" quotePrefix="0" xfId="0"/>
    <xf numFmtId="0" fontId="8037" fillId="8042" borderId="7977" pivotButton="0" quotePrefix="0" xfId="0"/>
    <xf numFmtId="14" fontId="8038" fillId="8043" borderId="7978" pivotButton="0" quotePrefix="0" xfId="0"/>
    <xf numFmtId="0" fontId="8039" fillId="8044" borderId="7979" pivotButton="0" quotePrefix="0" xfId="0"/>
    <xf numFmtId="0" fontId="8040" fillId="8045" borderId="7980" pivotButton="0" quotePrefix="0" xfId="0"/>
    <xf numFmtId="0" fontId="8041" fillId="8046" borderId="7981" pivotButton="0" quotePrefix="0" xfId="0"/>
    <xf numFmtId="0" fontId="8042" fillId="8047" borderId="7982" pivotButton="0" quotePrefix="0" xfId="0"/>
    <xf numFmtId="0" fontId="8043" fillId="8048" borderId="7983" pivotButton="0" quotePrefix="0" xfId="0"/>
    <xf numFmtId="0" fontId="8044" fillId="8049" borderId="7984" pivotButton="0" quotePrefix="0" xfId="0"/>
    <xf numFmtId="14" fontId="8045" fillId="8050" borderId="7985" pivotButton="0" quotePrefix="0" xfId="0"/>
    <xf numFmtId="14" fontId="8046" fillId="8051" borderId="7986" pivotButton="0" quotePrefix="0" xfId="0"/>
    <xf numFmtId="0" fontId="8047" fillId="8052" borderId="7987" pivotButton="0" quotePrefix="0" xfId="0"/>
    <xf numFmtId="14" fontId="8048" fillId="8053" borderId="7988" pivotButton="0" quotePrefix="0" xfId="0"/>
    <xf numFmtId="0" fontId="8049" fillId="8054" borderId="7989" pivotButton="0" quotePrefix="0" xfId="0"/>
    <xf numFmtId="0" fontId="8050" fillId="8055" borderId="7990" pivotButton="0" quotePrefix="0" xfId="0"/>
    <xf numFmtId="0" fontId="8051" fillId="8056" borderId="7991" pivotButton="0" quotePrefix="0" xfId="0"/>
    <xf numFmtId="0" fontId="8052" fillId="8057" borderId="7992" pivotButton="0" quotePrefix="0" xfId="0"/>
    <xf numFmtId="0" fontId="8053" fillId="8058" borderId="7993" pivotButton="0" quotePrefix="0" xfId="0"/>
    <xf numFmtId="0" fontId="8054" fillId="8059" borderId="7994" pivotButton="0" quotePrefix="0" xfId="0"/>
    <xf numFmtId="14" fontId="8055" fillId="8060" borderId="7995" pivotButton="0" quotePrefix="0" xfId="0"/>
    <xf numFmtId="14" fontId="8056" fillId="8061" borderId="7996" pivotButton="0" quotePrefix="0" xfId="0"/>
    <xf numFmtId="0" fontId="8057" fillId="8062" borderId="7997" pivotButton="0" quotePrefix="0" xfId="0"/>
    <xf numFmtId="14" fontId="8058" fillId="8063" borderId="7998" pivotButton="0" quotePrefix="0" xfId="0"/>
    <xf numFmtId="0" fontId="8059" fillId="8064" borderId="7999" pivotButton="0" quotePrefix="0" xfId="0"/>
    <xf numFmtId="0" fontId="8060" fillId="8065" borderId="8000" pivotButton="0" quotePrefix="0" xfId="0"/>
    <xf numFmtId="0" fontId="8061" fillId="8066" borderId="8001" pivotButton="0" quotePrefix="0" xfId="0"/>
    <xf numFmtId="0" fontId="8062" fillId="8067" borderId="8002" pivotButton="0" quotePrefix="0" xfId="0"/>
    <xf numFmtId="0" fontId="8063" fillId="8068" borderId="8003" pivotButton="0" quotePrefix="0" xfId="0"/>
    <xf numFmtId="0" fontId="8064" fillId="8069" borderId="8004" pivotButton="0" quotePrefix="0" xfId="0"/>
    <xf numFmtId="14" fontId="8065" fillId="8070" borderId="8005" pivotButton="0" quotePrefix="0" xfId="0"/>
    <xf numFmtId="14" fontId="8066" fillId="8071" borderId="8006" pivotButton="0" quotePrefix="0" xfId="0"/>
    <xf numFmtId="0" fontId="8067" fillId="8072" borderId="8007" pivotButton="0" quotePrefix="0" xfId="0"/>
    <xf numFmtId="14" fontId="8068" fillId="8073" borderId="8008" pivotButton="0" quotePrefix="0" xfId="0"/>
    <xf numFmtId="0" fontId="8069" fillId="8074" borderId="8009" pivotButton="0" quotePrefix="0" xfId="0"/>
    <xf numFmtId="0" fontId="8070" fillId="8075" borderId="8010" pivotButton="0" quotePrefix="0" xfId="0"/>
    <xf numFmtId="0" fontId="8071" fillId="8076" borderId="8011" pivotButton="0" quotePrefix="0" xfId="0"/>
    <xf numFmtId="0" fontId="8072" fillId="8077" borderId="8012" pivotButton="0" quotePrefix="0" xfId="0"/>
    <xf numFmtId="0" fontId="8073" fillId="8078" borderId="8013" pivotButton="0" quotePrefix="0" xfId="0"/>
    <xf numFmtId="0" fontId="8074" fillId="8079" borderId="8014" pivotButton="0" quotePrefix="0" xfId="0"/>
    <xf numFmtId="14" fontId="8075" fillId="8080" borderId="8015" pivotButton="0" quotePrefix="0" xfId="0"/>
    <xf numFmtId="14" fontId="8076" fillId="8081" borderId="8016" pivotButton="0" quotePrefix="0" xfId="0"/>
    <xf numFmtId="0" fontId="8077" fillId="8082" borderId="8017" pivotButton="0" quotePrefix="0" xfId="0"/>
    <xf numFmtId="14" fontId="8078" fillId="8083" borderId="8018" pivotButton="0" quotePrefix="0" xfId="0"/>
    <xf numFmtId="0" fontId="8079" fillId="8084" borderId="8019" pivotButton="0" quotePrefix="0" xfId="0"/>
    <xf numFmtId="0" fontId="8080" fillId="8085" borderId="8020" pivotButton="0" quotePrefix="0" xfId="0"/>
    <xf numFmtId="0" fontId="8081" fillId="8086" borderId="8021" pivotButton="0" quotePrefix="0" xfId="0"/>
    <xf numFmtId="0" fontId="8082" fillId="8087" borderId="8022" pivotButton="0" quotePrefix="0" xfId="0"/>
    <xf numFmtId="0" fontId="8083" fillId="8088" borderId="8023" pivotButton="0" quotePrefix="0" xfId="0"/>
    <xf numFmtId="0" fontId="8084" fillId="8089" borderId="8024" pivotButton="0" quotePrefix="0" xfId="0"/>
    <xf numFmtId="14" fontId="8085" fillId="8090" borderId="8025" pivotButton="0" quotePrefix="0" xfId="0"/>
    <xf numFmtId="14" fontId="8086" fillId="8091" borderId="8026" pivotButton="0" quotePrefix="0" xfId="0"/>
    <xf numFmtId="0" fontId="8087" fillId="8092" borderId="8027" pivotButton="0" quotePrefix="0" xfId="0"/>
    <xf numFmtId="14" fontId="8088" fillId="8093" borderId="8028" pivotButton="0" quotePrefix="0" xfId="0"/>
    <xf numFmtId="0" fontId="8089" fillId="8094" borderId="8029" pivotButton="0" quotePrefix="0" xfId="0"/>
    <xf numFmtId="0" fontId="8090" fillId="8095" borderId="8030" pivotButton="0" quotePrefix="0" xfId="0"/>
    <xf numFmtId="0" fontId="8091" fillId="8096" borderId="8031" pivotButton="0" quotePrefix="0" xfId="0"/>
    <xf numFmtId="0" fontId="8092" fillId="8097" borderId="8032" pivotButton="0" quotePrefix="0" xfId="0"/>
    <xf numFmtId="0" fontId="8093" fillId="8098" borderId="8033" pivotButton="0" quotePrefix="0" xfId="0"/>
    <xf numFmtId="0" fontId="8094" fillId="8099" borderId="8034" pivotButton="0" quotePrefix="0" xfId="0"/>
    <xf numFmtId="14" fontId="8095" fillId="8100" borderId="8035" pivotButton="0" quotePrefix="0" xfId="0"/>
    <xf numFmtId="14" fontId="8096" fillId="8101" borderId="8036" pivotButton="0" quotePrefix="0" xfId="0"/>
    <xf numFmtId="0" fontId="8097" fillId="8102" borderId="8037" pivotButton="0" quotePrefix="0" xfId="0"/>
    <xf numFmtId="14" fontId="8098" fillId="8103" borderId="8038" pivotButton="0" quotePrefix="0" xfId="0"/>
    <xf numFmtId="0" fontId="8099" fillId="8104" borderId="8039" pivotButton="0" quotePrefix="0" xfId="0"/>
    <xf numFmtId="0" fontId="8100" fillId="8105" borderId="8040" pivotButton="0" quotePrefix="0" xfId="0"/>
    <xf numFmtId="0" fontId="8101" fillId="8106" borderId="8041" pivotButton="0" quotePrefix="0" xfId="0"/>
    <xf numFmtId="0" fontId="8102" fillId="8107" borderId="8042" pivotButton="0" quotePrefix="0" xfId="0"/>
    <xf numFmtId="0" fontId="8103" fillId="8108" borderId="8043" pivotButton="0" quotePrefix="0" xfId="0"/>
    <xf numFmtId="0" fontId="8104" fillId="8109" borderId="8044" pivotButton="0" quotePrefix="0" xfId="0"/>
    <xf numFmtId="14" fontId="8105" fillId="8110" borderId="8045" pivotButton="0" quotePrefix="0" xfId="0"/>
    <xf numFmtId="14" fontId="8106" fillId="8111" borderId="8046" pivotButton="0" quotePrefix="0" xfId="0"/>
    <xf numFmtId="0" fontId="8107" fillId="8112" borderId="8047" pivotButton="0" quotePrefix="0" xfId="0"/>
    <xf numFmtId="14" fontId="8108" fillId="8113" borderId="8048" pivotButton="0" quotePrefix="0" xfId="0"/>
    <xf numFmtId="0" fontId="8109" fillId="8114" borderId="8049" pivotButton="0" quotePrefix="0" xfId="0"/>
    <xf numFmtId="0" fontId="8110" fillId="8115" borderId="8050" pivotButton="0" quotePrefix="0" xfId="0"/>
    <xf numFmtId="0" fontId="8111" fillId="8116" borderId="8051" pivotButton="0" quotePrefix="0" xfId="0"/>
    <xf numFmtId="0" fontId="8112" fillId="8117" borderId="8052" pivotButton="0" quotePrefix="0" xfId="0"/>
    <xf numFmtId="0" fontId="8113" fillId="8118" borderId="8053" pivotButton="0" quotePrefix="0" xfId="0"/>
    <xf numFmtId="0" fontId="8114" fillId="8119" borderId="8054" pivotButton="0" quotePrefix="0" xfId="0"/>
    <xf numFmtId="14" fontId="8115" fillId="8120" borderId="8055" pivotButton="0" quotePrefix="0" xfId="0"/>
    <xf numFmtId="14" fontId="8116" fillId="8121" borderId="8056" pivotButton="0" quotePrefix="0" xfId="0"/>
    <xf numFmtId="0" fontId="8117" fillId="8122" borderId="8057" pivotButton="0" quotePrefix="0" xfId="0"/>
    <xf numFmtId="14" fontId="8118" fillId="8123" borderId="8058" pivotButton="0" quotePrefix="0" xfId="0"/>
    <xf numFmtId="0" fontId="8119" fillId="8124" borderId="8059" pivotButton="0" quotePrefix="0" xfId="0"/>
    <xf numFmtId="0" fontId="8120" fillId="8125" borderId="8060" pivotButton="0" quotePrefix="0" xfId="0"/>
    <xf numFmtId="0" fontId="8121" fillId="8126" borderId="8061" pivotButton="0" quotePrefix="0" xfId="0"/>
    <xf numFmtId="0" fontId="8122" fillId="8127" borderId="8062" pivotButton="0" quotePrefix="0" xfId="0"/>
    <xf numFmtId="0" fontId="8123" fillId="8128" borderId="8063" pivotButton="0" quotePrefix="0" xfId="0"/>
    <xf numFmtId="0" fontId="8124" fillId="8129" borderId="8064" pivotButton="0" quotePrefix="0" xfId="0"/>
    <xf numFmtId="14" fontId="8125" fillId="8130" borderId="8065" pivotButton="0" quotePrefix="0" xfId="0"/>
    <xf numFmtId="14" fontId="8126" fillId="8131" borderId="8066" pivotButton="0" quotePrefix="0" xfId="0"/>
    <xf numFmtId="0" fontId="8127" fillId="8132" borderId="8067" pivotButton="0" quotePrefix="0" xfId="0"/>
    <xf numFmtId="14" fontId="8128" fillId="8133" borderId="8068" pivotButton="0" quotePrefix="0" xfId="0"/>
    <xf numFmtId="0" fontId="8129" fillId="8134" borderId="8069" pivotButton="0" quotePrefix="0" xfId="0"/>
    <xf numFmtId="0" fontId="8130" fillId="8135" borderId="8070" pivotButton="0" quotePrefix="0" xfId="0"/>
    <xf numFmtId="0" fontId="8131" fillId="8136" borderId="8071" pivotButton="0" quotePrefix="0" xfId="0"/>
    <xf numFmtId="0" fontId="8132" fillId="8137" borderId="8072" pivotButton="0" quotePrefix="0" xfId="0"/>
    <xf numFmtId="0" fontId="8133" fillId="8138" borderId="8073" pivotButton="0" quotePrefix="0" xfId="0"/>
    <xf numFmtId="0" fontId="8134" fillId="8139" borderId="8074" pivotButton="0" quotePrefix="0" xfId="0"/>
    <xf numFmtId="14" fontId="8135" fillId="8140" borderId="8075" pivotButton="0" quotePrefix="0" xfId="0"/>
    <xf numFmtId="14" fontId="8136" fillId="8141" borderId="8076" pivotButton="0" quotePrefix="0" xfId="0"/>
    <xf numFmtId="0" fontId="8137" fillId="8142" borderId="8077" pivotButton="0" quotePrefix="0" xfId="0"/>
    <xf numFmtId="14" fontId="8138" fillId="8143" borderId="8078" pivotButton="0" quotePrefix="0" xfId="0"/>
    <xf numFmtId="0" fontId="8139" fillId="8144" borderId="8079" pivotButton="0" quotePrefix="0" xfId="0"/>
    <xf numFmtId="0" fontId="8140" fillId="8145" borderId="8080" pivotButton="0" quotePrefix="0" xfId="0"/>
    <xf numFmtId="0" fontId="8141" fillId="8146" borderId="8081" pivotButton="0" quotePrefix="0" xfId="0"/>
    <xf numFmtId="0" fontId="8142" fillId="8147" borderId="8082" pivotButton="0" quotePrefix="0" xfId="0"/>
    <xf numFmtId="0" fontId="8143" fillId="8148" borderId="8083" pivotButton="0" quotePrefix="0" xfId="0"/>
    <xf numFmtId="0" fontId="8144" fillId="8149" borderId="8084" pivotButton="0" quotePrefix="0" xfId="0"/>
    <xf numFmtId="14" fontId="8145" fillId="8150" borderId="8085" pivotButton="0" quotePrefix="0" xfId="0"/>
    <xf numFmtId="14" fontId="8146" fillId="8151" borderId="8086" pivotButton="0" quotePrefix="0" xfId="0"/>
    <xf numFmtId="0" fontId="8147" fillId="8152" borderId="8087" pivotButton="0" quotePrefix="0" xfId="0"/>
    <xf numFmtId="14" fontId="8148" fillId="8153" borderId="8088" pivotButton="0" quotePrefix="0" xfId="0"/>
    <xf numFmtId="0" fontId="8149" fillId="8154" borderId="8089" pivotButton="0" quotePrefix="0" xfId="0"/>
    <xf numFmtId="0" fontId="8150" fillId="8155" borderId="8090" pivotButton="0" quotePrefix="0" xfId="0"/>
    <xf numFmtId="0" fontId="8151" fillId="8156" borderId="8091" pivotButton="0" quotePrefix="0" xfId="0"/>
    <xf numFmtId="0" fontId="8152" fillId="8157" borderId="8092" pivotButton="0" quotePrefix="0" xfId="0"/>
    <xf numFmtId="0" fontId="8153" fillId="8158" borderId="8093" pivotButton="0" quotePrefix="0" xfId="0"/>
    <xf numFmtId="0" fontId="8154" fillId="8159" borderId="8094" pivotButton="0" quotePrefix="0" xfId="0"/>
    <xf numFmtId="14" fontId="8155" fillId="8160" borderId="8095" pivotButton="0" quotePrefix="0" xfId="0"/>
    <xf numFmtId="14" fontId="8156" fillId="8161" borderId="8096" pivotButton="0" quotePrefix="0" xfId="0"/>
    <xf numFmtId="0" fontId="8157" fillId="8162" borderId="8097" pivotButton="0" quotePrefix="0" xfId="0"/>
    <xf numFmtId="14" fontId="8158" fillId="8163" borderId="8098" pivotButton="0" quotePrefix="0" xfId="0"/>
    <xf numFmtId="0" fontId="8159" fillId="8164" borderId="8099" pivotButton="0" quotePrefix="0" xfId="0"/>
    <xf numFmtId="0" fontId="8160" fillId="8165" borderId="8100" pivotButton="0" quotePrefix="0" xfId="0"/>
    <xf numFmtId="0" fontId="8161" fillId="8166" borderId="8101" pivotButton="0" quotePrefix="0" xfId="0"/>
    <xf numFmtId="0" fontId="8162" fillId="8167" borderId="8102" pivotButton="0" quotePrefix="0" xfId="0"/>
    <xf numFmtId="0" fontId="8163" fillId="8168" borderId="8103" pivotButton="0" quotePrefix="0" xfId="0"/>
    <xf numFmtId="0" fontId="8164" fillId="8169" borderId="8104" pivotButton="0" quotePrefix="0" xfId="0"/>
    <xf numFmtId="14" fontId="8165" fillId="8170" borderId="8105" pivotButton="0" quotePrefix="0" xfId="0"/>
    <xf numFmtId="14" fontId="8166" fillId="8171" borderId="8106" pivotButton="0" quotePrefix="0" xfId="0"/>
    <xf numFmtId="0" fontId="8167" fillId="8172" borderId="8107" pivotButton="0" quotePrefix="0" xfId="0"/>
    <xf numFmtId="14" fontId="8168" fillId="8173" borderId="8108" pivotButton="0" quotePrefix="0" xfId="0"/>
    <xf numFmtId="0" fontId="8169" fillId="8174" borderId="8109" pivotButton="0" quotePrefix="0" xfId="0"/>
    <xf numFmtId="0" fontId="8170" fillId="8175" borderId="8110" pivotButton="0" quotePrefix="0" xfId="0"/>
    <xf numFmtId="0" fontId="8171" fillId="8176" borderId="8111" pivotButton="0" quotePrefix="0" xfId="0"/>
    <xf numFmtId="0" fontId="8172" fillId="8177" borderId="8112" pivotButton="0" quotePrefix="0" xfId="0"/>
    <xf numFmtId="0" fontId="8173" fillId="8178" borderId="8113" pivotButton="0" quotePrefix="0" xfId="0"/>
    <xf numFmtId="0" fontId="8174" fillId="8179" borderId="8114" pivotButton="0" quotePrefix="0" xfId="0"/>
    <xf numFmtId="14" fontId="8175" fillId="8180" borderId="8115" pivotButton="0" quotePrefix="0" xfId="0"/>
    <xf numFmtId="14" fontId="8176" fillId="8181" borderId="8116" pivotButton="0" quotePrefix="0" xfId="0"/>
    <xf numFmtId="0" fontId="8177" fillId="8182" borderId="8117" pivotButton="0" quotePrefix="0" xfId="0"/>
    <xf numFmtId="14" fontId="8178" fillId="8183" borderId="8118" pivotButton="0" quotePrefix="0" xfId="0"/>
    <xf numFmtId="0" fontId="8179" fillId="8184" borderId="8119" pivotButton="0" quotePrefix="0" xfId="0"/>
    <xf numFmtId="0" fontId="8180" fillId="8185" borderId="8120" pivotButton="0" quotePrefix="0" xfId="0"/>
    <xf numFmtId="0" fontId="8181" fillId="8186" borderId="8121" pivotButton="0" quotePrefix="0" xfId="0"/>
    <xf numFmtId="0" fontId="8182" fillId="8187" borderId="8122" pivotButton="0" quotePrefix="0" xfId="0"/>
    <xf numFmtId="0" fontId="8183" fillId="8188" borderId="8123" pivotButton="0" quotePrefix="0" xfId="0"/>
    <xf numFmtId="0" fontId="8184" fillId="8189" borderId="8124" pivotButton="0" quotePrefix="0" xfId="0"/>
    <xf numFmtId="14" fontId="8185" fillId="8190" borderId="8125" pivotButton="0" quotePrefix="0" xfId="0"/>
    <xf numFmtId="14" fontId="8186" fillId="8191" borderId="8126" pivotButton="0" quotePrefix="0" xfId="0"/>
    <xf numFmtId="0" fontId="8187" fillId="8192" borderId="8127" pivotButton="0" quotePrefix="0" xfId="0"/>
    <xf numFmtId="14" fontId="8188" fillId="8193" borderId="8128" pivotButton="0" quotePrefix="0" xfId="0"/>
    <xf numFmtId="0" fontId="8189" fillId="8194" borderId="8129" pivotButton="0" quotePrefix="0" xfId="0"/>
    <xf numFmtId="0" fontId="8190" fillId="8195" borderId="8130" pivotButton="0" quotePrefix="0" xfId="0"/>
    <xf numFmtId="0" fontId="8191" fillId="8196" borderId="8131" pivotButton="0" quotePrefix="0" xfId="0"/>
    <xf numFmtId="0" fontId="8192" fillId="8197" borderId="8132" pivotButton="0" quotePrefix="0" xfId="0"/>
    <xf numFmtId="0" fontId="8193" fillId="8198" borderId="8133" pivotButton="0" quotePrefix="0" xfId="0"/>
    <xf numFmtId="0" fontId="8194" fillId="8199" borderId="8134" pivotButton="0" quotePrefix="0" xfId="0"/>
    <xf numFmtId="14" fontId="8195" fillId="8200" borderId="8135" pivotButton="0" quotePrefix="0" xfId="0"/>
    <xf numFmtId="14" fontId="8196" fillId="8201" borderId="8136" pivotButton="0" quotePrefix="0" xfId="0"/>
    <xf numFmtId="0" fontId="8197" fillId="8202" borderId="8137" pivotButton="0" quotePrefix="0" xfId="0"/>
    <xf numFmtId="14" fontId="8198" fillId="8203" borderId="8138" pivotButton="0" quotePrefix="0" xfId="0"/>
    <xf numFmtId="0" fontId="8199" fillId="8204" borderId="8139" pivotButton="0" quotePrefix="0" xfId="0"/>
    <xf numFmtId="0" fontId="8200" fillId="8205" borderId="8140" pivotButton="0" quotePrefix="0" xfId="0"/>
    <xf numFmtId="0" fontId="8201" fillId="8206" borderId="8141" pivotButton="0" quotePrefix="0" xfId="0"/>
    <xf numFmtId="0" fontId="8202" fillId="8207" borderId="8142" pivotButton="0" quotePrefix="0" xfId="0"/>
    <xf numFmtId="0" fontId="8203" fillId="8208" borderId="8143" pivotButton="0" quotePrefix="0" xfId="0"/>
    <xf numFmtId="0" fontId="8204" fillId="8209" borderId="8144" pivotButton="0" quotePrefix="0" xfId="0"/>
    <xf numFmtId="14" fontId="8205" fillId="8210" borderId="8145" pivotButton="0" quotePrefix="0" xfId="0"/>
    <xf numFmtId="14" fontId="8206" fillId="8211" borderId="8146" pivotButton="0" quotePrefix="0" xfId="0"/>
    <xf numFmtId="0" fontId="8207" fillId="8212" borderId="8147" pivotButton="0" quotePrefix="0" xfId="0"/>
    <xf numFmtId="14" fontId="8208" fillId="8213" borderId="8148" pivotButton="0" quotePrefix="0" xfId="0"/>
    <xf numFmtId="0" fontId="8209" fillId="8214" borderId="8149" pivotButton="0" quotePrefix="0" xfId="0"/>
    <xf numFmtId="0" fontId="8210" fillId="8215" borderId="8150" pivotButton="0" quotePrefix="0" xfId="0"/>
    <xf numFmtId="0" fontId="8211" fillId="8216" borderId="8151" pivotButton="0" quotePrefix="0" xfId="0"/>
    <xf numFmtId="0" fontId="8212" fillId="8217" borderId="8152" pivotButton="0" quotePrefix="0" xfId="0"/>
    <xf numFmtId="0" fontId="8213" fillId="8218" borderId="8153" pivotButton="0" quotePrefix="0" xfId="0"/>
    <xf numFmtId="0" fontId="8214" fillId="8219" borderId="8154" pivotButton="0" quotePrefix="0" xfId="0"/>
    <xf numFmtId="14" fontId="8215" fillId="8220" borderId="8155" pivotButton="0" quotePrefix="0" xfId="0"/>
    <xf numFmtId="14" fontId="8216" fillId="8221" borderId="8156" pivotButton="0" quotePrefix="0" xfId="0"/>
    <xf numFmtId="0" fontId="8217" fillId="8222" borderId="8157" pivotButton="0" quotePrefix="0" xfId="0"/>
    <xf numFmtId="14" fontId="8218" fillId="8223" borderId="8158" pivotButton="0" quotePrefix="0" xfId="0"/>
    <xf numFmtId="0" fontId="8219" fillId="8224" borderId="8159" pivotButton="0" quotePrefix="0" xfId="0"/>
    <xf numFmtId="0" fontId="8220" fillId="8225" borderId="8160" pivotButton="0" quotePrefix="0" xfId="0"/>
    <xf numFmtId="0" fontId="8221" fillId="8226" borderId="8161" pivotButton="0" quotePrefix="0" xfId="0"/>
    <xf numFmtId="0" fontId="8222" fillId="8227" borderId="8162" pivotButton="0" quotePrefix="0" xfId="0"/>
    <xf numFmtId="0" fontId="8223" fillId="8228" borderId="8163" pivotButton="0" quotePrefix="0" xfId="0"/>
    <xf numFmtId="0" fontId="8224" fillId="8229" borderId="8164" pivotButton="0" quotePrefix="0" xfId="0"/>
    <xf numFmtId="14" fontId="8225" fillId="8230" borderId="8165" pivotButton="0" quotePrefix="0" xfId="0"/>
    <xf numFmtId="14" fontId="8226" fillId="8231" borderId="8166" pivotButton="0" quotePrefix="0" xfId="0"/>
    <xf numFmtId="0" fontId="8227" fillId="8232" borderId="8167" pivotButton="0" quotePrefix="0" xfId="0"/>
    <xf numFmtId="14" fontId="8228" fillId="8233" borderId="8168" pivotButton="0" quotePrefix="0" xfId="0"/>
    <xf numFmtId="0" fontId="8229" fillId="8234" borderId="8169" pivotButton="0" quotePrefix="0" xfId="0"/>
    <xf numFmtId="0" fontId="8230" fillId="8235" borderId="8170" pivotButton="0" quotePrefix="0" xfId="0"/>
    <xf numFmtId="0" fontId="8231" fillId="8236" borderId="8171" pivotButton="0" quotePrefix="0" xfId="0"/>
    <xf numFmtId="0" fontId="8232" fillId="8237" borderId="8172" pivotButton="0" quotePrefix="0" xfId="0"/>
    <xf numFmtId="0" fontId="8233" fillId="8238" borderId="8173" pivotButton="0" quotePrefix="0" xfId="0"/>
    <xf numFmtId="0" fontId="8234" fillId="8239" borderId="8174" pivotButton="0" quotePrefix="0" xfId="0"/>
    <xf numFmtId="14" fontId="8235" fillId="8240" borderId="8175" pivotButton="0" quotePrefix="0" xfId="0"/>
    <xf numFmtId="14" fontId="8236" fillId="8241" borderId="8176" pivotButton="0" quotePrefix="0" xfId="0"/>
    <xf numFmtId="0" fontId="8237" fillId="8242" borderId="8177" pivotButton="0" quotePrefix="0" xfId="0"/>
    <xf numFmtId="14" fontId="8238" fillId="8243" borderId="8178" pivotButton="0" quotePrefix="0" xfId="0"/>
    <xf numFmtId="0" fontId="8239" fillId="8244" borderId="8179" pivotButton="0" quotePrefix="0" xfId="0"/>
    <xf numFmtId="0" fontId="8240" fillId="8245" borderId="8180" pivotButton="0" quotePrefix="0" xfId="0"/>
    <xf numFmtId="0" fontId="8241" fillId="8246" borderId="8181" pivotButton="0" quotePrefix="0" xfId="0"/>
    <xf numFmtId="0" fontId="8242" fillId="8247" borderId="8182" pivotButton="0" quotePrefix="0" xfId="0"/>
    <xf numFmtId="0" fontId="8243" fillId="8248" borderId="8183" pivotButton="0" quotePrefix="0" xfId="0"/>
    <xf numFmtId="0" fontId="8244" fillId="8249" borderId="8184" pivotButton="0" quotePrefix="0" xfId="0"/>
    <xf numFmtId="14" fontId="8245" fillId="8250" borderId="8185" pivotButton="0" quotePrefix="0" xfId="0"/>
    <xf numFmtId="14" fontId="8246" fillId="8251" borderId="8186" pivotButton="0" quotePrefix="0" xfId="0"/>
    <xf numFmtId="0" fontId="8247" fillId="8252" borderId="8187" pivotButton="0" quotePrefix="0" xfId="0"/>
    <xf numFmtId="14" fontId="8248" fillId="8253" borderId="8188" pivotButton="0" quotePrefix="0" xfId="0"/>
    <xf numFmtId="0" fontId="8249" fillId="8254" borderId="8189" pivotButton="0" quotePrefix="0" xfId="0"/>
    <xf numFmtId="0" fontId="8250" fillId="8255" borderId="8190" pivotButton="0" quotePrefix="0" xfId="0"/>
    <xf numFmtId="0" fontId="8251" fillId="8256" borderId="8191" pivotButton="0" quotePrefix="0" xfId="0"/>
    <xf numFmtId="0" fontId="8252" fillId="8257" borderId="8192" pivotButton="0" quotePrefix="0" xfId="0"/>
    <xf numFmtId="0" fontId="8253" fillId="8258" borderId="8193" pivotButton="0" quotePrefix="0" xfId="0"/>
    <xf numFmtId="0" fontId="8254" fillId="8259" borderId="8194" pivotButton="0" quotePrefix="0" xfId="0"/>
    <xf numFmtId="14" fontId="8255" fillId="8260" borderId="8195" pivotButton="0" quotePrefix="0" xfId="0"/>
    <xf numFmtId="14" fontId="8256" fillId="8261" borderId="8196" pivotButton="0" quotePrefix="0" xfId="0"/>
    <xf numFmtId="0" fontId="8257" fillId="8262" borderId="8197" pivotButton="0" quotePrefix="0" xfId="0"/>
    <xf numFmtId="14" fontId="8258" fillId="8263" borderId="8198" pivotButton="0" quotePrefix="0" xfId="0"/>
    <xf numFmtId="0" fontId="8259" fillId="8264" borderId="8199" pivotButton="0" quotePrefix="0" xfId="0"/>
    <xf numFmtId="0" fontId="8260" fillId="8265" borderId="8200" pivotButton="0" quotePrefix="0" xfId="0"/>
    <xf numFmtId="0" fontId="8261" fillId="8266" borderId="8201" pivotButton="0" quotePrefix="0" xfId="0"/>
    <xf numFmtId="0" fontId="8262" fillId="8267" borderId="8202" pivotButton="0" quotePrefix="0" xfId="0"/>
    <xf numFmtId="0" fontId="8263" fillId="8268" borderId="8203" pivotButton="0" quotePrefix="0" xfId="0"/>
    <xf numFmtId="0" fontId="8264" fillId="8269" borderId="8204" pivotButton="0" quotePrefix="0" xfId="0"/>
    <xf numFmtId="14" fontId="8265" fillId="8270" borderId="8205" pivotButton="0" quotePrefix="0" xfId="0"/>
    <xf numFmtId="14" fontId="8266" fillId="8271" borderId="8206" pivotButton="0" quotePrefix="0" xfId="0"/>
    <xf numFmtId="0" fontId="8267" fillId="8272" borderId="8207" pivotButton="0" quotePrefix="0" xfId="0"/>
    <xf numFmtId="14" fontId="8268" fillId="8273" borderId="8208" pivotButton="0" quotePrefix="0" xfId="0"/>
    <xf numFmtId="0" fontId="8269" fillId="8274" borderId="8209" pivotButton="0" quotePrefix="0" xfId="0"/>
    <xf numFmtId="0" fontId="8270" fillId="8275" borderId="8210" pivotButton="0" quotePrefix="0" xfId="0"/>
    <xf numFmtId="0" fontId="8271" fillId="8276" borderId="8211" pivotButton="0" quotePrefix="0" xfId="0"/>
    <xf numFmtId="0" fontId="8272" fillId="8277" borderId="8212" pivotButton="0" quotePrefix="0" xfId="0"/>
    <xf numFmtId="0" fontId="8273" fillId="8278" borderId="8213" pivotButton="0" quotePrefix="0" xfId="0"/>
    <xf numFmtId="0" fontId="8274" fillId="8279" borderId="8214" pivotButton="0" quotePrefix="0" xfId="0"/>
    <xf numFmtId="14" fontId="8275" fillId="8280" borderId="8215" pivotButton="0" quotePrefix="0" xfId="0"/>
    <xf numFmtId="14" fontId="8276" fillId="8281" borderId="8216" pivotButton="0" quotePrefix="0" xfId="0"/>
    <xf numFmtId="0" fontId="8277" fillId="8282" borderId="8217" pivotButton="0" quotePrefix="0" xfId="0"/>
    <xf numFmtId="14" fontId="8278" fillId="8283" borderId="8218" pivotButton="0" quotePrefix="0" xfId="0"/>
    <xf numFmtId="0" fontId="8279" fillId="8284" borderId="8219" pivotButton="0" quotePrefix="0" xfId="0"/>
    <xf numFmtId="0" fontId="8280" fillId="8285" borderId="8220" pivotButton="0" quotePrefix="0" xfId="0"/>
    <xf numFmtId="0" fontId="8281" fillId="8286" borderId="8221" pivotButton="0" quotePrefix="0" xfId="0"/>
    <xf numFmtId="0" fontId="8282" fillId="8287" borderId="8222" pivotButton="0" quotePrefix="0" xfId="0"/>
    <xf numFmtId="0" fontId="8283" fillId="8288" borderId="8223" pivotButton="0" quotePrefix="0" xfId="0"/>
    <xf numFmtId="0" fontId="8284" fillId="8289" borderId="8224" pivotButton="0" quotePrefix="0" xfId="0"/>
    <xf numFmtId="14" fontId="8285" fillId="8290" borderId="8225" pivotButton="0" quotePrefix="0" xfId="0"/>
    <xf numFmtId="14" fontId="8286" fillId="8291" borderId="8226" pivotButton="0" quotePrefix="0" xfId="0"/>
    <xf numFmtId="0" fontId="8287" fillId="8292" borderId="8227" pivotButton="0" quotePrefix="0" xfId="0"/>
    <xf numFmtId="14" fontId="8288" fillId="8293" borderId="8228" pivotButton="0" quotePrefix="0" xfId="0"/>
    <xf numFmtId="0" fontId="8289" fillId="8294" borderId="8229" pivotButton="0" quotePrefix="0" xfId="0"/>
    <xf numFmtId="0" fontId="8290" fillId="8295" borderId="8230" pivotButton="0" quotePrefix="0" xfId="0"/>
    <xf numFmtId="0" fontId="8291" fillId="8296" borderId="8231" pivotButton="0" quotePrefix="0" xfId="0"/>
    <xf numFmtId="0" fontId="8292" fillId="8297" borderId="8232" pivotButton="0" quotePrefix="0" xfId="0"/>
    <xf numFmtId="0" fontId="8293" fillId="8298" borderId="8233" pivotButton="0" quotePrefix="0" xfId="0"/>
    <xf numFmtId="0" fontId="8294" fillId="8299" borderId="8234" pivotButton="0" quotePrefix="0" xfId="0"/>
    <xf numFmtId="14" fontId="8295" fillId="8300" borderId="8235" pivotButton="0" quotePrefix="0" xfId="0"/>
    <xf numFmtId="14" fontId="8296" fillId="8301" borderId="8236" pivotButton="0" quotePrefix="0" xfId="0"/>
    <xf numFmtId="0" fontId="8297" fillId="8302" borderId="8237" pivotButton="0" quotePrefix="0" xfId="0"/>
    <xf numFmtId="14" fontId="8298" fillId="8303" borderId="8238" pivotButton="0" quotePrefix="0" xfId="0"/>
    <xf numFmtId="0" fontId="8299" fillId="8304" borderId="8239" pivotButton="0" quotePrefix="0" xfId="0"/>
    <xf numFmtId="0" fontId="8300" fillId="8305" borderId="8240" pivotButton="0" quotePrefix="0" xfId="0"/>
    <xf numFmtId="0" fontId="8301" fillId="8306" borderId="8241" pivotButton="0" quotePrefix="0" xfId="0"/>
    <xf numFmtId="0" fontId="8302" fillId="8307" borderId="8242" pivotButton="0" quotePrefix="0" xfId="0"/>
    <xf numFmtId="0" fontId="8303" fillId="8308" borderId="8243" pivotButton="0" quotePrefix="0" xfId="0"/>
    <xf numFmtId="0" fontId="8304" fillId="8309" borderId="8244" pivotButton="0" quotePrefix="0" xfId="0"/>
    <xf numFmtId="14" fontId="8305" fillId="8310" borderId="8245" pivotButton="0" quotePrefix="0" xfId="0"/>
    <xf numFmtId="14" fontId="8306" fillId="8311" borderId="8246" pivotButton="0" quotePrefix="0" xfId="0"/>
    <xf numFmtId="0" fontId="8307" fillId="8312" borderId="8247" pivotButton="0" quotePrefix="0" xfId="0"/>
    <xf numFmtId="14" fontId="8308" fillId="8313" borderId="8248" pivotButton="0" quotePrefix="0" xfId="0"/>
    <xf numFmtId="0" fontId="8309" fillId="8314" borderId="8249" pivotButton="0" quotePrefix="0" xfId="0"/>
    <xf numFmtId="0" fontId="8310" fillId="8315" borderId="8250" pivotButton="0" quotePrefix="0" xfId="0"/>
    <xf numFmtId="0" fontId="8311" fillId="8316" borderId="8251" pivotButton="0" quotePrefix="0" xfId="0"/>
    <xf numFmtId="0" fontId="8312" fillId="8317" borderId="8252" pivotButton="0" quotePrefix="0" xfId="0"/>
    <xf numFmtId="0" fontId="8313" fillId="8318" borderId="8253" pivotButton="0" quotePrefix="0" xfId="0"/>
    <xf numFmtId="0" fontId="8314" fillId="8319" borderId="8254" pivotButton="0" quotePrefix="0" xfId="0"/>
    <xf numFmtId="14" fontId="8315" fillId="8320" borderId="8255" pivotButton="0" quotePrefix="0" xfId="0"/>
    <xf numFmtId="14" fontId="8316" fillId="8321" borderId="8256" pivotButton="0" quotePrefix="0" xfId="0"/>
    <xf numFmtId="0" fontId="8317" fillId="8322" borderId="8257" pivotButton="0" quotePrefix="0" xfId="0"/>
    <xf numFmtId="14" fontId="8318" fillId="8323" borderId="8258" pivotButton="0" quotePrefix="0" xfId="0"/>
    <xf numFmtId="0" fontId="8319" fillId="8324" borderId="8259" pivotButton="0" quotePrefix="0" xfId="0"/>
    <xf numFmtId="0" fontId="8320" fillId="8325" borderId="8260" pivotButton="0" quotePrefix="0" xfId="0"/>
    <xf numFmtId="0" fontId="8321" fillId="8326" borderId="8261" pivotButton="0" quotePrefix="0" xfId="0"/>
    <xf numFmtId="0" fontId="8322" fillId="8327" borderId="8262" pivotButton="0" quotePrefix="0" xfId="0"/>
    <xf numFmtId="0" fontId="8323" fillId="8328" borderId="8263" pivotButton="0" quotePrefix="0" xfId="0"/>
    <xf numFmtId="0" fontId="8324" fillId="8329" borderId="8264" pivotButton="0" quotePrefix="0" xfId="0"/>
    <xf numFmtId="14" fontId="8325" fillId="8330" borderId="8265" pivotButton="0" quotePrefix="0" xfId="0"/>
    <xf numFmtId="14" fontId="8326" fillId="8331" borderId="8266" pivotButton="0" quotePrefix="0" xfId="0"/>
    <xf numFmtId="0" fontId="8327" fillId="8332" borderId="8267" pivotButton="0" quotePrefix="0" xfId="0"/>
    <xf numFmtId="14" fontId="8328" fillId="8333" borderId="8268" pivotButton="0" quotePrefix="0" xfId="0"/>
    <xf numFmtId="0" fontId="8329" fillId="8334" borderId="8269" pivotButton="0" quotePrefix="0" xfId="0"/>
    <xf numFmtId="0" fontId="8330" fillId="8335" borderId="8270" pivotButton="0" quotePrefix="0" xfId="0"/>
    <xf numFmtId="0" fontId="8331" fillId="8336" borderId="8271" pivotButton="0" quotePrefix="0" xfId="0"/>
    <xf numFmtId="0" fontId="8332" fillId="8337" borderId="8272" pivotButton="0" quotePrefix="0" xfId="0"/>
    <xf numFmtId="0" fontId="8333" fillId="8338" borderId="8273" pivotButton="0" quotePrefix="0" xfId="0"/>
    <xf numFmtId="0" fontId="8334" fillId="8339" borderId="8274" pivotButton="0" quotePrefix="0" xfId="0"/>
    <xf numFmtId="14" fontId="8335" fillId="8340" borderId="8275" pivotButton="0" quotePrefix="0" xfId="0"/>
    <xf numFmtId="14" fontId="8336" fillId="8341" borderId="8276" pivotButton="0" quotePrefix="0" xfId="0"/>
    <xf numFmtId="0" fontId="8337" fillId="8342" borderId="8277" pivotButton="0" quotePrefix="0" xfId="0"/>
    <xf numFmtId="14" fontId="8338" fillId="8343" borderId="8278" pivotButton="0" quotePrefix="0" xfId="0"/>
    <xf numFmtId="0" fontId="8339" fillId="8344" borderId="8279" pivotButton="0" quotePrefix="0" xfId="0"/>
    <xf numFmtId="0" fontId="8340" fillId="8345" borderId="8280" pivotButton="0" quotePrefix="0" xfId="0"/>
    <xf numFmtId="0" fontId="8341" fillId="8346" borderId="8281" pivotButton="0" quotePrefix="0" xfId="0"/>
    <xf numFmtId="0" fontId="8342" fillId="8347" borderId="8282" pivotButton="0" quotePrefix="0" xfId="0"/>
    <xf numFmtId="0" fontId="8343" fillId="8348" borderId="8283" pivotButton="0" quotePrefix="0" xfId="0"/>
    <xf numFmtId="0" fontId="8344" fillId="8349" borderId="8284" pivotButton="0" quotePrefix="0" xfId="0"/>
    <xf numFmtId="14" fontId="8345" fillId="8350" borderId="8285" pivotButton="0" quotePrefix="0" xfId="0"/>
    <xf numFmtId="14" fontId="8346" fillId="8351" borderId="8286" pivotButton="0" quotePrefix="0" xfId="0"/>
    <xf numFmtId="0" fontId="8347" fillId="8352" borderId="8287" pivotButton="0" quotePrefix="0" xfId="0"/>
    <xf numFmtId="14" fontId="8348" fillId="8353" borderId="8288" pivotButton="0" quotePrefix="0" xfId="0"/>
    <xf numFmtId="0" fontId="8349" fillId="8354" borderId="8289" pivotButton="0" quotePrefix="0" xfId="0"/>
    <xf numFmtId="0" fontId="8350" fillId="8355" borderId="8290" pivotButton="0" quotePrefix="0" xfId="0"/>
    <xf numFmtId="0" fontId="8351" fillId="8356" borderId="8291" pivotButton="0" quotePrefix="0" xfId="0"/>
    <xf numFmtId="0" fontId="8352" fillId="8357" borderId="8292" pivotButton="0" quotePrefix="0" xfId="0"/>
    <xf numFmtId="0" fontId="8353" fillId="8358" borderId="8293" pivotButton="0" quotePrefix="0" xfId="0"/>
    <xf numFmtId="0" fontId="8354" fillId="8359" borderId="8294" pivotButton="0" quotePrefix="0" xfId="0"/>
    <xf numFmtId="14" fontId="8355" fillId="8360" borderId="8295" pivotButton="0" quotePrefix="0" xfId="0"/>
    <xf numFmtId="14" fontId="8356" fillId="8361" borderId="8296" pivotButton="0" quotePrefix="0" xfId="0"/>
    <xf numFmtId="0" fontId="8357" fillId="8362" borderId="8297" pivotButton="0" quotePrefix="0" xfId="0"/>
    <xf numFmtId="14" fontId="8358" fillId="8363" borderId="8298" pivotButton="0" quotePrefix="0" xfId="0"/>
    <xf numFmtId="0" fontId="8359" fillId="8364" borderId="8299" pivotButton="0" quotePrefix="0" xfId="0"/>
    <xf numFmtId="0" fontId="8360" fillId="8365" borderId="8300" pivotButton="0" quotePrefix="0" xfId="0"/>
    <xf numFmtId="0" fontId="8361" fillId="8366" borderId="8301" pivotButton="0" quotePrefix="0" xfId="0"/>
    <xf numFmtId="0" fontId="8362" fillId="8367" borderId="8302" pivotButton="0" quotePrefix="0" xfId="0"/>
    <xf numFmtId="0" fontId="8363" fillId="8368" borderId="8303" pivotButton="0" quotePrefix="0" xfId="0"/>
    <xf numFmtId="0" fontId="8364" fillId="8369" borderId="8304" pivotButton="0" quotePrefix="0" xfId="0"/>
    <xf numFmtId="14" fontId="8365" fillId="8370" borderId="8305" pivotButton="0" quotePrefix="0" xfId="0"/>
    <xf numFmtId="14" fontId="8366" fillId="8371" borderId="8306" pivotButton="0" quotePrefix="0" xfId="0"/>
    <xf numFmtId="0" fontId="8367" fillId="8372" borderId="8307" pivotButton="0" quotePrefix="0" xfId="0"/>
    <xf numFmtId="14" fontId="8368" fillId="8373" borderId="8308" pivotButton="0" quotePrefix="0" xfId="0"/>
    <xf numFmtId="0" fontId="8369" fillId="8374" borderId="8309" pivotButton="0" quotePrefix="0" xfId="0"/>
    <xf numFmtId="0" fontId="8370" fillId="8375" borderId="8310" pivotButton="0" quotePrefix="0" xfId="0"/>
    <xf numFmtId="0" fontId="8371" fillId="8376" borderId="8311" pivotButton="0" quotePrefix="0" xfId="0"/>
    <xf numFmtId="0" fontId="8372" fillId="8377" borderId="8312" pivotButton="0" quotePrefix="0" xfId="0"/>
    <xf numFmtId="0" fontId="8373" fillId="8378" borderId="8313" pivotButton="0" quotePrefix="0" xfId="0"/>
    <xf numFmtId="0" fontId="8374" fillId="8379" borderId="8314" pivotButton="0" quotePrefix="0" xfId="0"/>
    <xf numFmtId="14" fontId="8375" fillId="8380" borderId="8315" pivotButton="0" quotePrefix="0" xfId="0"/>
    <xf numFmtId="14" fontId="8376" fillId="8381" borderId="8316" pivotButton="0" quotePrefix="0" xfId="0"/>
    <xf numFmtId="0" fontId="8377" fillId="8382" borderId="8317" pivotButton="0" quotePrefix="0" xfId="0"/>
    <xf numFmtId="14" fontId="8378" fillId="8383" borderId="8318" pivotButton="0" quotePrefix="0" xfId="0"/>
    <xf numFmtId="0" fontId="8379" fillId="8384" borderId="8319" pivotButton="0" quotePrefix="0" xfId="0"/>
    <xf numFmtId="0" fontId="8380" fillId="8385" borderId="8320" pivotButton="0" quotePrefix="0" xfId="0"/>
    <xf numFmtId="0" fontId="8381" fillId="8386" borderId="8321" pivotButton="0" quotePrefix="0" xfId="0"/>
    <xf numFmtId="0" fontId="8382" fillId="8387" borderId="8322" pivotButton="0" quotePrefix="0" xfId="0"/>
    <xf numFmtId="0" fontId="8383" fillId="8388" borderId="8323" pivotButton="0" quotePrefix="0" xfId="0"/>
    <xf numFmtId="0" fontId="8384" fillId="8389" borderId="8324" pivotButton="0" quotePrefix="0" xfId="0"/>
    <xf numFmtId="14" fontId="8385" fillId="8390" borderId="8325" pivotButton="0" quotePrefix="0" xfId="0"/>
    <xf numFmtId="14" fontId="8386" fillId="8391" borderId="8326" pivotButton="0" quotePrefix="0" xfId="0"/>
    <xf numFmtId="0" fontId="8387" fillId="8392" borderId="8327" pivotButton="0" quotePrefix="0" xfId="0"/>
    <xf numFmtId="14" fontId="8388" fillId="8393" borderId="8328" pivotButton="0" quotePrefix="0" xfId="0"/>
    <xf numFmtId="0" fontId="8389" fillId="8394" borderId="8329" pivotButton="0" quotePrefix="0" xfId="0"/>
    <xf numFmtId="0" fontId="8390" fillId="8395" borderId="8330" pivotButton="0" quotePrefix="0" xfId="0"/>
    <xf numFmtId="0" fontId="8391" fillId="8396" borderId="8331" pivotButton="0" quotePrefix="0" xfId="0"/>
    <xf numFmtId="0" fontId="8392" fillId="8397" borderId="8332" pivotButton="0" quotePrefix="0" xfId="0"/>
    <xf numFmtId="0" fontId="8393" fillId="8398" borderId="8333" pivotButton="0" quotePrefix="0" xfId="0"/>
    <xf numFmtId="0" fontId="8394" fillId="8399" borderId="8334" pivotButton="0" quotePrefix="0" xfId="0"/>
    <xf numFmtId="14" fontId="8395" fillId="8400" borderId="8335" pivotButton="0" quotePrefix="0" xfId="0"/>
    <xf numFmtId="14" fontId="8396" fillId="8401" borderId="8336" pivotButton="0" quotePrefix="0" xfId="0"/>
    <xf numFmtId="0" fontId="8397" fillId="8402" borderId="8337" pivotButton="0" quotePrefix="0" xfId="0"/>
    <xf numFmtId="14" fontId="8398" fillId="8403" borderId="8338" pivotButton="0" quotePrefix="0" xfId="0"/>
    <xf numFmtId="0" fontId="8399" fillId="8404" borderId="8339" pivotButton="0" quotePrefix="0" xfId="0"/>
    <xf numFmtId="0" fontId="8400" fillId="8405" borderId="8340" pivotButton="0" quotePrefix="0" xfId="0"/>
    <xf numFmtId="0" fontId="8401" fillId="8406" borderId="8341" pivotButton="0" quotePrefix="0" xfId="0"/>
    <xf numFmtId="0" fontId="8402" fillId="8407" borderId="8342" pivotButton="0" quotePrefix="0" xfId="0"/>
    <xf numFmtId="0" fontId="8403" fillId="8408" borderId="8343" pivotButton="0" quotePrefix="0" xfId="0"/>
    <xf numFmtId="0" fontId="8404" fillId="8409" borderId="8344" pivotButton="0" quotePrefix="0" xfId="0"/>
    <xf numFmtId="14" fontId="8405" fillId="8410" borderId="8345" pivotButton="0" quotePrefix="0" xfId="0"/>
    <xf numFmtId="14" fontId="8406" fillId="8411" borderId="8346" pivotButton="0" quotePrefix="0" xfId="0"/>
    <xf numFmtId="0" fontId="8407" fillId="8412" borderId="8347" pivotButton="0" quotePrefix="0" xfId="0"/>
    <xf numFmtId="14" fontId="8408" fillId="8413" borderId="8348" pivotButton="0" quotePrefix="0" xfId="0"/>
    <xf numFmtId="0" fontId="8409" fillId="8414" borderId="8349" pivotButton="0" quotePrefix="0" xfId="0"/>
    <xf numFmtId="0" fontId="8410" fillId="8415" borderId="8350" pivotButton="0" quotePrefix="0" xfId="0"/>
    <xf numFmtId="0" fontId="8411" fillId="8416" borderId="8351" pivotButton="0" quotePrefix="0" xfId="0"/>
    <xf numFmtId="0" fontId="8412" fillId="8417" borderId="8352" pivotButton="0" quotePrefix="0" xfId="0"/>
    <xf numFmtId="0" fontId="8413" fillId="8418" borderId="8353" pivotButton="0" quotePrefix="0" xfId="0"/>
    <xf numFmtId="0" fontId="8414" fillId="8419" borderId="8354" pivotButton="0" quotePrefix="0" xfId="0"/>
    <xf numFmtId="14" fontId="8415" fillId="8420" borderId="8355" pivotButton="0" quotePrefix="0" xfId="0"/>
    <xf numFmtId="14" fontId="8416" fillId="8421" borderId="8356" pivotButton="0" quotePrefix="0" xfId="0"/>
    <xf numFmtId="0" fontId="8417" fillId="8422" borderId="8357" pivotButton="0" quotePrefix="0" xfId="0"/>
    <xf numFmtId="14" fontId="8418" fillId="8423" borderId="8358" pivotButton="0" quotePrefix="0" xfId="0"/>
    <xf numFmtId="0" fontId="8419" fillId="8424" borderId="8359" pivotButton="0" quotePrefix="0" xfId="0"/>
    <xf numFmtId="0" fontId="8420" fillId="8425" borderId="8360" pivotButton="0" quotePrefix="0" xfId="0"/>
    <xf numFmtId="0" fontId="8421" fillId="8426" borderId="8361" pivotButton="0" quotePrefix="0" xfId="0"/>
    <xf numFmtId="0" fontId="8422" fillId="8427" borderId="8362" pivotButton="0" quotePrefix="0" xfId="0"/>
    <xf numFmtId="0" fontId="8423" fillId="8428" borderId="8363" pivotButton="0" quotePrefix="0" xfId="0"/>
    <xf numFmtId="0" fontId="8424" fillId="8429" borderId="8364" pivotButton="0" quotePrefix="0" xfId="0"/>
    <xf numFmtId="14" fontId="8425" fillId="8430" borderId="8365" pivotButton="0" quotePrefix="0" xfId="0"/>
    <xf numFmtId="14" fontId="8426" fillId="8431" borderId="8366" pivotButton="0" quotePrefix="0" xfId="0"/>
    <xf numFmtId="0" fontId="8427" fillId="8432" borderId="8367" pivotButton="0" quotePrefix="0" xfId="0"/>
    <xf numFmtId="14" fontId="8428" fillId="8433" borderId="8368" pivotButton="0" quotePrefix="0" xfId="0"/>
    <xf numFmtId="0" fontId="8429" fillId="8434" borderId="8369" pivotButton="0" quotePrefix="0" xfId="0"/>
    <xf numFmtId="0" fontId="8430" fillId="8435" borderId="8370" pivotButton="0" quotePrefix="0" xfId="0"/>
    <xf numFmtId="0" fontId="8431" fillId="8436" borderId="8371" pivotButton="0" quotePrefix="0" xfId="0"/>
    <xf numFmtId="0" fontId="8432" fillId="8437" borderId="8372" pivotButton="0" quotePrefix="0" xfId="0"/>
    <xf numFmtId="0" fontId="8433" fillId="8438" borderId="8373" pivotButton="0" quotePrefix="0" xfId="0"/>
    <xf numFmtId="0" fontId="8434" fillId="8439" borderId="8374" pivotButton="0" quotePrefix="0" xfId="0"/>
    <xf numFmtId="14" fontId="8435" fillId="8440" borderId="8375" pivotButton="0" quotePrefix="0" xfId="0"/>
    <xf numFmtId="14" fontId="8436" fillId="8441" borderId="8376" pivotButton="0" quotePrefix="0" xfId="0"/>
    <xf numFmtId="0" fontId="8437" fillId="8442" borderId="8377" pivotButton="0" quotePrefix="0" xfId="0"/>
    <xf numFmtId="14" fontId="8438" fillId="8443" borderId="8378" pivotButton="0" quotePrefix="0" xfId="0"/>
    <xf numFmtId="0" fontId="8439" fillId="8444" borderId="8379" pivotButton="0" quotePrefix="0" xfId="0"/>
    <xf numFmtId="0" fontId="8440" fillId="8445" borderId="8380" pivotButton="0" quotePrefix="0" xfId="0"/>
    <xf numFmtId="0" fontId="8441" fillId="8446" borderId="8381" pivotButton="0" quotePrefix="0" xfId="0"/>
    <xf numFmtId="0" fontId="8442" fillId="8447" borderId="8382" pivotButton="0" quotePrefix="0" xfId="0"/>
    <xf numFmtId="0" fontId="8443" fillId="8448" borderId="8383" pivotButton="0" quotePrefix="0" xfId="0"/>
    <xf numFmtId="0" fontId="8444" fillId="8449" borderId="8384" pivotButton="0" quotePrefix="0" xfId="0"/>
    <xf numFmtId="14" fontId="8445" fillId="8450" borderId="8385" pivotButton="0" quotePrefix="0" xfId="0"/>
    <xf numFmtId="14" fontId="8446" fillId="8451" borderId="8386" pivotButton="0" quotePrefix="0" xfId="0"/>
    <xf numFmtId="0" fontId="8447" fillId="8452" borderId="8387" pivotButton="0" quotePrefix="0" xfId="0"/>
    <xf numFmtId="14" fontId="8448" fillId="8453" borderId="8388" pivotButton="0" quotePrefix="0" xfId="0"/>
    <xf numFmtId="0" fontId="8449" fillId="8454" borderId="8389" pivotButton="0" quotePrefix="0" xfId="0"/>
    <xf numFmtId="0" fontId="8450" fillId="8455" borderId="8390" pivotButton="0" quotePrefix="0" xfId="0"/>
    <xf numFmtId="0" fontId="8451" fillId="8456" borderId="8391" pivotButton="0" quotePrefix="0" xfId="0"/>
    <xf numFmtId="0" fontId="8452" fillId="8457" borderId="8392" pivotButton="0" quotePrefix="0" xfId="0"/>
    <xf numFmtId="0" fontId="8453" fillId="8458" borderId="8393" pivotButton="0" quotePrefix="0" xfId="0"/>
    <xf numFmtId="0" fontId="8454" fillId="8459" borderId="8394" pivotButton="0" quotePrefix="0" xfId="0"/>
    <xf numFmtId="14" fontId="8455" fillId="8460" borderId="8395" pivotButton="0" quotePrefix="0" xfId="0"/>
    <xf numFmtId="14" fontId="8456" fillId="8461" borderId="8396" pivotButton="0" quotePrefix="0" xfId="0"/>
    <xf numFmtId="0" fontId="8457" fillId="8462" borderId="8397" pivotButton="0" quotePrefix="0" xfId="0"/>
    <xf numFmtId="14" fontId="8458" fillId="8463" borderId="8398" pivotButton="0" quotePrefix="0" xfId="0"/>
    <xf numFmtId="0" fontId="8459" fillId="8464" borderId="8399" pivotButton="0" quotePrefix="0" xfId="0"/>
    <xf numFmtId="0" fontId="8460" fillId="8465" borderId="8400" pivotButton="0" quotePrefix="0" xfId="0"/>
    <xf numFmtId="0" fontId="8461" fillId="8466" borderId="8401" pivotButton="0" quotePrefix="0" xfId="0"/>
    <xf numFmtId="0" fontId="8462" fillId="8467" borderId="8402" pivotButton="0" quotePrefix="0" xfId="0"/>
    <xf numFmtId="0" fontId="8463" fillId="8468" borderId="8403" pivotButton="0" quotePrefix="0" xfId="0"/>
    <xf numFmtId="0" fontId="8464" fillId="8469" borderId="8404" pivotButton="0" quotePrefix="0" xfId="0"/>
    <xf numFmtId="14" fontId="8465" fillId="8470" borderId="8405" pivotButton="0" quotePrefix="0" xfId="0"/>
    <xf numFmtId="14" fontId="8466" fillId="8471" borderId="8406" pivotButton="0" quotePrefix="0" xfId="0"/>
    <xf numFmtId="0" fontId="8467" fillId="8472" borderId="8407" pivotButton="0" quotePrefix="0" xfId="0"/>
    <xf numFmtId="14" fontId="8468" fillId="8473" borderId="8408" pivotButton="0" quotePrefix="0" xfId="0"/>
    <xf numFmtId="0" fontId="8469" fillId="8474" borderId="8409" pivotButton="0" quotePrefix="0" xfId="0"/>
    <xf numFmtId="0" fontId="8470" fillId="8475" borderId="8410" pivotButton="0" quotePrefix="0" xfId="0"/>
    <xf numFmtId="0" fontId="8471" fillId="8476" borderId="8411" pivotButton="0" quotePrefix="0" xfId="0"/>
    <xf numFmtId="0" fontId="8472" fillId="8477" borderId="8412" pivotButton="0" quotePrefix="0" xfId="0"/>
    <xf numFmtId="0" fontId="8473" fillId="8478" borderId="8413" pivotButton="0" quotePrefix="0" xfId="0"/>
    <xf numFmtId="0" fontId="8474" fillId="8479" borderId="8414" pivotButton="0" quotePrefix="0" xfId="0"/>
    <xf numFmtId="14" fontId="8475" fillId="8480" borderId="8415" pivotButton="0" quotePrefix="0" xfId="0"/>
    <xf numFmtId="14" fontId="8476" fillId="8481" borderId="8416" pivotButton="0" quotePrefix="0" xfId="0"/>
    <xf numFmtId="0" fontId="8477" fillId="8482" borderId="8417" pivotButton="0" quotePrefix="0" xfId="0"/>
    <xf numFmtId="14" fontId="8478" fillId="8483" borderId="8418" pivotButton="0" quotePrefix="0" xfId="0"/>
    <xf numFmtId="0" fontId="8479" fillId="8484" borderId="8419" pivotButton="0" quotePrefix="0" xfId="0"/>
    <xf numFmtId="0" fontId="8480" fillId="8485" borderId="8420" pivotButton="0" quotePrefix="0" xfId="0"/>
    <xf numFmtId="0" fontId="8481" fillId="8486" borderId="8421" pivotButton="0" quotePrefix="0" xfId="0"/>
    <xf numFmtId="0" fontId="8482" fillId="8487" borderId="8422" pivotButton="0" quotePrefix="0" xfId="0"/>
    <xf numFmtId="0" fontId="8483" fillId="8488" borderId="8423" pivotButton="0" quotePrefix="0" xfId="0"/>
    <xf numFmtId="0" fontId="8484" fillId="8489" borderId="8424" pivotButton="0" quotePrefix="0" xfId="0"/>
    <xf numFmtId="14" fontId="8485" fillId="8490" borderId="8425" pivotButton="0" quotePrefix="0" xfId="0"/>
    <xf numFmtId="14" fontId="8486" fillId="8491" borderId="8426" pivotButton="0" quotePrefix="0" xfId="0"/>
    <xf numFmtId="0" fontId="8487" fillId="8492" borderId="8427" pivotButton="0" quotePrefix="0" xfId="0"/>
    <xf numFmtId="14" fontId="8488" fillId="8493" borderId="8428" pivotButton="0" quotePrefix="0" xfId="0"/>
    <xf numFmtId="0" fontId="8489" fillId="8494" borderId="8429" pivotButton="0" quotePrefix="0" xfId="0"/>
    <xf numFmtId="0" fontId="8490" fillId="8495" borderId="8430" pivotButton="0" quotePrefix="0" xfId="0"/>
    <xf numFmtId="0" fontId="8491" fillId="8496" borderId="8431" pivotButton="0" quotePrefix="0" xfId="0"/>
    <xf numFmtId="0" fontId="8492" fillId="8497" borderId="8432" pivotButton="0" quotePrefix="0" xfId="0"/>
    <xf numFmtId="0" fontId="8493" fillId="8498" borderId="8433" pivotButton="0" quotePrefix="0" xfId="0"/>
    <xf numFmtId="0" fontId="8494" fillId="8499" borderId="8434" pivotButton="0" quotePrefix="0" xfId="0"/>
    <xf numFmtId="0" fontId="8495" fillId="8500" borderId="8435" pivotButton="0" quotePrefix="0" xfId="0"/>
    <xf numFmtId="14" fontId="8496" fillId="8501" borderId="8436" pivotButton="0" quotePrefix="0" xfId="0"/>
    <xf numFmtId="0" fontId="8497" fillId="8502" borderId="8437" pivotButton="0" quotePrefix="0" xfId="0"/>
    <xf numFmtId="14" fontId="8498" fillId="8503" borderId="8438" pivotButton="0" quotePrefix="0" xfId="0"/>
    <xf numFmtId="0" fontId="8499" fillId="8504" borderId="8439" pivotButton="0" quotePrefix="0" xfId="0"/>
    <xf numFmtId="0" fontId="8500" fillId="8505" borderId="8440" pivotButton="0" quotePrefix="0" xfId="0"/>
    <xf numFmtId="0" fontId="8501" fillId="8506" borderId="8441" pivotButton="0" quotePrefix="0" xfId="0"/>
    <xf numFmtId="0" fontId="8502" fillId="8507" borderId="8442" pivotButton="0" quotePrefix="0" xfId="0"/>
    <xf numFmtId="0" fontId="8503" fillId="8508" borderId="8443" pivotButton="0" quotePrefix="0" xfId="0"/>
    <xf numFmtId="0" fontId="8504" fillId="8509" borderId="8444" pivotButton="0" quotePrefix="0" xfId="0"/>
    <xf numFmtId="0" fontId="8505" fillId="8510" borderId="8445" pivotButton="0" quotePrefix="0" xfId="0"/>
    <xf numFmtId="14" fontId="8506" fillId="8511" borderId="8446" pivotButton="0" quotePrefix="0" xfId="0"/>
    <xf numFmtId="0" fontId="8507" fillId="8512" borderId="8447" pivotButton="0" quotePrefix="0" xfId="0"/>
    <xf numFmtId="14" fontId="8508" fillId="8513" borderId="8448" pivotButton="0" quotePrefix="0" xfId="0"/>
    <xf numFmtId="0" fontId="8509" fillId="8514" borderId="8449" pivotButton="0" quotePrefix="0" xfId="0"/>
    <xf numFmtId="0" fontId="8510" fillId="8515" borderId="8450" pivotButton="0" quotePrefix="0" xfId="0"/>
    <xf numFmtId="0" fontId="8511" fillId="8516" borderId="8451" pivotButton="0" quotePrefix="0" xfId="0"/>
    <xf numFmtId="0" fontId="8512" fillId="8517" borderId="8452" pivotButton="0" quotePrefix="0" xfId="0"/>
    <xf numFmtId="0" fontId="8513" fillId="8518" borderId="8453" pivotButton="0" quotePrefix="0" xfId="0"/>
    <xf numFmtId="0" fontId="8514" fillId="8519" borderId="8454" pivotButton="0" quotePrefix="0" xfId="0"/>
    <xf numFmtId="0" fontId="8515" fillId="8520" borderId="8455" pivotButton="0" quotePrefix="0" xfId="0"/>
    <xf numFmtId="14" fontId="8516" fillId="8521" borderId="8456" pivotButton="0" quotePrefix="0" xfId="0"/>
    <xf numFmtId="0" fontId="8517" fillId="8522" borderId="8457" pivotButton="0" quotePrefix="0" xfId="0"/>
    <xf numFmtId="14" fontId="8518" fillId="8523" borderId="8458" pivotButton="0" quotePrefix="0" xfId="0"/>
    <xf numFmtId="0" fontId="8519" fillId="8524" borderId="8459" pivotButton="0" quotePrefix="0" xfId="0"/>
    <xf numFmtId="0" fontId="8520" fillId="8525" borderId="8460" pivotButton="0" quotePrefix="0" xfId="0"/>
    <xf numFmtId="0" fontId="8521" fillId="8526" borderId="8461" pivotButton="0" quotePrefix="0" xfId="0"/>
    <xf numFmtId="0" fontId="8522" fillId="8527" borderId="8462" pivotButton="0" quotePrefix="0" xfId="0"/>
    <xf numFmtId="0" fontId="8523" fillId="8528" borderId="8463" pivotButton="0" quotePrefix="0" xfId="0"/>
    <xf numFmtId="0" fontId="8524" fillId="8529" borderId="8464" pivotButton="0" quotePrefix="0" xfId="0"/>
    <xf numFmtId="0" fontId="8525" fillId="8530" borderId="8465" pivotButton="0" quotePrefix="0" xfId="0"/>
    <xf numFmtId="14" fontId="8526" fillId="8531" borderId="8466" pivotButton="0" quotePrefix="0" xfId="0"/>
    <xf numFmtId="0" fontId="8527" fillId="8532" borderId="8467" pivotButton="0" quotePrefix="0" xfId="0"/>
    <xf numFmtId="14" fontId="8528" fillId="8533" borderId="8468" pivotButton="0" quotePrefix="0" xfId="0"/>
    <xf numFmtId="0" fontId="8529" fillId="8534" borderId="8469" pivotButton="0" quotePrefix="0" xfId="0"/>
    <xf numFmtId="0" fontId="8530" fillId="8535" borderId="8470" pivotButton="0" quotePrefix="0" xfId="0"/>
    <xf numFmtId="0" fontId="8531" fillId="8536" borderId="8471" pivotButton="0" quotePrefix="0" xfId="0"/>
    <xf numFmtId="0" fontId="8532" fillId="8537" borderId="8472" pivotButton="0" quotePrefix="0" xfId="0"/>
    <xf numFmtId="0" fontId="8533" fillId="8538" borderId="8473" pivotButton="0" quotePrefix="0" xfId="0"/>
    <xf numFmtId="0" fontId="8534" fillId="8539" borderId="8474" pivotButton="0" quotePrefix="0" xfId="0"/>
    <xf numFmtId="0" fontId="8535" fillId="8540" borderId="8475" pivotButton="0" quotePrefix="0" xfId="0"/>
    <xf numFmtId="14" fontId="8536" fillId="8541" borderId="8476" pivotButton="0" quotePrefix="0" xfId="0"/>
    <xf numFmtId="0" fontId="8537" fillId="8542" borderId="8477" pivotButton="0" quotePrefix="0" xfId="0"/>
    <xf numFmtId="14" fontId="8538" fillId="8543" borderId="8478" pivotButton="0" quotePrefix="0" xfId="0"/>
    <xf numFmtId="0" fontId="8539" fillId="8544" borderId="8479" pivotButton="0" quotePrefix="0" xfId="0"/>
    <xf numFmtId="0" fontId="8540" fillId="8545" borderId="8480" pivotButton="0" quotePrefix="0" xfId="0"/>
    <xf numFmtId="0" fontId="8541" fillId="8546" borderId="8481" pivotButton="0" quotePrefix="0" xfId="0"/>
    <xf numFmtId="0" fontId="8542" fillId="8547" borderId="8482" pivotButton="0" quotePrefix="0" xfId="0"/>
    <xf numFmtId="0" fontId="8543" fillId="8548" borderId="8483" pivotButton="0" quotePrefix="0" xfId="0"/>
    <xf numFmtId="0" fontId="8544" fillId="8549" borderId="8484" pivotButton="0" quotePrefix="0" xfId="0"/>
    <xf numFmtId="0" fontId="8545" fillId="8550" borderId="8485" pivotButton="0" quotePrefix="0" xfId="0"/>
    <xf numFmtId="14" fontId="8546" fillId="8551" borderId="8486" pivotButton="0" quotePrefix="0" xfId="0"/>
    <xf numFmtId="0" fontId="8547" fillId="8552" borderId="8487" pivotButton="0" quotePrefix="0" xfId="0"/>
    <xf numFmtId="14" fontId="8548" fillId="8553" borderId="8488" pivotButton="0" quotePrefix="0" xfId="0"/>
    <xf numFmtId="0" fontId="8549" fillId="8554" borderId="8489" pivotButton="0" quotePrefix="0" xfId="0"/>
    <xf numFmtId="0" fontId="8550" fillId="8555" borderId="8490" pivotButton="0" quotePrefix="0" xfId="0"/>
    <xf numFmtId="0" fontId="8551" fillId="8556" borderId="8491" pivotButton="0" quotePrefix="0" xfId="0"/>
    <xf numFmtId="0" fontId="8552" fillId="8557" borderId="8492" pivotButton="0" quotePrefix="0" xfId="0"/>
    <xf numFmtId="0" fontId="8553" fillId="8558" borderId="8493" pivotButton="0" quotePrefix="0" xfId="0"/>
    <xf numFmtId="0" fontId="8554" fillId="8559" borderId="8494" pivotButton="0" quotePrefix="0" xfId="0"/>
    <xf numFmtId="0" fontId="8555" fillId="8560" borderId="8495" pivotButton="0" quotePrefix="0" xfId="0"/>
    <xf numFmtId="14" fontId="8556" fillId="8561" borderId="8496" pivotButton="0" quotePrefix="0" xfId="0"/>
    <xf numFmtId="0" fontId="8557" fillId="8562" borderId="8497" pivotButton="0" quotePrefix="0" xfId="0"/>
    <xf numFmtId="14" fontId="8558" fillId="8563" borderId="8498" pivotButton="0" quotePrefix="0" xfId="0"/>
    <xf numFmtId="0" fontId="8559" fillId="8564" borderId="8499" pivotButton="0" quotePrefix="0" xfId="0"/>
    <xf numFmtId="0" fontId="8560" fillId="8565" borderId="8500" pivotButton="0" quotePrefix="0" xfId="0"/>
    <xf numFmtId="0" fontId="8561" fillId="8566" borderId="8501" pivotButton="0" quotePrefix="0" xfId="0"/>
    <xf numFmtId="0" fontId="8562" fillId="8567" borderId="8502" pivotButton="0" quotePrefix="0" xfId="0"/>
    <xf numFmtId="0" fontId="8563" fillId="8568" borderId="8503" pivotButton="0" quotePrefix="0" xfId="0"/>
    <xf numFmtId="0" fontId="8564" fillId="8569" borderId="8504" pivotButton="0" quotePrefix="0" xfId="0"/>
    <xf numFmtId="0" fontId="8565" fillId="8570" borderId="8505" pivotButton="0" quotePrefix="0" xfId="0"/>
    <xf numFmtId="14" fontId="8566" fillId="8571" borderId="8506" pivotButton="0" quotePrefix="0" xfId="0"/>
    <xf numFmtId="0" fontId="8567" fillId="8572" borderId="8507" pivotButton="0" quotePrefix="0" xfId="0"/>
    <xf numFmtId="14" fontId="8568" fillId="8573" borderId="8508" pivotButton="0" quotePrefix="0" xfId="0"/>
    <xf numFmtId="0" fontId="8569" fillId="8574" borderId="8509" pivotButton="0" quotePrefix="0" xfId="0"/>
    <xf numFmtId="0" fontId="8570" fillId="8575" borderId="8510" pivotButton="0" quotePrefix="0" xfId="0"/>
    <xf numFmtId="0" fontId="8571" fillId="8576" borderId="8511" pivotButton="0" quotePrefix="0" xfId="0"/>
    <xf numFmtId="0" fontId="8572" fillId="8577" borderId="8512" pivotButton="0" quotePrefix="0" xfId="0"/>
    <xf numFmtId="0" fontId="8573" fillId="8578" borderId="8513" pivotButton="0" quotePrefix="0" xfId="0"/>
    <xf numFmtId="0" fontId="8574" fillId="8579" borderId="8514" pivotButton="0" quotePrefix="0" xfId="0"/>
    <xf numFmtId="0" fontId="8575" fillId="8580" borderId="8515" pivotButton="0" quotePrefix="0" xfId="0"/>
    <xf numFmtId="14" fontId="8576" fillId="8581" borderId="8516" pivotButton="0" quotePrefix="0" xfId="0"/>
    <xf numFmtId="0" fontId="8577" fillId="8582" borderId="8517" pivotButton="0" quotePrefix="0" xfId="0"/>
    <xf numFmtId="14" fontId="8578" fillId="8583" borderId="8518" pivotButton="0" quotePrefix="0" xfId="0"/>
    <xf numFmtId="0" fontId="8579" fillId="8584" borderId="8519" pivotButton="0" quotePrefix="0" xfId="0"/>
    <xf numFmtId="0" fontId="8580" fillId="8585" borderId="8520" pivotButton="0" quotePrefix="0" xfId="0"/>
    <xf numFmtId="0" fontId="8581" fillId="8586" borderId="8521" pivotButton="0" quotePrefix="0" xfId="0"/>
    <xf numFmtId="0" fontId="8582" fillId="8587" borderId="8522" pivotButton="0" quotePrefix="0" xfId="0"/>
    <xf numFmtId="0" fontId="8583" fillId="8588" borderId="8523" pivotButton="0" quotePrefix="0" xfId="0"/>
    <xf numFmtId="0" fontId="8584" fillId="8589" borderId="8524" pivotButton="0" quotePrefix="0" xfId="0"/>
    <xf numFmtId="0" fontId="8585" fillId="8590" borderId="8525" pivotButton="0" quotePrefix="0" xfId="0"/>
    <xf numFmtId="14" fontId="8586" fillId="8591" borderId="8526" pivotButton="0" quotePrefix="0" xfId="0"/>
    <xf numFmtId="0" fontId="8587" fillId="8592" borderId="8527" pivotButton="0" quotePrefix="0" xfId="0"/>
    <xf numFmtId="14" fontId="8588" fillId="8593" borderId="8528" pivotButton="0" quotePrefix="0" xfId="0"/>
    <xf numFmtId="0" fontId="8589" fillId="8594" borderId="8529" pivotButton="0" quotePrefix="0" xfId="0"/>
    <xf numFmtId="0" fontId="8590" fillId="8595" borderId="8530" pivotButton="0" quotePrefix="0" xfId="0"/>
    <xf numFmtId="0" fontId="8591" fillId="8596" borderId="8531" pivotButton="0" quotePrefix="0" xfId="0"/>
    <xf numFmtId="0" fontId="8592" fillId="8597" borderId="8532" pivotButton="0" quotePrefix="0" xfId="0"/>
    <xf numFmtId="0" fontId="8593" fillId="8598" borderId="8533" pivotButton="0" quotePrefix="0" xfId="0"/>
    <xf numFmtId="0" fontId="8594" fillId="8599" borderId="8534" pivotButton="0" quotePrefix="0" xfId="0"/>
    <xf numFmtId="0" fontId="8595" fillId="8600" borderId="8535" pivotButton="0" quotePrefix="0" xfId="0"/>
    <xf numFmtId="14" fontId="8596" fillId="8601" borderId="8536" pivotButton="0" quotePrefix="0" xfId="0"/>
    <xf numFmtId="0" fontId="8597" fillId="8602" borderId="8537" pivotButton="0" quotePrefix="0" xfId="0"/>
    <xf numFmtId="14" fontId="8598" fillId="8603" borderId="8538" pivotButton="0" quotePrefix="0" xfId="0"/>
    <xf numFmtId="0" fontId="8599" fillId="8604" borderId="8539" pivotButton="0" quotePrefix="0" xfId="0"/>
    <xf numFmtId="0" fontId="8600" fillId="8605" borderId="8540" pivotButton="0" quotePrefix="0" xfId="0"/>
    <xf numFmtId="0" fontId="8601" fillId="8606" borderId="8541" pivotButton="0" quotePrefix="0" xfId="0"/>
    <xf numFmtId="0" fontId="8602" fillId="8607" borderId="8542" pivotButton="0" quotePrefix="0" xfId="0"/>
    <xf numFmtId="0" fontId="8603" fillId="8608" borderId="8543" pivotButton="0" quotePrefix="0" xfId="0"/>
    <xf numFmtId="0" fontId="8604" fillId="8609" borderId="8544" pivotButton="0" quotePrefix="0" xfId="0"/>
    <xf numFmtId="0" fontId="8605" fillId="8610" borderId="8545" pivotButton="0" quotePrefix="0" xfId="0"/>
    <xf numFmtId="14" fontId="8606" fillId="8611" borderId="8546" pivotButton="0" quotePrefix="0" xfId="0"/>
    <xf numFmtId="0" fontId="8607" fillId="8612" borderId="8547" pivotButton="0" quotePrefix="0" xfId="0"/>
    <xf numFmtId="14" fontId="8608" fillId="8613" borderId="8548" pivotButton="0" quotePrefix="0" xfId="0"/>
    <xf numFmtId="0" fontId="8609" fillId="8614" borderId="8549" pivotButton="0" quotePrefix="0" xfId="0"/>
    <xf numFmtId="0" fontId="8610" fillId="8615" borderId="8550" pivotButton="0" quotePrefix="0" xfId="0"/>
    <xf numFmtId="0" fontId="8611" fillId="8616" borderId="8551" pivotButton="0" quotePrefix="0" xfId="0"/>
    <xf numFmtId="0" fontId="8612" fillId="8617" borderId="8552" pivotButton="0" quotePrefix="0" xfId="0"/>
    <xf numFmtId="0" fontId="8613" fillId="8618" borderId="8553" pivotButton="0" quotePrefix="0" xfId="0"/>
    <xf numFmtId="0" fontId="8614" fillId="8619" borderId="8554" pivotButton="0" quotePrefix="0" xfId="0"/>
    <xf numFmtId="0" fontId="8615" fillId="8620" borderId="8555" pivotButton="0" quotePrefix="0" xfId="0"/>
    <xf numFmtId="14" fontId="8616" fillId="8621" borderId="8556" pivotButton="0" quotePrefix="0" xfId="0"/>
    <xf numFmtId="0" fontId="8617" fillId="8622" borderId="8557" pivotButton="0" quotePrefix="0" xfId="0"/>
    <xf numFmtId="14" fontId="8618" fillId="8623" borderId="8558" pivotButton="0" quotePrefix="0" xfId="0"/>
    <xf numFmtId="0" fontId="8619" fillId="8624" borderId="8559" pivotButton="0" quotePrefix="0" xfId="0"/>
    <xf numFmtId="0" fontId="8620" fillId="8625" borderId="8560" pivotButton="0" quotePrefix="0" xfId="0"/>
    <xf numFmtId="0" fontId="8621" fillId="8626" borderId="8561" pivotButton="0" quotePrefix="0" xfId="0"/>
    <xf numFmtId="0" fontId="8622" fillId="8627" borderId="8562" pivotButton="0" quotePrefix="0" xfId="0"/>
    <xf numFmtId="0" fontId="8623" fillId="8628" borderId="8563" pivotButton="0" quotePrefix="0" xfId="0"/>
    <xf numFmtId="0" fontId="8624" fillId="8629" borderId="8564" pivotButton="0" quotePrefix="0" xfId="0"/>
    <xf numFmtId="0" fontId="8625" fillId="8630" borderId="8565" pivotButton="0" quotePrefix="0" xfId="0"/>
    <xf numFmtId="14" fontId="8626" fillId="8631" borderId="8566" pivotButton="0" quotePrefix="0" xfId="0"/>
    <xf numFmtId="0" fontId="8627" fillId="8632" borderId="8567" pivotButton="0" quotePrefix="0" xfId="0"/>
    <xf numFmtId="14" fontId="8628" fillId="8633" borderId="8568" pivotButton="0" quotePrefix="0" xfId="0"/>
    <xf numFmtId="0" fontId="8629" fillId="8634" borderId="8569" pivotButton="0" quotePrefix="0" xfId="0"/>
    <xf numFmtId="0" fontId="8630" fillId="8635" borderId="8570" pivotButton="0" quotePrefix="0" xfId="0"/>
    <xf numFmtId="0" fontId="8631" fillId="8636" borderId="8571" pivotButton="0" quotePrefix="0" xfId="0"/>
    <xf numFmtId="0" fontId="8632" fillId="8637" borderId="8572" pivotButton="0" quotePrefix="0" xfId="0"/>
    <xf numFmtId="0" fontId="8633" fillId="8638" borderId="8573" pivotButton="0" quotePrefix="0" xfId="0"/>
    <xf numFmtId="0" fontId="8634" fillId="8639" borderId="8574" pivotButton="0" quotePrefix="0" xfId="0"/>
    <xf numFmtId="0" fontId="8635" fillId="8640" borderId="8575" pivotButton="0" quotePrefix="0" xfId="0"/>
    <xf numFmtId="14" fontId="8636" fillId="8641" borderId="8576" pivotButton="0" quotePrefix="0" xfId="0"/>
    <xf numFmtId="0" fontId="8637" fillId="8642" borderId="8577" pivotButton="0" quotePrefix="0" xfId="0"/>
    <xf numFmtId="14" fontId="8638" fillId="8643" borderId="8578" pivotButton="0" quotePrefix="0" xfId="0"/>
    <xf numFmtId="0" fontId="8639" fillId="8644" borderId="8579" pivotButton="0" quotePrefix="0" xfId="0"/>
    <xf numFmtId="0" fontId="8640" fillId="8645" borderId="8580" pivotButton="0" quotePrefix="0" xfId="0"/>
    <xf numFmtId="0" fontId="8641" fillId="8646" borderId="8581" pivotButton="0" quotePrefix="0" xfId="0"/>
    <xf numFmtId="0" fontId="8642" fillId="8647" borderId="8582" pivotButton="0" quotePrefix="0" xfId="0"/>
    <xf numFmtId="0" fontId="8643" fillId="8648" borderId="8583" pivotButton="0" quotePrefix="0" xfId="0"/>
    <xf numFmtId="0" fontId="8644" fillId="8649" borderId="8584" pivotButton="0" quotePrefix="0" xfId="0"/>
    <xf numFmtId="0" fontId="8645" fillId="8650" borderId="8585" pivotButton="0" quotePrefix="0" xfId="0"/>
    <xf numFmtId="14" fontId="8646" fillId="8651" borderId="8586" pivotButton="0" quotePrefix="0" xfId="0"/>
    <xf numFmtId="0" fontId="8647" fillId="8652" borderId="8587" pivotButton="0" quotePrefix="0" xfId="0"/>
    <xf numFmtId="14" fontId="8648" fillId="8653" borderId="8588" pivotButton="0" quotePrefix="0" xfId="0"/>
    <xf numFmtId="0" fontId="8649" fillId="8654" borderId="8589" pivotButton="0" quotePrefix="0" xfId="0"/>
    <xf numFmtId="0" fontId="8650" fillId="8655" borderId="8590" pivotButton="0" quotePrefix="0" xfId="0"/>
    <xf numFmtId="0" fontId="8651" fillId="8656" borderId="8591" pivotButton="0" quotePrefix="0" xfId="0"/>
    <xf numFmtId="0" fontId="8652" fillId="8657" borderId="8592" pivotButton="0" quotePrefix="0" xfId="0"/>
    <xf numFmtId="0" fontId="8653" fillId="8658" borderId="8593" pivotButton="0" quotePrefix="0" xfId="0"/>
    <xf numFmtId="0" fontId="8654" fillId="8659" borderId="8594" pivotButton="0" quotePrefix="0" xfId="0"/>
    <xf numFmtId="0" fontId="8655" fillId="8660" borderId="8595" pivotButton="0" quotePrefix="0" xfId="0"/>
    <xf numFmtId="14" fontId="8656" fillId="8661" borderId="8596" pivotButton="0" quotePrefix="0" xfId="0"/>
    <xf numFmtId="0" fontId="8657" fillId="8662" borderId="8597" pivotButton="0" quotePrefix="0" xfId="0"/>
    <xf numFmtId="14" fontId="8658" fillId="8663" borderId="8598" pivotButton="0" quotePrefix="0" xfId="0"/>
    <xf numFmtId="0" fontId="8659" fillId="8664" borderId="8599" pivotButton="0" quotePrefix="0" xfId="0"/>
    <xf numFmtId="0" fontId="8660" fillId="8665" borderId="8600" pivotButton="0" quotePrefix="0" xfId="0"/>
    <xf numFmtId="0" fontId="8661" fillId="8666" borderId="8601" pivotButton="0" quotePrefix="0" xfId="0"/>
    <xf numFmtId="0" fontId="8662" fillId="8667" borderId="8602" pivotButton="0" quotePrefix="0" xfId="0"/>
    <xf numFmtId="0" fontId="8663" fillId="8668" borderId="8603" pivotButton="0" quotePrefix="0" xfId="0"/>
    <xf numFmtId="0" fontId="8664" fillId="8669" borderId="8604" pivotButton="0" quotePrefix="0" xfId="0"/>
    <xf numFmtId="0" fontId="8665" fillId="8670" borderId="8605" pivotButton="0" quotePrefix="0" xfId="0"/>
    <xf numFmtId="14" fontId="8666" fillId="8671" borderId="8606" pivotButton="0" quotePrefix="0" xfId="0"/>
    <xf numFmtId="0" fontId="8667" fillId="8672" borderId="8607" pivotButton="0" quotePrefix="0" xfId="0"/>
    <xf numFmtId="14" fontId="8668" fillId="8673" borderId="8608" pivotButton="0" quotePrefix="0" xfId="0"/>
    <xf numFmtId="0" fontId="8669" fillId="8674" borderId="8609" pivotButton="0" quotePrefix="0" xfId="0"/>
    <xf numFmtId="0" fontId="8670" fillId="8675" borderId="8610" pivotButton="0" quotePrefix="0" xfId="0"/>
    <xf numFmtId="0" fontId="8671" fillId="8676" borderId="8611" pivotButton="0" quotePrefix="0" xfId="0"/>
    <xf numFmtId="0" fontId="8672" fillId="8677" borderId="8612" pivotButton="0" quotePrefix="0" xfId="0"/>
    <xf numFmtId="0" fontId="8673" fillId="8678" borderId="8613" pivotButton="0" quotePrefix="0" xfId="0"/>
    <xf numFmtId="0" fontId="8674" fillId="8679" borderId="8614" pivotButton="0" quotePrefix="0" xfId="0"/>
    <xf numFmtId="0" fontId="8675" fillId="8680" borderId="8615" pivotButton="0" quotePrefix="0" xfId="0"/>
    <xf numFmtId="14" fontId="8676" fillId="8681" borderId="8616" pivotButton="0" quotePrefix="0" xfId="0"/>
    <xf numFmtId="0" fontId="8677" fillId="8682" borderId="8617" pivotButton="0" quotePrefix="0" xfId="0"/>
    <xf numFmtId="14" fontId="8678" fillId="8683" borderId="8618" pivotButton="0" quotePrefix="0" xfId="0"/>
    <xf numFmtId="0" fontId="8679" fillId="8684" borderId="8619" pivotButton="0" quotePrefix="0" xfId="0"/>
    <xf numFmtId="0" fontId="8680" fillId="8685" borderId="8620" pivotButton="0" quotePrefix="0" xfId="0"/>
    <xf numFmtId="0" fontId="8681" fillId="8686" borderId="8621" pivotButton="0" quotePrefix="0" xfId="0"/>
    <xf numFmtId="0" fontId="8682" fillId="8687" borderId="8622" pivotButton="0" quotePrefix="0" xfId="0"/>
    <xf numFmtId="0" fontId="8683" fillId="8688" borderId="8623" pivotButton="0" quotePrefix="0" xfId="0"/>
    <xf numFmtId="0" fontId="8684" fillId="8689" borderId="8624" pivotButton="0" quotePrefix="0" xfId="0"/>
    <xf numFmtId="0" fontId="8685" fillId="8690" borderId="8625" pivotButton="0" quotePrefix="0" xfId="0"/>
    <xf numFmtId="14" fontId="8686" fillId="8691" borderId="8626" pivotButton="0" quotePrefix="0" xfId="0"/>
    <xf numFmtId="0" fontId="8687" fillId="8692" borderId="8627" pivotButton="0" quotePrefix="0" xfId="0"/>
    <xf numFmtId="14" fontId="8688" fillId="8693" borderId="8628" pivotButton="0" quotePrefix="0" xfId="0"/>
    <xf numFmtId="0" fontId="8689" fillId="8694" borderId="8629" pivotButton="0" quotePrefix="0" xfId="0"/>
    <xf numFmtId="0" fontId="8690" fillId="8695" borderId="8630" pivotButton="0" quotePrefix="0" xfId="0"/>
    <xf numFmtId="0" fontId="8691" fillId="8696" borderId="8631" pivotButton="0" quotePrefix="0" xfId="0"/>
    <xf numFmtId="0" fontId="8692" fillId="8697" borderId="8632" pivotButton="0" quotePrefix="0" xfId="0"/>
    <xf numFmtId="0" fontId="8693" fillId="8698" borderId="8633" pivotButton="0" quotePrefix="0" xfId="0"/>
    <xf numFmtId="0" fontId="8694" fillId="8699" borderId="8634" pivotButton="0" quotePrefix="0" xfId="0"/>
    <xf numFmtId="0" fontId="8695" fillId="8700" borderId="8635" pivotButton="0" quotePrefix="0" xfId="0"/>
    <xf numFmtId="14" fontId="8696" fillId="8701" borderId="8636" pivotButton="0" quotePrefix="0" xfId="0"/>
    <xf numFmtId="0" fontId="8697" fillId="8702" borderId="8637" pivotButton="0" quotePrefix="0" xfId="0"/>
    <xf numFmtId="14" fontId="8698" fillId="8703" borderId="8638" pivotButton="0" quotePrefix="0" xfId="0"/>
    <xf numFmtId="0" fontId="8699" fillId="8704" borderId="8639" pivotButton="0" quotePrefix="0" xfId="0"/>
    <xf numFmtId="0" fontId="8700" fillId="8705" borderId="8640" pivotButton="0" quotePrefix="0" xfId="0"/>
    <xf numFmtId="0" fontId="8701" fillId="8706" borderId="8641" pivotButton="0" quotePrefix="0" xfId="0"/>
    <xf numFmtId="0" fontId="8702" fillId="8707" borderId="8642" pivotButton="0" quotePrefix="0" xfId="0"/>
    <xf numFmtId="0" fontId="8703" fillId="8708" borderId="8643" pivotButton="0" quotePrefix="0" xfId="0"/>
    <xf numFmtId="0" fontId="8704" fillId="8709" borderId="8644" pivotButton="0" quotePrefix="0" xfId="0"/>
    <xf numFmtId="0" fontId="8705" fillId="8710" borderId="8645" pivotButton="0" quotePrefix="0" xfId="0"/>
    <xf numFmtId="14" fontId="8706" fillId="8711" borderId="8646" pivotButton="0" quotePrefix="0" xfId="0"/>
    <xf numFmtId="0" fontId="8707" fillId="8712" borderId="8647" pivotButton="0" quotePrefix="0" xfId="0"/>
    <xf numFmtId="14" fontId="8708" fillId="8713" borderId="8648" pivotButton="0" quotePrefix="0" xfId="0"/>
    <xf numFmtId="0" fontId="8709" fillId="8714" borderId="8649" pivotButton="0" quotePrefix="0" xfId="0"/>
    <xf numFmtId="0" fontId="8710" fillId="8715" borderId="8650" pivotButton="0" quotePrefix="0" xfId="0"/>
    <xf numFmtId="0" fontId="8711" fillId="8716" borderId="8651" pivotButton="0" quotePrefix="0" xfId="0"/>
    <xf numFmtId="0" fontId="8712" fillId="8717" borderId="8652" pivotButton="0" quotePrefix="0" xfId="0"/>
    <xf numFmtId="0" fontId="8713" fillId="8718" borderId="8653" pivotButton="0" quotePrefix="0" xfId="0"/>
    <xf numFmtId="0" fontId="8714" fillId="8719" borderId="8654" pivotButton="0" quotePrefix="0" xfId="0"/>
    <xf numFmtId="0" fontId="8715" fillId="8720" borderId="8655" pivotButton="0" quotePrefix="0" xfId="0"/>
    <xf numFmtId="14" fontId="8716" fillId="8721" borderId="8656" pivotButton="0" quotePrefix="0" xfId="0"/>
    <xf numFmtId="0" fontId="8717" fillId="8722" borderId="8657" pivotButton="0" quotePrefix="0" xfId="0"/>
    <xf numFmtId="14" fontId="8718" fillId="8723" borderId="8658" pivotButton="0" quotePrefix="0" xfId="0"/>
    <xf numFmtId="0" fontId="8719" fillId="8724" borderId="8659" pivotButton="0" quotePrefix="0" xfId="0"/>
    <xf numFmtId="0" fontId="8720" fillId="8725" borderId="8660" pivotButton="0" quotePrefix="0" xfId="0"/>
    <xf numFmtId="0" fontId="8721" fillId="8726" borderId="8661" pivotButton="0" quotePrefix="0" xfId="0"/>
    <xf numFmtId="0" fontId="8722" fillId="8727" borderId="8662" pivotButton="0" quotePrefix="0" xfId="0"/>
    <xf numFmtId="0" fontId="8723" fillId="8728" borderId="8663" pivotButton="0" quotePrefix="0" xfId="0"/>
    <xf numFmtId="0" fontId="8724" fillId="8729" borderId="8664" pivotButton="0" quotePrefix="0" xfId="0"/>
    <xf numFmtId="0" fontId="8725" fillId="8730" borderId="8665" pivotButton="0" quotePrefix="0" xfId="0"/>
    <xf numFmtId="14" fontId="8726" fillId="8731" borderId="8666" pivotButton="0" quotePrefix="0" xfId="0"/>
    <xf numFmtId="0" fontId="8727" fillId="8732" borderId="8667" pivotButton="0" quotePrefix="0" xfId="0"/>
    <xf numFmtId="14" fontId="8728" fillId="8733" borderId="8668" pivotButton="0" quotePrefix="0" xfId="0"/>
    <xf numFmtId="0" fontId="8729" fillId="8734" borderId="8669" pivotButton="0" quotePrefix="0" xfId="0"/>
    <xf numFmtId="0" fontId="8730" fillId="8735" borderId="8670" pivotButton="0" quotePrefix="0" xfId="0"/>
    <xf numFmtId="0" fontId="8731" fillId="8736" borderId="8671" pivotButton="0" quotePrefix="0" xfId="0"/>
    <xf numFmtId="0" fontId="8732" fillId="8737" borderId="8672" pivotButton="0" quotePrefix="0" xfId="0"/>
    <xf numFmtId="0" fontId="8733" fillId="8738" borderId="8673" pivotButton="0" quotePrefix="0" xfId="0"/>
    <xf numFmtId="0" fontId="8734" fillId="8739" borderId="8674" pivotButton="0" quotePrefix="0" xfId="0"/>
    <xf numFmtId="0" fontId="8735" fillId="8740" borderId="8675" pivotButton="0" quotePrefix="0" xfId="0"/>
    <xf numFmtId="14" fontId="8736" fillId="8741" borderId="8676" pivotButton="0" quotePrefix="0" xfId="0"/>
    <xf numFmtId="0" fontId="8737" fillId="8742" borderId="8677" pivotButton="0" quotePrefix="0" xfId="0"/>
    <xf numFmtId="14" fontId="8738" fillId="8743" borderId="8678" pivotButton="0" quotePrefix="0" xfId="0"/>
    <xf numFmtId="0" fontId="8739" fillId="8744" borderId="8679" pivotButton="0" quotePrefix="0" xfId="0"/>
    <xf numFmtId="0" fontId="8740" fillId="8745" borderId="8680" pivotButton="0" quotePrefix="0" xfId="0"/>
    <xf numFmtId="0" fontId="8741" fillId="8746" borderId="8681" pivotButton="0" quotePrefix="0" xfId="0"/>
    <xf numFmtId="0" fontId="8742" fillId="8747" borderId="8682" pivotButton="0" quotePrefix="0" xfId="0"/>
    <xf numFmtId="0" fontId="8743" fillId="8748" borderId="8683" pivotButton="0" quotePrefix="0" xfId="0"/>
    <xf numFmtId="0" fontId="8744" fillId="8749" borderId="8684" pivotButton="0" quotePrefix="0" xfId="0"/>
    <xf numFmtId="0" fontId="8745" fillId="8750" borderId="8685" pivotButton="0" quotePrefix="0" xfId="0"/>
    <xf numFmtId="14" fontId="8746" fillId="8751" borderId="8686" pivotButton="0" quotePrefix="0" xfId="0"/>
    <xf numFmtId="0" fontId="8747" fillId="8752" borderId="8687" pivotButton="0" quotePrefix="0" xfId="0"/>
    <xf numFmtId="14" fontId="8748" fillId="8753" borderId="8688" pivotButton="0" quotePrefix="0" xfId="0"/>
    <xf numFmtId="0" fontId="8749" fillId="8754" borderId="8689" pivotButton="0" quotePrefix="0" xfId="0"/>
    <xf numFmtId="0" fontId="8750" fillId="8755" borderId="8690" pivotButton="0" quotePrefix="0" xfId="0"/>
    <xf numFmtId="0" fontId="8751" fillId="8756" borderId="8691" pivotButton="0" quotePrefix="0" xfId="0"/>
    <xf numFmtId="0" fontId="8752" fillId="8757" borderId="8692" pivotButton="0" quotePrefix="0" xfId="0"/>
    <xf numFmtId="0" fontId="8753" fillId="8758" borderId="8693" pivotButton="0" quotePrefix="0" xfId="0"/>
    <xf numFmtId="0" fontId="8754" fillId="8759" borderId="8694" pivotButton="0" quotePrefix="0" xfId="0"/>
    <xf numFmtId="0" fontId="8755" fillId="8760" borderId="8695" pivotButton="0" quotePrefix="0" xfId="0"/>
    <xf numFmtId="14" fontId="8756" fillId="8761" borderId="8696" pivotButton="0" quotePrefix="0" xfId="0"/>
    <xf numFmtId="0" fontId="8757" fillId="8762" borderId="8697" pivotButton="0" quotePrefix="0" xfId="0"/>
    <xf numFmtId="14" fontId="8758" fillId="8763" borderId="8698" pivotButton="0" quotePrefix="0" xfId="0"/>
    <xf numFmtId="0" fontId="8759" fillId="8764" borderId="8699" pivotButton="0" quotePrefix="0" xfId="0"/>
    <xf numFmtId="0" fontId="8760" fillId="8765" borderId="8700" pivotButton="0" quotePrefix="0" xfId="0"/>
    <xf numFmtId="0" fontId="8761" fillId="8766" borderId="8701" pivotButton="0" quotePrefix="0" xfId="0"/>
    <xf numFmtId="0" fontId="8762" fillId="8767" borderId="8702" pivotButton="0" quotePrefix="0" xfId="0"/>
    <xf numFmtId="0" fontId="8763" fillId="8768" borderId="8703" pivotButton="0" quotePrefix="0" xfId="0"/>
    <xf numFmtId="0" fontId="8764" fillId="8769" borderId="8704" pivotButton="0" quotePrefix="0" xfId="0"/>
    <xf numFmtId="0" fontId="8765" fillId="8770" borderId="8705" pivotButton="0" quotePrefix="0" xfId="0"/>
    <xf numFmtId="14" fontId="8766" fillId="8771" borderId="8706" pivotButton="0" quotePrefix="0" xfId="0"/>
    <xf numFmtId="0" fontId="8767" fillId="8772" borderId="8707" pivotButton="0" quotePrefix="0" xfId="0"/>
    <xf numFmtId="14" fontId="8768" fillId="8773" borderId="8708" pivotButton="0" quotePrefix="0" xfId="0"/>
    <xf numFmtId="0" fontId="8769" fillId="8774" borderId="8709" pivotButton="0" quotePrefix="0" xfId="0"/>
    <xf numFmtId="0" fontId="8770" fillId="8775" borderId="8710" pivotButton="0" quotePrefix="0" xfId="0"/>
    <xf numFmtId="0" fontId="8771" fillId="8776" borderId="8711" pivotButton="0" quotePrefix="0" xfId="0"/>
    <xf numFmtId="0" fontId="8772" fillId="8777" borderId="8712" pivotButton="0" quotePrefix="0" xfId="0"/>
    <xf numFmtId="0" fontId="8773" fillId="8778" borderId="8713" pivotButton="0" quotePrefix="0" xfId="0"/>
    <xf numFmtId="0" fontId="8774" fillId="8779" borderId="8714" pivotButton="0" quotePrefix="0" xfId="0"/>
    <xf numFmtId="0" fontId="8775" fillId="8780" borderId="8715" pivotButton="0" quotePrefix="0" xfId="0"/>
    <xf numFmtId="14" fontId="8776" fillId="8781" borderId="8716" pivotButton="0" quotePrefix="0" xfId="0"/>
    <xf numFmtId="0" fontId="8777" fillId="8782" borderId="8717" pivotButton="0" quotePrefix="0" xfId="0"/>
    <xf numFmtId="14" fontId="8778" fillId="8783" borderId="8718" pivotButton="0" quotePrefix="0" xfId="0"/>
    <xf numFmtId="0" fontId="8779" fillId="8784" borderId="8719" pivotButton="0" quotePrefix="0" xfId="0"/>
    <xf numFmtId="0" fontId="8780" fillId="8785" borderId="8720" pivotButton="0" quotePrefix="0" xfId="0"/>
    <xf numFmtId="0" fontId="8781" fillId="8786" borderId="8721" pivotButton="0" quotePrefix="0" xfId="0"/>
    <xf numFmtId="0" fontId="8782" fillId="8787" borderId="8722" pivotButton="0" quotePrefix="0" xfId="0"/>
    <xf numFmtId="0" fontId="8783" fillId="8788" borderId="8723" pivotButton="0" quotePrefix="0" xfId="0"/>
    <xf numFmtId="0" fontId="8784" fillId="8789" borderId="8724" pivotButton="0" quotePrefix="0" xfId="0"/>
    <xf numFmtId="0" fontId="8785" fillId="8790" borderId="8725" pivotButton="0" quotePrefix="0" xfId="0"/>
    <xf numFmtId="14" fontId="8786" fillId="8791" borderId="8726" pivotButton="0" quotePrefix="0" xfId="0"/>
    <xf numFmtId="0" fontId="8787" fillId="8792" borderId="8727" pivotButton="0" quotePrefix="0" xfId="0"/>
    <xf numFmtId="14" fontId="8788" fillId="8793" borderId="8728" pivotButton="0" quotePrefix="0" xfId="0"/>
    <xf numFmtId="0" fontId="8789" fillId="8794" borderId="8729" pivotButton="0" quotePrefix="0" xfId="0"/>
    <xf numFmtId="0" fontId="8790" fillId="8795" borderId="8730" pivotButton="0" quotePrefix="0" xfId="0"/>
    <xf numFmtId="0" fontId="8791" fillId="8796" borderId="8731" pivotButton="0" quotePrefix="0" xfId="0"/>
    <xf numFmtId="0" fontId="8792" fillId="8797" borderId="8732" pivotButton="0" quotePrefix="0" xfId="0"/>
    <xf numFmtId="0" fontId="8793" fillId="8798" borderId="8733" pivotButton="0" quotePrefix="0" xfId="0"/>
    <xf numFmtId="0" fontId="8794" fillId="8799" borderId="8734" pivotButton="0" quotePrefix="0" xfId="0"/>
    <xf numFmtId="0" fontId="8795" fillId="8800" borderId="8735" pivotButton="0" quotePrefix="0" xfId="0"/>
    <xf numFmtId="14" fontId="8796" fillId="8801" borderId="8736" pivotButton="0" quotePrefix="0" xfId="0"/>
    <xf numFmtId="0" fontId="8797" fillId="8802" borderId="8737" pivotButton="0" quotePrefix="0" xfId="0"/>
    <xf numFmtId="14" fontId="8798" fillId="8803" borderId="8738" pivotButton="0" quotePrefix="0" xfId="0"/>
    <xf numFmtId="0" fontId="8799" fillId="8804" borderId="8739" pivotButton="0" quotePrefix="0" xfId="0"/>
    <xf numFmtId="0" fontId="8800" fillId="8805" borderId="8740" pivotButton="0" quotePrefix="0" xfId="0"/>
    <xf numFmtId="0" fontId="8801" fillId="8806" borderId="8741" pivotButton="0" quotePrefix="0" xfId="0"/>
    <xf numFmtId="0" fontId="8802" fillId="8807" borderId="8742" pivotButton="0" quotePrefix="0" xfId="0"/>
    <xf numFmtId="0" fontId="8803" fillId="8808" borderId="8743" pivotButton="0" quotePrefix="0" xfId="0"/>
    <xf numFmtId="0" fontId="8804" fillId="8809" borderId="8744" pivotButton="0" quotePrefix="0" xfId="0"/>
    <xf numFmtId="0" fontId="8805" fillId="8810" borderId="8745" pivotButton="0" quotePrefix="0" xfId="0"/>
    <xf numFmtId="14" fontId="8806" fillId="8811" borderId="8746" pivotButton="0" quotePrefix="0" xfId="0"/>
    <xf numFmtId="0" fontId="8807" fillId="8812" borderId="8747" pivotButton="0" quotePrefix="0" xfId="0"/>
    <xf numFmtId="14" fontId="8808" fillId="8813" borderId="8748" pivotButton="0" quotePrefix="0" xfId="0"/>
    <xf numFmtId="0" fontId="8809" fillId="8814" borderId="8749" pivotButton="0" quotePrefix="0" xfId="0"/>
    <xf numFmtId="0" fontId="8810" fillId="8815" borderId="8750" pivotButton="0" quotePrefix="0" xfId="0"/>
    <xf numFmtId="0" fontId="8811" fillId="8816" borderId="8751" pivotButton="0" quotePrefix="0" xfId="0"/>
    <xf numFmtId="0" fontId="8812" fillId="8817" borderId="8752" pivotButton="0" quotePrefix="0" xfId="0"/>
    <xf numFmtId="0" fontId="8813" fillId="8818" borderId="8753" pivotButton="0" quotePrefix="0" xfId="0"/>
    <xf numFmtId="0" fontId="8814" fillId="8819" borderId="8754" pivotButton="0" quotePrefix="0" xfId="0"/>
    <xf numFmtId="0" fontId="8815" fillId="8820" borderId="8755" pivotButton="0" quotePrefix="0" xfId="0"/>
    <xf numFmtId="14" fontId="8816" fillId="8821" borderId="8756" pivotButton="0" quotePrefix="0" xfId="0"/>
    <xf numFmtId="0" fontId="8817" fillId="8822" borderId="8757" pivotButton="0" quotePrefix="0" xfId="0"/>
    <xf numFmtId="14" fontId="8818" fillId="8823" borderId="8758" pivotButton="0" quotePrefix="0" xfId="0"/>
    <xf numFmtId="0" fontId="8819" fillId="8824" borderId="8759" pivotButton="0" quotePrefix="0" xfId="0"/>
    <xf numFmtId="0" fontId="8820" fillId="8825" borderId="8760" pivotButton="0" quotePrefix="0" xfId="0"/>
    <xf numFmtId="0" fontId="8821" fillId="8826" borderId="8761" pivotButton="0" quotePrefix="0" xfId="0"/>
    <xf numFmtId="0" fontId="8822" fillId="8827" borderId="8762" pivotButton="0" quotePrefix="0" xfId="0"/>
    <xf numFmtId="0" fontId="8823" fillId="8828" borderId="8763" pivotButton="0" quotePrefix="0" xfId="0"/>
    <xf numFmtId="0" fontId="8824" fillId="8829" borderId="8764" pivotButton="0" quotePrefix="0" xfId="0"/>
    <xf numFmtId="0" fontId="8825" fillId="8830" borderId="8765" pivotButton="0" quotePrefix="0" xfId="0"/>
    <xf numFmtId="14" fontId="8826" fillId="8831" borderId="8766" pivotButton="0" quotePrefix="0" xfId="0"/>
    <xf numFmtId="0" fontId="8827" fillId="8832" borderId="8767" pivotButton="0" quotePrefix="0" xfId="0"/>
    <xf numFmtId="14" fontId="8828" fillId="8833" borderId="8768" pivotButton="0" quotePrefix="0" xfId="0"/>
    <xf numFmtId="0" fontId="8829" fillId="8834" borderId="8769" pivotButton="0" quotePrefix="0" xfId="0"/>
    <xf numFmtId="0" fontId="8830" fillId="8835" borderId="8770" pivotButton="0" quotePrefix="0" xfId="0"/>
    <xf numFmtId="0" fontId="8831" fillId="8836" borderId="8771" pivotButton="0" quotePrefix="0" xfId="0"/>
    <xf numFmtId="0" fontId="8832" fillId="8837" borderId="8772" pivotButton="0" quotePrefix="0" xfId="0"/>
    <xf numFmtId="0" fontId="8833" fillId="8838" borderId="8773" pivotButton="0" quotePrefix="0" xfId="0"/>
    <xf numFmtId="0" fontId="8834" fillId="8839" borderId="8774" pivotButton="0" quotePrefix="0" xfId="0"/>
    <xf numFmtId="0" fontId="8835" fillId="8840" borderId="8775" pivotButton="0" quotePrefix="0" xfId="0"/>
    <xf numFmtId="14" fontId="8836" fillId="8841" borderId="8776" pivotButton="0" quotePrefix="0" xfId="0"/>
    <xf numFmtId="0" fontId="8837" fillId="8842" borderId="8777" pivotButton="0" quotePrefix="0" xfId="0"/>
    <xf numFmtId="14" fontId="8838" fillId="8843" borderId="8778" pivotButton="0" quotePrefix="0" xfId="0"/>
    <xf numFmtId="0" fontId="8839" fillId="8844" borderId="8779" pivotButton="0" quotePrefix="0" xfId="0"/>
    <xf numFmtId="0" fontId="8840" fillId="8845" borderId="8780" pivotButton="0" quotePrefix="0" xfId="0"/>
    <xf numFmtId="0" fontId="8841" fillId="8846" borderId="8781" pivotButton="0" quotePrefix="0" xfId="0"/>
    <xf numFmtId="0" fontId="8842" fillId="8847" borderId="8782" pivotButton="0" quotePrefix="0" xfId="0"/>
    <xf numFmtId="0" fontId="8843" fillId="8848" borderId="8783" pivotButton="0" quotePrefix="0" xfId="0"/>
    <xf numFmtId="0" fontId="8844" fillId="8849" borderId="8784" pivotButton="0" quotePrefix="0" xfId="0"/>
    <xf numFmtId="0" fontId="8845" fillId="8850" borderId="8785" pivotButton="0" quotePrefix="0" xfId="0"/>
    <xf numFmtId="14" fontId="8846" fillId="8851" borderId="8786" pivotButton="0" quotePrefix="0" xfId="0"/>
    <xf numFmtId="0" fontId="8847" fillId="8852" borderId="8787" pivotButton="0" quotePrefix="0" xfId="0"/>
    <xf numFmtId="14" fontId="8848" fillId="8853" borderId="8788" pivotButton="0" quotePrefix="0" xfId="0"/>
    <xf numFmtId="0" fontId="8849" fillId="8854" borderId="8789" pivotButton="0" quotePrefix="0" xfId="0"/>
    <xf numFmtId="0" fontId="8850" fillId="8855" borderId="8790" pivotButton="0" quotePrefix="0" xfId="0"/>
    <xf numFmtId="0" fontId="8851" fillId="8856" borderId="8791" pivotButton="0" quotePrefix="0" xfId="0"/>
    <xf numFmtId="0" fontId="8852" fillId="8857" borderId="8792" pivotButton="0" quotePrefix="0" xfId="0"/>
    <xf numFmtId="0" fontId="8853" fillId="8858" borderId="8793" pivotButton="0" quotePrefix="0" xfId="0"/>
    <xf numFmtId="0" fontId="8854" fillId="8859" borderId="8794" pivotButton="0" quotePrefix="0" xfId="0"/>
    <xf numFmtId="0" fontId="8855" fillId="8860" borderId="8795" pivotButton="0" quotePrefix="0" xfId="0"/>
    <xf numFmtId="14" fontId="8856" fillId="8861" borderId="8796" pivotButton="0" quotePrefix="0" xfId="0"/>
    <xf numFmtId="0" fontId="8857" fillId="8862" borderId="8797" pivotButton="0" quotePrefix="0" xfId="0"/>
    <xf numFmtId="14" fontId="8858" fillId="8863" borderId="8798" pivotButton="0" quotePrefix="0" xfId="0"/>
    <xf numFmtId="0" fontId="8859" fillId="8864" borderId="8799" pivotButton="0" quotePrefix="0" xfId="0"/>
    <xf numFmtId="0" fontId="8860" fillId="8865" borderId="8800" pivotButton="0" quotePrefix="0" xfId="0"/>
    <xf numFmtId="0" fontId="8861" fillId="8866" borderId="8801" pivotButton="0" quotePrefix="0" xfId="0"/>
    <xf numFmtId="0" fontId="8862" fillId="8867" borderId="8802" pivotButton="0" quotePrefix="0" xfId="0"/>
    <xf numFmtId="0" fontId="8863" fillId="8868" borderId="8803" pivotButton="0" quotePrefix="0" xfId="0"/>
    <xf numFmtId="0" fontId="8864" fillId="8869" borderId="8804" pivotButton="0" quotePrefix="0" xfId="0"/>
    <xf numFmtId="0" fontId="8865" fillId="8870" borderId="8805" pivotButton="0" quotePrefix="0" xfId="0"/>
    <xf numFmtId="14" fontId="8866" fillId="8871" borderId="8806" pivotButton="0" quotePrefix="0" xfId="0"/>
    <xf numFmtId="0" fontId="8867" fillId="8872" borderId="8807" pivotButton="0" quotePrefix="0" xfId="0"/>
    <xf numFmtId="14" fontId="8868" fillId="8873" borderId="8808" pivotButton="0" quotePrefix="0" xfId="0"/>
    <xf numFmtId="0" fontId="8869" fillId="8874" borderId="8809" pivotButton="0" quotePrefix="0" xfId="0"/>
    <xf numFmtId="0" fontId="8870" fillId="8875" borderId="8810" pivotButton="0" quotePrefix="0" xfId="0"/>
    <xf numFmtId="0" fontId="8871" fillId="8876" borderId="8811" pivotButton="0" quotePrefix="0" xfId="0"/>
    <xf numFmtId="0" fontId="8872" fillId="8877" borderId="8812" pivotButton="0" quotePrefix="0" xfId="0"/>
    <xf numFmtId="0" fontId="8873" fillId="8878" borderId="8813" pivotButton="0" quotePrefix="0" xfId="0"/>
    <xf numFmtId="0" fontId="8874" fillId="8879" borderId="8814" pivotButton="0" quotePrefix="0" xfId="0"/>
    <xf numFmtId="0" fontId="8875" fillId="8880" borderId="8815" pivotButton="0" quotePrefix="0" xfId="0"/>
    <xf numFmtId="14" fontId="8876" fillId="8881" borderId="8816" pivotButton="0" quotePrefix="0" xfId="0"/>
    <xf numFmtId="0" fontId="8877" fillId="8882" borderId="8817" pivotButton="0" quotePrefix="0" xfId="0"/>
    <xf numFmtId="14" fontId="8878" fillId="8883" borderId="8818" pivotButton="0" quotePrefix="0" xfId="0"/>
    <xf numFmtId="0" fontId="8879" fillId="8884" borderId="8819" pivotButton="0" quotePrefix="0" xfId="0"/>
    <xf numFmtId="0" fontId="8880" fillId="8885" borderId="8820" pivotButton="0" quotePrefix="0" xfId="0"/>
    <xf numFmtId="0" fontId="8881" fillId="8886" borderId="8821" pivotButton="0" quotePrefix="0" xfId="0"/>
    <xf numFmtId="0" fontId="8882" fillId="8887" borderId="8822" pivotButton="0" quotePrefix="0" xfId="0"/>
    <xf numFmtId="0" fontId="8883" fillId="8888" borderId="8823" pivotButton="0" quotePrefix="0" xfId="0"/>
    <xf numFmtId="0" fontId="8884" fillId="8889" borderId="8824" pivotButton="0" quotePrefix="0" xfId="0"/>
    <xf numFmtId="0" fontId="8885" fillId="8890" borderId="8825" pivotButton="0" quotePrefix="0" xfId="0"/>
    <xf numFmtId="14" fontId="8886" fillId="8891" borderId="8826" pivotButton="0" quotePrefix="0" xfId="0"/>
    <xf numFmtId="0" fontId="8887" fillId="8892" borderId="8827" pivotButton="0" quotePrefix="0" xfId="0"/>
    <xf numFmtId="14" fontId="8888" fillId="8893" borderId="8828" pivotButton="0" quotePrefix="0" xfId="0"/>
    <xf numFmtId="0" fontId="8889" fillId="8894" borderId="8829" pivotButton="0" quotePrefix="0" xfId="0"/>
    <xf numFmtId="0" fontId="8890" fillId="8895" borderId="8830" pivotButton="0" quotePrefix="0" xfId="0"/>
    <xf numFmtId="0" fontId="8891" fillId="8896" borderId="8831" pivotButton="0" quotePrefix="0" xfId="0"/>
    <xf numFmtId="0" fontId="8892" fillId="8897" borderId="8832" pivotButton="0" quotePrefix="0" xfId="0"/>
    <xf numFmtId="0" fontId="8893" fillId="8898" borderId="8833" pivotButton="0" quotePrefix="0" xfId="0"/>
    <xf numFmtId="0" fontId="8894" fillId="8899" borderId="8834" pivotButton="0" quotePrefix="0" xfId="0"/>
    <xf numFmtId="0" fontId="8895" fillId="8900" borderId="8835" pivotButton="0" quotePrefix="0" xfId="0"/>
    <xf numFmtId="14" fontId="8896" fillId="8901" borderId="8836" pivotButton="0" quotePrefix="0" xfId="0"/>
    <xf numFmtId="0" fontId="8897" fillId="8902" borderId="8837" pivotButton="0" quotePrefix="0" xfId="0"/>
    <xf numFmtId="14" fontId="8898" fillId="8903" borderId="8838" pivotButton="0" quotePrefix="0" xfId="0"/>
    <xf numFmtId="0" fontId="8899" fillId="8904" borderId="8839" pivotButton="0" quotePrefix="0" xfId="0"/>
    <xf numFmtId="0" fontId="8900" fillId="8905" borderId="8840" pivotButton="0" quotePrefix="0" xfId="0"/>
    <xf numFmtId="0" fontId="8901" fillId="8906" borderId="8841" pivotButton="0" quotePrefix="0" xfId="0"/>
    <xf numFmtId="0" fontId="8902" fillId="8907" borderId="8842" pivotButton="0" quotePrefix="0" xfId="0"/>
    <xf numFmtId="0" fontId="8903" fillId="8908" borderId="8843" pivotButton="0" quotePrefix="0" xfId="0"/>
    <xf numFmtId="0" fontId="8904" fillId="8909" borderId="8844" pivotButton="0" quotePrefix="0" xfId="0"/>
    <xf numFmtId="0" fontId="8905" fillId="8910" borderId="8845" pivotButton="0" quotePrefix="0" xfId="0"/>
    <xf numFmtId="14" fontId="8906" fillId="8911" borderId="8846" pivotButton="0" quotePrefix="0" xfId="0"/>
    <xf numFmtId="0" fontId="8907" fillId="8912" borderId="8847" pivotButton="0" quotePrefix="0" xfId="0"/>
    <xf numFmtId="14" fontId="8908" fillId="8913" borderId="8848" pivotButton="0" quotePrefix="0" xfId="0"/>
    <xf numFmtId="0" fontId="8909" fillId="8914" borderId="8849" pivotButton="0" quotePrefix="0" xfId="0"/>
    <xf numFmtId="0" fontId="8910" fillId="8915" borderId="8850" pivotButton="0" quotePrefix="0" xfId="0"/>
    <xf numFmtId="0" fontId="8911" fillId="8916" borderId="8851" pivotButton="0" quotePrefix="0" xfId="0"/>
    <xf numFmtId="0" fontId="8912" fillId="8917" borderId="8852" pivotButton="0" quotePrefix="0" xfId="0"/>
    <xf numFmtId="0" fontId="8913" fillId="8918" borderId="8853" pivotButton="0" quotePrefix="0" xfId="0"/>
    <xf numFmtId="0" fontId="8914" fillId="8919" borderId="8854" pivotButton="0" quotePrefix="0" xfId="0"/>
    <xf numFmtId="0" fontId="8915" fillId="8920" borderId="8855" pivotButton="0" quotePrefix="0" xfId="0"/>
    <xf numFmtId="14" fontId="8916" fillId="8921" borderId="8856" pivotButton="0" quotePrefix="0" xfId="0"/>
    <xf numFmtId="0" fontId="8917" fillId="8922" borderId="8857" pivotButton="0" quotePrefix="0" xfId="0"/>
    <xf numFmtId="14" fontId="8918" fillId="8923" borderId="8858" pivotButton="0" quotePrefix="0" xfId="0"/>
    <xf numFmtId="0" fontId="8919" fillId="8924" borderId="8859" pivotButton="0" quotePrefix="0" xfId="0"/>
    <xf numFmtId="0" fontId="8920" fillId="8925" borderId="8860" pivotButton="0" quotePrefix="0" xfId="0"/>
    <xf numFmtId="0" fontId="8921" fillId="8926" borderId="8861" pivotButton="0" quotePrefix="0" xfId="0"/>
    <xf numFmtId="0" fontId="8922" fillId="8927" borderId="8862" pivotButton="0" quotePrefix="0" xfId="0"/>
    <xf numFmtId="0" fontId="8923" fillId="8928" borderId="8863" pivotButton="0" quotePrefix="0" xfId="0"/>
    <xf numFmtId="0" fontId="8924" fillId="8929" borderId="8864" pivotButton="0" quotePrefix="0" xfId="0"/>
    <xf numFmtId="0" fontId="8925" fillId="8930" borderId="8865" pivotButton="0" quotePrefix="0" xfId="0"/>
    <xf numFmtId="14" fontId="8926" fillId="8931" borderId="8866" pivotButton="0" quotePrefix="0" xfId="0"/>
    <xf numFmtId="0" fontId="8927" fillId="8932" borderId="8867" pivotButton="0" quotePrefix="0" xfId="0"/>
    <xf numFmtId="14" fontId="8928" fillId="8933" borderId="8868" pivotButton="0" quotePrefix="0" xfId="0"/>
    <xf numFmtId="0" fontId="8929" fillId="8934" borderId="8869" pivotButton="0" quotePrefix="0" xfId="0"/>
    <xf numFmtId="0" fontId="8930" fillId="8935" borderId="8870" pivotButton="0" quotePrefix="0" xfId="0"/>
    <xf numFmtId="0" fontId="8931" fillId="8936" borderId="8871" pivotButton="0" quotePrefix="0" xfId="0"/>
    <xf numFmtId="0" fontId="8932" fillId="8937" borderId="8872" pivotButton="0" quotePrefix="0" xfId="0"/>
    <xf numFmtId="0" fontId="8933" fillId="8938" borderId="8873" pivotButton="0" quotePrefix="0" xfId="0"/>
    <xf numFmtId="0" fontId="8934" fillId="8939" borderId="8874" pivotButton="0" quotePrefix="0" xfId="0"/>
    <xf numFmtId="0" fontId="8935" fillId="8940" borderId="8875" pivotButton="0" quotePrefix="0" xfId="0"/>
    <xf numFmtId="14" fontId="8936" fillId="8941" borderId="8876" pivotButton="0" quotePrefix="0" xfId="0"/>
    <xf numFmtId="0" fontId="8937" fillId="8942" borderId="8877" pivotButton="0" quotePrefix="0" xfId="0"/>
    <xf numFmtId="14" fontId="8938" fillId="8943" borderId="8878" pivotButton="0" quotePrefix="0" xfId="0"/>
    <xf numFmtId="0" fontId="8939" fillId="8944" borderId="8879" pivotButton="0" quotePrefix="0" xfId="0"/>
    <xf numFmtId="0" fontId="8940" fillId="8945" borderId="8880" pivotButton="0" quotePrefix="0" xfId="0"/>
    <xf numFmtId="0" fontId="8941" fillId="8946" borderId="8881" pivotButton="0" quotePrefix="0" xfId="0"/>
    <xf numFmtId="0" fontId="8942" fillId="8947" borderId="8882" pivotButton="0" quotePrefix="0" xfId="0"/>
    <xf numFmtId="0" fontId="8943" fillId="8948" borderId="8883" pivotButton="0" quotePrefix="0" xfId="0"/>
    <xf numFmtId="0" fontId="8944" fillId="8949" borderId="8884" pivotButton="0" quotePrefix="0" xfId="0"/>
    <xf numFmtId="0" fontId="8945" fillId="8950" borderId="8885" pivotButton="0" quotePrefix="0" xfId="0"/>
    <xf numFmtId="14" fontId="8946" fillId="8951" borderId="8886" pivotButton="0" quotePrefix="0" xfId="0"/>
    <xf numFmtId="0" fontId="8947" fillId="8952" borderId="8887" pivotButton="0" quotePrefix="0" xfId="0"/>
    <xf numFmtId="14" fontId="8948" fillId="8953" borderId="8888" pivotButton="0" quotePrefix="0" xfId="0"/>
    <xf numFmtId="0" fontId="8949" fillId="8954" borderId="8889" pivotButton="0" quotePrefix="0" xfId="0"/>
    <xf numFmtId="0" fontId="8950" fillId="8955" borderId="8890" pivotButton="0" quotePrefix="0" xfId="0"/>
    <xf numFmtId="0" fontId="8951" fillId="8956" borderId="8891" pivotButton="0" quotePrefix="0" xfId="0"/>
    <xf numFmtId="0" fontId="8952" fillId="8957" borderId="8892" pivotButton="0" quotePrefix="0" xfId="0"/>
    <xf numFmtId="0" fontId="8953" fillId="8958" borderId="8893" pivotButton="0" quotePrefix="0" xfId="0"/>
    <xf numFmtId="0" fontId="8954" fillId="8959" borderId="8894" pivotButton="0" quotePrefix="0" xfId="0"/>
    <xf numFmtId="0" fontId="8955" fillId="8960" borderId="8895" pivotButton="0" quotePrefix="0" xfId="0"/>
    <xf numFmtId="14" fontId="8956" fillId="8961" borderId="8896" pivotButton="0" quotePrefix="0" xfId="0"/>
    <xf numFmtId="0" fontId="8957" fillId="8962" borderId="8897" pivotButton="0" quotePrefix="0" xfId="0"/>
    <xf numFmtId="14" fontId="8958" fillId="8963" borderId="8898" pivotButton="0" quotePrefix="0" xfId="0"/>
    <xf numFmtId="0" fontId="8959" fillId="8964" borderId="8899" pivotButton="0" quotePrefix="0" xfId="0"/>
    <xf numFmtId="0" fontId="8960" fillId="8965" borderId="8900" pivotButton="0" quotePrefix="0" xfId="0"/>
    <xf numFmtId="0" fontId="8961" fillId="8966" borderId="8901" pivotButton="0" quotePrefix="0" xfId="0"/>
    <xf numFmtId="0" fontId="8962" fillId="8967" borderId="8902" pivotButton="0" quotePrefix="0" xfId="0"/>
    <xf numFmtId="0" fontId="8963" fillId="8968" borderId="8903" pivotButton="0" quotePrefix="0" xfId="0"/>
    <xf numFmtId="0" fontId="8964" fillId="8969" borderId="8904" pivotButton="0" quotePrefix="0" xfId="0"/>
    <xf numFmtId="0" fontId="8965" fillId="8970" borderId="8905" pivotButton="0" quotePrefix="0" xfId="0"/>
    <xf numFmtId="14" fontId="8966" fillId="8971" borderId="8906" pivotButton="0" quotePrefix="0" xfId="0"/>
    <xf numFmtId="0" fontId="8967" fillId="8972" borderId="8907" pivotButton="0" quotePrefix="0" xfId="0"/>
    <xf numFmtId="14" fontId="8968" fillId="8973" borderId="8908" pivotButton="0" quotePrefix="0" xfId="0"/>
    <xf numFmtId="0" fontId="8969" fillId="8974" borderId="8909" pivotButton="0" quotePrefix="0" xfId="0"/>
    <xf numFmtId="0" fontId="8970" fillId="8975" borderId="8910" pivotButton="0" quotePrefix="0" xfId="0"/>
    <xf numFmtId="0" fontId="8971" fillId="8976" borderId="8911" pivotButton="0" quotePrefix="0" xfId="0"/>
    <xf numFmtId="0" fontId="8972" fillId="8977" borderId="8912" pivotButton="0" quotePrefix="0" xfId="0"/>
    <xf numFmtId="0" fontId="8973" fillId="8978" borderId="8913" pivotButton="0" quotePrefix="0" xfId="0"/>
    <xf numFmtId="0" fontId="8974" fillId="8979" borderId="8914" pivotButton="0" quotePrefix="0" xfId="0"/>
    <xf numFmtId="0" fontId="8975" fillId="8980" borderId="8915" pivotButton="0" quotePrefix="0" xfId="0"/>
    <xf numFmtId="14" fontId="8976" fillId="8981" borderId="8916" pivotButton="0" quotePrefix="0" xfId="0"/>
    <xf numFmtId="0" fontId="8977" fillId="8982" borderId="8917" pivotButton="0" quotePrefix="0" xfId="0"/>
    <xf numFmtId="14" fontId="8978" fillId="8983" borderId="8918" pivotButton="0" quotePrefix="0" xfId="0"/>
    <xf numFmtId="0" fontId="8979" fillId="8984" borderId="8919" pivotButton="0" quotePrefix="0" xfId="0"/>
    <xf numFmtId="0" fontId="8980" fillId="8985" borderId="8920" pivotButton="0" quotePrefix="0" xfId="0"/>
    <xf numFmtId="0" fontId="8981" fillId="8986" borderId="8921" pivotButton="0" quotePrefix="0" xfId="0"/>
    <xf numFmtId="0" fontId="8982" fillId="8987" borderId="8922" pivotButton="0" quotePrefix="0" xfId="0"/>
    <xf numFmtId="0" fontId="8983" fillId="8988" borderId="8923" pivotButton="0" quotePrefix="0" xfId="0"/>
    <xf numFmtId="0" fontId="8984" fillId="8989" borderId="8924" pivotButton="0" quotePrefix="0" xfId="0"/>
    <xf numFmtId="0" fontId="8985" fillId="8990" borderId="8925" pivotButton="0" quotePrefix="0" xfId="0"/>
    <xf numFmtId="14" fontId="8986" fillId="8991" borderId="8926" pivotButton="0" quotePrefix="0" xfId="0"/>
    <xf numFmtId="0" fontId="8987" fillId="8992" borderId="8927" pivotButton="0" quotePrefix="0" xfId="0"/>
    <xf numFmtId="14" fontId="8988" fillId="8993" borderId="8928" pivotButton="0" quotePrefix="0" xfId="0"/>
    <xf numFmtId="0" fontId="8989" fillId="8994" borderId="8929" pivotButton="0" quotePrefix="0" xfId="0"/>
    <xf numFmtId="0" fontId="8990" fillId="8995" borderId="8930" pivotButton="0" quotePrefix="0" xfId="0"/>
    <xf numFmtId="0" fontId="8991" fillId="8996" borderId="8931" pivotButton="0" quotePrefix="0" xfId="0"/>
    <xf numFmtId="0" fontId="8992" fillId="8997" borderId="8932" pivotButton="0" quotePrefix="0" xfId="0"/>
    <xf numFmtId="0" fontId="8993" fillId="8998" borderId="8933" pivotButton="0" quotePrefix="0" xfId="0"/>
    <xf numFmtId="0" fontId="8994" fillId="8999" borderId="8934" pivotButton="0" quotePrefix="0" xfId="0"/>
    <xf numFmtId="0" fontId="8995" fillId="9000" borderId="8935" pivotButton="0" quotePrefix="0" xfId="0"/>
    <xf numFmtId="14" fontId="8996" fillId="9001" borderId="8936" pivotButton="0" quotePrefix="0" xfId="0"/>
    <xf numFmtId="0" fontId="8997" fillId="9002" borderId="8937" pivotButton="0" quotePrefix="0" xfId="0"/>
    <xf numFmtId="14" fontId="8998" fillId="9003" borderId="8938" pivotButton="0" quotePrefix="0" xfId="0"/>
    <xf numFmtId="0" fontId="8999" fillId="9004" borderId="8939" pivotButton="0" quotePrefix="0" xfId="0"/>
    <xf numFmtId="0" fontId="9000" fillId="9005" borderId="8940" pivotButton="0" quotePrefix="0" xfId="0"/>
    <xf numFmtId="0" fontId="9001" fillId="9006" borderId="8941" pivotButton="0" quotePrefix="0" xfId="0"/>
    <xf numFmtId="0" fontId="9002" fillId="9007" borderId="8942" pivotButton="0" quotePrefix="0" xfId="0"/>
    <xf numFmtId="0" fontId="9003" fillId="9008" borderId="8943" pivotButton="0" quotePrefix="0" xfId="0"/>
    <xf numFmtId="0" fontId="9004" fillId="9009" borderId="8944" pivotButton="0" quotePrefix="0" xfId="0"/>
    <xf numFmtId="0" fontId="9005" fillId="9010" borderId="8945" pivotButton="0" quotePrefix="0" xfId="0"/>
    <xf numFmtId="14" fontId="9006" fillId="9011" borderId="8946" pivotButton="0" quotePrefix="0" xfId="0"/>
    <xf numFmtId="0" fontId="9007" fillId="9012" borderId="8947" pivotButton="0" quotePrefix="0" xfId="0"/>
    <xf numFmtId="14" fontId="9008" fillId="9013" borderId="8948" pivotButton="0" quotePrefix="0" xfId="0"/>
    <xf numFmtId="0" fontId="9009" fillId="9014" borderId="8949" pivotButton="0" quotePrefix="0" xfId="0"/>
    <xf numFmtId="0" fontId="9010" fillId="9015" borderId="8950" pivotButton="0" quotePrefix="0" xfId="0"/>
    <xf numFmtId="0" fontId="9011" fillId="9016" borderId="8951" pivotButton="0" quotePrefix="0" xfId="0"/>
    <xf numFmtId="0" fontId="9012" fillId="9017" borderId="8952" pivotButton="0" quotePrefix="0" xfId="0"/>
    <xf numFmtId="0" fontId="9013" fillId="9018" borderId="8953" pivotButton="0" quotePrefix="0" xfId="0"/>
    <xf numFmtId="0" fontId="9014" fillId="9019" borderId="8954" pivotButton="0" quotePrefix="0" xfId="0"/>
    <xf numFmtId="0" fontId="9015" fillId="9020" borderId="8955" pivotButton="0" quotePrefix="0" xfId="0"/>
    <xf numFmtId="14" fontId="9016" fillId="9021" borderId="8956" pivotButton="0" quotePrefix="0" xfId="0"/>
    <xf numFmtId="0" fontId="9017" fillId="9022" borderId="8957" pivotButton="0" quotePrefix="0" xfId="0"/>
    <xf numFmtId="14" fontId="9018" fillId="9023" borderId="8958" pivotButton="0" quotePrefix="0" xfId="0"/>
    <xf numFmtId="0" fontId="9019" fillId="9024" borderId="8959" pivotButton="0" quotePrefix="0" xfId="0"/>
    <xf numFmtId="0" fontId="9020" fillId="9025" borderId="8960" pivotButton="0" quotePrefix="0" xfId="0"/>
    <xf numFmtId="0" fontId="9021" fillId="9026" borderId="8961" pivotButton="0" quotePrefix="0" xfId="0"/>
    <xf numFmtId="0" fontId="9022" fillId="9027" borderId="8962" pivotButton="0" quotePrefix="0" xfId="0"/>
    <xf numFmtId="0" fontId="9023" fillId="9028" borderId="8963" pivotButton="0" quotePrefix="0" xfId="0"/>
    <xf numFmtId="0" fontId="9024" fillId="9029" borderId="8964" pivotButton="0" quotePrefix="0" xfId="0"/>
    <xf numFmtId="0" fontId="9025" fillId="9030" borderId="8965" pivotButton="0" quotePrefix="0" xfId="0"/>
    <xf numFmtId="14" fontId="9026" fillId="9031" borderId="8966" pivotButton="0" quotePrefix="0" xfId="0"/>
    <xf numFmtId="0" fontId="9027" fillId="9032" borderId="8967" pivotButton="0" quotePrefix="0" xfId="0"/>
    <xf numFmtId="14" fontId="9028" fillId="9033" borderId="8968" pivotButton="0" quotePrefix="0" xfId="0"/>
    <xf numFmtId="0" fontId="9029" fillId="9034" borderId="8969" pivotButton="0" quotePrefix="0" xfId="0"/>
    <xf numFmtId="0" fontId="9030" fillId="9035" borderId="8970" pivotButton="0" quotePrefix="0" xfId="0"/>
    <xf numFmtId="0" fontId="9031" fillId="9036" borderId="8971" pivotButton="0" quotePrefix="0" xfId="0"/>
    <xf numFmtId="0" fontId="9032" fillId="9037" borderId="8972" pivotButton="0" quotePrefix="0" xfId="0"/>
    <xf numFmtId="0" fontId="9033" fillId="9038" borderId="8973" pivotButton="0" quotePrefix="0" xfId="0"/>
    <xf numFmtId="0" fontId="9034" fillId="9039" borderId="8974" pivotButton="0" quotePrefix="0" xfId="0"/>
    <xf numFmtId="0" fontId="9035" fillId="9040" borderId="8975" pivotButton="0" quotePrefix="0" xfId="0"/>
    <xf numFmtId="14" fontId="9036" fillId="9041" borderId="8976" pivotButton="0" quotePrefix="0" xfId="0"/>
    <xf numFmtId="0" fontId="9037" fillId="9042" borderId="8977" pivotButton="0" quotePrefix="0" xfId="0"/>
    <xf numFmtId="14" fontId="9038" fillId="9043" borderId="8978" pivotButton="0" quotePrefix="0" xfId="0"/>
    <xf numFmtId="0" fontId="9039" fillId="9044" borderId="8979" pivotButton="0" quotePrefix="0" xfId="0"/>
    <xf numFmtId="0" fontId="9040" fillId="9045" borderId="8980" pivotButton="0" quotePrefix="0" xfId="0"/>
    <xf numFmtId="0" fontId="9041" fillId="9046" borderId="8981" pivotButton="0" quotePrefix="0" xfId="0"/>
    <xf numFmtId="0" fontId="9042" fillId="9047" borderId="8982" pivotButton="0" quotePrefix="0" xfId="0"/>
    <xf numFmtId="0" fontId="9043" fillId="9048" borderId="8983" pivotButton="0" quotePrefix="0" xfId="0"/>
    <xf numFmtId="0" fontId="9044" fillId="9049" borderId="8984" pivotButton="0" quotePrefix="0" xfId="0"/>
    <xf numFmtId="0" fontId="9045" fillId="9050" borderId="8985" pivotButton="0" quotePrefix="0" xfId="0"/>
    <xf numFmtId="14" fontId="9046" fillId="9051" borderId="8986" pivotButton="0" quotePrefix="0" xfId="0"/>
    <xf numFmtId="0" fontId="9047" fillId="9052" borderId="8987" pivotButton="0" quotePrefix="0" xfId="0"/>
    <xf numFmtId="14" fontId="9048" fillId="9053" borderId="8988" pivotButton="0" quotePrefix="0" xfId="0"/>
    <xf numFmtId="0" fontId="9049" fillId="9054" borderId="8989" pivotButton="0" quotePrefix="0" xfId="0"/>
    <xf numFmtId="0" fontId="9050" fillId="9055" borderId="8990" pivotButton="0" quotePrefix="0" xfId="0"/>
    <xf numFmtId="0" fontId="9051" fillId="9056" borderId="8991" pivotButton="0" quotePrefix="0" xfId="0"/>
    <xf numFmtId="0" fontId="9052" fillId="9057" borderId="8992" pivotButton="0" quotePrefix="0" xfId="0"/>
    <xf numFmtId="0" fontId="9053" fillId="9058" borderId="8993" pivotButton="0" quotePrefix="0" xfId="0"/>
    <xf numFmtId="0" fontId="9054" fillId="9059" borderId="8994" pivotButton="0" quotePrefix="0" xfId="0"/>
    <xf numFmtId="0" fontId="9055" fillId="9060" borderId="8995" pivotButton="0" quotePrefix="0" xfId="0"/>
    <xf numFmtId="14" fontId="9056" fillId="9061" borderId="8996" pivotButton="0" quotePrefix="0" xfId="0"/>
    <xf numFmtId="0" fontId="9057" fillId="9062" borderId="8997" pivotButton="0" quotePrefix="0" xfId="0"/>
    <xf numFmtId="14" fontId="9058" fillId="9063" borderId="8998" pivotButton="0" quotePrefix="0" xfId="0"/>
    <xf numFmtId="0" fontId="9059" fillId="9064" borderId="8999" pivotButton="0" quotePrefix="0" xfId="0"/>
    <xf numFmtId="0" fontId="9060" fillId="9065" borderId="9000" pivotButton="0" quotePrefix="0" xfId="0"/>
    <xf numFmtId="0" fontId="9061" fillId="9066" borderId="9001" pivotButton="0" quotePrefix="0" xfId="0"/>
    <xf numFmtId="0" fontId="9062" fillId="9067" borderId="9002" pivotButton="0" quotePrefix="0" xfId="0"/>
    <xf numFmtId="0" fontId="9063" fillId="9068" borderId="9003" pivotButton="0" quotePrefix="0" xfId="0"/>
    <xf numFmtId="0" fontId="9064" fillId="9069" borderId="9004" pivotButton="0" quotePrefix="0" xfId="0"/>
    <xf numFmtId="0" fontId="9065" fillId="9070" borderId="9005" pivotButton="0" quotePrefix="0" xfId="0"/>
    <xf numFmtId="14" fontId="9066" fillId="9071" borderId="9006" pivotButton="0" quotePrefix="0" xfId="0"/>
    <xf numFmtId="0" fontId="9067" fillId="9072" borderId="9007" pivotButton="0" quotePrefix="0" xfId="0"/>
    <xf numFmtId="14" fontId="9068" fillId="9073" borderId="9008" pivotButton="0" quotePrefix="0" xfId="0"/>
    <xf numFmtId="0" fontId="9069" fillId="9074" borderId="9009" pivotButton="0" quotePrefix="0" xfId="0"/>
    <xf numFmtId="0" fontId="9070" fillId="9075" borderId="9010" pivotButton="0" quotePrefix="0" xfId="0"/>
    <xf numFmtId="0" fontId="9071" fillId="9076" borderId="9011" pivotButton="0" quotePrefix="0" xfId="0"/>
    <xf numFmtId="0" fontId="9072" fillId="9077" borderId="9012" pivotButton="0" quotePrefix="0" xfId="0"/>
    <xf numFmtId="0" fontId="9073" fillId="9078" borderId="9013" pivotButton="0" quotePrefix="0" xfId="0"/>
    <xf numFmtId="0" fontId="9074" fillId="9079" borderId="9014" pivotButton="0" quotePrefix="0" xfId="0"/>
    <xf numFmtId="0" fontId="9075" fillId="9080" borderId="9015" pivotButton="0" quotePrefix="0" xfId="0"/>
    <xf numFmtId="14" fontId="9076" fillId="9081" borderId="9016" pivotButton="0" quotePrefix="0" xfId="0"/>
    <xf numFmtId="0" fontId="9077" fillId="9082" borderId="9017" pivotButton="0" quotePrefix="0" xfId="0"/>
    <xf numFmtId="14" fontId="9078" fillId="9083" borderId="9018" pivotButton="0" quotePrefix="0" xfId="0"/>
    <xf numFmtId="0" fontId="9079" fillId="9084" borderId="9019" pivotButton="0" quotePrefix="0" xfId="0"/>
    <xf numFmtId="0" fontId="9080" fillId="9085" borderId="9020" pivotButton="0" quotePrefix="0" xfId="0"/>
    <xf numFmtId="0" fontId="9081" fillId="9086" borderId="9021" pivotButton="0" quotePrefix="0" xfId="0"/>
    <xf numFmtId="0" fontId="9082" fillId="9087" borderId="9022" pivotButton="0" quotePrefix="0" xfId="0"/>
    <xf numFmtId="0" fontId="9083" fillId="9088" borderId="9023" pivotButton="0" quotePrefix="0" xfId="0"/>
    <xf numFmtId="0" fontId="9084" fillId="9089" borderId="9024" pivotButton="0" quotePrefix="0" xfId="0"/>
    <xf numFmtId="0" fontId="9085" fillId="9090" borderId="9025" pivotButton="0" quotePrefix="0" xfId="0"/>
    <xf numFmtId="14" fontId="9086" fillId="9091" borderId="9026" pivotButton="0" quotePrefix="0" xfId="0"/>
    <xf numFmtId="0" fontId="9087" fillId="9092" borderId="9027" pivotButton="0" quotePrefix="0" xfId="0"/>
    <xf numFmtId="14" fontId="9088" fillId="9093" borderId="9028" pivotButton="0" quotePrefix="0" xfId="0"/>
    <xf numFmtId="0" fontId="9089" fillId="9094" borderId="9029" pivotButton="0" quotePrefix="0" xfId="0"/>
    <xf numFmtId="0" fontId="9090" fillId="9095" borderId="9030" pivotButton="0" quotePrefix="0" xfId="0"/>
    <xf numFmtId="0" fontId="9091" fillId="9096" borderId="9031" pivotButton="0" quotePrefix="0" xfId="0"/>
    <xf numFmtId="0" fontId="9092" fillId="9097" borderId="9032" pivotButton="0" quotePrefix="0" xfId="0"/>
    <xf numFmtId="0" fontId="9093" fillId="9098" borderId="9033" pivotButton="0" quotePrefix="0" xfId="0"/>
    <xf numFmtId="0" fontId="9094" fillId="9099" borderId="9034" pivotButton="0" quotePrefix="0" xfId="0"/>
    <xf numFmtId="0" fontId="9095" fillId="9100" borderId="9035" pivotButton="0" quotePrefix="0" xfId="0"/>
    <xf numFmtId="14" fontId="9096" fillId="9101" borderId="9036" pivotButton="0" quotePrefix="0" xfId="0"/>
    <xf numFmtId="0" fontId="9097" fillId="9102" borderId="9037" pivotButton="0" quotePrefix="0" xfId="0"/>
    <xf numFmtId="14" fontId="9098" fillId="9103" borderId="9038" pivotButton="0" quotePrefix="0" xfId="0"/>
    <xf numFmtId="0" fontId="9099" fillId="9104" borderId="9039" pivotButton="0" quotePrefix="0" xfId="0"/>
    <xf numFmtId="0" fontId="9100" fillId="9105" borderId="9040" pivotButton="0" quotePrefix="0" xfId="0"/>
    <xf numFmtId="0" fontId="9101" fillId="9106" borderId="9041" pivotButton="0" quotePrefix="0" xfId="0"/>
    <xf numFmtId="0" fontId="9102" fillId="9107" borderId="9042" pivotButton="0" quotePrefix="0" xfId="0"/>
    <xf numFmtId="0" fontId="9103" fillId="9108" borderId="9043" pivotButton="0" quotePrefix="0" xfId="0"/>
    <xf numFmtId="0" fontId="9104" fillId="9109" borderId="9044" pivotButton="0" quotePrefix="0" xfId="0"/>
    <xf numFmtId="0" fontId="9105" fillId="9110" borderId="9045" pivotButton="0" quotePrefix="0" xfId="0"/>
    <xf numFmtId="14" fontId="9106" fillId="9111" borderId="9046" pivotButton="0" quotePrefix="0" xfId="0"/>
    <xf numFmtId="0" fontId="9107" fillId="9112" borderId="9047" pivotButton="0" quotePrefix="0" xfId="0"/>
    <xf numFmtId="14" fontId="9108" fillId="9113" borderId="9048" pivotButton="0" quotePrefix="0" xfId="0"/>
    <xf numFmtId="0" fontId="9109" fillId="9114" borderId="9049" pivotButton="0" quotePrefix="0" xfId="0"/>
    <xf numFmtId="0" fontId="9110" fillId="9115" borderId="9050" pivotButton="0" quotePrefix="0" xfId="0"/>
    <xf numFmtId="0" fontId="9111" fillId="9116" borderId="9051" pivotButton="0" quotePrefix="0" xfId="0"/>
    <xf numFmtId="0" fontId="9112" fillId="9117" borderId="9052" pivotButton="0" quotePrefix="0" xfId="0"/>
    <xf numFmtId="0" fontId="9113" fillId="9118" borderId="9053" pivotButton="0" quotePrefix="0" xfId="0"/>
    <xf numFmtId="0" fontId="9114" fillId="9119" borderId="9054" pivotButton="0" quotePrefix="0" xfId="0"/>
    <xf numFmtId="0" fontId="9115" fillId="9120" borderId="9055" pivotButton="0" quotePrefix="0" xfId="0"/>
    <xf numFmtId="14" fontId="9116" fillId="9121" borderId="9056" pivotButton="0" quotePrefix="0" xfId="0"/>
    <xf numFmtId="0" fontId="9117" fillId="9122" borderId="9057" pivotButton="0" quotePrefix="0" xfId="0"/>
    <xf numFmtId="14" fontId="9118" fillId="9123" borderId="9058" pivotButton="0" quotePrefix="0" xfId="0"/>
    <xf numFmtId="0" fontId="9119" fillId="9124" borderId="9059" pivotButton="0" quotePrefix="0" xfId="0"/>
    <xf numFmtId="0" fontId="9120" fillId="9125" borderId="9060" pivotButton="0" quotePrefix="0" xfId="0"/>
    <xf numFmtId="0" fontId="9121" fillId="9126" borderId="9061" pivotButton="0" quotePrefix="0" xfId="0"/>
    <xf numFmtId="0" fontId="9122" fillId="9127" borderId="9062" pivotButton="0" quotePrefix="0" xfId="0"/>
    <xf numFmtId="0" fontId="9123" fillId="9128" borderId="9063" pivotButton="0" quotePrefix="0" xfId="0"/>
    <xf numFmtId="0" fontId="9124" fillId="9129" borderId="9064" pivotButton="0" quotePrefix="0" xfId="0"/>
    <xf numFmtId="0" fontId="9125" fillId="9130" borderId="9065" pivotButton="0" quotePrefix="0" xfId="0"/>
    <xf numFmtId="14" fontId="9126" fillId="9131" borderId="9066" pivotButton="0" quotePrefix="0" xfId="0"/>
    <xf numFmtId="0" fontId="9127" fillId="9132" borderId="9067" pivotButton="0" quotePrefix="0" xfId="0"/>
    <xf numFmtId="14" fontId="9128" fillId="9133" borderId="9068" pivotButton="0" quotePrefix="0" xfId="0"/>
    <xf numFmtId="0" fontId="9129" fillId="9134" borderId="9069" pivotButton="0" quotePrefix="0" xfId="0"/>
    <xf numFmtId="0" fontId="9130" fillId="9135" borderId="9070" pivotButton="0" quotePrefix="0" xfId="0"/>
    <xf numFmtId="0" fontId="9131" fillId="9136" borderId="9071" pivotButton="0" quotePrefix="0" xfId="0"/>
    <xf numFmtId="0" fontId="9132" fillId="9137" borderId="9072" pivotButton="0" quotePrefix="0" xfId="0"/>
    <xf numFmtId="0" fontId="9133" fillId="9138" borderId="9073" pivotButton="0" quotePrefix="0" xfId="0"/>
    <xf numFmtId="0" fontId="9134" fillId="9139" borderId="9074" pivotButton="0" quotePrefix="0" xfId="0"/>
    <xf numFmtId="0" fontId="9135" fillId="9140" borderId="9075" pivotButton="0" quotePrefix="0" xfId="0"/>
    <xf numFmtId="14" fontId="9136" fillId="9141" borderId="9076" pivotButton="0" quotePrefix="0" xfId="0"/>
    <xf numFmtId="0" fontId="9137" fillId="9142" borderId="9077" pivotButton="0" quotePrefix="0" xfId="0"/>
    <xf numFmtId="14" fontId="9138" fillId="9143" borderId="9078" pivotButton="0" quotePrefix="0" xfId="0"/>
    <xf numFmtId="0" fontId="9139" fillId="9144" borderId="9079" pivotButton="0" quotePrefix="0" xfId="0"/>
    <xf numFmtId="0" fontId="9140" fillId="9145" borderId="9080" pivotButton="0" quotePrefix="0" xfId="0"/>
    <xf numFmtId="0" fontId="9141" fillId="9146" borderId="9081" pivotButton="0" quotePrefix="0" xfId="0"/>
    <xf numFmtId="0" fontId="9142" fillId="9147" borderId="9082" pivotButton="0" quotePrefix="0" xfId="0"/>
    <xf numFmtId="0" fontId="9143" fillId="9148" borderId="9083" pivotButton="0" quotePrefix="0" xfId="0"/>
    <xf numFmtId="0" fontId="9144" fillId="9149" borderId="9084" pivotButton="0" quotePrefix="0" xfId="0"/>
    <xf numFmtId="0" fontId="9145" fillId="9150" borderId="9085" pivotButton="0" quotePrefix="0" xfId="0"/>
    <xf numFmtId="14" fontId="9146" fillId="9151" borderId="9086" pivotButton="0" quotePrefix="0" xfId="0"/>
    <xf numFmtId="0" fontId="9147" fillId="9152" borderId="9087" pivotButton="0" quotePrefix="0" xfId="0"/>
    <xf numFmtId="14" fontId="9148" fillId="9153" borderId="9088" pivotButton="0" quotePrefix="0" xfId="0"/>
    <xf numFmtId="0" fontId="9149" fillId="9154" borderId="9089" pivotButton="0" quotePrefix="0" xfId="0"/>
    <xf numFmtId="0" fontId="9150" fillId="9155" borderId="9090" pivotButton="0" quotePrefix="0" xfId="0"/>
    <xf numFmtId="0" fontId="9151" fillId="9156" borderId="9091" pivotButton="0" quotePrefix="0" xfId="0"/>
    <xf numFmtId="0" fontId="9152" fillId="9157" borderId="9092" pivotButton="0" quotePrefix="0" xfId="0"/>
    <xf numFmtId="0" fontId="9153" fillId="9158" borderId="9093" pivotButton="0" quotePrefix="0" xfId="0"/>
    <xf numFmtId="0" fontId="9154" fillId="9159" borderId="9094" pivotButton="0" quotePrefix="0" xfId="0"/>
    <xf numFmtId="0" fontId="9155" fillId="9160" borderId="9095" pivotButton="0" quotePrefix="0" xfId="0"/>
    <xf numFmtId="14" fontId="9156" fillId="9161" borderId="9096" pivotButton="0" quotePrefix="0" xfId="0"/>
    <xf numFmtId="0" fontId="9157" fillId="9162" borderId="9097" pivotButton="0" quotePrefix="0" xfId="0"/>
    <xf numFmtId="14" fontId="9158" fillId="9163" borderId="9098" pivotButton="0" quotePrefix="0" xfId="0"/>
    <xf numFmtId="0" fontId="9159" fillId="9164" borderId="9099" pivotButton="0" quotePrefix="0" xfId="0"/>
    <xf numFmtId="0" fontId="9160" fillId="9165" borderId="9100" pivotButton="0" quotePrefix="0" xfId="0"/>
    <xf numFmtId="0" fontId="9161" fillId="9166" borderId="9101" pivotButton="0" quotePrefix="0" xfId="0"/>
    <xf numFmtId="0" fontId="9162" fillId="9167" borderId="9102" pivotButton="0" quotePrefix="0" xfId="0"/>
    <xf numFmtId="0" fontId="9163" fillId="9168" borderId="9103" pivotButton="0" quotePrefix="0" xfId="0"/>
    <xf numFmtId="0" fontId="9164" fillId="9169" borderId="9104" pivotButton="0" quotePrefix="0" xfId="0"/>
    <xf numFmtId="0" fontId="9165" fillId="9170" borderId="9105" pivotButton="0" quotePrefix="0" xfId="0"/>
    <xf numFmtId="14" fontId="9166" fillId="9171" borderId="9106" pivotButton="0" quotePrefix="0" xfId="0"/>
    <xf numFmtId="0" fontId="9167" fillId="9172" borderId="9107" pivotButton="0" quotePrefix="0" xfId="0"/>
    <xf numFmtId="14" fontId="9168" fillId="9173" borderId="9108" pivotButton="0" quotePrefix="0" xfId="0"/>
    <xf numFmtId="0" fontId="9169" fillId="9174" borderId="9109" pivotButton="0" quotePrefix="0" xfId="0"/>
    <xf numFmtId="0" fontId="9170" fillId="9175" borderId="9110" pivotButton="0" quotePrefix="0" xfId="0"/>
    <xf numFmtId="0" fontId="9171" fillId="9176" borderId="9111" pivotButton="0" quotePrefix="0" xfId="0"/>
    <xf numFmtId="0" fontId="9172" fillId="9177" borderId="9112" pivotButton="0" quotePrefix="0" xfId="0"/>
    <xf numFmtId="0" fontId="9173" fillId="9178" borderId="9113" pivotButton="0" quotePrefix="0" xfId="0"/>
    <xf numFmtId="0" fontId="9174" fillId="9179" borderId="9114" pivotButton="0" quotePrefix="0" xfId="0"/>
    <xf numFmtId="0" fontId="9175" fillId="9180" borderId="9115" pivotButton="0" quotePrefix="0" xfId="0"/>
    <xf numFmtId="14" fontId="9176" fillId="9181" borderId="9116" pivotButton="0" quotePrefix="0" xfId="0"/>
    <xf numFmtId="0" fontId="9177" fillId="9182" borderId="9117" pivotButton="0" quotePrefix="0" xfId="0"/>
    <xf numFmtId="14" fontId="9178" fillId="9183" borderId="9118" pivotButton="0" quotePrefix="0" xfId="0"/>
    <xf numFmtId="0" fontId="9179" fillId="9184" borderId="9119" pivotButton="0" quotePrefix="0" xfId="0"/>
    <xf numFmtId="0" fontId="9180" fillId="9185" borderId="9120" pivotButton="0" quotePrefix="0" xfId="0"/>
    <xf numFmtId="0" fontId="9181" fillId="9186" borderId="9121" pivotButton="0" quotePrefix="0" xfId="0"/>
    <xf numFmtId="0" fontId="9182" fillId="9187" borderId="9122" pivotButton="0" quotePrefix="0" xfId="0"/>
    <xf numFmtId="0" fontId="9183" fillId="9188" borderId="9123" pivotButton="0" quotePrefix="0" xfId="0"/>
    <xf numFmtId="0" fontId="9184" fillId="9189" borderId="9124" pivotButton="0" quotePrefix="0" xfId="0"/>
    <xf numFmtId="0" fontId="9185" fillId="9190" borderId="9125" pivotButton="0" quotePrefix="0" xfId="0"/>
    <xf numFmtId="14" fontId="9186" fillId="9191" borderId="9126" pivotButton="0" quotePrefix="0" xfId="0"/>
    <xf numFmtId="0" fontId="9187" fillId="9192" borderId="9127" pivotButton="0" quotePrefix="0" xfId="0"/>
    <xf numFmtId="14" fontId="9188" fillId="9193" borderId="9128" pivotButton="0" quotePrefix="0" xfId="0"/>
    <xf numFmtId="0" fontId="9189" fillId="9194" borderId="9129" pivotButton="0" quotePrefix="0" xfId="0"/>
    <xf numFmtId="0" fontId="9190" fillId="9195" borderId="9130" pivotButton="0" quotePrefix="0" xfId="0"/>
    <xf numFmtId="0" fontId="9191" fillId="9196" borderId="9131" pivotButton="0" quotePrefix="0" xfId="0"/>
    <xf numFmtId="0" fontId="9192" fillId="9197" borderId="9132" pivotButton="0" quotePrefix="0" xfId="0"/>
    <xf numFmtId="0" fontId="9193" fillId="9198" borderId="9133" pivotButton="0" quotePrefix="0" xfId="0"/>
    <xf numFmtId="0" fontId="9194" fillId="9199" borderId="9134" pivotButton="0" quotePrefix="0" xfId="0"/>
    <xf numFmtId="0" fontId="9195" fillId="9200" borderId="9135" pivotButton="0" quotePrefix="0" xfId="0"/>
    <xf numFmtId="14" fontId="9196" fillId="9201" borderId="9136" pivotButton="0" quotePrefix="0" xfId="0"/>
    <xf numFmtId="0" fontId="9197" fillId="9202" borderId="9137" pivotButton="0" quotePrefix="0" xfId="0"/>
    <xf numFmtId="14" fontId="9198" fillId="9203" borderId="9138" pivotButton="0" quotePrefix="0" xfId="0"/>
    <xf numFmtId="0" fontId="9199" fillId="9204" borderId="9139" pivotButton="0" quotePrefix="0" xfId="0"/>
    <xf numFmtId="0" fontId="9200" fillId="9205" borderId="9140" pivotButton="0" quotePrefix="0" xfId="0"/>
    <xf numFmtId="0" fontId="9201" fillId="9206" borderId="9141" pivotButton="0" quotePrefix="0" xfId="0"/>
    <xf numFmtId="0" fontId="9202" fillId="9207" borderId="9142" pivotButton="0" quotePrefix="0" xfId="0"/>
    <xf numFmtId="0" fontId="9203" fillId="9208" borderId="9143" pivotButton="0" quotePrefix="0" xfId="0"/>
    <xf numFmtId="0" fontId="9204" fillId="9209" borderId="9144" pivotButton="0" quotePrefix="0" xfId="0"/>
    <xf numFmtId="0" fontId="9205" fillId="9210" borderId="9145" pivotButton="0" quotePrefix="0" xfId="0"/>
    <xf numFmtId="14" fontId="9206" fillId="9211" borderId="9146" pivotButton="0" quotePrefix="0" xfId="0"/>
    <xf numFmtId="0" fontId="9207" fillId="9212" borderId="9147" pivotButton="0" quotePrefix="0" xfId="0"/>
    <xf numFmtId="14" fontId="9208" fillId="9213" borderId="9148" pivotButton="0" quotePrefix="0" xfId="0"/>
    <xf numFmtId="0" fontId="9209" fillId="9214" borderId="9149" pivotButton="0" quotePrefix="0" xfId="0"/>
    <xf numFmtId="0" fontId="9210" fillId="9215" borderId="9150" pivotButton="0" quotePrefix="0" xfId="0"/>
    <xf numFmtId="0" fontId="9211" fillId="9216" borderId="9151" pivotButton="0" quotePrefix="0" xfId="0"/>
    <xf numFmtId="0" fontId="9212" fillId="9217" borderId="9152" pivotButton="0" quotePrefix="0" xfId="0"/>
    <xf numFmtId="0" fontId="9213" fillId="9218" borderId="9153" pivotButton="0" quotePrefix="0" xfId="0"/>
    <xf numFmtId="0" fontId="9214" fillId="9219" borderId="9154" pivotButton="0" quotePrefix="0" xfId="0"/>
    <xf numFmtId="0" fontId="9215" fillId="9220" borderId="9155" pivotButton="0" quotePrefix="0" xfId="0"/>
    <xf numFmtId="14" fontId="9216" fillId="9221" borderId="9156" pivotButton="0" quotePrefix="0" xfId="0"/>
    <xf numFmtId="0" fontId="9217" fillId="9222" borderId="9157" pivotButton="0" quotePrefix="0" xfId="0"/>
    <xf numFmtId="14" fontId="9218" fillId="9223" borderId="9158" pivotButton="0" quotePrefix="0" xfId="0"/>
    <xf numFmtId="0" fontId="9219" fillId="9224" borderId="9159" pivotButton="0" quotePrefix="0" xfId="0"/>
    <xf numFmtId="0" fontId="9220" fillId="9225" borderId="9160" pivotButton="0" quotePrefix="0" xfId="0"/>
    <xf numFmtId="0" fontId="9221" fillId="9226" borderId="9161" pivotButton="0" quotePrefix="0" xfId="0"/>
    <xf numFmtId="0" fontId="9222" fillId="9227" borderId="9162" pivotButton="0" quotePrefix="0" xfId="0"/>
    <xf numFmtId="0" fontId="9223" fillId="9228" borderId="9163" pivotButton="0" quotePrefix="0" xfId="0"/>
    <xf numFmtId="0" fontId="9224" fillId="9229" borderId="9164" pivotButton="0" quotePrefix="0" xfId="0"/>
    <xf numFmtId="0" fontId="9225" fillId="9230" borderId="9165" pivotButton="0" quotePrefix="0" xfId="0"/>
    <xf numFmtId="14" fontId="9226" fillId="9231" borderId="9166" pivotButton="0" quotePrefix="0" xfId="0"/>
    <xf numFmtId="0" fontId="9227" fillId="9232" borderId="9167" pivotButton="0" quotePrefix="0" xfId="0"/>
    <xf numFmtId="14" fontId="9228" fillId="9233" borderId="9168" pivotButton="0" quotePrefix="0" xfId="0"/>
    <xf numFmtId="0" fontId="9229" fillId="9234" borderId="9169" pivotButton="0" quotePrefix="0" xfId="0"/>
    <xf numFmtId="0" fontId="9230" fillId="9235" borderId="9170" pivotButton="0" quotePrefix="0" xfId="0"/>
    <xf numFmtId="0" fontId="9231" fillId="9236" borderId="9171" pivotButton="0" quotePrefix="0" xfId="0"/>
    <xf numFmtId="0" fontId="9232" fillId="9237" borderId="9172" pivotButton="0" quotePrefix="0" xfId="0"/>
    <xf numFmtId="0" fontId="9233" fillId="9238" borderId="9173" pivotButton="0" quotePrefix="0" xfId="0"/>
    <xf numFmtId="0" fontId="9234" fillId="9239" borderId="9174" pivotButton="0" quotePrefix="0" xfId="0"/>
    <xf numFmtId="0" fontId="9235" fillId="9240" borderId="9175" pivotButton="0" quotePrefix="0" xfId="0"/>
    <xf numFmtId="14" fontId="9236" fillId="9241" borderId="9176" pivotButton="0" quotePrefix="0" xfId="0"/>
    <xf numFmtId="0" fontId="9237" fillId="9242" borderId="9177" pivotButton="0" quotePrefix="0" xfId="0"/>
    <xf numFmtId="14" fontId="9238" fillId="9243" borderId="9178" pivotButton="0" quotePrefix="0" xfId="0"/>
    <xf numFmtId="0" fontId="9239" fillId="9244" borderId="9179" pivotButton="0" quotePrefix="0" xfId="0"/>
    <xf numFmtId="0" fontId="9240" fillId="9245" borderId="9180" pivotButton="0" quotePrefix="0" xfId="0"/>
    <xf numFmtId="0" fontId="9241" fillId="9246" borderId="9181" pivotButton="0" quotePrefix="0" xfId="0"/>
    <xf numFmtId="0" fontId="9242" fillId="9247" borderId="9182" pivotButton="0" quotePrefix="0" xfId="0"/>
    <xf numFmtId="0" fontId="9243" fillId="9248" borderId="9183" pivotButton="0" quotePrefix="0" xfId="0"/>
    <xf numFmtId="0" fontId="9244" fillId="9249" borderId="9184" pivotButton="0" quotePrefix="0" xfId="0"/>
    <xf numFmtId="0" fontId="9245" fillId="9250" borderId="9185" pivotButton="0" quotePrefix="0" xfId="0"/>
    <xf numFmtId="14" fontId="9246" fillId="9251" borderId="9186" pivotButton="0" quotePrefix="0" xfId="0"/>
    <xf numFmtId="0" fontId="9247" fillId="9252" borderId="9187" pivotButton="0" quotePrefix="0" xfId="0"/>
    <xf numFmtId="14" fontId="9248" fillId="9253" borderId="9188" pivotButton="0" quotePrefix="0" xfId="0"/>
    <xf numFmtId="0" fontId="9249" fillId="9254" borderId="9189" pivotButton="0" quotePrefix="0" xfId="0"/>
    <xf numFmtId="0" fontId="9250" fillId="9255" borderId="9190" pivotButton="0" quotePrefix="0" xfId="0"/>
    <xf numFmtId="0" fontId="9251" fillId="9256" borderId="9191" pivotButton="0" quotePrefix="0" xfId="0"/>
    <xf numFmtId="0" fontId="9252" fillId="9257" borderId="9192" pivotButton="0" quotePrefix="0" xfId="0"/>
    <xf numFmtId="0" fontId="9253" fillId="9258" borderId="9193" pivotButton="0" quotePrefix="0" xfId="0"/>
    <xf numFmtId="0" fontId="9254" fillId="9259" borderId="9194" pivotButton="0" quotePrefix="0" xfId="0"/>
    <xf numFmtId="0" fontId="9255" fillId="9260" borderId="9195" pivotButton="0" quotePrefix="0" xfId="0"/>
    <xf numFmtId="14" fontId="9256" fillId="9261" borderId="9196" pivotButton="0" quotePrefix="0" xfId="0"/>
    <xf numFmtId="0" fontId="9257" fillId="9262" borderId="9197" pivotButton="0" quotePrefix="0" xfId="0"/>
    <xf numFmtId="14" fontId="9258" fillId="9263" borderId="9198" pivotButton="0" quotePrefix="0" xfId="0"/>
    <xf numFmtId="0" fontId="9259" fillId="9264" borderId="9199" pivotButton="0" quotePrefix="0" xfId="0"/>
    <xf numFmtId="0" fontId="9260" fillId="9265" borderId="9200" pivotButton="0" quotePrefix="0" xfId="0"/>
    <xf numFmtId="0" fontId="9261" fillId="9266" borderId="9201" pivotButton="0" quotePrefix="0" xfId="0"/>
    <xf numFmtId="0" fontId="9262" fillId="9267" borderId="9202" pivotButton="0" quotePrefix="0" xfId="0"/>
    <xf numFmtId="0" fontId="9263" fillId="9268" borderId="9203" pivotButton="0" quotePrefix="0" xfId="0"/>
    <xf numFmtId="0" fontId="9264" fillId="9269" borderId="9204" pivotButton="0" quotePrefix="0" xfId="0"/>
    <xf numFmtId="0" fontId="9265" fillId="9270" borderId="9205" pivotButton="0" quotePrefix="0" xfId="0"/>
    <xf numFmtId="14" fontId="9266" fillId="9271" borderId="9206" pivotButton="0" quotePrefix="0" xfId="0"/>
    <xf numFmtId="0" fontId="9267" fillId="9272" borderId="9207" pivotButton="0" quotePrefix="0" xfId="0"/>
    <xf numFmtId="14" fontId="9268" fillId="9273" borderId="9208" pivotButton="0" quotePrefix="0" xfId="0"/>
    <xf numFmtId="0" fontId="9269" fillId="9274" borderId="9209" pivotButton="0" quotePrefix="0" xfId="0"/>
    <xf numFmtId="0" fontId="9270" fillId="9275" borderId="9210" pivotButton="0" quotePrefix="0" xfId="0"/>
    <xf numFmtId="0" fontId="9271" fillId="9276" borderId="9211" pivotButton="0" quotePrefix="0" xfId="0"/>
    <xf numFmtId="0" fontId="9272" fillId="9277" borderId="9212" pivotButton="0" quotePrefix="0" xfId="0"/>
    <xf numFmtId="0" fontId="9273" fillId="9278" borderId="9213" pivotButton="0" quotePrefix="0" xfId="0"/>
    <xf numFmtId="0" fontId="9274" fillId="9279" borderId="9214" pivotButton="0" quotePrefix="0" xfId="0"/>
    <xf numFmtId="0" fontId="9275" fillId="9280" borderId="9215" pivotButton="0" quotePrefix="0" xfId="0"/>
    <xf numFmtId="14" fontId="9276" fillId="9281" borderId="9216" pivotButton="0" quotePrefix="0" xfId="0"/>
    <xf numFmtId="0" fontId="9277" fillId="9282" borderId="9217" pivotButton="0" quotePrefix="0" xfId="0"/>
    <xf numFmtId="14" fontId="9278" fillId="9283" borderId="9218" pivotButton="0" quotePrefix="0" xfId="0"/>
    <xf numFmtId="0" fontId="9279" fillId="9284" borderId="9219" pivotButton="0" quotePrefix="0" xfId="0"/>
    <xf numFmtId="0" fontId="9280" fillId="9285" borderId="9220" pivotButton="0" quotePrefix="0" xfId="0"/>
    <xf numFmtId="0" fontId="9281" fillId="9286" borderId="9221" pivotButton="0" quotePrefix="0" xfId="0"/>
    <xf numFmtId="0" fontId="9282" fillId="9287" borderId="9222" pivotButton="0" quotePrefix="0" xfId="0"/>
    <xf numFmtId="0" fontId="9283" fillId="9288" borderId="9223" pivotButton="0" quotePrefix="0" xfId="0"/>
    <xf numFmtId="0" fontId="9284" fillId="9289" borderId="9224" pivotButton="0" quotePrefix="0" xfId="0"/>
    <xf numFmtId="0" fontId="9285" fillId="9290" borderId="9225" pivotButton="0" quotePrefix="0" xfId="0"/>
    <xf numFmtId="14" fontId="9286" fillId="9291" borderId="9226" pivotButton="0" quotePrefix="0" xfId="0"/>
    <xf numFmtId="0" fontId="9287" fillId="9292" borderId="9227" pivotButton="0" quotePrefix="0" xfId="0"/>
    <xf numFmtId="14" fontId="9288" fillId="9293" borderId="9228" pivotButton="0" quotePrefix="0" xfId="0"/>
    <xf numFmtId="0" fontId="9289" fillId="9294" borderId="9229" pivotButton="0" quotePrefix="0" xfId="0"/>
    <xf numFmtId="0" fontId="9290" fillId="9295" borderId="9230" pivotButton="0" quotePrefix="0" xfId="0"/>
    <xf numFmtId="0" fontId="9291" fillId="9296" borderId="9231" pivotButton="0" quotePrefix="0" xfId="0"/>
    <xf numFmtId="0" fontId="9292" fillId="9297" borderId="9232" pivotButton="0" quotePrefix="0" xfId="0"/>
    <xf numFmtId="0" fontId="9293" fillId="9298" borderId="9233" pivotButton="0" quotePrefix="0" xfId="0"/>
    <xf numFmtId="0" fontId="9294" fillId="9299" borderId="9234" pivotButton="0" quotePrefix="0" xfId="0"/>
    <xf numFmtId="0" fontId="9295" fillId="9300" borderId="9235" pivotButton="0" quotePrefix="0" xfId="0"/>
    <xf numFmtId="14" fontId="9296" fillId="9301" borderId="9236" pivotButton="0" quotePrefix="0" xfId="0"/>
    <xf numFmtId="0" fontId="9297" fillId="9302" borderId="9237" pivotButton="0" quotePrefix="0" xfId="0"/>
    <xf numFmtId="14" fontId="9298" fillId="9303" borderId="9238" pivotButton="0" quotePrefix="0" xfId="0"/>
    <xf numFmtId="0" fontId="9299" fillId="9304" borderId="9239" pivotButton="0" quotePrefix="0" xfId="0"/>
    <xf numFmtId="0" fontId="9300" fillId="9305" borderId="9240" pivotButton="0" quotePrefix="0" xfId="0"/>
    <xf numFmtId="0" fontId="9301" fillId="9306" borderId="9241" pivotButton="0" quotePrefix="0" xfId="0"/>
    <xf numFmtId="0" fontId="9302" fillId="9307" borderId="9242" pivotButton="0" quotePrefix="0" xfId="0"/>
    <xf numFmtId="0" fontId="9303" fillId="9308" borderId="9243" pivotButton="0" quotePrefix="0" xfId="0"/>
    <xf numFmtId="0" fontId="9304" fillId="9309" borderId="9244" pivotButton="0" quotePrefix="0" xfId="0"/>
    <xf numFmtId="0" fontId="9305" fillId="9310" borderId="9245" pivotButton="0" quotePrefix="0" xfId="0"/>
    <xf numFmtId="14" fontId="9306" fillId="9311" borderId="9246" pivotButton="0" quotePrefix="0" xfId="0"/>
    <xf numFmtId="0" fontId="9307" fillId="9312" borderId="9247" pivotButton="0" quotePrefix="0" xfId="0"/>
    <xf numFmtId="14" fontId="9308" fillId="9313" borderId="9248" pivotButton="0" quotePrefix="0" xfId="0"/>
    <xf numFmtId="0" fontId="9309" fillId="9314" borderId="9249" pivotButton="0" quotePrefix="0" xfId="0"/>
    <xf numFmtId="0" fontId="9310" fillId="9315" borderId="9250" pivotButton="0" quotePrefix="0" xfId="0"/>
    <xf numFmtId="0" fontId="9311" fillId="9316" borderId="9251" pivotButton="0" quotePrefix="0" xfId="0"/>
    <xf numFmtId="0" fontId="9312" fillId="9317" borderId="9252" pivotButton="0" quotePrefix="0" xfId="0"/>
    <xf numFmtId="0" fontId="9313" fillId="9318" borderId="9253" pivotButton="0" quotePrefix="0" xfId="0"/>
    <xf numFmtId="0" fontId="9314" fillId="9319" borderId="9254" pivotButton="0" quotePrefix="0" xfId="0"/>
    <xf numFmtId="0" fontId="9315" fillId="9320" borderId="9255" pivotButton="0" quotePrefix="0" xfId="0"/>
    <xf numFmtId="14" fontId="9316" fillId="9321" borderId="9256" pivotButton="0" quotePrefix="0" xfId="0"/>
    <xf numFmtId="0" fontId="9317" fillId="9322" borderId="9257" pivotButton="0" quotePrefix="0" xfId="0"/>
    <xf numFmtId="14" fontId="9318" fillId="9323" borderId="9258" pivotButton="0" quotePrefix="0" xfId="0"/>
    <xf numFmtId="0" fontId="9319" fillId="9324" borderId="9259" pivotButton="0" quotePrefix="0" xfId="0"/>
    <xf numFmtId="0" fontId="9320" fillId="9325" borderId="9260" pivotButton="0" quotePrefix="0" xfId="0"/>
    <xf numFmtId="0" fontId="9321" fillId="9326" borderId="9261" pivotButton="0" quotePrefix="0" xfId="0"/>
    <xf numFmtId="0" fontId="9322" fillId="9327" borderId="9262" pivotButton="0" quotePrefix="0" xfId="0"/>
    <xf numFmtId="0" fontId="9323" fillId="9328" borderId="9263" pivotButton="0" quotePrefix="0" xfId="0"/>
    <xf numFmtId="0" fontId="9324" fillId="9329" borderId="9264" pivotButton="0" quotePrefix="0" xfId="0"/>
    <xf numFmtId="0" fontId="9325" fillId="9330" borderId="9265" pivotButton="0" quotePrefix="0" xfId="0"/>
    <xf numFmtId="14" fontId="9326" fillId="9331" borderId="9266" pivotButton="0" quotePrefix="0" xfId="0"/>
    <xf numFmtId="0" fontId="9327" fillId="9332" borderId="9267" pivotButton="0" quotePrefix="0" xfId="0"/>
    <xf numFmtId="14" fontId="9328" fillId="9333" borderId="9268" pivotButton="0" quotePrefix="0" xfId="0"/>
    <xf numFmtId="0" fontId="9329" fillId="9334" borderId="9269" pivotButton="0" quotePrefix="0" xfId="0"/>
    <xf numFmtId="0" fontId="9330" fillId="9335" borderId="9270" pivotButton="0" quotePrefix="0" xfId="0"/>
    <xf numFmtId="0" fontId="9331" fillId="9336" borderId="9271" pivotButton="0" quotePrefix="0" xfId="0"/>
    <xf numFmtId="0" fontId="9332" fillId="9337" borderId="9272" pivotButton="0" quotePrefix="0" xfId="0"/>
    <xf numFmtId="0" fontId="9333" fillId="9338" borderId="9273" pivotButton="0" quotePrefix="0" xfId="0"/>
    <xf numFmtId="0" fontId="9334" fillId="9339" borderId="9274" pivotButton="0" quotePrefix="0" xfId="0"/>
    <xf numFmtId="0" fontId="9335" fillId="9340" borderId="9275" pivotButton="0" quotePrefix="0" xfId="0"/>
    <xf numFmtId="14" fontId="9336" fillId="9341" borderId="9276" pivotButton="0" quotePrefix="0" xfId="0"/>
    <xf numFmtId="0" fontId="9337" fillId="9342" borderId="9277" pivotButton="0" quotePrefix="0" xfId="0"/>
    <xf numFmtId="14" fontId="9338" fillId="9343" borderId="9278" pivotButton="0" quotePrefix="0" xfId="0"/>
    <xf numFmtId="0" fontId="9339" fillId="9344" borderId="9279" pivotButton="0" quotePrefix="0" xfId="0"/>
    <xf numFmtId="0" fontId="9340" fillId="9345" borderId="9280" pivotButton="0" quotePrefix="0" xfId="0"/>
    <xf numFmtId="0" fontId="9341" fillId="9346" borderId="9281" pivotButton="0" quotePrefix="0" xfId="0"/>
    <xf numFmtId="0" fontId="9342" fillId="9347" borderId="9282" pivotButton="0" quotePrefix="0" xfId="0"/>
    <xf numFmtId="0" fontId="9343" fillId="9348" borderId="9283" pivotButton="0" quotePrefix="0" xfId="0"/>
    <xf numFmtId="0" fontId="9344" fillId="9349" borderId="9284" pivotButton="0" quotePrefix="0" xfId="0"/>
    <xf numFmtId="0" fontId="9345" fillId="9350" borderId="9285" pivotButton="0" quotePrefix="0" xfId="0"/>
    <xf numFmtId="14" fontId="9346" fillId="9351" borderId="9286" pivotButton="0" quotePrefix="0" xfId="0"/>
    <xf numFmtId="0" fontId="9347" fillId="9352" borderId="9287" pivotButton="0" quotePrefix="0" xfId="0"/>
    <xf numFmtId="14" fontId="9348" fillId="9353" borderId="9288" pivotButton="0" quotePrefix="0" xfId="0"/>
    <xf numFmtId="0" fontId="9349" fillId="9354" borderId="9289" pivotButton="0" quotePrefix="0" xfId="0"/>
    <xf numFmtId="0" fontId="9350" fillId="9355" borderId="9290" pivotButton="0" quotePrefix="0" xfId="0"/>
    <xf numFmtId="0" fontId="9351" fillId="9356" borderId="9291" pivotButton="0" quotePrefix="0" xfId="0"/>
    <xf numFmtId="0" fontId="9352" fillId="9357" borderId="9292" pivotButton="0" quotePrefix="0" xfId="0"/>
    <xf numFmtId="0" fontId="9353" fillId="9358" borderId="9293" pivotButton="0" quotePrefix="0" xfId="0"/>
    <xf numFmtId="0" fontId="9354" fillId="9359" borderId="9294" pivotButton="0" quotePrefix="0" xfId="0"/>
    <xf numFmtId="0" fontId="9355" fillId="9360" borderId="9295" pivotButton="0" quotePrefix="0" xfId="0"/>
    <xf numFmtId="14" fontId="9356" fillId="9361" borderId="9296" pivotButton="0" quotePrefix="0" xfId="0"/>
    <xf numFmtId="0" fontId="9357" fillId="9362" borderId="9297" pivotButton="0" quotePrefix="0" xfId="0"/>
    <xf numFmtId="14" fontId="9358" fillId="9363" borderId="9298" pivotButton="0" quotePrefix="0" xfId="0"/>
    <xf numFmtId="0" fontId="9359" fillId="9364" borderId="9299" pivotButton="0" quotePrefix="0" xfId="0"/>
    <xf numFmtId="0" fontId="9360" fillId="9365" borderId="9300" pivotButton="0" quotePrefix="0" xfId="0"/>
    <xf numFmtId="0" fontId="9361" fillId="9366" borderId="9301" pivotButton="0" quotePrefix="0" xfId="0"/>
    <xf numFmtId="0" fontId="9362" fillId="9367" borderId="9302" pivotButton="0" quotePrefix="0" xfId="0"/>
    <xf numFmtId="0" fontId="9363" fillId="9368" borderId="9303" pivotButton="0" quotePrefix="0" xfId="0"/>
    <xf numFmtId="0" fontId="9364" fillId="9369" borderId="9304" pivotButton="0" quotePrefix="0" xfId="0"/>
    <xf numFmtId="0" fontId="9365" fillId="9370" borderId="9305" pivotButton="0" quotePrefix="0" xfId="0"/>
    <xf numFmtId="14" fontId="9366" fillId="9371" borderId="9306" pivotButton="0" quotePrefix="0" xfId="0"/>
    <xf numFmtId="0" fontId="9367" fillId="9372" borderId="9307" pivotButton="0" quotePrefix="0" xfId="0"/>
    <xf numFmtId="14" fontId="9368" fillId="9373" borderId="9308" pivotButton="0" quotePrefix="0" xfId="0"/>
    <xf numFmtId="0" fontId="9369" fillId="9374" borderId="9309" pivotButton="0" quotePrefix="0" xfId="0"/>
    <xf numFmtId="0" fontId="9370" fillId="9375" borderId="9310" pivotButton="0" quotePrefix="0" xfId="0"/>
    <xf numFmtId="0" fontId="9371" fillId="9376" borderId="9311" pivotButton="0" quotePrefix="0" xfId="0"/>
    <xf numFmtId="0" fontId="9372" fillId="9377" borderId="9312" pivotButton="0" quotePrefix="0" xfId="0"/>
    <xf numFmtId="0" fontId="9373" fillId="9378" borderId="9313" pivotButton="0" quotePrefix="0" xfId="0"/>
    <xf numFmtId="0" fontId="9374" fillId="9379" borderId="9314" pivotButton="0" quotePrefix="0" xfId="0"/>
    <xf numFmtId="0" fontId="9375" fillId="9380" borderId="9315" pivotButton="0" quotePrefix="0" xfId="0"/>
    <xf numFmtId="14" fontId="9376" fillId="9381" borderId="9316" pivotButton="0" quotePrefix="0" xfId="0"/>
    <xf numFmtId="0" fontId="9377" fillId="9382" borderId="9317" pivotButton="0" quotePrefix="0" xfId="0"/>
    <xf numFmtId="14" fontId="9378" fillId="9383" borderId="9318" pivotButton="0" quotePrefix="0" xfId="0"/>
    <xf numFmtId="0" fontId="9379" fillId="9384" borderId="9319" pivotButton="0" quotePrefix="0" xfId="0"/>
    <xf numFmtId="0" fontId="9380" fillId="9385" borderId="9320" pivotButton="0" quotePrefix="0" xfId="0"/>
    <xf numFmtId="0" fontId="9381" fillId="9386" borderId="9321" pivotButton="0" quotePrefix="0" xfId="0"/>
    <xf numFmtId="0" fontId="9382" fillId="9387" borderId="9322" pivotButton="0" quotePrefix="0" xfId="0"/>
    <xf numFmtId="0" fontId="9383" fillId="9388" borderId="9323" pivotButton="0" quotePrefix="0" xfId="0"/>
    <xf numFmtId="0" fontId="9384" fillId="9389" borderId="9324" pivotButton="0" quotePrefix="0" xfId="0"/>
    <xf numFmtId="0" fontId="9385" fillId="9390" borderId="9325" pivotButton="0" quotePrefix="0" xfId="0"/>
    <xf numFmtId="14" fontId="9386" fillId="9391" borderId="9326" pivotButton="0" quotePrefix="0" xfId="0"/>
    <xf numFmtId="0" fontId="9387" fillId="9392" borderId="9327" pivotButton="0" quotePrefix="0" xfId="0"/>
    <xf numFmtId="14" fontId="9388" fillId="9393" borderId="9328" pivotButton="0" quotePrefix="0" xfId="0"/>
    <xf numFmtId="0" fontId="9389" fillId="9394" borderId="9329" pivotButton="0" quotePrefix="0" xfId="0"/>
    <xf numFmtId="0" fontId="9390" fillId="9395" borderId="9330" pivotButton="0" quotePrefix="0" xfId="0"/>
    <xf numFmtId="0" fontId="9391" fillId="9396" borderId="9331" pivotButton="0" quotePrefix="0" xfId="0"/>
    <xf numFmtId="0" fontId="9392" fillId="9397" borderId="9332" pivotButton="0" quotePrefix="0" xfId="0"/>
    <xf numFmtId="0" fontId="9393" fillId="9398" borderId="9333" pivotButton="0" quotePrefix="0" xfId="0"/>
    <xf numFmtId="0" fontId="9394" fillId="9399" borderId="9334" pivotButton="0" quotePrefix="0" xfId="0"/>
    <xf numFmtId="0" fontId="9395" fillId="9400" borderId="9335" pivotButton="0" quotePrefix="0" xfId="0"/>
    <xf numFmtId="14" fontId="9396" fillId="9401" borderId="9336" pivotButton="0" quotePrefix="0" xfId="0"/>
    <xf numFmtId="0" fontId="9397" fillId="9402" borderId="9337" pivotButton="0" quotePrefix="0" xfId="0"/>
    <xf numFmtId="14" fontId="9398" fillId="9403" borderId="9338" pivotButton="0" quotePrefix="0" xfId="0"/>
    <xf numFmtId="0" fontId="9399" fillId="9404" borderId="9339" pivotButton="0" quotePrefix="0" xfId="0"/>
    <xf numFmtId="0" fontId="9400" fillId="9405" borderId="9340" pivotButton="0" quotePrefix="0" xfId="0"/>
    <xf numFmtId="0" fontId="9401" fillId="9406" borderId="9341" pivotButton="0" quotePrefix="0" xfId="0"/>
    <xf numFmtId="0" fontId="9402" fillId="9407" borderId="9342" pivotButton="0" quotePrefix="0" xfId="0"/>
    <xf numFmtId="0" fontId="9403" fillId="9408" borderId="9343" pivotButton="0" quotePrefix="0" xfId="0"/>
    <xf numFmtId="0" fontId="9404" fillId="9409" borderId="9344" pivotButton="0" quotePrefix="0" xfId="0"/>
    <xf numFmtId="0" fontId="9405" fillId="9410" borderId="9345" pivotButton="0" quotePrefix="0" xfId="0"/>
    <xf numFmtId="14" fontId="9406" fillId="9411" borderId="9346" pivotButton="0" quotePrefix="0" xfId="0"/>
    <xf numFmtId="0" fontId="9407" fillId="9412" borderId="9347" pivotButton="0" quotePrefix="0" xfId="0"/>
    <xf numFmtId="14" fontId="9408" fillId="9413" borderId="9348" pivotButton="0" quotePrefix="0" xfId="0"/>
    <xf numFmtId="0" fontId="9409" fillId="9414" borderId="9349" pivotButton="0" quotePrefix="0" xfId="0"/>
    <xf numFmtId="0" fontId="9410" fillId="9415" borderId="9350" pivotButton="0" quotePrefix="0" xfId="0"/>
    <xf numFmtId="0" fontId="9411" fillId="9416" borderId="9351" pivotButton="0" quotePrefix="0" xfId="0"/>
    <xf numFmtId="0" fontId="9412" fillId="9417" borderId="9352" pivotButton="0" quotePrefix="0" xfId="0"/>
    <xf numFmtId="0" fontId="9413" fillId="9418" borderId="9353" pivotButton="0" quotePrefix="0" xfId="0"/>
    <xf numFmtId="0" fontId="9414" fillId="9419" borderId="9354" pivotButton="0" quotePrefix="0" xfId="0"/>
    <xf numFmtId="0" fontId="9415" fillId="9420" borderId="9355" pivotButton="0" quotePrefix="0" xfId="0"/>
    <xf numFmtId="14" fontId="9416" fillId="9421" borderId="9356" pivotButton="0" quotePrefix="0" xfId="0"/>
    <xf numFmtId="0" fontId="9417" fillId="9422" borderId="9357" pivotButton="0" quotePrefix="0" xfId="0"/>
    <xf numFmtId="14" fontId="9418" fillId="9423" borderId="9358" pivotButton="0" quotePrefix="0" xfId="0"/>
    <xf numFmtId="0" fontId="9419" fillId="9424" borderId="9359" pivotButton="0" quotePrefix="0" xfId="0"/>
    <xf numFmtId="0" fontId="9420" fillId="9425" borderId="9360" pivotButton="0" quotePrefix="0" xfId="0"/>
    <xf numFmtId="0" fontId="9421" fillId="9426" borderId="9361" pivotButton="0" quotePrefix="0" xfId="0"/>
    <xf numFmtId="0" fontId="9422" fillId="9427" borderId="9362" pivotButton="0" quotePrefix="0" xfId="0"/>
    <xf numFmtId="0" fontId="9423" fillId="9428" borderId="9363" pivotButton="0" quotePrefix="0" xfId="0"/>
    <xf numFmtId="0" fontId="9424" fillId="9429" borderId="9364" pivotButton="0" quotePrefix="0" xfId="0"/>
    <xf numFmtId="0" fontId="9425" fillId="9430" borderId="9365" pivotButton="0" quotePrefix="0" xfId="0"/>
    <xf numFmtId="14" fontId="9426" fillId="9431" borderId="9366" pivotButton="0" quotePrefix="0" xfId="0"/>
    <xf numFmtId="0" fontId="9427" fillId="9432" borderId="9367" pivotButton="0" quotePrefix="0" xfId="0"/>
    <xf numFmtId="14" fontId="9428" fillId="9433" borderId="9368" pivotButton="0" quotePrefix="0" xfId="0"/>
    <xf numFmtId="0" fontId="9429" fillId="9434" borderId="9369" pivotButton="0" quotePrefix="0" xfId="0"/>
    <xf numFmtId="0" fontId="9430" fillId="9435" borderId="9370" pivotButton="0" quotePrefix="0" xfId="0"/>
    <xf numFmtId="0" fontId="9431" fillId="9436" borderId="9371" pivotButton="0" quotePrefix="0" xfId="0"/>
    <xf numFmtId="0" fontId="9432" fillId="9437" borderId="9372" pivotButton="0" quotePrefix="0" xfId="0"/>
    <xf numFmtId="0" fontId="9433" fillId="9438" borderId="9373" pivotButton="0" quotePrefix="0" xfId="0"/>
    <xf numFmtId="0" fontId="9434" fillId="9439" borderId="9374" pivotButton="0" quotePrefix="0" xfId="0"/>
    <xf numFmtId="0" fontId="9435" fillId="9440" borderId="9375" pivotButton="0" quotePrefix="0" xfId="0"/>
    <xf numFmtId="14" fontId="9436" fillId="9441" borderId="9376" pivotButton="0" quotePrefix="0" xfId="0"/>
    <xf numFmtId="0" fontId="9437" fillId="9442" borderId="9377" pivotButton="0" quotePrefix="0" xfId="0"/>
    <xf numFmtId="14" fontId="9438" fillId="9443" borderId="9378" pivotButton="0" quotePrefix="0" xfId="0"/>
    <xf numFmtId="0" fontId="9439" fillId="9444" borderId="9379" pivotButton="0" quotePrefix="0" xfId="0"/>
    <xf numFmtId="0" fontId="9440" fillId="9445" borderId="9380" pivotButton="0" quotePrefix="0" xfId="0"/>
    <xf numFmtId="0" fontId="9441" fillId="9446" borderId="9381" pivotButton="0" quotePrefix="0" xfId="0"/>
    <xf numFmtId="0" fontId="9442" fillId="9447" borderId="9382" pivotButton="0" quotePrefix="0" xfId="0"/>
    <xf numFmtId="0" fontId="9443" fillId="9448" borderId="9383" pivotButton="0" quotePrefix="0" xfId="0"/>
    <xf numFmtId="0" fontId="9444" fillId="9449" borderId="9384" pivotButton="0" quotePrefix="0" xfId="0"/>
    <xf numFmtId="0" fontId="9445" fillId="9450" borderId="9385" pivotButton="0" quotePrefix="0" xfId="0"/>
    <xf numFmtId="14" fontId="9446" fillId="9451" borderId="9386" pivotButton="0" quotePrefix="0" xfId="0"/>
    <xf numFmtId="0" fontId="9447" fillId="9452" borderId="9387" pivotButton="0" quotePrefix="0" xfId="0"/>
    <xf numFmtId="14" fontId="9448" fillId="9453" borderId="9388" pivotButton="0" quotePrefix="0" xfId="0"/>
    <xf numFmtId="0" fontId="9449" fillId="9454" borderId="9389" pivotButton="0" quotePrefix="0" xfId="0"/>
    <xf numFmtId="0" fontId="9450" fillId="9455" borderId="9390" pivotButton="0" quotePrefix="0" xfId="0"/>
    <xf numFmtId="0" fontId="9451" fillId="9456" borderId="9391" pivotButton="0" quotePrefix="0" xfId="0"/>
    <xf numFmtId="0" fontId="9452" fillId="9457" borderId="9392" pivotButton="0" quotePrefix="0" xfId="0"/>
    <xf numFmtId="0" fontId="9453" fillId="9458" borderId="9393" pivotButton="0" quotePrefix="0" xfId="0"/>
    <xf numFmtId="0" fontId="9454" fillId="9459" borderId="9394" pivotButton="0" quotePrefix="0" xfId="0"/>
    <xf numFmtId="0" fontId="9455" fillId="9460" borderId="9395" pivotButton="0" quotePrefix="0" xfId="0"/>
    <xf numFmtId="14" fontId="9456" fillId="9461" borderId="9396" pivotButton="0" quotePrefix="0" xfId="0"/>
    <xf numFmtId="0" fontId="9457" fillId="9462" borderId="9397" pivotButton="0" quotePrefix="0" xfId="0"/>
    <xf numFmtId="14" fontId="9458" fillId="9463" borderId="9398" pivotButton="0" quotePrefix="0" xfId="0"/>
    <xf numFmtId="0" fontId="9459" fillId="9464" borderId="9399" pivotButton="0" quotePrefix="0" xfId="0"/>
    <xf numFmtId="0" fontId="9460" fillId="9465" borderId="9400" pivotButton="0" quotePrefix="0" xfId="0"/>
    <xf numFmtId="0" fontId="9461" fillId="9466" borderId="9401" pivotButton="0" quotePrefix="0" xfId="0"/>
    <xf numFmtId="0" fontId="9462" fillId="9467" borderId="9402" pivotButton="0" quotePrefix="0" xfId="0"/>
    <xf numFmtId="0" fontId="9463" fillId="9468" borderId="9403" pivotButton="0" quotePrefix="0" xfId="0"/>
    <xf numFmtId="0" fontId="9464" fillId="9469" borderId="9404" pivotButton="0" quotePrefix="0" xfId="0"/>
    <xf numFmtId="0" fontId="9465" fillId="9470" borderId="9405" pivotButton="0" quotePrefix="0" xfId="0"/>
    <xf numFmtId="14" fontId="9466" fillId="9471" borderId="9406" pivotButton="0" quotePrefix="0" xfId="0"/>
    <xf numFmtId="0" fontId="9467" fillId="9472" borderId="9407" pivotButton="0" quotePrefix="0" xfId="0"/>
    <xf numFmtId="14" fontId="9468" fillId="9473" borderId="9408" pivotButton="0" quotePrefix="0" xfId="0"/>
    <xf numFmtId="0" fontId="9469" fillId="9474" borderId="9409" pivotButton="0" quotePrefix="0" xfId="0"/>
    <xf numFmtId="0" fontId="9470" fillId="9475" borderId="9410" pivotButton="0" quotePrefix="0" xfId="0"/>
    <xf numFmtId="0" fontId="9471" fillId="9476" borderId="9411" pivotButton="0" quotePrefix="0" xfId="0"/>
    <xf numFmtId="0" fontId="9472" fillId="9477" borderId="9412" pivotButton="0" quotePrefix="0" xfId="0"/>
    <xf numFmtId="0" fontId="9473" fillId="9478" borderId="9413" pivotButton="0" quotePrefix="0" xfId="0"/>
    <xf numFmtId="0" fontId="9474" fillId="9479" borderId="9414" pivotButton="0" quotePrefix="0" xfId="0"/>
    <xf numFmtId="0" fontId="9475" fillId="9480" borderId="9415" pivotButton="0" quotePrefix="0" xfId="0"/>
    <xf numFmtId="14" fontId="9476" fillId="9481" borderId="9416" pivotButton="0" quotePrefix="0" xfId="0"/>
    <xf numFmtId="0" fontId="9477" fillId="9482" borderId="9417" pivotButton="0" quotePrefix="0" xfId="0"/>
    <xf numFmtId="14" fontId="9478" fillId="9483" borderId="9418" pivotButton="0" quotePrefix="0" xfId="0"/>
    <xf numFmtId="0" fontId="9479" fillId="9484" borderId="9419" pivotButton="0" quotePrefix="0" xfId="0"/>
    <xf numFmtId="0" fontId="9480" fillId="9485" borderId="9420" pivotButton="0" quotePrefix="0" xfId="0"/>
    <xf numFmtId="0" fontId="9481" fillId="9486" borderId="9421" pivotButton="0" quotePrefix="0" xfId="0"/>
    <xf numFmtId="0" fontId="9482" fillId="9487" borderId="9422" pivotButton="0" quotePrefix="0" xfId="0"/>
    <xf numFmtId="0" fontId="9483" fillId="9488" borderId="9423" pivotButton="0" quotePrefix="0" xfId="0"/>
    <xf numFmtId="0" fontId="9484" fillId="9489" borderId="9424" pivotButton="0" quotePrefix="0" xfId="0"/>
    <xf numFmtId="0" fontId="9485" fillId="9490" borderId="9425" pivotButton="0" quotePrefix="0" xfId="0"/>
    <xf numFmtId="14" fontId="9486" fillId="9491" borderId="9426" pivotButton="0" quotePrefix="0" xfId="0"/>
    <xf numFmtId="0" fontId="9487" fillId="9492" borderId="9427" pivotButton="0" quotePrefix="0" xfId="0"/>
    <xf numFmtId="14" fontId="9488" fillId="9493" borderId="9428" pivotButton="0" quotePrefix="0" xfId="0"/>
    <xf numFmtId="0" fontId="9489" fillId="9494" borderId="9429" pivotButton="0" quotePrefix="0" xfId="0"/>
    <xf numFmtId="0" fontId="9490" fillId="9495" borderId="9430" pivotButton="0" quotePrefix="0" xfId="0"/>
    <xf numFmtId="0" fontId="9491" fillId="9496" borderId="9431" pivotButton="0" quotePrefix="0" xfId="0"/>
    <xf numFmtId="0" fontId="9492" fillId="9497" borderId="9432" pivotButton="0" quotePrefix="0" xfId="0"/>
    <xf numFmtId="0" fontId="9493" fillId="9498" borderId="9433" pivotButton="0" quotePrefix="0" xfId="0"/>
    <xf numFmtId="0" fontId="9494" fillId="9499" borderId="9434" pivotButton="0" quotePrefix="0" xfId="0"/>
    <xf numFmtId="0" fontId="9495" fillId="9500" borderId="9435" pivotButton="0" quotePrefix="0" xfId="0"/>
    <xf numFmtId="14" fontId="9496" fillId="9501" borderId="9436" pivotButton="0" quotePrefix="0" xfId="0"/>
    <xf numFmtId="0" fontId="9497" fillId="9502" borderId="9437" pivotButton="0" quotePrefix="0" xfId="0"/>
    <xf numFmtId="14" fontId="9498" fillId="9503" borderId="9438" pivotButton="0" quotePrefix="0" xfId="0"/>
    <xf numFmtId="0" fontId="9499" fillId="9504" borderId="9439" pivotButton="0" quotePrefix="0" xfId="0"/>
    <xf numFmtId="0" fontId="9500" fillId="9505" borderId="9440" pivotButton="0" quotePrefix="0" xfId="0"/>
    <xf numFmtId="0" fontId="9501" fillId="9506" borderId="9441" pivotButton="0" quotePrefix="0" xfId="0"/>
    <xf numFmtId="0" fontId="9502" fillId="9507" borderId="9442" pivotButton="0" quotePrefix="0" xfId="0"/>
    <xf numFmtId="0" fontId="9503" fillId="9508" borderId="9443" pivotButton="0" quotePrefix="0" xfId="0"/>
    <xf numFmtId="0" fontId="9504" fillId="9509" borderId="9444" pivotButton="0" quotePrefix="0" xfId="0"/>
    <xf numFmtId="0" fontId="9505" fillId="9510" borderId="9445" pivotButton="0" quotePrefix="0" xfId="0"/>
    <xf numFmtId="14" fontId="9506" fillId="9511" borderId="9446" pivotButton="0" quotePrefix="0" xfId="0"/>
    <xf numFmtId="0" fontId="9507" fillId="9512" borderId="9447" pivotButton="0" quotePrefix="0" xfId="0"/>
    <xf numFmtId="14" fontId="9508" fillId="9513" borderId="9448" pivotButton="0" quotePrefix="0" xfId="0"/>
    <xf numFmtId="0" fontId="9509" fillId="9514" borderId="9449" pivotButton="0" quotePrefix="0" xfId="0"/>
    <xf numFmtId="0" fontId="9510" fillId="9515" borderId="9450" pivotButton="0" quotePrefix="0" xfId="0"/>
    <xf numFmtId="0" fontId="9511" fillId="9516" borderId="9451" pivotButton="0" quotePrefix="0" xfId="0"/>
    <xf numFmtId="0" fontId="9512" fillId="9517" borderId="9452" pivotButton="0" quotePrefix="0" xfId="0"/>
    <xf numFmtId="0" fontId="9513" fillId="9518" borderId="9453" pivotButton="0" quotePrefix="0" xfId="0"/>
    <xf numFmtId="0" fontId="9514" fillId="9519" borderId="9454" pivotButton="0" quotePrefix="0" xfId="0"/>
    <xf numFmtId="0" fontId="9515" fillId="9520" borderId="9455" pivotButton="0" quotePrefix="0" xfId="0"/>
    <xf numFmtId="14" fontId="9516" fillId="9521" borderId="9456" pivotButton="0" quotePrefix="0" xfId="0"/>
    <xf numFmtId="0" fontId="9517" fillId="9522" borderId="9457" pivotButton="0" quotePrefix="0" xfId="0"/>
    <xf numFmtId="14" fontId="9518" fillId="9523" borderId="9458" pivotButton="0" quotePrefix="0" xfId="0"/>
    <xf numFmtId="0" fontId="9519" fillId="9524" borderId="9459" pivotButton="0" quotePrefix="0" xfId="0"/>
    <xf numFmtId="0" fontId="9520" fillId="9525" borderId="9460" pivotButton="0" quotePrefix="0" xfId="0"/>
    <xf numFmtId="0" fontId="9521" fillId="9526" borderId="9461" pivotButton="0" quotePrefix="0" xfId="0"/>
    <xf numFmtId="0" fontId="9522" fillId="9527" borderId="9462" pivotButton="0" quotePrefix="0" xfId="0"/>
    <xf numFmtId="0" fontId="9523" fillId="9528" borderId="9463" pivotButton="0" quotePrefix="0" xfId="0"/>
    <xf numFmtId="0" fontId="9524" fillId="9529" borderId="9464" pivotButton="0" quotePrefix="0" xfId="0"/>
    <xf numFmtId="0" fontId="9525" fillId="9530" borderId="9465" pivotButton="0" quotePrefix="0" xfId="0"/>
    <xf numFmtId="14" fontId="9526" fillId="9531" borderId="9466" pivotButton="0" quotePrefix="0" xfId="0"/>
    <xf numFmtId="0" fontId="9527" fillId="9532" borderId="9467" pivotButton="0" quotePrefix="0" xfId="0"/>
    <xf numFmtId="14" fontId="9528" fillId="9533" borderId="9468" pivotButton="0" quotePrefix="0" xfId="0"/>
    <xf numFmtId="0" fontId="9529" fillId="9534" borderId="9469" pivotButton="0" quotePrefix="0" xfId="0"/>
    <xf numFmtId="0" fontId="9530" fillId="9535" borderId="9470" pivotButton="0" quotePrefix="0" xfId="0"/>
    <xf numFmtId="0" fontId="9531" fillId="9536" borderId="9471" pivotButton="0" quotePrefix="0" xfId="0"/>
    <xf numFmtId="0" fontId="9532" fillId="9537" borderId="9472" pivotButton="0" quotePrefix="0" xfId="0"/>
    <xf numFmtId="0" fontId="9533" fillId="9538" borderId="9473" pivotButton="0" quotePrefix="0" xfId="0"/>
    <xf numFmtId="0" fontId="9534" fillId="9539" borderId="9474" pivotButton="0" quotePrefix="0" xfId="0"/>
    <xf numFmtId="0" fontId="9535" fillId="9540" borderId="9475" pivotButton="0" quotePrefix="0" xfId="0"/>
    <xf numFmtId="14" fontId="9536" fillId="9541" borderId="9476" pivotButton="0" quotePrefix="0" xfId="0"/>
    <xf numFmtId="0" fontId="9537" fillId="9542" borderId="9477" pivotButton="0" quotePrefix="0" xfId="0"/>
    <xf numFmtId="14" fontId="9538" fillId="9543" borderId="9478" pivotButton="0" quotePrefix="0" xfId="0"/>
    <xf numFmtId="0" fontId="9539" fillId="9544" borderId="9479" pivotButton="0" quotePrefix="0" xfId="0"/>
    <xf numFmtId="0" fontId="9540" fillId="9545" borderId="9480" pivotButton="0" quotePrefix="0" xfId="0"/>
    <xf numFmtId="0" fontId="9541" fillId="9546" borderId="9481" pivotButton="0" quotePrefix="0" xfId="0"/>
    <xf numFmtId="0" fontId="9542" fillId="9547" borderId="9482" pivotButton="0" quotePrefix="0" xfId="0"/>
    <xf numFmtId="0" fontId="9543" fillId="9548" borderId="9483" pivotButton="0" quotePrefix="0" xfId="0"/>
    <xf numFmtId="0" fontId="9544" fillId="9549" borderId="9484" pivotButton="0" quotePrefix="0" xfId="0"/>
    <xf numFmtId="0" fontId="9545" fillId="9550" borderId="9485" pivotButton="0" quotePrefix="0" xfId="0"/>
    <xf numFmtId="14" fontId="9546" fillId="9551" borderId="9486" pivotButton="0" quotePrefix="0" xfId="0"/>
    <xf numFmtId="0" fontId="9547" fillId="9552" borderId="9487" pivotButton="0" quotePrefix="0" xfId="0"/>
    <xf numFmtId="14" fontId="9548" fillId="9553" borderId="9488" pivotButton="0" quotePrefix="0" xfId="0"/>
    <xf numFmtId="0" fontId="9549" fillId="9554" borderId="9489" pivotButton="0" quotePrefix="0" xfId="0"/>
    <xf numFmtId="0" fontId="9550" fillId="9555" borderId="9490" pivotButton="0" quotePrefix="0" xfId="0"/>
    <xf numFmtId="0" fontId="9551" fillId="9556" borderId="9491" pivotButton="0" quotePrefix="0" xfId="0"/>
    <xf numFmtId="0" fontId="9552" fillId="9557" borderId="9492" pivotButton="0" quotePrefix="0" xfId="0"/>
    <xf numFmtId="0" fontId="9553" fillId="9558" borderId="9493" pivotButton="0" quotePrefix="0" xfId="0"/>
    <xf numFmtId="0" fontId="9554" fillId="9559" borderId="9494" pivotButton="0" quotePrefix="0" xfId="0"/>
    <xf numFmtId="0" fontId="9555" fillId="9560" borderId="9495" pivotButton="0" quotePrefix="0" xfId="0"/>
    <xf numFmtId="14" fontId="9556" fillId="9561" borderId="9496" pivotButton="0" quotePrefix="0" xfId="0"/>
    <xf numFmtId="0" fontId="9557" fillId="9562" borderId="9497" pivotButton="0" quotePrefix="0" xfId="0"/>
    <xf numFmtId="14" fontId="9558" fillId="9563" borderId="9498" pivotButton="0" quotePrefix="0" xfId="0"/>
    <xf numFmtId="0" fontId="9559" fillId="9564" borderId="9499" pivotButton="0" quotePrefix="0" xfId="0"/>
    <xf numFmtId="0" fontId="9560" fillId="9565" borderId="9500" pivotButton="0" quotePrefix="0" xfId="0"/>
    <xf numFmtId="0" fontId="9561" fillId="9566" borderId="9501" pivotButton="0" quotePrefix="0" xfId="0"/>
    <xf numFmtId="0" fontId="9562" fillId="9567" borderId="9502" pivotButton="0" quotePrefix="0" xfId="0"/>
    <xf numFmtId="0" fontId="9563" fillId="9568" borderId="9503" pivotButton="0" quotePrefix="0" xfId="0"/>
    <xf numFmtId="0" fontId="9564" fillId="9569" borderId="9504" pivotButton="0" quotePrefix="0" xfId="0"/>
    <xf numFmtId="0" fontId="9565" fillId="9570" borderId="9505" pivotButton="0" quotePrefix="0" xfId="0"/>
    <xf numFmtId="14" fontId="9566" fillId="9571" borderId="9506" pivotButton="0" quotePrefix="0" xfId="0"/>
    <xf numFmtId="0" fontId="9567" fillId="9572" borderId="9507" pivotButton="0" quotePrefix="0" xfId="0"/>
    <xf numFmtId="14" fontId="9568" fillId="9573" borderId="9508" pivotButton="0" quotePrefix="0" xfId="0"/>
    <xf numFmtId="0" fontId="9569" fillId="9574" borderId="9509" pivotButton="0" quotePrefix="0" xfId="0"/>
    <xf numFmtId="0" fontId="9570" fillId="9575" borderId="9510" pivotButton="0" quotePrefix="0" xfId="0"/>
    <xf numFmtId="0" fontId="9571" fillId="9576" borderId="9511" pivotButton="0" quotePrefix="0" xfId="0"/>
    <xf numFmtId="0" fontId="9572" fillId="9577" borderId="9512" pivotButton="0" quotePrefix="0" xfId="0"/>
    <xf numFmtId="0" fontId="9573" fillId="9578" borderId="9513" pivotButton="0" quotePrefix="0" xfId="0"/>
    <xf numFmtId="0" fontId="9574" fillId="9579" borderId="9514" pivotButton="0" quotePrefix="0" xfId="0"/>
    <xf numFmtId="0" fontId="9575" fillId="9580" borderId="9515" pivotButton="0" quotePrefix="0" xfId="0"/>
    <xf numFmtId="14" fontId="9576" fillId="9581" borderId="9516" pivotButton="0" quotePrefix="0" xfId="0"/>
    <xf numFmtId="0" fontId="9577" fillId="9582" borderId="9517" pivotButton="0" quotePrefix="0" xfId="0"/>
    <xf numFmtId="14" fontId="9578" fillId="9583" borderId="9518" pivotButton="0" quotePrefix="0" xfId="0"/>
    <xf numFmtId="0" fontId="9579" fillId="9584" borderId="9519" pivotButton="0" quotePrefix="0" xfId="0"/>
    <xf numFmtId="0" fontId="9580" fillId="9585" borderId="9520" pivotButton="0" quotePrefix="0" xfId="0"/>
    <xf numFmtId="0" fontId="9581" fillId="9586" borderId="9521" pivotButton="0" quotePrefix="0" xfId="0"/>
    <xf numFmtId="0" fontId="9582" fillId="9587" borderId="9522" pivotButton="0" quotePrefix="0" xfId="0"/>
    <xf numFmtId="0" fontId="9583" fillId="9588" borderId="9523" pivotButton="0" quotePrefix="0" xfId="0"/>
    <xf numFmtId="0" fontId="9584" fillId="9589" borderId="9524" pivotButton="0" quotePrefix="0" xfId="0"/>
    <xf numFmtId="0" fontId="9585" fillId="9590" borderId="9525" pivotButton="0" quotePrefix="0" xfId="0"/>
    <xf numFmtId="14" fontId="9586" fillId="9591" borderId="9526" pivotButton="0" quotePrefix="0" xfId="0"/>
    <xf numFmtId="0" fontId="9587" fillId="9592" borderId="9527" pivotButton="0" quotePrefix="0" xfId="0"/>
    <xf numFmtId="14" fontId="9588" fillId="9593" borderId="9528" pivotButton="0" quotePrefix="0" xfId="0"/>
    <xf numFmtId="0" fontId="9589" fillId="9594" borderId="9529" pivotButton="0" quotePrefix="0" xfId="0"/>
    <xf numFmtId="0" fontId="9590" fillId="9595" borderId="9530" pivotButton="0" quotePrefix="0" xfId="0"/>
    <xf numFmtId="0" fontId="9591" fillId="9596" borderId="9531" pivotButton="0" quotePrefix="0" xfId="0"/>
    <xf numFmtId="0" fontId="9592" fillId="9597" borderId="9532" pivotButton="0" quotePrefix="0" xfId="0"/>
    <xf numFmtId="0" fontId="9593" fillId="9598" borderId="9533" pivotButton="0" quotePrefix="0" xfId="0"/>
    <xf numFmtId="0" fontId="9594" fillId="9599" borderId="9534" pivotButton="0" quotePrefix="0" xfId="0"/>
    <xf numFmtId="0" fontId="9595" fillId="9600" borderId="9535" pivotButton="0" quotePrefix="0" xfId="0"/>
    <xf numFmtId="14" fontId="9596" fillId="9601" borderId="9536" pivotButton="0" quotePrefix="0" xfId="0"/>
    <xf numFmtId="0" fontId="9597" fillId="9602" borderId="9537" pivotButton="0" quotePrefix="0" xfId="0"/>
    <xf numFmtId="14" fontId="9598" fillId="9603" borderId="9538" pivotButton="0" quotePrefix="0" xfId="0"/>
    <xf numFmtId="0" fontId="9599" fillId="9604" borderId="9539" pivotButton="0" quotePrefix="0" xfId="0"/>
    <xf numFmtId="0" fontId="9600" fillId="9605" borderId="9540" pivotButton="0" quotePrefix="0" xfId="0"/>
    <xf numFmtId="0" fontId="9601" fillId="9606" borderId="9541" pivotButton="0" quotePrefix="0" xfId="0"/>
    <xf numFmtId="0" fontId="9602" fillId="9607" borderId="9542" pivotButton="0" quotePrefix="0" xfId="0"/>
    <xf numFmtId="0" fontId="9603" fillId="9608" borderId="9543" pivotButton="0" quotePrefix="0" xfId="0"/>
    <xf numFmtId="0" fontId="9604" fillId="9609" borderId="9544" pivotButton="0" quotePrefix="0" xfId="0"/>
    <xf numFmtId="0" fontId="9605" fillId="9610" borderId="9545" pivotButton="0" quotePrefix="0" xfId="0"/>
    <xf numFmtId="14" fontId="9606" fillId="9611" borderId="9546" pivotButton="0" quotePrefix="0" xfId="0"/>
    <xf numFmtId="0" fontId="9607" fillId="9612" borderId="9547" pivotButton="0" quotePrefix="0" xfId="0"/>
    <xf numFmtId="14" fontId="9608" fillId="9613" borderId="9548" pivotButton="0" quotePrefix="0" xfId="0"/>
    <xf numFmtId="0" fontId="9609" fillId="9614" borderId="9549" pivotButton="0" quotePrefix="0" xfId="0"/>
    <xf numFmtId="0" fontId="9610" fillId="9615" borderId="9550" pivotButton="0" quotePrefix="0" xfId="0"/>
    <xf numFmtId="0" fontId="9611" fillId="9616" borderId="9551" pivotButton="0" quotePrefix="0" xfId="0"/>
    <xf numFmtId="0" fontId="9612" fillId="9617" borderId="9552" pivotButton="0" quotePrefix="0" xfId="0"/>
    <xf numFmtId="0" fontId="9613" fillId="9618" borderId="9553" pivotButton="0" quotePrefix="0" xfId="0"/>
    <xf numFmtId="0" fontId="9614" fillId="9619" borderId="9554" pivotButton="0" quotePrefix="0" xfId="0"/>
    <xf numFmtId="0" fontId="9615" fillId="9620" borderId="9555" pivotButton="0" quotePrefix="0" xfId="0"/>
    <xf numFmtId="14" fontId="9616" fillId="9621" borderId="9556" pivotButton="0" quotePrefix="0" xfId="0"/>
    <xf numFmtId="0" fontId="9617" fillId="9622" borderId="9557" pivotButton="0" quotePrefix="0" xfId="0"/>
    <xf numFmtId="14" fontId="9618" fillId="9623" borderId="9558" pivotButton="0" quotePrefix="0" xfId="0"/>
    <xf numFmtId="0" fontId="9619" fillId="9624" borderId="9559" pivotButton="0" quotePrefix="0" xfId="0"/>
    <xf numFmtId="0" fontId="9620" fillId="9625" borderId="9560" pivotButton="0" quotePrefix="0" xfId="0"/>
    <xf numFmtId="0" fontId="9621" fillId="9626" borderId="9561" pivotButton="0" quotePrefix="0" xfId="0"/>
    <xf numFmtId="0" fontId="9622" fillId="9627" borderId="9562" pivotButton="0" quotePrefix="0" xfId="0"/>
    <xf numFmtId="0" fontId="9623" fillId="9628" borderId="9563" pivotButton="0" quotePrefix="0" xfId="0"/>
    <xf numFmtId="0" fontId="9624" fillId="9629" borderId="9564" pivotButton="0" quotePrefix="0" xfId="0"/>
    <xf numFmtId="0" fontId="9625" fillId="9630" borderId="9565" pivotButton="0" quotePrefix="0" xfId="0"/>
    <xf numFmtId="14" fontId="9626" fillId="9631" borderId="9566" pivotButton="0" quotePrefix="0" xfId="0"/>
    <xf numFmtId="0" fontId="9627" fillId="9632" borderId="9567" pivotButton="0" quotePrefix="0" xfId="0"/>
    <xf numFmtId="14" fontId="9628" fillId="9633" borderId="9568" pivotButton="0" quotePrefix="0" xfId="0"/>
    <xf numFmtId="0" fontId="9629" fillId="9634" borderId="9569" pivotButton="0" quotePrefix="0" xfId="0"/>
    <xf numFmtId="0" fontId="9630" fillId="9635" borderId="9570" pivotButton="0" quotePrefix="0" xfId="0"/>
    <xf numFmtId="0" fontId="9631" fillId="9636" borderId="9571" pivotButton="0" quotePrefix="0" xfId="0"/>
    <xf numFmtId="0" fontId="9632" fillId="9637" borderId="9572" pivotButton="0" quotePrefix="0" xfId="0"/>
    <xf numFmtId="0" fontId="9633" fillId="9638" borderId="9573" pivotButton="0" quotePrefix="0" xfId="0"/>
    <xf numFmtId="0" fontId="9634" fillId="9639" borderId="9574" pivotButton="0" quotePrefix="0" xfId="0"/>
    <xf numFmtId="0" fontId="9635" fillId="9640" borderId="9575" pivotButton="0" quotePrefix="0" xfId="0"/>
    <xf numFmtId="14" fontId="9636" fillId="9641" borderId="9576" pivotButton="0" quotePrefix="0" xfId="0"/>
    <xf numFmtId="0" fontId="9637" fillId="9642" borderId="9577" pivotButton="0" quotePrefix="0" xfId="0"/>
    <xf numFmtId="14" fontId="9638" fillId="9643" borderId="9578" pivotButton="0" quotePrefix="0" xfId="0"/>
    <xf numFmtId="0" fontId="9639" fillId="9644" borderId="9579" pivotButton="0" quotePrefix="0" xfId="0"/>
    <xf numFmtId="0" fontId="9640" fillId="9645" borderId="9580" pivotButton="0" quotePrefix="0" xfId="0"/>
    <xf numFmtId="0" fontId="9641" fillId="9646" borderId="9581" pivotButton="0" quotePrefix="0" xfId="0"/>
    <xf numFmtId="0" fontId="9642" fillId="9647" borderId="9582" pivotButton="0" quotePrefix="0" xfId="0"/>
    <xf numFmtId="0" fontId="9643" fillId="9648" borderId="9583" pivotButton="0" quotePrefix="0" xfId="0"/>
    <xf numFmtId="0" fontId="9644" fillId="9649" borderId="9584" pivotButton="0" quotePrefix="0" xfId="0"/>
    <xf numFmtId="0" fontId="9645" fillId="9650" borderId="9585" pivotButton="0" quotePrefix="0" xfId="0"/>
    <xf numFmtId="14" fontId="9646" fillId="9651" borderId="9586" pivotButton="0" quotePrefix="0" xfId="0"/>
    <xf numFmtId="0" fontId="9647" fillId="9652" borderId="9587" pivotButton="0" quotePrefix="0" xfId="0"/>
    <xf numFmtId="14" fontId="9648" fillId="9653" borderId="9588" pivotButton="0" quotePrefix="0" xfId="0"/>
    <xf numFmtId="0" fontId="9649" fillId="9654" borderId="9589" pivotButton="0" quotePrefix="0" xfId="0"/>
    <xf numFmtId="0" fontId="9650" fillId="9655" borderId="9590" pivotButton="0" quotePrefix="0" xfId="0"/>
    <xf numFmtId="0" fontId="9651" fillId="9656" borderId="9591" pivotButton="0" quotePrefix="0" xfId="0"/>
    <xf numFmtId="0" fontId="9652" fillId="9657" borderId="9592" pivotButton="0" quotePrefix="0" xfId="0"/>
    <xf numFmtId="0" fontId="9653" fillId="9658" borderId="9593" pivotButton="0" quotePrefix="0" xfId="0"/>
    <xf numFmtId="0" fontId="9654" fillId="9659" borderId="9594" pivotButton="0" quotePrefix="0" xfId="0"/>
    <xf numFmtId="0" fontId="9655" fillId="9660" borderId="9595" pivotButton="0" quotePrefix="0" xfId="0"/>
    <xf numFmtId="14" fontId="9656" fillId="9661" borderId="9596" pivotButton="0" quotePrefix="0" xfId="0"/>
    <xf numFmtId="0" fontId="9657" fillId="9662" borderId="9597" pivotButton="0" quotePrefix="0" xfId="0"/>
    <xf numFmtId="14" fontId="9658" fillId="9663" borderId="9598" pivotButton="0" quotePrefix="0" xfId="0"/>
    <xf numFmtId="0" fontId="9659" fillId="9664" borderId="9599" pivotButton="0" quotePrefix="0" xfId="0"/>
    <xf numFmtId="0" fontId="9660" fillId="9665" borderId="9600" pivotButton="0" quotePrefix="0" xfId="0"/>
    <xf numFmtId="0" fontId="9661" fillId="9666" borderId="9601" pivotButton="0" quotePrefix="0" xfId="0"/>
    <xf numFmtId="0" fontId="9662" fillId="9667" borderId="9602" pivotButton="0" quotePrefix="0" xfId="0"/>
    <xf numFmtId="0" fontId="9663" fillId="9668" borderId="9603" pivotButton="0" quotePrefix="0" xfId="0"/>
    <xf numFmtId="0" fontId="9664" fillId="9669" borderId="9604" pivotButton="0" quotePrefix="0" xfId="0"/>
    <xf numFmtId="0" fontId="9665" fillId="9670" borderId="9605" pivotButton="0" quotePrefix="0" xfId="0"/>
    <xf numFmtId="14" fontId="9666" fillId="9671" borderId="9606" pivotButton="0" quotePrefix="0" xfId="0"/>
    <xf numFmtId="0" fontId="9667" fillId="9672" borderId="9607" pivotButton="0" quotePrefix="0" xfId="0"/>
    <xf numFmtId="14" fontId="9668" fillId="9673" borderId="9608" pivotButton="0" quotePrefix="0" xfId="0"/>
    <xf numFmtId="0" fontId="9669" fillId="9674" borderId="9609" pivotButton="0" quotePrefix="0" xfId="0"/>
    <xf numFmtId="0" fontId="9670" fillId="9675" borderId="9610" pivotButton="0" quotePrefix="0" xfId="0"/>
    <xf numFmtId="0" fontId="9671" fillId="9676" borderId="9611" pivotButton="0" quotePrefix="0" xfId="0"/>
    <xf numFmtId="0" fontId="9672" fillId="9677" borderId="9612" pivotButton="0" quotePrefix="0" xfId="0"/>
    <xf numFmtId="0" fontId="9673" fillId="9678" borderId="9613" pivotButton="0" quotePrefix="0" xfId="0"/>
    <xf numFmtId="0" fontId="9674" fillId="9679" borderId="9614" pivotButton="0" quotePrefix="0" xfId="0"/>
    <xf numFmtId="0" fontId="9675" fillId="9680" borderId="9615" pivotButton="0" quotePrefix="0" xfId="0"/>
    <xf numFmtId="14" fontId="9676" fillId="9681" borderId="9616" pivotButton="0" quotePrefix="0" xfId="0"/>
    <xf numFmtId="0" fontId="9677" fillId="9682" borderId="9617" pivotButton="0" quotePrefix="0" xfId="0"/>
    <xf numFmtId="14" fontId="9678" fillId="9683" borderId="9618" pivotButton="0" quotePrefix="0" xfId="0"/>
    <xf numFmtId="0" fontId="9679" fillId="9684" borderId="9619" pivotButton="0" quotePrefix="0" xfId="0"/>
    <xf numFmtId="0" fontId="9680" fillId="9685" borderId="9620" pivotButton="0" quotePrefix="0" xfId="0"/>
    <xf numFmtId="0" fontId="9681" fillId="9686" borderId="9621" pivotButton="0" quotePrefix="0" xfId="0"/>
    <xf numFmtId="0" fontId="9682" fillId="9687" borderId="9622" pivotButton="0" quotePrefix="0" xfId="0"/>
    <xf numFmtId="0" fontId="9683" fillId="9688" borderId="9623" pivotButton="0" quotePrefix="0" xfId="0"/>
    <xf numFmtId="0" fontId="9684" fillId="9689" borderId="9624" pivotButton="0" quotePrefix="0" xfId="0"/>
    <xf numFmtId="0" fontId="9685" fillId="9690" borderId="9625" pivotButton="0" quotePrefix="0" xfId="0"/>
    <xf numFmtId="14" fontId="9686" fillId="9691" borderId="9626" pivotButton="0" quotePrefix="0" xfId="0"/>
    <xf numFmtId="0" fontId="9687" fillId="9692" borderId="9627" pivotButton="0" quotePrefix="0" xfId="0"/>
    <xf numFmtId="14" fontId="9688" fillId="9693" borderId="9628" pivotButton="0" quotePrefix="0" xfId="0"/>
    <xf numFmtId="0" fontId="9689" fillId="9694" borderId="9629" pivotButton="0" quotePrefix="0" xfId="0"/>
    <xf numFmtId="0" fontId="9690" fillId="9695" borderId="9630" pivotButton="0" quotePrefix="0" xfId="0"/>
    <xf numFmtId="0" fontId="9691" fillId="9696" borderId="9631" pivotButton="0" quotePrefix="0" xfId="0"/>
    <xf numFmtId="0" fontId="9692" fillId="9697" borderId="9632" pivotButton="0" quotePrefix="0" xfId="0"/>
    <xf numFmtId="0" fontId="9693" fillId="9698" borderId="9633" pivotButton="0" quotePrefix="0" xfId="0"/>
    <xf numFmtId="0" fontId="9694" fillId="9699" borderId="9634" pivotButton="0" quotePrefix="0" xfId="0"/>
    <xf numFmtId="0" fontId="9695" fillId="9700" borderId="9635" pivotButton="0" quotePrefix="0" xfId="0"/>
    <xf numFmtId="14" fontId="9696" fillId="9701" borderId="9636" pivotButton="0" quotePrefix="0" xfId="0"/>
    <xf numFmtId="0" fontId="9697" fillId="9702" borderId="9637" pivotButton="0" quotePrefix="0" xfId="0"/>
    <xf numFmtId="14" fontId="9698" fillId="9703" borderId="9638" pivotButton="0" quotePrefix="0" xfId="0"/>
    <xf numFmtId="0" fontId="9699" fillId="9704" borderId="9639" pivotButton="0" quotePrefix="0" xfId="0"/>
    <xf numFmtId="0" fontId="9700" fillId="9705" borderId="9640" pivotButton="0" quotePrefix="0" xfId="0"/>
    <xf numFmtId="0" fontId="9701" fillId="9706" borderId="9641" pivotButton="0" quotePrefix="0" xfId="0"/>
    <xf numFmtId="0" fontId="9702" fillId="9707" borderId="9642" pivotButton="0" quotePrefix="0" xfId="0"/>
    <xf numFmtId="0" fontId="9703" fillId="9708" borderId="9643" pivotButton="0" quotePrefix="0" xfId="0"/>
    <xf numFmtId="0" fontId="9704" fillId="9709" borderId="9644" pivotButton="0" quotePrefix="0" xfId="0"/>
    <xf numFmtId="0" fontId="9705" fillId="9710" borderId="9645" pivotButton="0" quotePrefix="0" xfId="0"/>
    <xf numFmtId="14" fontId="9706" fillId="9711" borderId="9646" pivotButton="0" quotePrefix="0" xfId="0"/>
    <xf numFmtId="0" fontId="9707" fillId="9712" borderId="9647" pivotButton="0" quotePrefix="0" xfId="0"/>
    <xf numFmtId="14" fontId="9708" fillId="9713" borderId="9648" pivotButton="0" quotePrefix="0" xfId="0"/>
    <xf numFmtId="0" fontId="9709" fillId="9714" borderId="9649" pivotButton="0" quotePrefix="0" xfId="0"/>
    <xf numFmtId="0" fontId="9710" fillId="9715" borderId="9650" pivotButton="0" quotePrefix="0" xfId="0"/>
    <xf numFmtId="0" fontId="9711" fillId="9716" borderId="9651" pivotButton="0" quotePrefix="0" xfId="0"/>
    <xf numFmtId="0" fontId="9712" fillId="9717" borderId="9652" pivotButton="0" quotePrefix="0" xfId="0"/>
    <xf numFmtId="0" fontId="9713" fillId="9718" borderId="9653" pivotButton="0" quotePrefix="0" xfId="0"/>
    <xf numFmtId="0" fontId="9714" fillId="9719" borderId="9654" pivotButton="0" quotePrefix="0" xfId="0"/>
    <xf numFmtId="0" fontId="9715" fillId="9720" borderId="9655" pivotButton="0" quotePrefix="0" xfId="0"/>
    <xf numFmtId="14" fontId="9716" fillId="9721" borderId="9656" pivotButton="0" quotePrefix="0" xfId="0"/>
    <xf numFmtId="0" fontId="9717" fillId="9722" borderId="9657" pivotButton="0" quotePrefix="0" xfId="0"/>
    <xf numFmtId="14" fontId="9718" fillId="9723" borderId="9658" pivotButton="0" quotePrefix="0" xfId="0"/>
    <xf numFmtId="0" fontId="9719" fillId="9724" borderId="9659" pivotButton="0" quotePrefix="0" xfId="0"/>
    <xf numFmtId="0" fontId="9720" fillId="9725" borderId="9660" pivotButton="0" quotePrefix="0" xfId="0"/>
    <xf numFmtId="0" fontId="9721" fillId="9726" borderId="9661" pivotButton="0" quotePrefix="0" xfId="0"/>
    <xf numFmtId="0" fontId="9722" fillId="9727" borderId="9662" pivotButton="0" quotePrefix="0" xfId="0"/>
    <xf numFmtId="0" fontId="9723" fillId="9728" borderId="9663" pivotButton="0" quotePrefix="0" xfId="0"/>
    <xf numFmtId="0" fontId="9724" fillId="9729" borderId="9664" pivotButton="0" quotePrefix="0" xfId="0"/>
    <xf numFmtId="0" fontId="9725" fillId="9730" borderId="9665" pivotButton="0" quotePrefix="0" xfId="0"/>
    <xf numFmtId="14" fontId="9726" fillId="9731" borderId="9666" pivotButton="0" quotePrefix="0" xfId="0"/>
    <xf numFmtId="0" fontId="9727" fillId="9732" borderId="9667" pivotButton="0" quotePrefix="0" xfId="0"/>
    <xf numFmtId="14" fontId="9728" fillId="9733" borderId="9668" pivotButton="0" quotePrefix="0" xfId="0"/>
    <xf numFmtId="0" fontId="9729" fillId="9734" borderId="9669" pivotButton="0" quotePrefix="0" xfId="0"/>
    <xf numFmtId="0" fontId="9730" fillId="9735" borderId="9670" pivotButton="0" quotePrefix="0" xfId="0"/>
    <xf numFmtId="0" fontId="9731" fillId="9736" borderId="9671" pivotButton="0" quotePrefix="0" xfId="0"/>
    <xf numFmtId="0" fontId="9732" fillId="9737" borderId="9672" pivotButton="0" quotePrefix="0" xfId="0"/>
    <xf numFmtId="0" fontId="9733" fillId="9738" borderId="9673" pivotButton="0" quotePrefix="0" xfId="0"/>
    <xf numFmtId="0" fontId="9734" fillId="9739" borderId="9674" pivotButton="0" quotePrefix="0" xfId="0"/>
    <xf numFmtId="0" fontId="9735" fillId="9740" borderId="9675" pivotButton="0" quotePrefix="0" xfId="0"/>
    <xf numFmtId="14" fontId="9736" fillId="9741" borderId="9676" pivotButton="0" quotePrefix="0" xfId="0"/>
    <xf numFmtId="0" fontId="9737" fillId="9742" borderId="9677" pivotButton="0" quotePrefix="0" xfId="0"/>
    <xf numFmtId="14" fontId="9738" fillId="9743" borderId="9678" pivotButton="0" quotePrefix="0" xfId="0"/>
    <xf numFmtId="0" fontId="9739" fillId="9744" borderId="9679" pivotButton="0" quotePrefix="0" xfId="0"/>
    <xf numFmtId="0" fontId="9740" fillId="9745" borderId="9680" pivotButton="0" quotePrefix="0" xfId="0"/>
    <xf numFmtId="0" fontId="9741" fillId="9746" borderId="9681" pivotButton="0" quotePrefix="0" xfId="0"/>
    <xf numFmtId="0" fontId="9742" fillId="9747" borderId="9682" pivotButton="0" quotePrefix="0" xfId="0"/>
    <xf numFmtId="0" fontId="9743" fillId="9748" borderId="9683" pivotButton="0" quotePrefix="0" xfId="0"/>
    <xf numFmtId="0" fontId="9744" fillId="9749" borderId="9684" pivotButton="0" quotePrefix="0" xfId="0"/>
    <xf numFmtId="0" fontId="9745" fillId="9750" borderId="9685" pivotButton="0" quotePrefix="0" xfId="0"/>
    <xf numFmtId="14" fontId="9746" fillId="9751" borderId="9686" pivotButton="0" quotePrefix="0" xfId="0"/>
    <xf numFmtId="0" fontId="9747" fillId="9752" borderId="9687" pivotButton="0" quotePrefix="0" xfId="0"/>
    <xf numFmtId="14" fontId="9748" fillId="9753" borderId="9688" pivotButton="0" quotePrefix="0" xfId="0"/>
    <xf numFmtId="0" fontId="9749" fillId="9754" borderId="9689" pivotButton="0" quotePrefix="0" xfId="0"/>
    <xf numFmtId="0" fontId="9750" fillId="9755" borderId="9690" pivotButton="0" quotePrefix="0" xfId="0"/>
    <xf numFmtId="0" fontId="9751" fillId="9756" borderId="9691" pivotButton="0" quotePrefix="0" xfId="0"/>
    <xf numFmtId="0" fontId="9752" fillId="9757" borderId="9692" pivotButton="0" quotePrefix="0" xfId="0"/>
    <xf numFmtId="0" fontId="9753" fillId="9758" borderId="9693" pivotButton="0" quotePrefix="0" xfId="0"/>
    <xf numFmtId="0" fontId="9754" fillId="9759" borderId="9694" pivotButton="0" quotePrefix="0" xfId="0"/>
    <xf numFmtId="0" fontId="9755" fillId="9760" borderId="9695" pivotButton="0" quotePrefix="0" xfId="0"/>
    <xf numFmtId="14" fontId="9756" fillId="9761" borderId="9696" pivotButton="0" quotePrefix="0" xfId="0"/>
    <xf numFmtId="0" fontId="9757" fillId="9762" borderId="9697" pivotButton="0" quotePrefix="0" xfId="0"/>
    <xf numFmtId="14" fontId="9758" fillId="9763" borderId="9698" pivotButton="0" quotePrefix="0" xfId="0"/>
    <xf numFmtId="0" fontId="9759" fillId="9764" borderId="9699" pivotButton="0" quotePrefix="0" xfId="0"/>
    <xf numFmtId="0" fontId="9760" fillId="9765" borderId="9700" pivotButton="0" quotePrefix="0" xfId="0"/>
    <xf numFmtId="0" fontId="9761" fillId="9766" borderId="9701" pivotButton="0" quotePrefix="0" xfId="0"/>
    <xf numFmtId="0" fontId="9762" fillId="9767" borderId="9702" pivotButton="0" quotePrefix="0" xfId="0"/>
    <xf numFmtId="0" fontId="9763" fillId="9768" borderId="9703" pivotButton="0" quotePrefix="0" xfId="0"/>
    <xf numFmtId="0" fontId="9764" fillId="9769" borderId="9704" pivotButton="0" quotePrefix="0" xfId="0"/>
    <xf numFmtId="0" fontId="9765" fillId="9770" borderId="9705" pivotButton="0" quotePrefix="0" xfId="0"/>
    <xf numFmtId="14" fontId="9766" fillId="9771" borderId="9706" pivotButton="0" quotePrefix="0" xfId="0"/>
    <xf numFmtId="0" fontId="9767" fillId="9772" borderId="9707" pivotButton="0" quotePrefix="0" xfId="0"/>
    <xf numFmtId="14" fontId="9768" fillId="9773" borderId="9708" pivotButton="0" quotePrefix="0" xfId="0"/>
    <xf numFmtId="0" fontId="9769" fillId="9774" borderId="9709" pivotButton="0" quotePrefix="0" xfId="0"/>
    <xf numFmtId="0" fontId="9770" fillId="9775" borderId="9710" pivotButton="0" quotePrefix="0" xfId="0"/>
    <xf numFmtId="0" fontId="9771" fillId="9776" borderId="9711" pivotButton="0" quotePrefix="0" xfId="0"/>
    <xf numFmtId="0" fontId="9772" fillId="9777" borderId="9712" pivotButton="0" quotePrefix="0" xfId="0"/>
    <xf numFmtId="0" fontId="9773" fillId="9778" borderId="9713" pivotButton="0" quotePrefix="0" xfId="0"/>
    <xf numFmtId="0" fontId="9774" fillId="9779" borderId="9714" pivotButton="0" quotePrefix="0" xfId="0"/>
    <xf numFmtId="0" fontId="9775" fillId="9780" borderId="9715" pivotButton="0" quotePrefix="0" xfId="0"/>
    <xf numFmtId="14" fontId="9776" fillId="9781" borderId="9716" pivotButton="0" quotePrefix="0" xfId="0"/>
    <xf numFmtId="0" fontId="9777" fillId="9782" borderId="9717" pivotButton="0" quotePrefix="0" xfId="0"/>
    <xf numFmtId="14" fontId="9778" fillId="9783" borderId="9718" pivotButton="0" quotePrefix="0" xfId="0"/>
    <xf numFmtId="0" fontId="9779" fillId="9784" borderId="9719" pivotButton="0" quotePrefix="0" xfId="0"/>
    <xf numFmtId="0" fontId="9780" fillId="9785" borderId="9720" pivotButton="0" quotePrefix="0" xfId="0"/>
    <xf numFmtId="0" fontId="9781" fillId="9786" borderId="9721" pivotButton="0" quotePrefix="0" xfId="0"/>
    <xf numFmtId="0" fontId="9782" fillId="9787" borderId="9722" pivotButton="0" quotePrefix="0" xfId="0"/>
    <xf numFmtId="0" fontId="9783" fillId="9788" borderId="9723" pivotButton="0" quotePrefix="0" xfId="0"/>
    <xf numFmtId="0" fontId="9784" fillId="9789" borderId="9724" pivotButton="0" quotePrefix="0" xfId="0"/>
    <xf numFmtId="0" fontId="9785" fillId="9790" borderId="9725" pivotButton="0" quotePrefix="0" xfId="0"/>
    <xf numFmtId="14" fontId="9786" fillId="9791" borderId="9726" pivotButton="0" quotePrefix="0" xfId="0"/>
    <xf numFmtId="0" fontId="9787" fillId="9792" borderId="9727" pivotButton="0" quotePrefix="0" xfId="0"/>
    <xf numFmtId="14" fontId="9788" fillId="9793" borderId="9728" pivotButton="0" quotePrefix="0" xfId="0"/>
    <xf numFmtId="0" fontId="9789" fillId="9794" borderId="9729" pivotButton="0" quotePrefix="0" xfId="0"/>
    <xf numFmtId="0" fontId="9790" fillId="9795" borderId="9730" pivotButton="0" quotePrefix="0" xfId="0"/>
    <xf numFmtId="0" fontId="9791" fillId="9796" borderId="9731" pivotButton="0" quotePrefix="0" xfId="0"/>
    <xf numFmtId="0" fontId="9792" fillId="9797" borderId="9732" pivotButton="0" quotePrefix="0" xfId="0"/>
    <xf numFmtId="0" fontId="9793" fillId="9798" borderId="9733" pivotButton="0" quotePrefix="0" xfId="0"/>
    <xf numFmtId="0" fontId="9794" fillId="9799" borderId="9734" pivotButton="0" quotePrefix="0" xfId="0"/>
    <xf numFmtId="0" fontId="9795" fillId="9800" borderId="9735" pivotButton="0" quotePrefix="0" xfId="0"/>
    <xf numFmtId="14" fontId="9796" fillId="9801" borderId="9736" pivotButton="0" quotePrefix="0" xfId="0"/>
    <xf numFmtId="0" fontId="9797" fillId="9802" borderId="9737" pivotButton="0" quotePrefix="0" xfId="0"/>
    <xf numFmtId="14" fontId="9798" fillId="9803" borderId="9738" pivotButton="0" quotePrefix="0" xfId="0"/>
    <xf numFmtId="0" fontId="9799" fillId="9804" borderId="9739" pivotButton="0" quotePrefix="0" xfId="0"/>
    <xf numFmtId="0" fontId="9800" fillId="9805" borderId="9740" pivotButton="0" quotePrefix="0" xfId="0"/>
    <xf numFmtId="0" fontId="9801" fillId="9806" borderId="9741" pivotButton="0" quotePrefix="0" xfId="0"/>
    <xf numFmtId="0" fontId="9802" fillId="9807" borderId="9742" pivotButton="0" quotePrefix="0" xfId="0"/>
    <xf numFmtId="0" fontId="9803" fillId="9808" borderId="9743" pivotButton="0" quotePrefix="0" xfId="0"/>
    <xf numFmtId="0" fontId="9804" fillId="9809" borderId="9744" pivotButton="0" quotePrefix="0" xfId="0"/>
    <xf numFmtId="0" fontId="9805" fillId="9810" borderId="9745" pivotButton="0" quotePrefix="0" xfId="0"/>
    <xf numFmtId="14" fontId="9806" fillId="9811" borderId="9746" pivotButton="0" quotePrefix="0" xfId="0"/>
    <xf numFmtId="0" fontId="9807" fillId="9812" borderId="9747" pivotButton="0" quotePrefix="0" xfId="0"/>
    <xf numFmtId="14" fontId="9808" fillId="9813" borderId="9748" pivotButton="0" quotePrefix="0" xfId="0"/>
    <xf numFmtId="0" fontId="9809" fillId="9814" borderId="9749" pivotButton="0" quotePrefix="0" xfId="0"/>
    <xf numFmtId="0" fontId="9810" fillId="9815" borderId="9750" pivotButton="0" quotePrefix="0" xfId="0"/>
    <xf numFmtId="0" fontId="9811" fillId="9816" borderId="9751" pivotButton="0" quotePrefix="0" xfId="0"/>
    <xf numFmtId="0" fontId="9812" fillId="9817" borderId="9752" pivotButton="0" quotePrefix="0" xfId="0"/>
    <xf numFmtId="0" fontId="9813" fillId="9818" borderId="9753" pivotButton="0" quotePrefix="0" xfId="0"/>
    <xf numFmtId="0" fontId="9814" fillId="9819" borderId="9754" pivotButton="0" quotePrefix="0" xfId="0"/>
    <xf numFmtId="0" fontId="9815" fillId="9820" borderId="9755" pivotButton="0" quotePrefix="0" xfId="0"/>
    <xf numFmtId="14" fontId="9816" fillId="9821" borderId="9756" pivotButton="0" quotePrefix="0" xfId="0"/>
    <xf numFmtId="0" fontId="9817" fillId="9822" borderId="9757" pivotButton="0" quotePrefix="0" xfId="0"/>
    <xf numFmtId="14" fontId="9818" fillId="9823" borderId="9758" pivotButton="0" quotePrefix="0" xfId="0"/>
    <xf numFmtId="0" fontId="9819" fillId="9824" borderId="9759" pivotButton="0" quotePrefix="0" xfId="0"/>
    <xf numFmtId="0" fontId="9820" fillId="9825" borderId="9760" pivotButton="0" quotePrefix="0" xfId="0"/>
    <xf numFmtId="0" fontId="9821" fillId="9826" borderId="9761" pivotButton="0" quotePrefix="0" xfId="0"/>
    <xf numFmtId="0" fontId="9822" fillId="9827" borderId="9762" pivotButton="0" quotePrefix="0" xfId="0"/>
    <xf numFmtId="0" fontId="9823" fillId="9828" borderId="9763" pivotButton="0" quotePrefix="0" xfId="0"/>
    <xf numFmtId="0" fontId="9824" fillId="9829" borderId="9764" pivotButton="0" quotePrefix="0" xfId="0"/>
    <xf numFmtId="0" fontId="9825" fillId="9830" borderId="9765" pivotButton="0" quotePrefix="0" xfId="0"/>
    <xf numFmtId="14" fontId="9826" fillId="9831" borderId="9766" pivotButton="0" quotePrefix="0" xfId="0"/>
    <xf numFmtId="0" fontId="9827" fillId="9832" borderId="9767" pivotButton="0" quotePrefix="0" xfId="0"/>
    <xf numFmtId="14" fontId="9828" fillId="9833" borderId="9768" pivotButton="0" quotePrefix="0" xfId="0"/>
    <xf numFmtId="0" fontId="9829" fillId="9834" borderId="9769" pivotButton="0" quotePrefix="0" xfId="0"/>
    <xf numFmtId="0" fontId="9830" fillId="9835" borderId="9770" pivotButton="0" quotePrefix="0" xfId="0"/>
    <xf numFmtId="0" fontId="9831" fillId="9836" borderId="9771" pivotButton="0" quotePrefix="0" xfId="0"/>
    <xf numFmtId="0" fontId="9832" fillId="9837" borderId="9772" pivotButton="0" quotePrefix="0" xfId="0"/>
    <xf numFmtId="0" fontId="9833" fillId="9838" borderId="9773" pivotButton="0" quotePrefix="0" xfId="0"/>
    <xf numFmtId="0" fontId="9834" fillId="9839" borderId="9774" pivotButton="0" quotePrefix="0" xfId="0"/>
    <xf numFmtId="0" fontId="9835" fillId="9840" borderId="9775" pivotButton="0" quotePrefix="0" xfId="0"/>
    <xf numFmtId="14" fontId="9836" fillId="9841" borderId="9776" pivotButton="0" quotePrefix="0" xfId="0"/>
    <xf numFmtId="0" fontId="9837" fillId="9842" borderId="9777" pivotButton="0" quotePrefix="0" xfId="0"/>
    <xf numFmtId="14" fontId="9838" fillId="9843" borderId="9778" pivotButton="0" quotePrefix="0" xfId="0"/>
    <xf numFmtId="0" fontId="9839" fillId="9844" borderId="9779" pivotButton="0" quotePrefix="0" xfId="0"/>
    <xf numFmtId="0" fontId="9840" fillId="9845" borderId="9780" pivotButton="0" quotePrefix="0" xfId="0"/>
    <xf numFmtId="0" fontId="9841" fillId="9846" borderId="9781" pivotButton="0" quotePrefix="0" xfId="0"/>
    <xf numFmtId="0" fontId="9842" fillId="9847" borderId="9782" pivotButton="0" quotePrefix="0" xfId="0"/>
    <xf numFmtId="0" fontId="9843" fillId="9848" borderId="9783" pivotButton="0" quotePrefix="0" xfId="0"/>
    <xf numFmtId="0" fontId="9844" fillId="9849" borderId="9784" pivotButton="0" quotePrefix="0" xfId="0"/>
    <xf numFmtId="0" fontId="9845" fillId="9850" borderId="9785" pivotButton="0" quotePrefix="0" xfId="0"/>
    <xf numFmtId="14" fontId="9846" fillId="9851" borderId="9786" pivotButton="0" quotePrefix="0" xfId="0"/>
    <xf numFmtId="0" fontId="9847" fillId="9852" borderId="9787" pivotButton="0" quotePrefix="0" xfId="0"/>
    <xf numFmtId="14" fontId="9848" fillId="9853" borderId="9788" pivotButton="0" quotePrefix="0" xfId="0"/>
    <xf numFmtId="0" fontId="9849" fillId="9854" borderId="9789" pivotButton="0" quotePrefix="0" xfId="0"/>
    <xf numFmtId="0" fontId="9850" fillId="9855" borderId="9790" pivotButton="0" quotePrefix="0" xfId="0"/>
    <xf numFmtId="0" fontId="9851" fillId="9856" borderId="9791" pivotButton="0" quotePrefix="0" xfId="0"/>
    <xf numFmtId="0" fontId="9852" fillId="9857" borderId="9792" pivotButton="0" quotePrefix="0" xfId="0"/>
    <xf numFmtId="0" fontId="9853" fillId="9858" borderId="9793" pivotButton="0" quotePrefix="0" xfId="0"/>
    <xf numFmtId="0" fontId="9854" fillId="9859" borderId="9794" pivotButton="0" quotePrefix="0" xfId="0"/>
    <xf numFmtId="0" fontId="9855" fillId="9860" borderId="9795" pivotButton="0" quotePrefix="0" xfId="0"/>
    <xf numFmtId="14" fontId="9856" fillId="9861" borderId="9796" pivotButton="0" quotePrefix="0" xfId="0"/>
    <xf numFmtId="0" fontId="9857" fillId="9862" borderId="9797" pivotButton="0" quotePrefix="0" xfId="0"/>
    <xf numFmtId="14" fontId="9858" fillId="9863" borderId="9798" pivotButton="0" quotePrefix="0" xfId="0"/>
    <xf numFmtId="0" fontId="9859" fillId="9864" borderId="9799" pivotButton="0" quotePrefix="0" xfId="0"/>
    <xf numFmtId="0" fontId="9860" fillId="9865" borderId="9800" pivotButton="0" quotePrefix="0" xfId="0"/>
    <xf numFmtId="0" fontId="9861" fillId="9866" borderId="9801" pivotButton="0" quotePrefix="0" xfId="0"/>
    <xf numFmtId="0" fontId="9862" fillId="9867" borderId="9802" pivotButton="0" quotePrefix="0" xfId="0"/>
    <xf numFmtId="0" fontId="9863" fillId="9868" borderId="9803" pivotButton="0" quotePrefix="0" xfId="0"/>
    <xf numFmtId="0" fontId="9864" fillId="9869" borderId="9804" pivotButton="0" quotePrefix="0" xfId="0"/>
    <xf numFmtId="0" fontId="9865" fillId="9870" borderId="9805" pivotButton="0" quotePrefix="0" xfId="0"/>
    <xf numFmtId="14" fontId="9866" fillId="9871" borderId="9806" pivotButton="0" quotePrefix="0" xfId="0"/>
    <xf numFmtId="0" fontId="9867" fillId="9872" borderId="9807" pivotButton="0" quotePrefix="0" xfId="0"/>
    <xf numFmtId="14" fontId="9868" fillId="9873" borderId="9808" pivotButton="0" quotePrefix="0" xfId="0"/>
    <xf numFmtId="0" fontId="9869" fillId="9874" borderId="9809" pivotButton="0" quotePrefix="0" xfId="0"/>
    <xf numFmtId="0" fontId="9870" fillId="9875" borderId="9810" pivotButton="0" quotePrefix="0" xfId="0"/>
    <xf numFmtId="0" fontId="9871" fillId="9876" borderId="9811" pivotButton="0" quotePrefix="0" xfId="0"/>
    <xf numFmtId="0" fontId="9872" fillId="9877" borderId="9812" pivotButton="0" quotePrefix="0" xfId="0"/>
    <xf numFmtId="0" fontId="9873" fillId="9878" borderId="9813" pivotButton="0" quotePrefix="0" xfId="0"/>
    <xf numFmtId="0" fontId="9874" fillId="9879" borderId="9814" pivotButton="0" quotePrefix="0" xfId="0"/>
    <xf numFmtId="0" fontId="9875" fillId="9880" borderId="9815" pivotButton="0" quotePrefix="0" xfId="0"/>
    <xf numFmtId="14" fontId="9876" fillId="9881" borderId="9816" pivotButton="0" quotePrefix="0" xfId="0"/>
    <xf numFmtId="0" fontId="9877" fillId="9882" borderId="9817" pivotButton="0" quotePrefix="0" xfId="0"/>
    <xf numFmtId="14" fontId="9878" fillId="9883" borderId="9818" pivotButton="0" quotePrefix="0" xfId="0"/>
    <xf numFmtId="0" fontId="9879" fillId="9884" borderId="9819" pivotButton="0" quotePrefix="0" xfId="0"/>
    <xf numFmtId="0" fontId="9880" fillId="9885" borderId="9820" pivotButton="0" quotePrefix="0" xfId="0"/>
    <xf numFmtId="0" fontId="9881" fillId="9886" borderId="9821" pivotButton="0" quotePrefix="0" xfId="0"/>
    <xf numFmtId="0" fontId="9882" fillId="9887" borderId="9822" pivotButton="0" quotePrefix="0" xfId="0"/>
    <xf numFmtId="0" fontId="9883" fillId="9888" borderId="9823" pivotButton="0" quotePrefix="0" xfId="0"/>
    <xf numFmtId="0" fontId="9884" fillId="9889" borderId="9824" pivotButton="0" quotePrefix="0" xfId="0"/>
    <xf numFmtId="0" fontId="9885" fillId="9890" borderId="9825" pivotButton="0" quotePrefix="0" xfId="0"/>
    <xf numFmtId="14" fontId="9886" fillId="9891" borderId="9826" pivotButton="0" quotePrefix="0" xfId="0"/>
    <xf numFmtId="0" fontId="9887" fillId="9892" borderId="9827" pivotButton="0" quotePrefix="0" xfId="0"/>
    <xf numFmtId="14" fontId="9888" fillId="9893" borderId="9828" pivotButton="0" quotePrefix="0" xfId="0"/>
    <xf numFmtId="0" fontId="9889" fillId="9894" borderId="9829" pivotButton="0" quotePrefix="0" xfId="0"/>
    <xf numFmtId="0" fontId="9890" fillId="9895" borderId="9830" pivotButton="0" quotePrefix="0" xfId="0"/>
    <xf numFmtId="0" fontId="9891" fillId="9896" borderId="9831" pivotButton="0" quotePrefix="0" xfId="0"/>
    <xf numFmtId="0" fontId="9892" fillId="9897" borderId="9832" pivotButton="0" quotePrefix="0" xfId="0"/>
    <xf numFmtId="0" fontId="9893" fillId="9898" borderId="9833" pivotButton="0" quotePrefix="0" xfId="0"/>
    <xf numFmtId="0" fontId="9894" fillId="9899" borderId="9834" pivotButton="0" quotePrefix="0" xfId="0"/>
    <xf numFmtId="0" fontId="9895" fillId="9900" borderId="9835" pivotButton="0" quotePrefix="0" xfId="0"/>
    <xf numFmtId="14" fontId="9896" fillId="9901" borderId="9836" pivotButton="0" quotePrefix="0" xfId="0"/>
    <xf numFmtId="0" fontId="9897" fillId="9902" borderId="9837" pivotButton="0" quotePrefix="0" xfId="0"/>
    <xf numFmtId="14" fontId="9898" fillId="9903" borderId="9838" pivotButton="0" quotePrefix="0" xfId="0"/>
    <xf numFmtId="0" fontId="9899" fillId="9904" borderId="9839" pivotButton="0" quotePrefix="0" xfId="0"/>
    <xf numFmtId="0" fontId="9900" fillId="9905" borderId="9840" pivotButton="0" quotePrefix="0" xfId="0"/>
    <xf numFmtId="0" fontId="9901" fillId="9906" borderId="9841" pivotButton="0" quotePrefix="0" xfId="0"/>
    <xf numFmtId="0" fontId="9902" fillId="9907" borderId="9842" pivotButton="0" quotePrefix="0" xfId="0"/>
    <xf numFmtId="0" fontId="9903" fillId="9908" borderId="9843" pivotButton="0" quotePrefix="0" xfId="0"/>
    <xf numFmtId="0" fontId="9904" fillId="9909" borderId="9844" pivotButton="0" quotePrefix="0" xfId="0"/>
    <xf numFmtId="0" fontId="9905" fillId="9910" borderId="9845" pivotButton="0" quotePrefix="0" xfId="0"/>
    <xf numFmtId="14" fontId="9906" fillId="9911" borderId="9846" pivotButton="0" quotePrefix="0" xfId="0"/>
    <xf numFmtId="0" fontId="9907" fillId="9912" borderId="9847" pivotButton="0" quotePrefix="0" xfId="0"/>
    <xf numFmtId="14" fontId="9908" fillId="9913" borderId="9848" pivotButton="0" quotePrefix="0" xfId="0"/>
    <xf numFmtId="0" fontId="9909" fillId="9914" borderId="9849" pivotButton="0" quotePrefix="0" xfId="0"/>
    <xf numFmtId="0" fontId="9910" fillId="9915" borderId="9850" pivotButton="0" quotePrefix="0" xfId="0"/>
    <xf numFmtId="0" fontId="9911" fillId="9916" borderId="9851" pivotButton="0" quotePrefix="0" xfId="0"/>
    <xf numFmtId="0" fontId="9912" fillId="9917" borderId="9852" pivotButton="0" quotePrefix="0" xfId="0"/>
    <xf numFmtId="0" fontId="9913" fillId="9918" borderId="9853" pivotButton="0" quotePrefix="0" xfId="0"/>
    <xf numFmtId="0" fontId="9914" fillId="9919" borderId="9854" pivotButton="0" quotePrefix="0" xfId="0"/>
    <xf numFmtId="0" fontId="9915" fillId="9920" borderId="9855" pivotButton="0" quotePrefix="0" xfId="0"/>
    <xf numFmtId="14" fontId="9916" fillId="9921" borderId="9856" pivotButton="0" quotePrefix="0" xfId="0"/>
    <xf numFmtId="0" fontId="9917" fillId="9922" borderId="9857" pivotButton="0" quotePrefix="0" xfId="0"/>
    <xf numFmtId="14" fontId="9918" fillId="9923" borderId="9858" pivotButton="0" quotePrefix="0" xfId="0"/>
    <xf numFmtId="0" fontId="9919" fillId="9924" borderId="9859" pivotButton="0" quotePrefix="0" xfId="0"/>
    <xf numFmtId="0" fontId="9920" fillId="9925" borderId="9860" pivotButton="0" quotePrefix="0" xfId="0"/>
    <xf numFmtId="0" fontId="9921" fillId="9926" borderId="9861" pivotButton="0" quotePrefix="0" xfId="0"/>
    <xf numFmtId="0" fontId="9922" fillId="9927" borderId="9862" pivotButton="0" quotePrefix="0" xfId="0"/>
    <xf numFmtId="0" fontId="9923" fillId="9928" borderId="9863" pivotButton="0" quotePrefix="0" xfId="0"/>
    <xf numFmtId="0" fontId="9924" fillId="9929" borderId="9864" pivotButton="0" quotePrefix="0" xfId="0"/>
    <xf numFmtId="0" fontId="9925" fillId="9930" borderId="9865" pivotButton="0" quotePrefix="0" xfId="0"/>
    <xf numFmtId="14" fontId="9926" fillId="9931" borderId="9866" pivotButton="0" quotePrefix="0" xfId="0"/>
    <xf numFmtId="0" fontId="9927" fillId="9932" borderId="9867" pivotButton="0" quotePrefix="0" xfId="0"/>
    <xf numFmtId="14" fontId="9928" fillId="9933" borderId="9868" pivotButton="0" quotePrefix="0" xfId="0"/>
    <xf numFmtId="0" fontId="9929" fillId="9934" borderId="9869" pivotButton="0" quotePrefix="0" xfId="0"/>
    <xf numFmtId="0" fontId="9930" fillId="9935" borderId="9870" pivotButton="0" quotePrefix="0" xfId="0"/>
    <xf numFmtId="0" fontId="9931" fillId="9936" borderId="9871" pivotButton="0" quotePrefix="0" xfId="0"/>
    <xf numFmtId="0" fontId="9932" fillId="9937" borderId="9872" pivotButton="0" quotePrefix="0" xfId="0"/>
    <xf numFmtId="0" fontId="9933" fillId="9938" borderId="9873" pivotButton="0" quotePrefix="0" xfId="0"/>
    <xf numFmtId="0" fontId="9934" fillId="9939" borderId="9874" pivotButton="0" quotePrefix="0" xfId="0"/>
    <xf numFmtId="0" fontId="9935" fillId="9940" borderId="9875" pivotButton="0" quotePrefix="0" xfId="0"/>
    <xf numFmtId="14" fontId="9936" fillId="9941" borderId="9876" pivotButton="0" quotePrefix="0" xfId="0"/>
    <xf numFmtId="0" fontId="9937" fillId="9942" borderId="9877" pivotButton="0" quotePrefix="0" xfId="0"/>
    <xf numFmtId="14" fontId="9938" fillId="9943" borderId="9878" pivotButton="0" quotePrefix="0" xfId="0"/>
    <xf numFmtId="0" fontId="9939" fillId="9944" borderId="9879" pivotButton="0" quotePrefix="0" xfId="0"/>
    <xf numFmtId="0" fontId="9940" fillId="9945" borderId="9880" pivotButton="0" quotePrefix="0" xfId="0"/>
    <xf numFmtId="0" fontId="9941" fillId="9946" borderId="9881" pivotButton="0" quotePrefix="0" xfId="0"/>
    <xf numFmtId="0" fontId="9942" fillId="9947" borderId="9882" pivotButton="0" quotePrefix="0" xfId="0"/>
    <xf numFmtId="0" fontId="9943" fillId="9948" borderId="9883" pivotButton="0" quotePrefix="0" xfId="0"/>
    <xf numFmtId="0" fontId="9944" fillId="9949" borderId="9884" pivotButton="0" quotePrefix="0" xfId="0"/>
    <xf numFmtId="0" fontId="9945" fillId="9950" borderId="9885" pivotButton="0" quotePrefix="0" xfId="0"/>
    <xf numFmtId="14" fontId="9946" fillId="9951" borderId="9886" pivotButton="0" quotePrefix="0" xfId="0"/>
    <xf numFmtId="0" fontId="9947" fillId="9952" borderId="9887" pivotButton="0" quotePrefix="0" xfId="0"/>
    <xf numFmtId="14" fontId="9948" fillId="9953" borderId="9888" pivotButton="0" quotePrefix="0" xfId="0"/>
    <xf numFmtId="0" fontId="9949" fillId="9954" borderId="9889" pivotButton="0" quotePrefix="0" xfId="0"/>
    <xf numFmtId="0" fontId="9950" fillId="9955" borderId="9890" pivotButton="0" quotePrefix="0" xfId="0"/>
    <xf numFmtId="0" fontId="9951" fillId="9956" borderId="9891" pivotButton="0" quotePrefix="0" xfId="0"/>
    <xf numFmtId="0" fontId="9952" fillId="9957" borderId="9892" pivotButton="0" quotePrefix="0" xfId="0"/>
    <xf numFmtId="0" fontId="9953" fillId="9958" borderId="9893" pivotButton="0" quotePrefix="0" xfId="0"/>
    <xf numFmtId="0" fontId="9954" fillId="9959" borderId="9894" pivotButton="0" quotePrefix="0" xfId="0"/>
    <xf numFmtId="0" fontId="9955" fillId="9960" borderId="9895" pivotButton="0" quotePrefix="0" xfId="0"/>
    <xf numFmtId="14" fontId="9956" fillId="9961" borderId="9896" pivotButton="0" quotePrefix="0" xfId="0"/>
    <xf numFmtId="0" fontId="9957" fillId="9962" borderId="9897" pivotButton="0" quotePrefix="0" xfId="0"/>
    <xf numFmtId="14" fontId="9958" fillId="9963" borderId="9898" pivotButton="0" quotePrefix="0" xfId="0"/>
    <xf numFmtId="0" fontId="9959" fillId="9964" borderId="9899" pivotButton="0" quotePrefix="0" xfId="0"/>
    <xf numFmtId="0" fontId="9960" fillId="9965" borderId="9900" pivotButton="0" quotePrefix="0" xfId="0"/>
    <xf numFmtId="0" fontId="9961" fillId="9966" borderId="9901" pivotButton="0" quotePrefix="0" xfId="0"/>
    <xf numFmtId="0" fontId="9962" fillId="9967" borderId="9902" pivotButton="0" quotePrefix="0" xfId="0"/>
    <xf numFmtId="0" fontId="9963" fillId="9968" borderId="9903" pivotButton="0" quotePrefix="0" xfId="0"/>
    <xf numFmtId="0" fontId="9964" fillId="9969" borderId="9904" pivotButton="0" quotePrefix="0" xfId="0"/>
    <xf numFmtId="0" fontId="9965" fillId="9970" borderId="9905" pivotButton="0" quotePrefix="0" xfId="0"/>
    <xf numFmtId="14" fontId="9966" fillId="9971" borderId="9906" pivotButton="0" quotePrefix="0" xfId="0"/>
    <xf numFmtId="0" fontId="9967" fillId="9972" borderId="9907" pivotButton="0" quotePrefix="0" xfId="0"/>
    <xf numFmtId="14" fontId="9968" fillId="9973" borderId="9908" pivotButton="0" quotePrefix="0" xfId="0"/>
    <xf numFmtId="0" fontId="9969" fillId="9974" borderId="9909" pivotButton="0" quotePrefix="0" xfId="0"/>
    <xf numFmtId="0" fontId="9970" fillId="9975" borderId="9910" pivotButton="0" quotePrefix="0" xfId="0"/>
    <xf numFmtId="0" fontId="9971" fillId="9976" borderId="9911" pivotButton="0" quotePrefix="0" xfId="0"/>
    <xf numFmtId="0" fontId="9972" fillId="9977" borderId="9912" pivotButton="0" quotePrefix="0" xfId="0"/>
    <xf numFmtId="0" fontId="9973" fillId="9978" borderId="9913" pivotButton="0" quotePrefix="0" xfId="0"/>
    <xf numFmtId="0" fontId="9974" fillId="9979" borderId="9914" pivotButton="0" quotePrefix="0" xfId="0"/>
    <xf numFmtId="0" fontId="9975" fillId="9980" borderId="9915" pivotButton="0" quotePrefix="0" xfId="0"/>
    <xf numFmtId="14" fontId="9976" fillId="9981" borderId="9916" pivotButton="0" quotePrefix="0" xfId="0"/>
    <xf numFmtId="0" fontId="9977" fillId="9982" borderId="9917" pivotButton="0" quotePrefix="0" xfId="0"/>
    <xf numFmtId="14" fontId="9978" fillId="9983" borderId="9918" pivotButton="0" quotePrefix="0" xfId="0"/>
    <xf numFmtId="0" fontId="9979" fillId="9984" borderId="9919" pivotButton="0" quotePrefix="0" xfId="0"/>
    <xf numFmtId="0" fontId="9980" fillId="9985" borderId="9920" pivotButton="0" quotePrefix="0" xfId="0"/>
    <xf numFmtId="0" fontId="9981" fillId="9986" borderId="9921" pivotButton="0" quotePrefix="0" xfId="0"/>
    <xf numFmtId="0" fontId="9982" fillId="9987" borderId="9922" pivotButton="0" quotePrefix="0" xfId="0"/>
    <xf numFmtId="0" fontId="9983" fillId="9988" borderId="9923" pivotButton="0" quotePrefix="0" xfId="0"/>
    <xf numFmtId="0" fontId="9984" fillId="9989" borderId="9924" pivotButton="0" quotePrefix="0" xfId="0"/>
    <xf numFmtId="0" fontId="9985" fillId="9990" borderId="9925" pivotButton="0" quotePrefix="0" xfId="0"/>
    <xf numFmtId="14" fontId="9986" fillId="9991" borderId="9926" pivotButton="0" quotePrefix="0" xfId="0"/>
    <xf numFmtId="0" fontId="9987" fillId="9992" borderId="9927" pivotButton="0" quotePrefix="0" xfId="0"/>
    <xf numFmtId="14" fontId="9988" fillId="9993" borderId="9928" pivotButton="0" quotePrefix="0" xfId="0"/>
    <xf numFmtId="0" fontId="9989" fillId="9994" borderId="9929" pivotButton="0" quotePrefix="0" xfId="0"/>
    <xf numFmtId="0" fontId="9990" fillId="9995" borderId="9930" pivotButton="0" quotePrefix="0" xfId="0"/>
    <xf numFmtId="0" fontId="9991" fillId="9996" borderId="9931" pivotButton="0" quotePrefix="0" xfId="0"/>
    <xf numFmtId="0" fontId="9992" fillId="9997" borderId="9932" pivotButton="0" quotePrefix="0" xfId="0"/>
    <xf numFmtId="0" fontId="9993" fillId="9998" borderId="9933" pivotButton="0" quotePrefix="0" xfId="0"/>
    <xf numFmtId="0" fontId="9994" fillId="9999" borderId="9934" pivotButton="0" quotePrefix="0" xfId="0"/>
    <xf numFmtId="0" fontId="9995" fillId="10000" borderId="9935" pivotButton="0" quotePrefix="0" xfId="0"/>
    <xf numFmtId="14" fontId="9996" fillId="10001" borderId="9936" pivotButton="0" quotePrefix="0" xfId="0"/>
    <xf numFmtId="0" fontId="9997" fillId="10002" borderId="9937" pivotButton="0" quotePrefix="0" xfId="0"/>
    <xf numFmtId="14" fontId="9998" fillId="10003" borderId="9938" pivotButton="0" quotePrefix="0" xfId="0"/>
    <xf numFmtId="0" fontId="9999" fillId="10004" borderId="9939" pivotButton="0" quotePrefix="0" xfId="0"/>
    <xf numFmtId="0" fontId="10000" fillId="10005" borderId="9940" pivotButton="0" quotePrefix="0" xfId="0"/>
    <xf numFmtId="0" fontId="10001" fillId="10006" borderId="9941" pivotButton="0" quotePrefix="0" xfId="0"/>
    <xf numFmtId="0" fontId="10002" fillId="10007" borderId="9942" pivotButton="0" quotePrefix="0" xfId="0"/>
    <xf numFmtId="0" fontId="10003" fillId="10008" borderId="9943" pivotButton="0" quotePrefix="0" xfId="0"/>
    <xf numFmtId="0" fontId="10004" fillId="10009" borderId="9944" pivotButton="0" quotePrefix="0" xfId="0"/>
    <xf numFmtId="0" fontId="10005" fillId="10010" borderId="9945" pivotButton="0" quotePrefix="0" xfId="0"/>
    <xf numFmtId="14" fontId="10006" fillId="10011" borderId="9946" pivotButton="0" quotePrefix="0" xfId="0"/>
    <xf numFmtId="0" fontId="10007" fillId="10012" borderId="9947" pivotButton="0" quotePrefix="0" xfId="0"/>
    <xf numFmtId="14" fontId="10008" fillId="10013" borderId="9948" pivotButton="0" quotePrefix="0" xfId="0"/>
    <xf numFmtId="0" fontId="10009" fillId="10014" borderId="9949" pivotButton="0" quotePrefix="0" xfId="0"/>
    <xf numFmtId="0" fontId="10010" fillId="10015" borderId="9950" pivotButton="0" quotePrefix="0" xfId="0"/>
    <xf numFmtId="0" fontId="10011" fillId="10016" borderId="9951" pivotButton="0" quotePrefix="0" xfId="0"/>
    <xf numFmtId="0" fontId="10012" fillId="10017" borderId="9952" pivotButton="0" quotePrefix="0" xfId="0"/>
    <xf numFmtId="0" fontId="10013" fillId="10018" borderId="9953" pivotButton="0" quotePrefix="0" xfId="0"/>
    <xf numFmtId="0" fontId="10014" fillId="10019" borderId="9954" pivotButton="0" quotePrefix="0" xfId="0"/>
    <xf numFmtId="0" fontId="10015" fillId="10020" borderId="9955" pivotButton="0" quotePrefix="0" xfId="0"/>
    <xf numFmtId="14" fontId="10016" fillId="10021" borderId="9956" pivotButton="0" quotePrefix="0" xfId="0"/>
    <xf numFmtId="0" fontId="10017" fillId="10022" borderId="9957" pivotButton="0" quotePrefix="0" xfId="0"/>
    <xf numFmtId="14" fontId="10018" fillId="10023" borderId="9958" pivotButton="0" quotePrefix="0" xfId="0"/>
    <xf numFmtId="0" fontId="10019" fillId="10024" borderId="9959" pivotButton="0" quotePrefix="0" xfId="0"/>
    <xf numFmtId="0" fontId="10020" fillId="10025" borderId="9960" pivotButton="0" quotePrefix="0" xfId="0"/>
    <xf numFmtId="0" fontId="10021" fillId="10026" borderId="9961" pivotButton="0" quotePrefix="0" xfId="0"/>
    <xf numFmtId="0" fontId="10022" fillId="10027" borderId="9962" pivotButton="0" quotePrefix="0" xfId="0"/>
    <xf numFmtId="0" fontId="10023" fillId="10028" borderId="9963" pivotButton="0" quotePrefix="0" xfId="0"/>
    <xf numFmtId="0" fontId="10024" fillId="10029" borderId="9964" pivotButton="0" quotePrefix="0" xfId="0"/>
    <xf numFmtId="0" fontId="10025" fillId="10030" borderId="9965" pivotButton="0" quotePrefix="0" xfId="0"/>
    <xf numFmtId="14" fontId="10026" fillId="10031" borderId="9966" pivotButton="0" quotePrefix="0" xfId="0"/>
    <xf numFmtId="0" fontId="10027" fillId="10032" borderId="9967" pivotButton="0" quotePrefix="0" xfId="0"/>
    <xf numFmtId="14" fontId="10028" fillId="10033" borderId="9968" pivotButton="0" quotePrefix="0" xfId="0"/>
    <xf numFmtId="0" fontId="10029" fillId="10034" borderId="9969" pivotButton="0" quotePrefix="0" xfId="0"/>
    <xf numFmtId="0" fontId="10030" fillId="10035" borderId="9970" pivotButton="0" quotePrefix="0" xfId="0"/>
    <xf numFmtId="0" fontId="10031" fillId="10036" borderId="9971" pivotButton="0" quotePrefix="0" xfId="0"/>
    <xf numFmtId="0" fontId="10032" fillId="10037" borderId="9972" pivotButton="0" quotePrefix="0" xfId="0"/>
    <xf numFmtId="0" fontId="10033" fillId="10038" borderId="9973" pivotButton="0" quotePrefix="0" xfId="0"/>
    <xf numFmtId="0" fontId="10034" fillId="10039" borderId="9974" pivotButton="0" quotePrefix="0" xfId="0"/>
    <xf numFmtId="0" fontId="10035" fillId="10040" borderId="9975" pivotButton="0" quotePrefix="0" xfId="0"/>
    <xf numFmtId="14" fontId="10036" fillId="10041" borderId="9976" pivotButton="0" quotePrefix="0" xfId="0"/>
    <xf numFmtId="0" fontId="10037" fillId="10042" borderId="9977" pivotButton="0" quotePrefix="0" xfId="0"/>
    <xf numFmtId="14" fontId="10038" fillId="10043" borderId="9978" pivotButton="0" quotePrefix="0" xfId="0"/>
    <xf numFmtId="0" fontId="10039" fillId="10044" borderId="9979" pivotButton="0" quotePrefix="0" xfId="0"/>
    <xf numFmtId="0" fontId="10040" fillId="10045" borderId="9980" pivotButton="0" quotePrefix="0" xfId="0"/>
    <xf numFmtId="0" fontId="10041" fillId="10046" borderId="9981" pivotButton="0" quotePrefix="0" xfId="0"/>
    <xf numFmtId="0" fontId="10042" fillId="10047" borderId="9982" pivotButton="0" quotePrefix="0" xfId="0"/>
    <xf numFmtId="0" fontId="10043" fillId="10048" borderId="9983" pivotButton="0" quotePrefix="0" xfId="0"/>
    <xf numFmtId="0" fontId="10044" fillId="10049" borderId="9984" pivotButton="0" quotePrefix="0" xfId="0"/>
    <xf numFmtId="0" fontId="10045" fillId="10050" borderId="9985" pivotButton="0" quotePrefix="0" xfId="0"/>
    <xf numFmtId="14" fontId="10046" fillId="10051" borderId="9986" pivotButton="0" quotePrefix="0" xfId="0"/>
    <xf numFmtId="0" fontId="10047" fillId="10052" borderId="9987" pivotButton="0" quotePrefix="0" xfId="0"/>
    <xf numFmtId="14" fontId="10048" fillId="10053" borderId="9988" pivotButton="0" quotePrefix="0" xfId="0"/>
    <xf numFmtId="0" fontId="10049" fillId="10054" borderId="9989" pivotButton="0" quotePrefix="0" xfId="0"/>
    <xf numFmtId="0" fontId="10050" fillId="10055" borderId="9990" pivotButton="0" quotePrefix="0" xfId="0"/>
    <xf numFmtId="0" fontId="10051" fillId="10056" borderId="9991" pivotButton="0" quotePrefix="0" xfId="0"/>
    <xf numFmtId="0" fontId="10052" fillId="10057" borderId="9992" pivotButton="0" quotePrefix="0" xfId="0"/>
    <xf numFmtId="0" fontId="10053" fillId="10058" borderId="9993" pivotButton="0" quotePrefix="0" xfId="0"/>
    <xf numFmtId="0" fontId="10054" fillId="10059" borderId="9994" pivotButton="0" quotePrefix="0" xfId="0"/>
    <xf numFmtId="0" fontId="10055" fillId="10060" borderId="9995" pivotButton="0" quotePrefix="0" xfId="0"/>
    <xf numFmtId="14" fontId="10056" fillId="10061" borderId="9996" pivotButton="0" quotePrefix="0" xfId="0"/>
    <xf numFmtId="0" fontId="10057" fillId="10062" borderId="9997" pivotButton="0" quotePrefix="0" xfId="0"/>
    <xf numFmtId="14" fontId="10058" fillId="10063" borderId="9998" pivotButton="0" quotePrefix="0" xfId="0"/>
    <xf numFmtId="0" fontId="10059" fillId="10064" borderId="9999" pivotButton="0" quotePrefix="0" xfId="0"/>
    <xf numFmtId="0" fontId="10060" fillId="10065" borderId="10000" pivotButton="0" quotePrefix="0" xfId="0"/>
    <xf numFmtId="0" fontId="10061" fillId="10066" borderId="10001" pivotButton="0" quotePrefix="0" xfId="0"/>
    <xf numFmtId="0" fontId="10062" fillId="10067" borderId="10002" pivotButton="0" quotePrefix="0" xfId="0"/>
    <xf numFmtId="0" fontId="10063" fillId="10068" borderId="10003" pivotButton="0" quotePrefix="0" xfId="0"/>
    <xf numFmtId="0" fontId="10064" fillId="10069" borderId="10004" pivotButton="0" quotePrefix="0" xfId="0"/>
    <xf numFmtId="0" fontId="10065" fillId="10070" borderId="10005" pivotButton="0" quotePrefix="0" xfId="0"/>
    <xf numFmtId="14" fontId="10066" fillId="10071" borderId="10006" pivotButton="0" quotePrefix="0" xfId="0"/>
    <xf numFmtId="0" fontId="10067" fillId="10072" borderId="10007" pivotButton="0" quotePrefix="0" xfId="0"/>
    <xf numFmtId="14" fontId="10068" fillId="10073" borderId="10008" pivotButton="0" quotePrefix="0" xfId="0"/>
    <xf numFmtId="0" fontId="10069" fillId="10074" borderId="10009" pivotButton="0" quotePrefix="0" xfId="0"/>
    <xf numFmtId="0" fontId="10070" fillId="10075" borderId="10010" pivotButton="0" quotePrefix="0" xfId="0"/>
    <xf numFmtId="0" fontId="10071" fillId="10076" borderId="10011" pivotButton="0" quotePrefix="0" xfId="0"/>
    <xf numFmtId="0" fontId="10072" fillId="10077" borderId="10012" pivotButton="0" quotePrefix="0" xfId="0"/>
    <xf numFmtId="0" fontId="10073" fillId="10078" borderId="10013" pivotButton="0" quotePrefix="0" xfId="0"/>
    <xf numFmtId="0" fontId="10074" fillId="10079" borderId="10014" pivotButton="0" quotePrefix="0" xfId="0"/>
    <xf numFmtId="0" fontId="10075" fillId="10080" borderId="10015" pivotButton="0" quotePrefix="0" xfId="0"/>
    <xf numFmtId="14" fontId="10076" fillId="10081" borderId="10016" pivotButton="0" quotePrefix="0" xfId="0"/>
    <xf numFmtId="0" fontId="10077" fillId="10082" borderId="10017" pivotButton="0" quotePrefix="0" xfId="0"/>
    <xf numFmtId="14" fontId="10078" fillId="10083" borderId="10018" pivotButton="0" quotePrefix="0" xfId="0"/>
    <xf numFmtId="0" fontId="10079" fillId="10084" borderId="10019" pivotButton="0" quotePrefix="0" xfId="0"/>
    <xf numFmtId="0" fontId="10080" fillId="10085" borderId="10020" pivotButton="0" quotePrefix="0" xfId="0"/>
    <xf numFmtId="0" fontId="10081" fillId="10086" borderId="10021" pivotButton="0" quotePrefix="0" xfId="0"/>
    <xf numFmtId="0" fontId="10082" fillId="10087" borderId="10022" pivotButton="0" quotePrefix="0" xfId="0"/>
    <xf numFmtId="0" fontId="10083" fillId="10088" borderId="10023" pivotButton="0" quotePrefix="0" xfId="0"/>
    <xf numFmtId="0" fontId="10084" fillId="10089" borderId="10024" pivotButton="0" quotePrefix="0" xfId="0"/>
    <xf numFmtId="0" fontId="10085" fillId="10090" borderId="10025" pivotButton="0" quotePrefix="0" xfId="0"/>
    <xf numFmtId="14" fontId="10086" fillId="10091" borderId="10026" pivotButton="0" quotePrefix="0" xfId="0"/>
    <xf numFmtId="0" fontId="10087" fillId="10092" borderId="10027" pivotButton="0" quotePrefix="0" xfId="0"/>
    <xf numFmtId="14" fontId="10088" fillId="10093" borderId="10028" pivotButton="0" quotePrefix="0" xfId="0"/>
    <xf numFmtId="0" fontId="10089" fillId="10094" borderId="10029" pivotButton="0" quotePrefix="0" xfId="0"/>
    <xf numFmtId="0" fontId="10090" fillId="10095" borderId="10030" pivotButton="0" quotePrefix="0" xfId="0"/>
    <xf numFmtId="0" fontId="10091" fillId="10096" borderId="10031" pivotButton="0" quotePrefix="0" xfId="0"/>
    <xf numFmtId="0" fontId="10092" fillId="10097" borderId="10032" pivotButton="0" quotePrefix="0" xfId="0"/>
    <xf numFmtId="0" fontId="10093" fillId="10098" borderId="10033" pivotButton="0" quotePrefix="0" xfId="0"/>
    <xf numFmtId="0" fontId="10094" fillId="10099" borderId="10034" pivotButton="0" quotePrefix="0" xfId="0"/>
    <xf numFmtId="0" fontId="10095" fillId="10100" borderId="10035" pivotButton="0" quotePrefix="0" xfId="0"/>
    <xf numFmtId="14" fontId="10096" fillId="10101" borderId="10036" pivotButton="0" quotePrefix="0" xfId="0"/>
    <xf numFmtId="0" fontId="10097" fillId="10102" borderId="10037" pivotButton="0" quotePrefix="0" xfId="0"/>
    <xf numFmtId="14" fontId="10098" fillId="10103" borderId="10038" pivotButton="0" quotePrefix="0" xfId="0"/>
    <xf numFmtId="0" fontId="10099" fillId="10104" borderId="10039" pivotButton="0" quotePrefix="0" xfId="0"/>
    <xf numFmtId="0" fontId="10100" fillId="10105" borderId="10040" pivotButton="0" quotePrefix="0" xfId="0"/>
    <xf numFmtId="0" fontId="10101" fillId="10106" borderId="10041" pivotButton="0" quotePrefix="0" xfId="0"/>
    <xf numFmtId="0" fontId="10102" fillId="10107" borderId="10042" pivotButton="0" quotePrefix="0" xfId="0"/>
    <xf numFmtId="0" fontId="10103" fillId="10108" borderId="10043" pivotButton="0" quotePrefix="0" xfId="0"/>
    <xf numFmtId="0" fontId="10104" fillId="10109" borderId="10044" pivotButton="0" quotePrefix="0" xfId="0"/>
    <xf numFmtId="0" fontId="10105" fillId="10110" borderId="10045" pivotButton="0" quotePrefix="0" xfId="0"/>
    <xf numFmtId="14" fontId="10106" fillId="10111" borderId="10046" pivotButton="0" quotePrefix="0" xfId="0"/>
    <xf numFmtId="0" fontId="10107" fillId="10112" borderId="10047" pivotButton="0" quotePrefix="0" xfId="0"/>
    <xf numFmtId="14" fontId="10108" fillId="10113" borderId="10048" pivotButton="0" quotePrefix="0" xfId="0"/>
    <xf numFmtId="0" fontId="10109" fillId="10114" borderId="10049" pivotButton="0" quotePrefix="0" xfId="0"/>
    <xf numFmtId="0" fontId="10110" fillId="10115" borderId="10050" pivotButton="0" quotePrefix="0" xfId="0"/>
    <xf numFmtId="0" fontId="10111" fillId="10116" borderId="10051" pivotButton="0" quotePrefix="0" xfId="0"/>
    <xf numFmtId="0" fontId="10112" fillId="10117" borderId="10052" pivotButton="0" quotePrefix="0" xfId="0"/>
    <xf numFmtId="0" fontId="10113" fillId="10118" borderId="10053" pivotButton="0" quotePrefix="0" xfId="0"/>
    <xf numFmtId="0" fontId="10114" fillId="10119" borderId="10054" pivotButton="0" quotePrefix="0" xfId="0"/>
    <xf numFmtId="0" fontId="10115" fillId="10120" borderId="10055" pivotButton="0" quotePrefix="0" xfId="0"/>
    <xf numFmtId="14" fontId="10116" fillId="10121" borderId="10056" pivotButton="0" quotePrefix="0" xfId="0"/>
    <xf numFmtId="0" fontId="10117" fillId="10122" borderId="10057" pivotButton="0" quotePrefix="0" xfId="0"/>
    <xf numFmtId="14" fontId="10118" fillId="10123" borderId="10058" pivotButton="0" quotePrefix="0" xfId="0"/>
    <xf numFmtId="0" fontId="10119" fillId="10124" borderId="10059" pivotButton="0" quotePrefix="0" xfId="0"/>
    <xf numFmtId="0" fontId="10120" fillId="10125" borderId="10060" pivotButton="0" quotePrefix="0" xfId="0"/>
    <xf numFmtId="0" fontId="10121" fillId="10126" borderId="10061" pivotButton="0" quotePrefix="0" xfId="0"/>
    <xf numFmtId="0" fontId="10122" fillId="10127" borderId="10062" pivotButton="0" quotePrefix="0" xfId="0"/>
    <xf numFmtId="0" fontId="10123" fillId="10128" borderId="10063" pivotButton="0" quotePrefix="0" xfId="0"/>
    <xf numFmtId="0" fontId="10124" fillId="10129" borderId="10064" pivotButton="0" quotePrefix="0" xfId="0"/>
    <xf numFmtId="0" fontId="10125" fillId="10130" borderId="10065" pivotButton="0" quotePrefix="0" xfId="0"/>
    <xf numFmtId="14" fontId="10126" fillId="10131" borderId="10066" pivotButton="0" quotePrefix="0" xfId="0"/>
    <xf numFmtId="0" fontId="10127" fillId="10132" borderId="10067" pivotButton="0" quotePrefix="0" xfId="0"/>
    <xf numFmtId="14" fontId="10128" fillId="10133" borderId="10068" pivotButton="0" quotePrefix="0" xfId="0"/>
    <xf numFmtId="0" fontId="10129" fillId="10134" borderId="10069" pivotButton="0" quotePrefix="0" xfId="0"/>
    <xf numFmtId="0" fontId="10130" fillId="10135" borderId="10070" pivotButton="0" quotePrefix="0" xfId="0"/>
    <xf numFmtId="0" fontId="10131" fillId="10136" borderId="10071" pivotButton="0" quotePrefix="0" xfId="0"/>
    <xf numFmtId="0" fontId="10132" fillId="10137" borderId="10072" pivotButton="0" quotePrefix="0" xfId="0"/>
    <xf numFmtId="0" fontId="10133" fillId="10138" borderId="10073" pivotButton="0" quotePrefix="0" xfId="0"/>
    <xf numFmtId="0" fontId="10134" fillId="10139" borderId="10074" pivotButton="0" quotePrefix="0" xfId="0"/>
    <xf numFmtId="0" fontId="10135" fillId="10140" borderId="10075" pivotButton="0" quotePrefix="0" xfId="0"/>
    <xf numFmtId="14" fontId="10136" fillId="10141" borderId="10076" pivotButton="0" quotePrefix="0" xfId="0"/>
    <xf numFmtId="0" fontId="10137" fillId="10142" borderId="10077" pivotButton="0" quotePrefix="0" xfId="0"/>
    <xf numFmtId="14" fontId="10138" fillId="10143" borderId="10078" pivotButton="0" quotePrefix="0" xfId="0"/>
    <xf numFmtId="0" fontId="10139" fillId="10144" borderId="10079" pivotButton="0" quotePrefix="0" xfId="0"/>
    <xf numFmtId="0" fontId="10140" fillId="10145" borderId="10080" pivotButton="0" quotePrefix="0" xfId="0"/>
    <xf numFmtId="0" fontId="10141" fillId="10146" borderId="10081" pivotButton="0" quotePrefix="0" xfId="0"/>
    <xf numFmtId="0" fontId="10142" fillId="10147" borderId="10082" pivotButton="0" quotePrefix="0" xfId="0"/>
    <xf numFmtId="0" fontId="10143" fillId="10148" borderId="10083" pivotButton="0" quotePrefix="0" xfId="0"/>
    <xf numFmtId="0" fontId="10144" fillId="10149" borderId="10084" pivotButton="0" quotePrefix="0" xfId="0"/>
    <xf numFmtId="0" fontId="10145" fillId="10150" borderId="10085" pivotButton="0" quotePrefix="0" xfId="0"/>
    <xf numFmtId="14" fontId="10146" fillId="10151" borderId="10086" pivotButton="0" quotePrefix="0" xfId="0"/>
    <xf numFmtId="0" fontId="10147" fillId="10152" borderId="10087" pivotButton="0" quotePrefix="0" xfId="0"/>
    <xf numFmtId="14" fontId="10148" fillId="10153" borderId="10088" pivotButton="0" quotePrefix="0" xfId="0"/>
    <xf numFmtId="0" fontId="10149" fillId="10154" borderId="10089" pivotButton="0" quotePrefix="0" xfId="0"/>
    <xf numFmtId="0" fontId="10150" fillId="10155" borderId="10090" pivotButton="0" quotePrefix="0" xfId="0"/>
    <xf numFmtId="0" fontId="10151" fillId="10156" borderId="10091" pivotButton="0" quotePrefix="0" xfId="0"/>
    <xf numFmtId="0" fontId="10152" fillId="10157" borderId="10092" pivotButton="0" quotePrefix="0" xfId="0"/>
    <xf numFmtId="0" fontId="10153" fillId="10158" borderId="10093" pivotButton="0" quotePrefix="0" xfId="0"/>
    <xf numFmtId="0" fontId="10154" fillId="10159" borderId="10094" pivotButton="0" quotePrefix="0" xfId="0"/>
    <xf numFmtId="0" fontId="10155" fillId="10160" borderId="10095" pivotButton="0" quotePrefix="0" xfId="0"/>
    <xf numFmtId="14" fontId="10156" fillId="10161" borderId="10096" pivotButton="0" quotePrefix="0" xfId="0"/>
    <xf numFmtId="0" fontId="10157" fillId="10162" borderId="10097" pivotButton="0" quotePrefix="0" xfId="0"/>
    <xf numFmtId="14" fontId="10158" fillId="10163" borderId="10098" pivotButton="0" quotePrefix="0" xfId="0"/>
    <xf numFmtId="0" fontId="10159" fillId="10164" borderId="10099" pivotButton="0" quotePrefix="0" xfId="0"/>
    <xf numFmtId="0" fontId="10160" fillId="10165" borderId="10100" pivotButton="0" quotePrefix="0" xfId="0"/>
    <xf numFmtId="0" fontId="10161" fillId="10166" borderId="10101" pivotButton="0" quotePrefix="0" xfId="0"/>
    <xf numFmtId="0" fontId="10162" fillId="10167" borderId="10102" pivotButton="0" quotePrefix="0" xfId="0"/>
    <xf numFmtId="0" fontId="10163" fillId="10168" borderId="10103" pivotButton="0" quotePrefix="0" xfId="0"/>
    <xf numFmtId="0" fontId="10164" fillId="10169" borderId="10104" pivotButton="0" quotePrefix="0" xfId="0"/>
    <xf numFmtId="0" fontId="10165" fillId="10170" borderId="10105" pivotButton="0" quotePrefix="0" xfId="0"/>
    <xf numFmtId="14" fontId="10166" fillId="10171" borderId="10106" pivotButton="0" quotePrefix="0" xfId="0"/>
    <xf numFmtId="0" fontId="10167" fillId="10172" borderId="10107" pivotButton="0" quotePrefix="0" xfId="0"/>
    <xf numFmtId="14" fontId="10168" fillId="10173" borderId="10108" pivotButton="0" quotePrefix="0" xfId="0"/>
    <xf numFmtId="0" fontId="10169" fillId="10174" borderId="10109" pivotButton="0" quotePrefix="0" xfId="0"/>
    <xf numFmtId="0" fontId="10170" fillId="10175" borderId="10110" pivotButton="0" quotePrefix="0" xfId="0"/>
    <xf numFmtId="0" fontId="10171" fillId="10176" borderId="10111" pivotButton="0" quotePrefix="0" xfId="0"/>
    <xf numFmtId="0" fontId="10172" fillId="10177" borderId="10112" pivotButton="0" quotePrefix="0" xfId="0"/>
    <xf numFmtId="0" fontId="10173" fillId="10178" borderId="10113" pivotButton="0" quotePrefix="0" xfId="0"/>
    <xf numFmtId="0" fontId="10174" fillId="10179" borderId="10114" pivotButton="0" quotePrefix="0" xfId="0"/>
    <xf numFmtId="0" fontId="10175" fillId="10180" borderId="10115" pivotButton="0" quotePrefix="0" xfId="0"/>
    <xf numFmtId="14" fontId="10176" fillId="10181" borderId="10116" pivotButton="0" quotePrefix="0" xfId="0"/>
    <xf numFmtId="0" fontId="10177" fillId="10182" borderId="10117" pivotButton="0" quotePrefix="0" xfId="0"/>
    <xf numFmtId="14" fontId="10178" fillId="10183" borderId="10118" pivotButton="0" quotePrefix="0" xfId="0"/>
    <xf numFmtId="0" fontId="10179" fillId="10184" borderId="10119" pivotButton="0" quotePrefix="0" xfId="0"/>
    <xf numFmtId="0" fontId="10180" fillId="10185" borderId="10120" pivotButton="0" quotePrefix="0" xfId="0"/>
    <xf numFmtId="0" fontId="10181" fillId="10186" borderId="10121" pivotButton="0" quotePrefix="0" xfId="0"/>
    <xf numFmtId="0" fontId="10182" fillId="10187" borderId="10122" pivotButton="0" quotePrefix="0" xfId="0"/>
    <xf numFmtId="0" fontId="10183" fillId="10188" borderId="10123" pivotButton="0" quotePrefix="0" xfId="0"/>
    <xf numFmtId="0" fontId="10184" fillId="10189" borderId="10124" pivotButton="0" quotePrefix="0" xfId="0"/>
    <xf numFmtId="0" fontId="10185" fillId="10190" borderId="10125" pivotButton="0" quotePrefix="0" xfId="0"/>
    <xf numFmtId="14" fontId="10186" fillId="10191" borderId="10126" pivotButton="0" quotePrefix="0" xfId="0"/>
    <xf numFmtId="0" fontId="10187" fillId="10192" borderId="10127" pivotButton="0" quotePrefix="0" xfId="0"/>
    <xf numFmtId="14" fontId="10188" fillId="10193" borderId="10128" pivotButton="0" quotePrefix="0" xfId="0"/>
    <xf numFmtId="0" fontId="10189" fillId="10194" borderId="10129" pivotButton="0" quotePrefix="0" xfId="0"/>
    <xf numFmtId="0" fontId="10190" fillId="10195" borderId="10130" pivotButton="0" quotePrefix="0" xfId="0"/>
    <xf numFmtId="0" fontId="10191" fillId="10196" borderId="10131" pivotButton="0" quotePrefix="0" xfId="0"/>
    <xf numFmtId="0" fontId="10192" fillId="10197" borderId="10132" pivotButton="0" quotePrefix="0" xfId="0"/>
    <xf numFmtId="0" fontId="10193" fillId="10198" borderId="10133" pivotButton="0" quotePrefix="0" xfId="0"/>
    <xf numFmtId="0" fontId="10194" fillId="10199" borderId="10134" pivotButton="0" quotePrefix="0" xfId="0"/>
    <xf numFmtId="0" fontId="10195" fillId="10200" borderId="10135" pivotButton="0" quotePrefix="0" xfId="0"/>
    <xf numFmtId="14" fontId="10196" fillId="10201" borderId="10136" pivotButton="0" quotePrefix="0" xfId="0"/>
    <xf numFmtId="0" fontId="10197" fillId="10202" borderId="10137" pivotButton="0" quotePrefix="0" xfId="0"/>
    <xf numFmtId="14" fontId="10198" fillId="10203" borderId="10138" pivotButton="0" quotePrefix="0" xfId="0"/>
    <xf numFmtId="0" fontId="10199" fillId="10204" borderId="10139" pivotButton="0" quotePrefix="0" xfId="0"/>
    <xf numFmtId="0" fontId="10200" fillId="10205" borderId="10140" pivotButton="0" quotePrefix="0" xfId="0"/>
    <xf numFmtId="0" fontId="10201" fillId="10206" borderId="10141" pivotButton="0" quotePrefix="0" xfId="0"/>
    <xf numFmtId="0" fontId="10202" fillId="10207" borderId="10142" pivotButton="0" quotePrefix="0" xfId="0"/>
    <xf numFmtId="0" fontId="10203" fillId="10208" borderId="10143" pivotButton="0" quotePrefix="0" xfId="0"/>
    <xf numFmtId="0" fontId="10204" fillId="10209" borderId="10144" pivotButton="0" quotePrefix="0" xfId="0"/>
    <xf numFmtId="0" fontId="10205" fillId="10210" borderId="10145" pivotButton="0" quotePrefix="0" xfId="0"/>
    <xf numFmtId="14" fontId="10206" fillId="10211" borderId="10146" pivotButton="0" quotePrefix="0" xfId="0"/>
    <xf numFmtId="0" fontId="10207" fillId="10212" borderId="10147" pivotButton="0" quotePrefix="0" xfId="0"/>
    <xf numFmtId="14" fontId="10208" fillId="10213" borderId="10148" pivotButton="0" quotePrefix="0" xfId="0"/>
    <xf numFmtId="0" fontId="10209" fillId="10214" borderId="10149" pivotButton="0" quotePrefix="0" xfId="0"/>
    <xf numFmtId="0" fontId="10210" fillId="10215" borderId="10150" pivotButton="0" quotePrefix="0" xfId="0"/>
    <xf numFmtId="0" fontId="10211" fillId="10216" borderId="10151" pivotButton="0" quotePrefix="0" xfId="0"/>
    <xf numFmtId="0" fontId="10212" fillId="10217" borderId="10152" pivotButton="0" quotePrefix="0" xfId="0"/>
    <xf numFmtId="0" fontId="10213" fillId="10218" borderId="10153" pivotButton="0" quotePrefix="0" xfId="0"/>
    <xf numFmtId="0" fontId="10214" fillId="10219" borderId="10154" pivotButton="0" quotePrefix="0" xfId="0"/>
    <xf numFmtId="0" fontId="10215" fillId="10220" borderId="10155" pivotButton="0" quotePrefix="0" xfId="0"/>
    <xf numFmtId="14" fontId="10216" fillId="10221" borderId="10156" pivotButton="0" quotePrefix="0" xfId="0"/>
    <xf numFmtId="0" fontId="10217" fillId="10222" borderId="10157" pivotButton="0" quotePrefix="0" xfId="0"/>
    <xf numFmtId="14" fontId="10218" fillId="10223" borderId="10158" pivotButton="0" quotePrefix="0" xfId="0"/>
    <xf numFmtId="0" fontId="10219" fillId="10224" borderId="10159" pivotButton="0" quotePrefix="0" xfId="0"/>
    <xf numFmtId="0" fontId="10220" fillId="10225" borderId="10160" pivotButton="0" quotePrefix="0" xfId="0"/>
    <xf numFmtId="0" fontId="10221" fillId="10226" borderId="10161" pivotButton="0" quotePrefix="0" xfId="0"/>
    <xf numFmtId="0" fontId="10222" fillId="10227" borderId="10162" pivotButton="0" quotePrefix="0" xfId="0"/>
    <xf numFmtId="0" fontId="10223" fillId="10228" borderId="10163" pivotButton="0" quotePrefix="0" xfId="0"/>
    <xf numFmtId="0" fontId="10224" fillId="10229" borderId="10164" pivotButton="0" quotePrefix="0" xfId="0"/>
    <xf numFmtId="0" fontId="10225" fillId="10230" borderId="10165" pivotButton="0" quotePrefix="0" xfId="0"/>
    <xf numFmtId="14" fontId="10226" fillId="10231" borderId="10166" pivotButton="0" quotePrefix="0" xfId="0"/>
    <xf numFmtId="0" fontId="10227" fillId="10232" borderId="10167" pivotButton="0" quotePrefix="0" xfId="0"/>
    <xf numFmtId="14" fontId="10228" fillId="10233" borderId="10168" pivotButton="0" quotePrefix="0" xfId="0"/>
    <xf numFmtId="0" fontId="10229" fillId="10234" borderId="10169" pivotButton="0" quotePrefix="0" xfId="0"/>
    <xf numFmtId="0" fontId="10230" fillId="10235" borderId="10170" pivotButton="0" quotePrefix="0" xfId="0"/>
    <xf numFmtId="0" fontId="10231" fillId="10236" borderId="10171" pivotButton="0" quotePrefix="0" xfId="0"/>
    <xf numFmtId="0" fontId="10232" fillId="10237" borderId="10172" pivotButton="0" quotePrefix="0" xfId="0"/>
    <xf numFmtId="0" fontId="10233" fillId="10238" borderId="10173" pivotButton="0" quotePrefix="0" xfId="0"/>
    <xf numFmtId="0" fontId="10234" fillId="10239" borderId="10174" pivotButton="0" quotePrefix="0" xfId="0"/>
    <xf numFmtId="0" fontId="10235" fillId="10240" borderId="10175" pivotButton="0" quotePrefix="0" xfId="0"/>
    <xf numFmtId="14" fontId="10236" fillId="10241" borderId="10176" pivotButton="0" quotePrefix="0" xfId="0"/>
    <xf numFmtId="0" fontId="10237" fillId="10242" borderId="10177" pivotButton="0" quotePrefix="0" xfId="0"/>
    <xf numFmtId="14" fontId="10238" fillId="10243" borderId="10178" pivotButton="0" quotePrefix="0" xfId="0"/>
    <xf numFmtId="0" fontId="10239" fillId="10244" borderId="10179" pivotButton="0" quotePrefix="0" xfId="0"/>
    <xf numFmtId="0" fontId="10240" fillId="10245" borderId="10180" pivotButton="0" quotePrefix="0" xfId="0"/>
    <xf numFmtId="0" fontId="10241" fillId="10246" borderId="10181" pivotButton="0" quotePrefix="0" xfId="0"/>
    <xf numFmtId="0" fontId="10242" fillId="10247" borderId="10182" pivotButton="0" quotePrefix="0" xfId="0"/>
    <xf numFmtId="0" fontId="10243" fillId="10248" borderId="10183" pivotButton="0" quotePrefix="0" xfId="0"/>
    <xf numFmtId="0" fontId="10244" fillId="10249" borderId="10184" pivotButton="0" quotePrefix="0" xfId="0"/>
    <xf numFmtId="0" fontId="10245" fillId="10250" borderId="10185" pivotButton="0" quotePrefix="0" xfId="0"/>
    <xf numFmtId="14" fontId="10246" fillId="10251" borderId="10186" pivotButton="0" quotePrefix="0" xfId="0"/>
    <xf numFmtId="0" fontId="10247" fillId="10252" borderId="10187" pivotButton="0" quotePrefix="0" xfId="0"/>
    <xf numFmtId="14" fontId="10248" fillId="10253" borderId="10188" pivotButton="0" quotePrefix="0" xfId="0"/>
    <xf numFmtId="0" fontId="10249" fillId="10254" borderId="10189" pivotButton="0" quotePrefix="0" xfId="0"/>
    <xf numFmtId="0" fontId="10250" fillId="10255" borderId="10190" pivotButton="0" quotePrefix="0" xfId="0"/>
    <xf numFmtId="0" fontId="10251" fillId="10256" borderId="10191" pivotButton="0" quotePrefix="0" xfId="0"/>
    <xf numFmtId="0" fontId="10252" fillId="10257" borderId="10192" pivotButton="0" quotePrefix="0" xfId="0"/>
    <xf numFmtId="0" fontId="10253" fillId="10258" borderId="10193" pivotButton="0" quotePrefix="0" xfId="0"/>
    <xf numFmtId="0" fontId="10254" fillId="10259" borderId="10194" pivotButton="0" quotePrefix="0" xfId="0"/>
    <xf numFmtId="0" fontId="10255" fillId="10260" borderId="10195" pivotButton="0" quotePrefix="0" xfId="0"/>
    <xf numFmtId="14" fontId="10256" fillId="10261" borderId="10196" pivotButton="0" quotePrefix="0" xfId="0"/>
    <xf numFmtId="0" fontId="10257" fillId="10262" borderId="10197" pivotButton="0" quotePrefix="0" xfId="0"/>
    <xf numFmtId="14" fontId="10258" fillId="10263" borderId="10198" pivotButton="0" quotePrefix="0" xfId="0"/>
    <xf numFmtId="0" fontId="10259" fillId="10264" borderId="10199" pivotButton="0" quotePrefix="0" xfId="0"/>
    <xf numFmtId="0" fontId="10260" fillId="10265" borderId="10200" pivotButton="0" quotePrefix="0" xfId="0"/>
    <xf numFmtId="0" fontId="10261" fillId="10266" borderId="10201" pivotButton="0" quotePrefix="0" xfId="0"/>
    <xf numFmtId="0" fontId="10262" fillId="10267" borderId="10202" pivotButton="0" quotePrefix="0" xfId="0"/>
    <xf numFmtId="0" fontId="10263" fillId="10268" borderId="10203" pivotButton="0" quotePrefix="0" xfId="0"/>
    <xf numFmtId="0" fontId="10264" fillId="10269" borderId="10204" pivotButton="0" quotePrefix="0" xfId="0"/>
    <xf numFmtId="0" fontId="10265" fillId="10270" borderId="10205" pivotButton="0" quotePrefix="0" xfId="0"/>
    <xf numFmtId="14" fontId="10266" fillId="10271" borderId="10206" pivotButton="0" quotePrefix="0" xfId="0"/>
    <xf numFmtId="0" fontId="10267" fillId="10272" borderId="10207" pivotButton="0" quotePrefix="0" xfId="0"/>
    <xf numFmtId="14" fontId="10268" fillId="10273" borderId="10208" pivotButton="0" quotePrefix="0" xfId="0"/>
    <xf numFmtId="0" fontId="10269" fillId="10274" borderId="10209" pivotButton="0" quotePrefix="0" xfId="0"/>
    <xf numFmtId="0" fontId="10270" fillId="10275" borderId="10210" pivotButton="0" quotePrefix="0" xfId="0"/>
    <xf numFmtId="0" fontId="10271" fillId="10276" borderId="10211" pivotButton="0" quotePrefix="0" xfId="0"/>
    <xf numFmtId="0" fontId="10272" fillId="10277" borderId="10212" pivotButton="0" quotePrefix="0" xfId="0"/>
    <xf numFmtId="0" fontId="10273" fillId="10278" borderId="10213" pivotButton="0" quotePrefix="0" xfId="0"/>
    <xf numFmtId="0" fontId="10274" fillId="10279" borderId="10214" pivotButton="0" quotePrefix="0" xfId="0"/>
    <xf numFmtId="0" fontId="10275" fillId="10280" borderId="10215" pivotButton="0" quotePrefix="0" xfId="0"/>
    <xf numFmtId="14" fontId="10276" fillId="10281" borderId="10216" pivotButton="0" quotePrefix="0" xfId="0"/>
    <xf numFmtId="0" fontId="10277" fillId="10282" borderId="10217" pivotButton="0" quotePrefix="0" xfId="0"/>
    <xf numFmtId="14" fontId="10278" fillId="10283" borderId="10218" pivotButton="0" quotePrefix="0" xfId="0"/>
    <xf numFmtId="0" fontId="10279" fillId="10284" borderId="10219" pivotButton="0" quotePrefix="0" xfId="0"/>
    <xf numFmtId="0" fontId="10280" fillId="10285" borderId="10220" pivotButton="0" quotePrefix="0" xfId="0"/>
    <xf numFmtId="0" fontId="10281" fillId="10286" borderId="10221" pivotButton="0" quotePrefix="0" xfId="0"/>
    <xf numFmtId="0" fontId="10282" fillId="10287" borderId="10222" pivotButton="0" quotePrefix="0" xfId="0"/>
    <xf numFmtId="0" fontId="10283" fillId="10288" borderId="10223" pivotButton="0" quotePrefix="0" xfId="0"/>
    <xf numFmtId="0" fontId="10284" fillId="10289" borderId="10224" pivotButton="0" quotePrefix="0" xfId="0"/>
    <xf numFmtId="0" fontId="10285" fillId="10290" borderId="10225" pivotButton="0" quotePrefix="0" xfId="0"/>
    <xf numFmtId="14" fontId="10286" fillId="10291" borderId="10226" pivotButton="0" quotePrefix="0" xfId="0"/>
    <xf numFmtId="0" fontId="10287" fillId="10292" borderId="10227" pivotButton="0" quotePrefix="0" xfId="0"/>
    <xf numFmtId="14" fontId="10288" fillId="10293" borderId="10228" pivotButton="0" quotePrefix="0" xfId="0"/>
    <xf numFmtId="0" fontId="10289" fillId="10294" borderId="10229" pivotButton="0" quotePrefix="0" xfId="0"/>
    <xf numFmtId="0" fontId="10290" fillId="10295" borderId="10230" pivotButton="0" quotePrefix="0" xfId="0"/>
    <xf numFmtId="0" fontId="10291" fillId="10296" borderId="10231" pivotButton="0" quotePrefix="0" xfId="0"/>
    <xf numFmtId="0" fontId="10292" fillId="10297" borderId="10232" pivotButton="0" quotePrefix="0" xfId="0"/>
    <xf numFmtId="0" fontId="10293" fillId="10298" borderId="10233" pivotButton="0" quotePrefix="0" xfId="0"/>
    <xf numFmtId="0" fontId="10294" fillId="10299" borderId="10234" pivotButton="0" quotePrefix="0" xfId="0"/>
    <xf numFmtId="0" fontId="10295" fillId="10300" borderId="10235" pivotButton="0" quotePrefix="0" xfId="0"/>
    <xf numFmtId="14" fontId="10296" fillId="10301" borderId="10236" pivotButton="0" quotePrefix="0" xfId="0"/>
    <xf numFmtId="0" fontId="10297" fillId="10302" borderId="10237" pivotButton="0" quotePrefix="0" xfId="0"/>
    <xf numFmtId="14" fontId="10298" fillId="10303" borderId="10238" pivotButton="0" quotePrefix="0" xfId="0"/>
    <xf numFmtId="0" fontId="10299" fillId="10304" borderId="10239" pivotButton="0" quotePrefix="0" xfId="0"/>
    <xf numFmtId="0" fontId="10300" fillId="10305" borderId="10240" pivotButton="0" quotePrefix="0" xfId="0"/>
    <xf numFmtId="0" fontId="10301" fillId="10306" borderId="10241" pivotButton="0" quotePrefix="0" xfId="0"/>
    <xf numFmtId="0" fontId="10302" fillId="10307" borderId="10242" pivotButton="0" quotePrefix="0" xfId="0"/>
    <xf numFmtId="0" fontId="10303" fillId="10308" borderId="10243" pivotButton="0" quotePrefix="0" xfId="0"/>
    <xf numFmtId="0" fontId="10304" fillId="10309" borderId="10244" pivotButton="0" quotePrefix="0" xfId="0"/>
    <xf numFmtId="0" fontId="10305" fillId="10310" borderId="10245" pivotButton="0" quotePrefix="0" xfId="0"/>
    <xf numFmtId="14" fontId="10306" fillId="10311" borderId="10246" pivotButton="0" quotePrefix="0" xfId="0"/>
    <xf numFmtId="0" fontId="10307" fillId="10312" borderId="10247" pivotButton="0" quotePrefix="0" xfId="0"/>
    <xf numFmtId="14" fontId="10308" fillId="10313" borderId="10248" pivotButton="0" quotePrefix="0" xfId="0"/>
    <xf numFmtId="0" fontId="10309" fillId="10314" borderId="10249" pivotButton="0" quotePrefix="0" xfId="0"/>
    <xf numFmtId="0" fontId="10310" fillId="10315" borderId="10250" pivotButton="0" quotePrefix="0" xfId="0"/>
    <xf numFmtId="0" fontId="10311" fillId="10316" borderId="10251" pivotButton="0" quotePrefix="0" xfId="0"/>
    <xf numFmtId="0" fontId="10312" fillId="10317" borderId="10252" pivotButton="0" quotePrefix="0" xfId="0"/>
    <xf numFmtId="0" fontId="10313" fillId="10318" borderId="10253" pivotButton="0" quotePrefix="0" xfId="0"/>
    <xf numFmtId="0" fontId="10314" fillId="10319" borderId="10254" pivotButton="0" quotePrefix="0" xfId="0"/>
    <xf numFmtId="0" fontId="10315" fillId="10320" borderId="10255" pivotButton="0" quotePrefix="0" xfId="0"/>
    <xf numFmtId="14" fontId="10316" fillId="10321" borderId="10256" pivotButton="0" quotePrefix="0" xfId="0"/>
    <xf numFmtId="0" fontId="10317" fillId="10322" borderId="10257" pivotButton="0" quotePrefix="0" xfId="0"/>
    <xf numFmtId="14" fontId="10318" fillId="10323" borderId="10258" pivotButton="0" quotePrefix="0" xfId="0"/>
    <xf numFmtId="0" fontId="10319" fillId="10324" borderId="10259" pivotButton="0" quotePrefix="0" xfId="0"/>
    <xf numFmtId="0" fontId="10320" fillId="10325" borderId="10260" pivotButton="0" quotePrefix="0" xfId="0"/>
    <xf numFmtId="0" fontId="10321" fillId="10326" borderId="10261" pivotButton="0" quotePrefix="0" xfId="0"/>
    <xf numFmtId="0" fontId="10322" fillId="10327" borderId="10262" pivotButton="0" quotePrefix="0" xfId="0"/>
    <xf numFmtId="0" fontId="10323" fillId="10328" borderId="10263" pivotButton="0" quotePrefix="0" xfId="0"/>
    <xf numFmtId="0" fontId="10324" fillId="10329" borderId="10264" pivotButton="0" quotePrefix="0" xfId="0"/>
    <xf numFmtId="0" fontId="10325" fillId="10330" borderId="10265" pivotButton="0" quotePrefix="0" xfId="0"/>
    <xf numFmtId="14" fontId="10326" fillId="10331" borderId="10266" pivotButton="0" quotePrefix="0" xfId="0"/>
    <xf numFmtId="0" fontId="10327" fillId="10332" borderId="10267" pivotButton="0" quotePrefix="0" xfId="0"/>
    <xf numFmtId="14" fontId="10328" fillId="10333" borderId="10268" pivotButton="0" quotePrefix="0" xfId="0"/>
    <xf numFmtId="0" fontId="10329" fillId="10334" borderId="10269" pivotButton="0" quotePrefix="0" xfId="0"/>
    <xf numFmtId="0" fontId="10330" fillId="10335" borderId="10270" pivotButton="0" quotePrefix="0" xfId="0"/>
    <xf numFmtId="0" fontId="10331" fillId="10336" borderId="10271" pivotButton="0" quotePrefix="0" xfId="0"/>
    <xf numFmtId="0" fontId="10332" fillId="10337" borderId="10272" pivotButton="0" quotePrefix="0" xfId="0"/>
    <xf numFmtId="0" fontId="10333" fillId="10338" borderId="10273" pivotButton="0" quotePrefix="0" xfId="0"/>
    <xf numFmtId="0" fontId="10334" fillId="10339" borderId="10274" pivotButton="0" quotePrefix="0" xfId="0"/>
    <xf numFmtId="0" fontId="10335" fillId="10340" borderId="10275" pivotButton="0" quotePrefix="0" xfId="0"/>
    <xf numFmtId="14" fontId="10336" fillId="10341" borderId="10276" pivotButton="0" quotePrefix="0" xfId="0"/>
    <xf numFmtId="0" fontId="10337" fillId="10342" borderId="10277" pivotButton="0" quotePrefix="0" xfId="0"/>
    <xf numFmtId="14" fontId="10338" fillId="10343" borderId="10278" pivotButton="0" quotePrefix="0" xfId="0"/>
    <xf numFmtId="0" fontId="10339" fillId="10344" borderId="10279" pivotButton="0" quotePrefix="0" xfId="0"/>
    <xf numFmtId="0" fontId="10340" fillId="10345" borderId="10280" pivotButton="0" quotePrefix="0" xfId="0"/>
    <xf numFmtId="0" fontId="10341" fillId="10346" borderId="10281" pivotButton="0" quotePrefix="0" xfId="0"/>
    <xf numFmtId="0" fontId="10342" fillId="10347" borderId="10282" pivotButton="0" quotePrefix="0" xfId="0"/>
    <xf numFmtId="0" fontId="10343" fillId="10348" borderId="10283" pivotButton="0" quotePrefix="0" xfId="0"/>
    <xf numFmtId="0" fontId="10344" fillId="10349" borderId="10284" pivotButton="0" quotePrefix="0" xfId="0"/>
    <xf numFmtId="0" fontId="10345" fillId="10350" borderId="10285" pivotButton="0" quotePrefix="0" xfId="0"/>
    <xf numFmtId="14" fontId="10346" fillId="10351" borderId="10286" pivotButton="0" quotePrefix="0" xfId="0"/>
    <xf numFmtId="0" fontId="10347" fillId="10352" borderId="10287" pivotButton="0" quotePrefix="0" xfId="0"/>
    <xf numFmtId="14" fontId="10348" fillId="10353" borderId="10288" pivotButton="0" quotePrefix="0" xfId="0"/>
    <xf numFmtId="0" fontId="10349" fillId="10354" borderId="10289" pivotButton="0" quotePrefix="0" xfId="0"/>
    <xf numFmtId="0" fontId="10350" fillId="10355" borderId="10290" pivotButton="0" quotePrefix="0" xfId="0"/>
    <xf numFmtId="0" fontId="10351" fillId="10356" borderId="10291" pivotButton="0" quotePrefix="0" xfId="0"/>
    <xf numFmtId="0" fontId="10352" fillId="10357" borderId="10292" pivotButton="0" quotePrefix="0" xfId="0"/>
    <xf numFmtId="0" fontId="10353" fillId="10358" borderId="10293" pivotButton="0" quotePrefix="0" xfId="0"/>
    <xf numFmtId="0" fontId="10354" fillId="10359" borderId="10294" pivotButton="0" quotePrefix="0" xfId="0"/>
    <xf numFmtId="0" fontId="10355" fillId="10360" borderId="10295" pivotButton="0" quotePrefix="0" xfId="0"/>
    <xf numFmtId="14" fontId="10356" fillId="10361" borderId="10296" pivotButton="0" quotePrefix="0" xfId="0"/>
    <xf numFmtId="0" fontId="10357" fillId="10362" borderId="10297" pivotButton="0" quotePrefix="0" xfId="0"/>
    <xf numFmtId="14" fontId="10358" fillId="10363" borderId="10298" pivotButton="0" quotePrefix="0" xfId="0"/>
    <xf numFmtId="0" fontId="10359" fillId="10364" borderId="10299" pivotButton="0" quotePrefix="0" xfId="0"/>
    <xf numFmtId="0" fontId="10360" fillId="10365" borderId="10300" pivotButton="0" quotePrefix="0" xfId="0"/>
    <xf numFmtId="0" fontId="10361" fillId="10366" borderId="10301" pivotButton="0" quotePrefix="0" xfId="0"/>
    <xf numFmtId="0" fontId="10362" fillId="10367" borderId="10302" pivotButton="0" quotePrefix="0" xfId="0"/>
    <xf numFmtId="0" fontId="10363" fillId="10368" borderId="10303" pivotButton="0" quotePrefix="0" xfId="0"/>
    <xf numFmtId="0" fontId="10364" fillId="10369" borderId="10304" pivotButton="0" quotePrefix="0" xfId="0"/>
    <xf numFmtId="0" fontId="10365" fillId="10370" borderId="10305" pivotButton="0" quotePrefix="0" xfId="0"/>
    <xf numFmtId="14" fontId="10366" fillId="10371" borderId="10306" pivotButton="0" quotePrefix="0" xfId="0"/>
    <xf numFmtId="0" fontId="10367" fillId="10372" borderId="10307" pivotButton="0" quotePrefix="0" xfId="0"/>
    <xf numFmtId="14" fontId="10368" fillId="10373" borderId="10308" pivotButton="0" quotePrefix="0" xfId="0"/>
    <xf numFmtId="0" fontId="10369" fillId="10374" borderId="10309" pivotButton="0" quotePrefix="0" xfId="0"/>
    <xf numFmtId="0" fontId="10370" fillId="10375" borderId="10310" pivotButton="0" quotePrefix="0" xfId="0"/>
    <xf numFmtId="0" fontId="10371" fillId="10376" borderId="10311" pivotButton="0" quotePrefix="0" xfId="0"/>
    <xf numFmtId="0" fontId="10372" fillId="10377" borderId="10312" pivotButton="0" quotePrefix="0" xfId="0"/>
    <xf numFmtId="0" fontId="10373" fillId="10378" borderId="10313" pivotButton="0" quotePrefix="0" xfId="0"/>
    <xf numFmtId="0" fontId="10374" fillId="10379" borderId="10314" pivotButton="0" quotePrefix="0" xfId="0"/>
    <xf numFmtId="0" fontId="10375" fillId="10380" borderId="10315" pivotButton="0" quotePrefix="0" xfId="0"/>
    <xf numFmtId="14" fontId="10376" fillId="10381" borderId="10316" pivotButton="0" quotePrefix="0" xfId="0"/>
    <xf numFmtId="0" fontId="10377" fillId="10382" borderId="10317" pivotButton="0" quotePrefix="0" xfId="0"/>
    <xf numFmtId="14" fontId="10378" fillId="10383" borderId="10318" pivotButton="0" quotePrefix="0" xfId="0"/>
    <xf numFmtId="0" fontId="10379" fillId="10384" borderId="10319" pivotButton="0" quotePrefix="0" xfId="0"/>
    <xf numFmtId="0" fontId="10380" fillId="10385" borderId="10320" pivotButton="0" quotePrefix="0" xfId="0"/>
    <xf numFmtId="0" fontId="10381" fillId="10386" borderId="10321" pivotButton="0" quotePrefix="0" xfId="0"/>
    <xf numFmtId="0" fontId="10382" fillId="10387" borderId="10322" pivotButton="0" quotePrefix="0" xfId="0"/>
    <xf numFmtId="0" fontId="10383" fillId="10388" borderId="10323" pivotButton="0" quotePrefix="0" xfId="0"/>
    <xf numFmtId="0" fontId="10384" fillId="10389" borderId="10324" pivotButton="0" quotePrefix="0" xfId="0"/>
    <xf numFmtId="0" fontId="10385" fillId="10390" borderId="10325" pivotButton="0" quotePrefix="0" xfId="0"/>
    <xf numFmtId="14" fontId="10386" fillId="10391" borderId="10326" pivotButton="0" quotePrefix="0" xfId="0"/>
    <xf numFmtId="0" fontId="10387" fillId="10392" borderId="10327" pivotButton="0" quotePrefix="0" xfId="0"/>
    <xf numFmtId="14" fontId="10388" fillId="10393" borderId="10328" pivotButton="0" quotePrefix="0" xfId="0"/>
    <xf numFmtId="0" fontId="10389" fillId="10394" borderId="10329" pivotButton="0" quotePrefix="0" xfId="0"/>
    <xf numFmtId="0" fontId="10390" fillId="10395" borderId="10330" pivotButton="0" quotePrefix="0" xfId="0"/>
    <xf numFmtId="0" fontId="10391" fillId="10396" borderId="10331" pivotButton="0" quotePrefix="0" xfId="0"/>
    <xf numFmtId="0" fontId="10392" fillId="10397" borderId="10332" pivotButton="0" quotePrefix="0" xfId="0"/>
    <xf numFmtId="0" fontId="10393" fillId="10398" borderId="10333" pivotButton="0" quotePrefix="0" xfId="0"/>
    <xf numFmtId="0" fontId="10394" fillId="10399" borderId="10334" pivotButton="0" quotePrefix="0" xfId="0"/>
    <xf numFmtId="0" fontId="10395" fillId="10400" borderId="10335" pivotButton="0" quotePrefix="0" xfId="0"/>
    <xf numFmtId="14" fontId="10396" fillId="10401" borderId="10336" pivotButton="0" quotePrefix="0" xfId="0"/>
    <xf numFmtId="0" fontId="10397" fillId="10402" borderId="10337" pivotButton="0" quotePrefix="0" xfId="0"/>
    <xf numFmtId="14" fontId="10398" fillId="10403" borderId="10338" pivotButton="0" quotePrefix="0" xfId="0"/>
    <xf numFmtId="0" fontId="10399" fillId="10404" borderId="10339" pivotButton="0" quotePrefix="0" xfId="0"/>
    <xf numFmtId="0" fontId="10400" fillId="10405" borderId="10340" pivotButton="0" quotePrefix="0" xfId="0"/>
    <xf numFmtId="0" fontId="10401" fillId="10406" borderId="10341" pivotButton="0" quotePrefix="0" xfId="0"/>
    <xf numFmtId="0" fontId="10402" fillId="10407" borderId="10342" pivotButton="0" quotePrefix="0" xfId="0"/>
    <xf numFmtId="0" fontId="10403" fillId="10408" borderId="10343" pivotButton="0" quotePrefix="0" xfId="0"/>
    <xf numFmtId="0" fontId="10404" fillId="10409" borderId="10344" pivotButton="0" quotePrefix="0" xfId="0"/>
    <xf numFmtId="0" fontId="10405" fillId="10410" borderId="10345" pivotButton="0" quotePrefix="0" xfId="0"/>
    <xf numFmtId="14" fontId="10406" fillId="10411" borderId="10346" pivotButton="0" quotePrefix="0" xfId="0"/>
    <xf numFmtId="0" fontId="10407" fillId="10412" borderId="10347" pivotButton="0" quotePrefix="0" xfId="0"/>
    <xf numFmtId="14" fontId="10408" fillId="10413" borderId="10348" pivotButton="0" quotePrefix="0" xfId="0"/>
    <xf numFmtId="0" fontId="10409" fillId="10414" borderId="10349" pivotButton="0" quotePrefix="0" xfId="0"/>
    <xf numFmtId="0" fontId="10410" fillId="10415" borderId="10350" pivotButton="0" quotePrefix="0" xfId="0"/>
    <xf numFmtId="0" fontId="10411" fillId="10416" borderId="10351" pivotButton="0" quotePrefix="0" xfId="0"/>
    <xf numFmtId="0" fontId="10412" fillId="10417" borderId="10352" pivotButton="0" quotePrefix="0" xfId="0"/>
    <xf numFmtId="0" fontId="10413" fillId="10418" borderId="10353" pivotButton="0" quotePrefix="0" xfId="0"/>
    <xf numFmtId="0" fontId="10414" fillId="10419" borderId="10354" pivotButton="0" quotePrefix="0" xfId="0"/>
    <xf numFmtId="0" fontId="10415" fillId="10420" borderId="10355" pivotButton="0" quotePrefix="0" xfId="0"/>
    <xf numFmtId="14" fontId="10416" fillId="10421" borderId="10356" pivotButton="0" quotePrefix="0" xfId="0"/>
    <xf numFmtId="0" fontId="10417" fillId="10422" borderId="10357" pivotButton="0" quotePrefix="0" xfId="0"/>
    <xf numFmtId="14" fontId="10418" fillId="10423" borderId="10358" pivotButton="0" quotePrefix="0" xfId="0"/>
    <xf numFmtId="0" fontId="10419" fillId="10424" borderId="10359" pivotButton="0" quotePrefix="0" xfId="0"/>
    <xf numFmtId="0" fontId="10420" fillId="10425" borderId="10360" pivotButton="0" quotePrefix="0" xfId="0"/>
    <xf numFmtId="0" fontId="10421" fillId="10426" borderId="10361" pivotButton="0" quotePrefix="0" xfId="0"/>
    <xf numFmtId="0" fontId="10422" fillId="10427" borderId="10362" pivotButton="0" quotePrefix="0" xfId="0"/>
    <xf numFmtId="0" fontId="10423" fillId="10428" borderId="10363" pivotButton="0" quotePrefix="0" xfId="0"/>
    <xf numFmtId="0" fontId="10424" fillId="10429" borderId="10364" pivotButton="0" quotePrefix="0" xfId="0"/>
    <xf numFmtId="0" fontId="10425" fillId="10430" borderId="10365" pivotButton="0" quotePrefix="0" xfId="0"/>
    <xf numFmtId="14" fontId="10426" fillId="10431" borderId="10366" pivotButton="0" quotePrefix="0" xfId="0"/>
    <xf numFmtId="0" fontId="10427" fillId="10432" borderId="10367" pivotButton="0" quotePrefix="0" xfId="0"/>
    <xf numFmtId="14" fontId="10428" fillId="10433" borderId="10368" pivotButton="0" quotePrefix="0" xfId="0"/>
    <xf numFmtId="0" fontId="10429" fillId="10434" borderId="10369" pivotButton="0" quotePrefix="0" xfId="0"/>
    <xf numFmtId="0" fontId="10430" fillId="10435" borderId="10370" pivotButton="0" quotePrefix="0" xfId="0"/>
    <xf numFmtId="0" fontId="10431" fillId="10436" borderId="10371" pivotButton="0" quotePrefix="0" xfId="0"/>
    <xf numFmtId="0" fontId="10432" fillId="10437" borderId="10372" pivotButton="0" quotePrefix="0" xfId="0"/>
    <xf numFmtId="0" fontId="10433" fillId="10438" borderId="10373" pivotButton="0" quotePrefix="0" xfId="0"/>
    <xf numFmtId="0" fontId="10434" fillId="10439" borderId="10374" pivotButton="0" quotePrefix="0" xfId="0"/>
    <xf numFmtId="0" fontId="10435" fillId="10440" borderId="10375" pivotButton="0" quotePrefix="0" xfId="0"/>
    <xf numFmtId="14" fontId="10436" fillId="10441" borderId="10376" pivotButton="0" quotePrefix="0" xfId="0"/>
    <xf numFmtId="0" fontId="10437" fillId="10442" borderId="10377" pivotButton="0" quotePrefix="0" xfId="0"/>
    <xf numFmtId="14" fontId="10438" fillId="10443" borderId="10378" pivotButton="0" quotePrefix="0" xfId="0"/>
    <xf numFmtId="0" fontId="10439" fillId="10444" borderId="10379" pivotButton="0" quotePrefix="0" xfId="0"/>
    <xf numFmtId="0" fontId="10440" fillId="10445" borderId="10380" pivotButton="0" quotePrefix="0" xfId="0"/>
    <xf numFmtId="0" fontId="10441" fillId="10446" borderId="10381" pivotButton="0" quotePrefix="0" xfId="0"/>
    <xf numFmtId="0" fontId="10442" fillId="10447" borderId="10382" pivotButton="0" quotePrefix="0" xfId="0"/>
    <xf numFmtId="0" fontId="10443" fillId="10448" borderId="10383" pivotButton="0" quotePrefix="0" xfId="0"/>
    <xf numFmtId="0" fontId="10444" fillId="10449" borderId="10384" pivotButton="0" quotePrefix="0" xfId="0"/>
    <xf numFmtId="0" fontId="10445" fillId="10450" borderId="10385" pivotButton="0" quotePrefix="0" xfId="0"/>
    <xf numFmtId="14" fontId="10446" fillId="10451" borderId="10386" pivotButton="0" quotePrefix="0" xfId="0"/>
    <xf numFmtId="0" fontId="10447" fillId="10452" borderId="10387" pivotButton="0" quotePrefix="0" xfId="0"/>
    <xf numFmtId="14" fontId="10448" fillId="10453" borderId="10388" pivotButton="0" quotePrefix="0" xfId="0"/>
    <xf numFmtId="0" fontId="10449" fillId="10454" borderId="10389" pivotButton="0" quotePrefix="0" xfId="0"/>
    <xf numFmtId="0" fontId="10450" fillId="10455" borderId="10390" pivotButton="0" quotePrefix="0" xfId="0"/>
    <xf numFmtId="0" fontId="10451" fillId="10456" borderId="10391" pivotButton="0" quotePrefix="0" xfId="0"/>
    <xf numFmtId="0" fontId="10452" fillId="10457" borderId="10392" pivotButton="0" quotePrefix="0" xfId="0"/>
    <xf numFmtId="0" fontId="10453" fillId="10458" borderId="10393" pivotButton="0" quotePrefix="0" xfId="0"/>
    <xf numFmtId="0" fontId="10454" fillId="10459" borderId="10394" pivotButton="0" quotePrefix="0" xfId="0"/>
    <xf numFmtId="0" fontId="10455" fillId="10460" borderId="10395" pivotButton="0" quotePrefix="0" xfId="0"/>
    <xf numFmtId="14" fontId="10456" fillId="10461" borderId="10396" pivotButton="0" quotePrefix="0" xfId="0"/>
    <xf numFmtId="0" fontId="10457" fillId="10462" borderId="10397" pivotButton="0" quotePrefix="0" xfId="0"/>
    <xf numFmtId="14" fontId="10458" fillId="10463" borderId="10398" pivotButton="0" quotePrefix="0" xfId="0"/>
    <xf numFmtId="0" fontId="10459" fillId="10464" borderId="10399" pivotButton="0" quotePrefix="0" xfId="0"/>
    <xf numFmtId="0" fontId="10460" fillId="10465" borderId="10400" pivotButton="0" quotePrefix="0" xfId="0"/>
    <xf numFmtId="0" fontId="10461" fillId="10466" borderId="10401" pivotButton="0" quotePrefix="0" xfId="0"/>
    <xf numFmtId="0" fontId="10462" fillId="10467" borderId="10402" pivotButton="0" quotePrefix="0" xfId="0"/>
    <xf numFmtId="0" fontId="10463" fillId="10468" borderId="10403" pivotButton="0" quotePrefix="0" xfId="0"/>
    <xf numFmtId="0" fontId="10464" fillId="10469" borderId="10404" pivotButton="0" quotePrefix="0" xfId="0"/>
    <xf numFmtId="0" fontId="10465" fillId="10470" borderId="10405" pivotButton="0" quotePrefix="0" xfId="0"/>
    <xf numFmtId="14" fontId="10466" fillId="10471" borderId="10406" pivotButton="0" quotePrefix="0" xfId="0"/>
    <xf numFmtId="0" fontId="10467" fillId="10472" borderId="10407" pivotButton="0" quotePrefix="0" xfId="0"/>
    <xf numFmtId="14" fontId="10468" fillId="10473" borderId="10408" pivotButton="0" quotePrefix="0" xfId="0"/>
    <xf numFmtId="0" fontId="10469" fillId="10474" borderId="10409" pivotButton="0" quotePrefix="0" xfId="0"/>
    <xf numFmtId="0" fontId="10470" fillId="10475" borderId="10410" pivotButton="0" quotePrefix="0" xfId="0"/>
    <xf numFmtId="0" fontId="10471" fillId="10476" borderId="10411" pivotButton="0" quotePrefix="0" xfId="0"/>
    <xf numFmtId="0" fontId="10472" fillId="10477" borderId="10412" pivotButton="0" quotePrefix="0" xfId="0"/>
    <xf numFmtId="0" fontId="10473" fillId="10478" borderId="10413" pivotButton="0" quotePrefix="0" xfId="0"/>
    <xf numFmtId="0" fontId="10474" fillId="10479" borderId="10414" pivotButton="0" quotePrefix="0" xfId="0"/>
    <xf numFmtId="0" fontId="10475" fillId="10480" borderId="10415" pivotButton="0" quotePrefix="0" xfId="0"/>
    <xf numFmtId="14" fontId="10476" fillId="10481" borderId="10416" pivotButton="0" quotePrefix="0" xfId="0"/>
    <xf numFmtId="0" fontId="10477" fillId="10482" borderId="10417" pivotButton="0" quotePrefix="0" xfId="0"/>
    <xf numFmtId="14" fontId="10478" fillId="10483" borderId="10418" pivotButton="0" quotePrefix="0" xfId="0"/>
    <xf numFmtId="0" fontId="10479" fillId="10484" borderId="10419" pivotButton="0" quotePrefix="0" xfId="0"/>
    <xf numFmtId="0" fontId="10480" fillId="10485" borderId="10420" pivotButton="0" quotePrefix="0" xfId="0"/>
    <xf numFmtId="0" fontId="10481" fillId="10486" borderId="10421" pivotButton="0" quotePrefix="0" xfId="0"/>
    <xf numFmtId="0" fontId="10482" fillId="10487" borderId="10422" pivotButton="0" quotePrefix="0" xfId="0"/>
    <xf numFmtId="0" fontId="10483" fillId="10488" borderId="10423" pivotButton="0" quotePrefix="0" xfId="0"/>
    <xf numFmtId="0" fontId="10484" fillId="10489" borderId="10424" pivotButton="0" quotePrefix="0" xfId="0"/>
    <xf numFmtId="0" fontId="10485" fillId="10490" borderId="10425" pivotButton="0" quotePrefix="0" xfId="0"/>
    <xf numFmtId="14" fontId="10486" fillId="10491" borderId="10426" pivotButton="0" quotePrefix="0" xfId="0"/>
    <xf numFmtId="0" fontId="10487" fillId="10492" borderId="10427" pivotButton="0" quotePrefix="0" xfId="0"/>
    <xf numFmtId="14" fontId="10488" fillId="10493" borderId="10428" pivotButton="0" quotePrefix="0" xfId="0"/>
    <xf numFmtId="0" fontId="10489" fillId="10494" borderId="10429" pivotButton="0" quotePrefix="0" xfId="0"/>
    <xf numFmtId="0" fontId="10490" fillId="10495" borderId="10430" pivotButton="0" quotePrefix="0" xfId="0"/>
    <xf numFmtId="0" fontId="10491" fillId="10496" borderId="10431" pivotButton="0" quotePrefix="0" xfId="0"/>
    <xf numFmtId="0" fontId="10492" fillId="10497" borderId="10432" pivotButton="0" quotePrefix="0" xfId="0"/>
    <xf numFmtId="0" fontId="10493" fillId="10498" borderId="10433" pivotButton="0" quotePrefix="0" xfId="0"/>
    <xf numFmtId="0" fontId="10494" fillId="10499" borderId="10434" pivotButton="0" quotePrefix="0" xfId="0"/>
    <xf numFmtId="0" fontId="10495" fillId="10500" borderId="10435" pivotButton="0" quotePrefix="0" xfId="0"/>
    <xf numFmtId="14" fontId="10496" fillId="10501" borderId="10436" pivotButton="0" quotePrefix="0" xfId="0"/>
    <xf numFmtId="0" fontId="10497" fillId="10502" borderId="10437" pivotButton="0" quotePrefix="0" xfId="0"/>
    <xf numFmtId="14" fontId="10498" fillId="10503" borderId="10438" pivotButton="0" quotePrefix="0" xfId="0"/>
    <xf numFmtId="0" fontId="10499" fillId="10504" borderId="10439" pivotButton="0" quotePrefix="0" xfId="0"/>
    <xf numFmtId="0" fontId="10500" fillId="10505" borderId="10440" pivotButton="0" quotePrefix="0" xfId="0"/>
    <xf numFmtId="0" fontId="10501" fillId="10506" borderId="10441" pivotButton="0" quotePrefix="0" xfId="0"/>
    <xf numFmtId="0" fontId="10502" fillId="10507" borderId="10442" pivotButton="0" quotePrefix="0" xfId="0"/>
    <xf numFmtId="0" fontId="10503" fillId="10508" borderId="10443" pivotButton="0" quotePrefix="0" xfId="0"/>
    <xf numFmtId="0" fontId="10504" fillId="10509" borderId="10444" pivotButton="0" quotePrefix="0" xfId="0"/>
    <xf numFmtId="0" fontId="10505" fillId="10510" borderId="10445" pivotButton="0" quotePrefix="0" xfId="0"/>
    <xf numFmtId="14" fontId="10506" fillId="10511" borderId="10446" pivotButton="0" quotePrefix="0" xfId="0"/>
    <xf numFmtId="0" fontId="10507" fillId="10512" borderId="10447" pivotButton="0" quotePrefix="0" xfId="0"/>
    <xf numFmtId="14" fontId="10508" fillId="10513" borderId="10448" pivotButton="0" quotePrefix="0" xfId="0"/>
    <xf numFmtId="0" fontId="10509" fillId="10514" borderId="10449" pivotButton="0" quotePrefix="0" xfId="0"/>
    <xf numFmtId="0" fontId="10510" fillId="10515" borderId="10450" pivotButton="0" quotePrefix="0" xfId="0"/>
    <xf numFmtId="0" fontId="10511" fillId="10516" borderId="10451" pivotButton="0" quotePrefix="0" xfId="0"/>
    <xf numFmtId="0" fontId="10512" fillId="10517" borderId="10452" pivotButton="0" quotePrefix="0" xfId="0"/>
    <xf numFmtId="0" fontId="10513" fillId="10518" borderId="10453" pivotButton="0" quotePrefix="0" xfId="0"/>
    <xf numFmtId="0" fontId="10514" fillId="10519" borderId="10454" pivotButton="0" quotePrefix="0" xfId="0"/>
    <xf numFmtId="0" fontId="10515" fillId="10520" borderId="10455" pivotButton="0" quotePrefix="0" xfId="0"/>
    <xf numFmtId="14" fontId="10516" fillId="10521" borderId="10456" pivotButton="0" quotePrefix="0" xfId="0"/>
    <xf numFmtId="0" fontId="10517" fillId="10522" borderId="10457" pivotButton="0" quotePrefix="0" xfId="0"/>
    <xf numFmtId="14" fontId="10518" fillId="10523" borderId="10458" pivotButton="0" quotePrefix="0" xfId="0"/>
    <xf numFmtId="0" fontId="10519" fillId="10524" borderId="10459" pivotButton="0" quotePrefix="0" xfId="0"/>
    <xf numFmtId="0" fontId="10520" fillId="10525" borderId="10460" pivotButton="0" quotePrefix="0" xfId="0"/>
    <xf numFmtId="0" fontId="10521" fillId="10526" borderId="10461" pivotButton="0" quotePrefix="0" xfId="0"/>
    <xf numFmtId="0" fontId="10522" fillId="10527" borderId="10462" pivotButton="0" quotePrefix="0" xfId="0"/>
    <xf numFmtId="0" fontId="10523" fillId="10528" borderId="10463" pivotButton="0" quotePrefix="0" xfId="0"/>
    <xf numFmtId="0" fontId="10524" fillId="10529" borderId="10464" pivotButton="0" quotePrefix="0" xfId="0"/>
    <xf numFmtId="0" fontId="10525" fillId="10530" borderId="10465" pivotButton="0" quotePrefix="0" xfId="0"/>
    <xf numFmtId="14" fontId="10526" fillId="10531" borderId="10466" pivotButton="0" quotePrefix="0" xfId="0"/>
    <xf numFmtId="0" fontId="10527" fillId="10532" borderId="10467" pivotButton="0" quotePrefix="0" xfId="0"/>
    <xf numFmtId="14" fontId="10528" fillId="10533" borderId="10468" pivotButton="0" quotePrefix="0" xfId="0"/>
    <xf numFmtId="0" fontId="10529" fillId="10534" borderId="10469" pivotButton="0" quotePrefix="0" xfId="0"/>
    <xf numFmtId="0" fontId="10530" fillId="10535" borderId="10470" pivotButton="0" quotePrefix="0" xfId="0"/>
    <xf numFmtId="0" fontId="10531" fillId="10536" borderId="10471" pivotButton="0" quotePrefix="0" xfId="0"/>
    <xf numFmtId="0" fontId="10532" fillId="10537" borderId="10472" pivotButton="0" quotePrefix="0" xfId="0"/>
    <xf numFmtId="0" fontId="10533" fillId="10538" borderId="10473" pivotButton="0" quotePrefix="0" xfId="0"/>
    <xf numFmtId="0" fontId="10534" fillId="10539" borderId="10474" pivotButton="0" quotePrefix="0" xfId="0"/>
    <xf numFmtId="0" fontId="10535" fillId="10540" borderId="10475" pivotButton="0" quotePrefix="0" xfId="0"/>
    <xf numFmtId="14" fontId="10536" fillId="10541" borderId="10476" pivotButton="0" quotePrefix="0" xfId="0"/>
    <xf numFmtId="0" fontId="10537" fillId="10542" borderId="10477" pivotButton="0" quotePrefix="0" xfId="0"/>
    <xf numFmtId="14" fontId="10538" fillId="10543" borderId="10478" pivotButton="0" quotePrefix="0" xfId="0"/>
    <xf numFmtId="0" fontId="10539" fillId="10544" borderId="10479" pivotButton="0" quotePrefix="0" xfId="0"/>
    <xf numFmtId="0" fontId="10540" fillId="10545" borderId="10480" pivotButton="0" quotePrefix="0" xfId="0"/>
    <xf numFmtId="0" fontId="10541" fillId="10546" borderId="10481" pivotButton="0" quotePrefix="0" xfId="0"/>
    <xf numFmtId="0" fontId="10542" fillId="10547" borderId="10482" pivotButton="0" quotePrefix="0" xfId="0"/>
    <xf numFmtId="0" fontId="10543" fillId="10548" borderId="10483" pivotButton="0" quotePrefix="0" xfId="0"/>
    <xf numFmtId="0" fontId="10544" fillId="10549" borderId="10484" pivotButton="0" quotePrefix="0" xfId="0"/>
    <xf numFmtId="0" fontId="10545" fillId="10550" borderId="10485" pivotButton="0" quotePrefix="0" xfId="0"/>
    <xf numFmtId="14" fontId="10546" fillId="10551" borderId="10486" pivotButton="0" quotePrefix="0" xfId="0"/>
    <xf numFmtId="0" fontId="10547" fillId="10552" borderId="10487" pivotButton="0" quotePrefix="0" xfId="0"/>
    <xf numFmtId="14" fontId="10548" fillId="10553" borderId="10488" pivotButton="0" quotePrefix="0" xfId="0"/>
    <xf numFmtId="0" fontId="10549" fillId="10554" borderId="10489" pivotButton="0" quotePrefix="0" xfId="0"/>
    <xf numFmtId="0" fontId="10550" fillId="10555" borderId="10490" pivotButton="0" quotePrefix="0" xfId="0"/>
    <xf numFmtId="0" fontId="10551" fillId="10556" borderId="10491" pivotButton="0" quotePrefix="0" xfId="0"/>
    <xf numFmtId="0" fontId="10552" fillId="10557" borderId="10492" pivotButton="0" quotePrefix="0" xfId="0"/>
    <xf numFmtId="0" fontId="10553" fillId="10558" borderId="10493" pivotButton="0" quotePrefix="0" xfId="0"/>
    <xf numFmtId="0" fontId="10554" fillId="10559" borderId="10494" pivotButton="0" quotePrefix="0" xfId="0"/>
    <xf numFmtId="0" fontId="10555" fillId="10560" borderId="10495" pivotButton="0" quotePrefix="0" xfId="0"/>
    <xf numFmtId="14" fontId="10556" fillId="10561" borderId="10496" pivotButton="0" quotePrefix="0" xfId="0"/>
    <xf numFmtId="0" fontId="10557" fillId="10562" borderId="10497" pivotButton="0" quotePrefix="0" xfId="0"/>
    <xf numFmtId="14" fontId="10558" fillId="10563" borderId="10498" pivotButton="0" quotePrefix="0" xfId="0"/>
    <xf numFmtId="0" fontId="10559" fillId="10564" borderId="10499" pivotButton="0" quotePrefix="0" xfId="0"/>
    <xf numFmtId="0" fontId="10560" fillId="10565" borderId="10500" pivotButton="0" quotePrefix="0" xfId="0"/>
    <xf numFmtId="0" fontId="10561" fillId="10566" borderId="10501" pivotButton="0" quotePrefix="0" xfId="0"/>
    <xf numFmtId="0" fontId="10562" fillId="10567" borderId="10502" pivotButton="0" quotePrefix="0" xfId="0"/>
    <xf numFmtId="0" fontId="10563" fillId="10568" borderId="10503" pivotButton="0" quotePrefix="0" xfId="0"/>
    <xf numFmtId="0" fontId="10564" fillId="10569" borderId="10504" pivotButton="0" quotePrefix="0" xfId="0"/>
    <xf numFmtId="0" fontId="10565" fillId="10570" borderId="10505" pivotButton="0" quotePrefix="0" xfId="0"/>
    <xf numFmtId="14" fontId="10566" fillId="10571" borderId="10506" pivotButton="0" quotePrefix="0" xfId="0"/>
    <xf numFmtId="0" fontId="10567" fillId="10572" borderId="10507" pivotButton="0" quotePrefix="0" xfId="0"/>
    <xf numFmtId="14" fontId="10568" fillId="10573" borderId="10508" pivotButton="0" quotePrefix="0" xfId="0"/>
    <xf numFmtId="0" fontId="10569" fillId="10574" borderId="10509" pivotButton="0" quotePrefix="0" xfId="0"/>
    <xf numFmtId="0" fontId="10570" fillId="10575" borderId="10510" pivotButton="0" quotePrefix="0" xfId="0"/>
    <xf numFmtId="0" fontId="10571" fillId="10576" borderId="10511" pivotButton="0" quotePrefix="0" xfId="0"/>
    <xf numFmtId="0" fontId="10572" fillId="10577" borderId="10512" pivotButton="0" quotePrefix="0" xfId="0"/>
    <xf numFmtId="0" fontId="10573" fillId="10578" borderId="10513" pivotButton="0" quotePrefix="0" xfId="0"/>
    <xf numFmtId="0" fontId="10574" fillId="10579" borderId="10514" pivotButton="0" quotePrefix="0" xfId="0"/>
    <xf numFmtId="0" fontId="10575" fillId="10580" borderId="10515" pivotButton="0" quotePrefix="0" xfId="0"/>
    <xf numFmtId="14" fontId="10576" fillId="10581" borderId="10516" pivotButton="0" quotePrefix="0" xfId="0"/>
    <xf numFmtId="0" fontId="10577" fillId="10582" borderId="10517" pivotButton="0" quotePrefix="0" xfId="0"/>
    <xf numFmtId="14" fontId="10578" fillId="10583" borderId="10518" pivotButton="0" quotePrefix="0" xfId="0"/>
    <xf numFmtId="0" fontId="10579" fillId="10584" borderId="10519" pivotButton="0" quotePrefix="0" xfId="0"/>
    <xf numFmtId="0" fontId="10580" fillId="10585" borderId="10520" pivotButton="0" quotePrefix="0" xfId="0"/>
    <xf numFmtId="0" fontId="10581" fillId="10586" borderId="10521" pivotButton="0" quotePrefix="0" xfId="0"/>
    <xf numFmtId="0" fontId="10582" fillId="10587" borderId="10522" pivotButton="0" quotePrefix="0" xfId="0"/>
    <xf numFmtId="0" fontId="10583" fillId="10588" borderId="10523" pivotButton="0" quotePrefix="0" xfId="0"/>
    <xf numFmtId="0" fontId="10584" fillId="10589" borderId="10524" pivotButton="0" quotePrefix="0" xfId="0"/>
    <xf numFmtId="0" fontId="10585" fillId="10590" borderId="10525" pivotButton="0" quotePrefix="0" xfId="0"/>
    <xf numFmtId="14" fontId="10586" fillId="10591" borderId="10526" pivotButton="0" quotePrefix="0" xfId="0"/>
    <xf numFmtId="0" fontId="10587" fillId="10592" borderId="10527" pivotButton="0" quotePrefix="0" xfId="0"/>
    <xf numFmtId="14" fontId="10588" fillId="10593" borderId="10528" pivotButton="0" quotePrefix="0" xfId="0"/>
    <xf numFmtId="0" fontId="10589" fillId="10594" borderId="10529" pivotButton="0" quotePrefix="0" xfId="0"/>
    <xf numFmtId="0" fontId="10590" fillId="10595" borderId="10530" pivotButton="0" quotePrefix="0" xfId="0"/>
    <xf numFmtId="0" fontId="10591" fillId="10596" borderId="10531" pivotButton="0" quotePrefix="0" xfId="0"/>
    <xf numFmtId="0" fontId="10592" fillId="10597" borderId="10532" pivotButton="0" quotePrefix="0" xfId="0"/>
    <xf numFmtId="0" fontId="10593" fillId="10598" borderId="10533" pivotButton="0" quotePrefix="0" xfId="0"/>
    <xf numFmtId="0" fontId="10594" fillId="10599" borderId="10534" pivotButton="0" quotePrefix="0" xfId="0"/>
    <xf numFmtId="0" fontId="10595" fillId="10600" borderId="10535" pivotButton="0" quotePrefix="0" xfId="0"/>
    <xf numFmtId="14" fontId="10596" fillId="10601" borderId="10536" pivotButton="0" quotePrefix="0" xfId="0"/>
    <xf numFmtId="0" fontId="10597" fillId="10602" borderId="10537" pivotButton="0" quotePrefix="0" xfId="0"/>
    <xf numFmtId="14" fontId="10598" fillId="10603" borderId="10538" pivotButton="0" quotePrefix="0" xfId="0"/>
    <xf numFmtId="0" fontId="10599" fillId="10604" borderId="10539" pivotButton="0" quotePrefix="0" xfId="0"/>
    <xf numFmtId="0" fontId="10600" fillId="10605" borderId="10540" pivotButton="0" quotePrefix="0" xfId="0"/>
    <xf numFmtId="0" fontId="10601" fillId="10606" borderId="10541" pivotButton="0" quotePrefix="0" xfId="0"/>
    <xf numFmtId="0" fontId="10602" fillId="10607" borderId="10542" pivotButton="0" quotePrefix="0" xfId="0"/>
    <xf numFmtId="0" fontId="10603" fillId="10608" borderId="10543" pivotButton="0" quotePrefix="0" xfId="0"/>
    <xf numFmtId="0" fontId="10604" fillId="10609" borderId="10544" pivotButton="0" quotePrefix="0" xfId="0"/>
    <xf numFmtId="0" fontId="10605" fillId="10610" borderId="10545" pivotButton="0" quotePrefix="0" xfId="0"/>
    <xf numFmtId="14" fontId="10606" fillId="10611" borderId="10546" pivotButton="0" quotePrefix="0" xfId="0"/>
    <xf numFmtId="0" fontId="10607" fillId="10612" borderId="10547" pivotButton="0" quotePrefix="0" xfId="0"/>
    <xf numFmtId="14" fontId="10608" fillId="10613" borderId="10548" pivotButton="0" quotePrefix="0" xfId="0"/>
    <xf numFmtId="0" fontId="10609" fillId="10614" borderId="10549" pivotButton="0" quotePrefix="0" xfId="0"/>
    <xf numFmtId="0" fontId="10610" fillId="10615" borderId="10550" pivotButton="0" quotePrefix="0" xfId="0"/>
    <xf numFmtId="0" fontId="10611" fillId="10616" borderId="10551" pivotButton="0" quotePrefix="0" xfId="0"/>
    <xf numFmtId="0" fontId="10612" fillId="10617" borderId="10552" pivotButton="0" quotePrefix="0" xfId="0"/>
    <xf numFmtId="0" fontId="10613" fillId="10618" borderId="10553" pivotButton="0" quotePrefix="0" xfId="0"/>
    <xf numFmtId="0" fontId="10614" fillId="10619" borderId="10554" pivotButton="0" quotePrefix="0" xfId="0"/>
    <xf numFmtId="0" fontId="10615" fillId="10620" borderId="10555" pivotButton="0" quotePrefix="0" xfId="0"/>
    <xf numFmtId="14" fontId="10616" fillId="10621" borderId="10556" pivotButton="0" quotePrefix="0" xfId="0"/>
    <xf numFmtId="0" fontId="10617" fillId="10622" borderId="10557" pivotButton="0" quotePrefix="0" xfId="0"/>
    <xf numFmtId="14" fontId="10618" fillId="10623" borderId="10558" pivotButton="0" quotePrefix="0" xfId="0"/>
    <xf numFmtId="0" fontId="10619" fillId="10624" borderId="10559" pivotButton="0" quotePrefix="0" xfId="0"/>
    <xf numFmtId="0" fontId="10620" fillId="10625" borderId="10560" pivotButton="0" quotePrefix="0" xfId="0"/>
    <xf numFmtId="0" fontId="10621" fillId="10626" borderId="10561" pivotButton="0" quotePrefix="0" xfId="0"/>
    <xf numFmtId="0" fontId="10622" fillId="10627" borderId="10562" pivotButton="0" quotePrefix="0" xfId="0"/>
    <xf numFmtId="0" fontId="10623" fillId="10628" borderId="10563" pivotButton="0" quotePrefix="0" xfId="0"/>
    <xf numFmtId="0" fontId="10624" fillId="10629" borderId="10564" pivotButton="0" quotePrefix="0" xfId="0"/>
    <xf numFmtId="0" fontId="10625" fillId="10630" borderId="10565" pivotButton="0" quotePrefix="0" xfId="0"/>
    <xf numFmtId="14" fontId="10626" fillId="10631" borderId="10566" pivotButton="0" quotePrefix="0" xfId="0"/>
    <xf numFmtId="0" fontId="10627" fillId="10632" borderId="10567" pivotButton="0" quotePrefix="0" xfId="0"/>
    <xf numFmtId="14" fontId="10628" fillId="10633" borderId="10568" pivotButton="0" quotePrefix="0" xfId="0"/>
    <xf numFmtId="0" fontId="10629" fillId="10634" borderId="10569" pivotButton="0" quotePrefix="0" xfId="0"/>
    <xf numFmtId="0" fontId="10630" fillId="10635" borderId="10570" pivotButton="0" quotePrefix="0" xfId="0"/>
    <xf numFmtId="0" fontId="10631" fillId="10636" borderId="10571" pivotButton="0" quotePrefix="0" xfId="0"/>
    <xf numFmtId="0" fontId="10632" fillId="10637" borderId="10572" pivotButton="0" quotePrefix="0" xfId="0"/>
    <xf numFmtId="0" fontId="10633" fillId="10638" borderId="10573" pivotButton="0" quotePrefix="0" xfId="0"/>
    <xf numFmtId="0" fontId="10634" fillId="10639" borderId="10574" pivotButton="0" quotePrefix="0" xfId="0"/>
    <xf numFmtId="0" fontId="10635" fillId="10640" borderId="10575" pivotButton="0" quotePrefix="0" xfId="0"/>
    <xf numFmtId="14" fontId="10636" fillId="10641" borderId="10576" pivotButton="0" quotePrefix="0" xfId="0"/>
    <xf numFmtId="0" fontId="10637" fillId="10642" borderId="10577" pivotButton="0" quotePrefix="0" xfId="0"/>
    <xf numFmtId="14" fontId="10638" fillId="10643" borderId="10578" pivotButton="0" quotePrefix="0" xfId="0"/>
    <xf numFmtId="0" fontId="10639" fillId="10644" borderId="10579" pivotButton="0" quotePrefix="0" xfId="0"/>
    <xf numFmtId="0" fontId="10640" fillId="10645" borderId="10580" pivotButton="0" quotePrefix="0" xfId="0"/>
    <xf numFmtId="0" fontId="10641" fillId="10646" borderId="10581" pivotButton="0" quotePrefix="0" xfId="0"/>
    <xf numFmtId="0" fontId="10642" fillId="10647" borderId="10582" pivotButton="0" quotePrefix="0" xfId="0"/>
    <xf numFmtId="0" fontId="10643" fillId="10648" borderId="10583" pivotButton="0" quotePrefix="0" xfId="0"/>
    <xf numFmtId="0" fontId="10644" fillId="10649" borderId="10584" pivotButton="0" quotePrefix="0" xfId="0"/>
    <xf numFmtId="0" fontId="10645" fillId="10650" borderId="10585" pivotButton="0" quotePrefix="0" xfId="0"/>
    <xf numFmtId="14" fontId="10646" fillId="10651" borderId="10586" pivotButton="0" quotePrefix="0" xfId="0"/>
    <xf numFmtId="0" fontId="10647" fillId="10652" borderId="10587" pivotButton="0" quotePrefix="0" xfId="0"/>
    <xf numFmtId="14" fontId="10648" fillId="10653" borderId="10588" pivotButton="0" quotePrefix="0" xfId="0"/>
    <xf numFmtId="0" fontId="10649" fillId="10654" borderId="10589" pivotButton="0" quotePrefix="0" xfId="0"/>
    <xf numFmtId="0" fontId="10650" fillId="10655" borderId="10590" pivotButton="0" quotePrefix="0" xfId="0"/>
    <xf numFmtId="0" fontId="10651" fillId="10656" borderId="10591" pivotButton="0" quotePrefix="0" xfId="0"/>
    <xf numFmtId="0" fontId="10652" fillId="10657" borderId="10592" pivotButton="0" quotePrefix="0" xfId="0"/>
    <xf numFmtId="0" fontId="10653" fillId="10658" borderId="10593" pivotButton="0" quotePrefix="0" xfId="0"/>
    <xf numFmtId="0" fontId="10654" fillId="10659" borderId="10594" pivotButton="0" quotePrefix="0" xfId="0"/>
    <xf numFmtId="0" fontId="10655" fillId="10660" borderId="10595" pivotButton="0" quotePrefix="0" xfId="0"/>
    <xf numFmtId="14" fontId="10656" fillId="10661" borderId="10596" pivotButton="0" quotePrefix="0" xfId="0"/>
    <xf numFmtId="0" fontId="10657" fillId="10662" borderId="10597" pivotButton="0" quotePrefix="0" xfId="0"/>
    <xf numFmtId="14" fontId="10658" fillId="10663" borderId="10598" pivotButton="0" quotePrefix="0" xfId="0"/>
    <xf numFmtId="0" fontId="10659" fillId="10664" borderId="10599" pivotButton="0" quotePrefix="0" xfId="0"/>
    <xf numFmtId="0" fontId="10660" fillId="10665" borderId="10600" pivotButton="0" quotePrefix="0" xfId="0"/>
    <xf numFmtId="0" fontId="10661" fillId="10666" borderId="10601" pivotButton="0" quotePrefix="0" xfId="0"/>
    <xf numFmtId="0" fontId="10662" fillId="10667" borderId="10602" pivotButton="0" quotePrefix="0" xfId="0"/>
    <xf numFmtId="0" fontId="10663" fillId="10668" borderId="10603" pivotButton="0" quotePrefix="0" xfId="0"/>
    <xf numFmtId="0" fontId="10664" fillId="10669" borderId="10604" pivotButton="0" quotePrefix="0" xfId="0"/>
    <xf numFmtId="0" fontId="10665" fillId="10670" borderId="10605" pivotButton="0" quotePrefix="0" xfId="0"/>
    <xf numFmtId="14" fontId="10666" fillId="10671" borderId="10606" pivotButton="0" quotePrefix="0" xfId="0"/>
    <xf numFmtId="0" fontId="10667" fillId="10672" borderId="10607" pivotButton="0" quotePrefix="0" xfId="0"/>
    <xf numFmtId="14" fontId="10668" fillId="10673" borderId="10608" pivotButton="0" quotePrefix="0" xfId="0"/>
    <xf numFmtId="0" fontId="10669" fillId="10674" borderId="10609" pivotButton="0" quotePrefix="0" xfId="0"/>
    <xf numFmtId="0" fontId="10670" fillId="10675" borderId="10610" pivotButton="0" quotePrefix="0" xfId="0"/>
    <xf numFmtId="0" fontId="10671" fillId="10676" borderId="10611" pivotButton="0" quotePrefix="0" xfId="0"/>
    <xf numFmtId="0" fontId="10672" fillId="10677" borderId="10612" pivotButton="0" quotePrefix="0" xfId="0"/>
    <xf numFmtId="0" fontId="10673" fillId="10678" borderId="10613" pivotButton="0" quotePrefix="0" xfId="0"/>
    <xf numFmtId="0" fontId="10674" fillId="10679" borderId="10614" pivotButton="0" quotePrefix="0" xfId="0"/>
    <xf numFmtId="0" fontId="10675" fillId="10680" borderId="10615" pivotButton="0" quotePrefix="0" xfId="0"/>
    <xf numFmtId="14" fontId="10676" fillId="10681" borderId="10616" pivotButton="0" quotePrefix="0" xfId="0"/>
    <xf numFmtId="0" fontId="10677" fillId="10682" borderId="10617" pivotButton="0" quotePrefix="0" xfId="0"/>
    <xf numFmtId="14" fontId="10678" fillId="10683" borderId="10618" pivotButton="0" quotePrefix="0" xfId="0"/>
    <xf numFmtId="0" fontId="10679" fillId="10684" borderId="10619" pivotButton="0" quotePrefix="0" xfId="0"/>
    <xf numFmtId="0" fontId="10680" fillId="10685" borderId="10620" pivotButton="0" quotePrefix="0" xfId="0"/>
    <xf numFmtId="0" fontId="10681" fillId="10686" borderId="10621" pivotButton="0" quotePrefix="0" xfId="0"/>
    <xf numFmtId="0" fontId="10682" fillId="10687" borderId="10622" pivotButton="0" quotePrefix="0" xfId="0"/>
    <xf numFmtId="0" fontId="10683" fillId="10688" borderId="10623" pivotButton="0" quotePrefix="0" xfId="0"/>
    <xf numFmtId="0" fontId="10684" fillId="10689" borderId="10624" pivotButton="0" quotePrefix="0" xfId="0"/>
    <xf numFmtId="0" fontId="10685" fillId="10690" borderId="10625" pivotButton="0" quotePrefix="0" xfId="0"/>
    <xf numFmtId="14" fontId="10686" fillId="10691" borderId="10626" pivotButton="0" quotePrefix="0" xfId="0"/>
    <xf numFmtId="0" fontId="10687" fillId="10692" borderId="10627" pivotButton="0" quotePrefix="0" xfId="0"/>
    <xf numFmtId="14" fontId="10688" fillId="10693" borderId="10628" pivotButton="0" quotePrefix="0" xfId="0"/>
    <xf numFmtId="0" fontId="10689" fillId="10694" borderId="10629" pivotButton="0" quotePrefix="0" xfId="0"/>
    <xf numFmtId="0" fontId="10690" fillId="10695" borderId="10630" pivotButton="0" quotePrefix="0" xfId="0"/>
    <xf numFmtId="0" fontId="10691" fillId="10696" borderId="10631" pivotButton="0" quotePrefix="0" xfId="0"/>
    <xf numFmtId="0" fontId="10692" fillId="10697" borderId="10632" pivotButton="0" quotePrefix="0" xfId="0"/>
    <xf numFmtId="0" fontId="10693" fillId="10698" borderId="10633" pivotButton="0" quotePrefix="0" xfId="0"/>
    <xf numFmtId="0" fontId="10694" fillId="10699" borderId="10634" pivotButton="0" quotePrefix="0" xfId="0"/>
    <xf numFmtId="0" fontId="10695" fillId="10700" borderId="10635" pivotButton="0" quotePrefix="0" xfId="0"/>
    <xf numFmtId="14" fontId="10696" fillId="10701" borderId="10636" pivotButton="0" quotePrefix="0" xfId="0"/>
    <xf numFmtId="0" fontId="10697" fillId="10702" borderId="10637" pivotButton="0" quotePrefix="0" xfId="0"/>
    <xf numFmtId="14" fontId="10698" fillId="10703" borderId="10638" pivotButton="0" quotePrefix="0" xfId="0"/>
    <xf numFmtId="0" fontId="10699" fillId="10704" borderId="10639" pivotButton="0" quotePrefix="0" xfId="0"/>
    <xf numFmtId="0" fontId="10700" fillId="10705" borderId="10640" pivotButton="0" quotePrefix="0" xfId="0"/>
    <xf numFmtId="0" fontId="10701" fillId="10706" borderId="10641" pivotButton="0" quotePrefix="0" xfId="0"/>
    <xf numFmtId="0" fontId="10702" fillId="10707" borderId="10642" pivotButton="0" quotePrefix="0" xfId="0"/>
    <xf numFmtId="0" fontId="10703" fillId="10708" borderId="10643" pivotButton="0" quotePrefix="0" xfId="0"/>
    <xf numFmtId="0" fontId="10704" fillId="10709" borderId="10644" pivotButton="0" quotePrefix="0" xfId="0"/>
    <xf numFmtId="0" fontId="10705" fillId="10710" borderId="10645" pivotButton="0" quotePrefix="0" xfId="0"/>
    <xf numFmtId="14" fontId="10706" fillId="10711" borderId="10646" pivotButton="0" quotePrefix="0" xfId="0"/>
    <xf numFmtId="0" fontId="10707" fillId="10712" borderId="10647" pivotButton="0" quotePrefix="0" xfId="0"/>
    <xf numFmtId="14" fontId="10708" fillId="10713" borderId="10648" pivotButton="0" quotePrefix="0" xfId="0"/>
    <xf numFmtId="0" fontId="10709" fillId="10714" borderId="10649" pivotButton="0" quotePrefix="0" xfId="0"/>
    <xf numFmtId="0" fontId="10710" fillId="10715" borderId="10650" pivotButton="0" quotePrefix="0" xfId="0"/>
    <xf numFmtId="0" fontId="10711" fillId="10716" borderId="10651" pivotButton="0" quotePrefix="0" xfId="0"/>
    <xf numFmtId="0" fontId="10712" fillId="10717" borderId="10652" pivotButton="0" quotePrefix="0" xfId="0"/>
    <xf numFmtId="0" fontId="10713" fillId="10718" borderId="10653" pivotButton="0" quotePrefix="0" xfId="0"/>
    <xf numFmtId="0" fontId="10714" fillId="10719" borderId="10654" pivotButton="0" quotePrefix="0" xfId="0"/>
    <xf numFmtId="0" fontId="10715" fillId="10720" borderId="10655" pivotButton="0" quotePrefix="0" xfId="0"/>
    <xf numFmtId="14" fontId="10716" fillId="10721" borderId="10656" pivotButton="0" quotePrefix="0" xfId="0"/>
    <xf numFmtId="0" fontId="10717" fillId="10722" borderId="10657" pivotButton="0" quotePrefix="0" xfId="0"/>
    <xf numFmtId="14" fontId="10718" fillId="10723" borderId="10658" pivotButton="0" quotePrefix="0" xfId="0"/>
    <xf numFmtId="0" fontId="10719" fillId="10724" borderId="10659" pivotButton="0" quotePrefix="0" xfId="0"/>
    <xf numFmtId="0" fontId="10720" fillId="10725" borderId="10660" pivotButton="0" quotePrefix="0" xfId="0"/>
    <xf numFmtId="0" fontId="10721" fillId="10726" borderId="10661" pivotButton="0" quotePrefix="0" xfId="0"/>
    <xf numFmtId="0" fontId="10722" fillId="10727" borderId="10662" pivotButton="0" quotePrefix="0" xfId="0"/>
    <xf numFmtId="0" fontId="10723" fillId="10728" borderId="10663" pivotButton="0" quotePrefix="0" xfId="0"/>
    <xf numFmtId="0" fontId="10724" fillId="10729" borderId="10664" pivotButton="0" quotePrefix="0" xfId="0"/>
    <xf numFmtId="0" fontId="10725" fillId="10730" borderId="10665" pivotButton="0" quotePrefix="0" xfId="0"/>
    <xf numFmtId="14" fontId="10726" fillId="10731" borderId="10666" pivotButton="0" quotePrefix="0" xfId="0"/>
    <xf numFmtId="0" fontId="10727" fillId="10732" borderId="10667" pivotButton="0" quotePrefix="0" xfId="0"/>
    <xf numFmtId="14" fontId="10728" fillId="10733" borderId="10668" pivotButton="0" quotePrefix="0" xfId="0"/>
    <xf numFmtId="0" fontId="10729" fillId="10734" borderId="10669" pivotButton="0" quotePrefix="0" xfId="0"/>
    <xf numFmtId="0" fontId="10730" fillId="10735" borderId="10670" pivotButton="0" quotePrefix="0" xfId="0"/>
    <xf numFmtId="0" fontId="10731" fillId="10736" borderId="10671" pivotButton="0" quotePrefix="0" xfId="0"/>
    <xf numFmtId="0" fontId="10732" fillId="10737" borderId="10672" pivotButton="0" quotePrefix="0" xfId="0"/>
    <xf numFmtId="0" fontId="10733" fillId="10738" borderId="10673" pivotButton="0" quotePrefix="0" xfId="0"/>
    <xf numFmtId="0" fontId="10734" fillId="10739" borderId="10674" pivotButton="0" quotePrefix="0" xfId="0"/>
    <xf numFmtId="0" fontId="10735" fillId="10740" borderId="10675" pivotButton="0" quotePrefix="0" xfId="0"/>
    <xf numFmtId="14" fontId="10736" fillId="10741" borderId="10676" pivotButton="0" quotePrefix="0" xfId="0"/>
    <xf numFmtId="0" fontId="10737" fillId="10742" borderId="10677" pivotButton="0" quotePrefix="0" xfId="0"/>
    <xf numFmtId="14" fontId="10738" fillId="10743" borderId="10678" pivotButton="0" quotePrefix="0" xfId="0"/>
    <xf numFmtId="0" fontId="10739" fillId="10744" borderId="10679" pivotButton="0" quotePrefix="0" xfId="0"/>
    <xf numFmtId="0" fontId="10740" fillId="10745" borderId="10680" pivotButton="0" quotePrefix="0" xfId="0"/>
    <xf numFmtId="0" fontId="10741" fillId="10746" borderId="10681" pivotButton="0" quotePrefix="0" xfId="0"/>
    <xf numFmtId="0" fontId="10742" fillId="10747" borderId="10682" pivotButton="0" quotePrefix="0" xfId="0"/>
    <xf numFmtId="0" fontId="10743" fillId="10748" borderId="10683" pivotButton="0" quotePrefix="0" xfId="0"/>
    <xf numFmtId="0" fontId="10744" fillId="10749" borderId="10684" pivotButton="0" quotePrefix="0" xfId="0"/>
    <xf numFmtId="0" fontId="10745" fillId="10750" borderId="10685" pivotButton="0" quotePrefix="0" xfId="0"/>
    <xf numFmtId="14" fontId="10746" fillId="10751" borderId="10686" pivotButton="0" quotePrefix="0" xfId="0"/>
    <xf numFmtId="0" fontId="10747" fillId="10752" borderId="10687" pivotButton="0" quotePrefix="0" xfId="0"/>
    <xf numFmtId="14" fontId="10748" fillId="10753" borderId="10688" pivotButton="0" quotePrefix="0" xfId="0"/>
    <xf numFmtId="0" fontId="10749" fillId="10754" borderId="10689" pivotButton="0" quotePrefix="0" xfId="0"/>
    <xf numFmtId="0" fontId="10750" fillId="10755" borderId="10690" pivotButton="0" quotePrefix="0" xfId="0"/>
    <xf numFmtId="0" fontId="10751" fillId="10756" borderId="10691" pivotButton="0" quotePrefix="0" xfId="0"/>
    <xf numFmtId="0" fontId="10752" fillId="10757" borderId="10692" pivotButton="0" quotePrefix="0" xfId="0"/>
    <xf numFmtId="0" fontId="10753" fillId="10758" borderId="10693" pivotButton="0" quotePrefix="0" xfId="0"/>
    <xf numFmtId="0" fontId="10754" fillId="10759" borderId="10694" pivotButton="0" quotePrefix="0" xfId="0"/>
    <xf numFmtId="0" fontId="10755" fillId="10760" borderId="10695" pivotButton="0" quotePrefix="0" xfId="0"/>
    <xf numFmtId="14" fontId="10756" fillId="10761" borderId="10696" pivotButton="0" quotePrefix="0" xfId="0"/>
    <xf numFmtId="0" fontId="10757" fillId="10762" borderId="10697" pivotButton="0" quotePrefix="0" xfId="0"/>
    <xf numFmtId="14" fontId="10758" fillId="10763" borderId="10698" pivotButton="0" quotePrefix="0" xfId="0"/>
    <xf numFmtId="0" fontId="10759" fillId="10764" borderId="10699" pivotButton="0" quotePrefix="0" xfId="0"/>
    <xf numFmtId="0" fontId="10760" fillId="10765" borderId="10700" pivotButton="0" quotePrefix="0" xfId="0"/>
    <xf numFmtId="0" fontId="10761" fillId="10766" borderId="10701" pivotButton="0" quotePrefix="0" xfId="0"/>
    <xf numFmtId="0" fontId="10762" fillId="10767" borderId="10702" pivotButton="0" quotePrefix="0" xfId="0"/>
    <xf numFmtId="0" fontId="10763" fillId="10768" borderId="10703" pivotButton="0" quotePrefix="0" xfId="0"/>
    <xf numFmtId="0" fontId="10764" fillId="10769" borderId="10704" pivotButton="0" quotePrefix="0" xfId="0"/>
    <xf numFmtId="0" fontId="10765" fillId="10770" borderId="10705" pivotButton="0" quotePrefix="0" xfId="0"/>
    <xf numFmtId="14" fontId="10766" fillId="10771" borderId="10706" pivotButton="0" quotePrefix="0" xfId="0"/>
    <xf numFmtId="0" fontId="10767" fillId="10772" borderId="10707" pivotButton="0" quotePrefix="0" xfId="0"/>
    <xf numFmtId="14" fontId="10768" fillId="10773" borderId="10708" pivotButton="0" quotePrefix="0" xfId="0"/>
    <xf numFmtId="0" fontId="10769" fillId="10774" borderId="10709" pivotButton="0" quotePrefix="0" xfId="0"/>
    <xf numFmtId="0" fontId="10770" fillId="10775" borderId="10710" pivotButton="0" quotePrefix="0" xfId="0"/>
    <xf numFmtId="0" fontId="10771" fillId="10776" borderId="10711" pivotButton="0" quotePrefix="0" xfId="0"/>
    <xf numFmtId="0" fontId="10772" fillId="10777" borderId="10712" pivotButton="0" quotePrefix="0" xfId="0"/>
    <xf numFmtId="0" fontId="10773" fillId="10778" borderId="10713" pivotButton="0" quotePrefix="0" xfId="0"/>
    <xf numFmtId="0" fontId="10774" fillId="10779" borderId="10714" pivotButton="0" quotePrefix="0" xfId="0"/>
    <xf numFmtId="0" fontId="10775" fillId="10780" borderId="10715" pivotButton="0" quotePrefix="0" xfId="0"/>
    <xf numFmtId="14" fontId="10776" fillId="10781" borderId="10716" pivotButton="0" quotePrefix="0" xfId="0"/>
    <xf numFmtId="0" fontId="10777" fillId="10782" borderId="10717" pivotButton="0" quotePrefix="0" xfId="0"/>
    <xf numFmtId="14" fontId="10778" fillId="10783" borderId="10718" pivotButton="0" quotePrefix="0" xfId="0"/>
    <xf numFmtId="0" fontId="10779" fillId="10784" borderId="10719" pivotButton="0" quotePrefix="0" xfId="0"/>
    <xf numFmtId="0" fontId="10780" fillId="10785" borderId="10720" pivotButton="0" quotePrefix="0" xfId="0"/>
    <xf numFmtId="0" fontId="10781" fillId="10786" borderId="10721" pivotButton="0" quotePrefix="0" xfId="0"/>
    <xf numFmtId="0" fontId="10782" fillId="10787" borderId="10722" pivotButton="0" quotePrefix="0" xfId="0"/>
    <xf numFmtId="0" fontId="10783" fillId="10788" borderId="10723" pivotButton="0" quotePrefix="0" xfId="0"/>
    <xf numFmtId="0" fontId="10784" fillId="10789" borderId="10724" pivotButton="0" quotePrefix="0" xfId="0"/>
    <xf numFmtId="0" fontId="10785" fillId="10790" borderId="10725" pivotButton="0" quotePrefix="0" xfId="0"/>
    <xf numFmtId="14" fontId="10786" fillId="10791" borderId="10726" pivotButton="0" quotePrefix="0" xfId="0"/>
    <xf numFmtId="0" fontId="10787" fillId="10792" borderId="10727" pivotButton="0" quotePrefix="0" xfId="0"/>
    <xf numFmtId="14" fontId="10788" fillId="10793" borderId="10728" pivotButton="0" quotePrefix="0" xfId="0"/>
    <xf numFmtId="0" fontId="10789" fillId="10794" borderId="10729" pivotButton="0" quotePrefix="0" xfId="0"/>
    <xf numFmtId="0" fontId="10790" fillId="10795" borderId="10730" pivotButton="0" quotePrefix="0" xfId="0"/>
    <xf numFmtId="0" fontId="10791" fillId="10796" borderId="10731" pivotButton="0" quotePrefix="0" xfId="0"/>
    <xf numFmtId="0" fontId="10792" fillId="10797" borderId="10732" pivotButton="0" quotePrefix="0" xfId="0"/>
    <xf numFmtId="0" fontId="10793" fillId="10798" borderId="10733" pivotButton="0" quotePrefix="0" xfId="0"/>
    <xf numFmtId="0" fontId="10794" fillId="10799" borderId="10734" pivotButton="0" quotePrefix="0" xfId="0"/>
    <xf numFmtId="0" fontId="10795" fillId="10800" borderId="10735" pivotButton="0" quotePrefix="0" xfId="0"/>
    <xf numFmtId="14" fontId="10796" fillId="10801" borderId="10736" pivotButton="0" quotePrefix="0" xfId="0"/>
    <xf numFmtId="0" fontId="10797" fillId="10802" borderId="10737" pivotButton="0" quotePrefix="0" xfId="0"/>
    <xf numFmtId="14" fontId="10798" fillId="10803" borderId="10738" pivotButton="0" quotePrefix="0" xfId="0"/>
    <xf numFmtId="0" fontId="10799" fillId="10804" borderId="10739" pivotButton="0" quotePrefix="0" xfId="0"/>
    <xf numFmtId="0" fontId="10800" fillId="10805" borderId="10740" pivotButton="0" quotePrefix="0" xfId="0"/>
    <xf numFmtId="0" fontId="10801" fillId="10806" borderId="10741" pivotButton="0" quotePrefix="0" xfId="0"/>
    <xf numFmtId="0" fontId="10802" fillId="10807" borderId="10742" pivotButton="0" quotePrefix="0" xfId="0"/>
    <xf numFmtId="0" fontId="10803" fillId="10808" borderId="10743" pivotButton="0" quotePrefix="0" xfId="0"/>
    <xf numFmtId="0" fontId="10804" fillId="10809" borderId="10744" pivotButton="0" quotePrefix="0" xfId="0"/>
    <xf numFmtId="0" fontId="10805" fillId="10810" borderId="10745" pivotButton="0" quotePrefix="0" xfId="0"/>
    <xf numFmtId="14" fontId="10806" fillId="10811" borderId="10746" pivotButton="0" quotePrefix="0" xfId="0"/>
    <xf numFmtId="0" fontId="10807" fillId="10812" borderId="10747" pivotButton="0" quotePrefix="0" xfId="0"/>
    <xf numFmtId="14" fontId="10808" fillId="10813" borderId="10748" pivotButton="0" quotePrefix="0" xfId="0"/>
    <xf numFmtId="0" fontId="10809" fillId="10814" borderId="10749" pivotButton="0" quotePrefix="0" xfId="0"/>
    <xf numFmtId="0" fontId="10810" fillId="10815" borderId="10750" pivotButton="0" quotePrefix="0" xfId="0"/>
    <xf numFmtId="0" fontId="10811" fillId="10816" borderId="10751" pivotButton="0" quotePrefix="0" xfId="0"/>
    <xf numFmtId="0" fontId="10812" fillId="10817" borderId="10752" pivotButton="0" quotePrefix="0" xfId="0"/>
    <xf numFmtId="0" fontId="10813" fillId="10818" borderId="10753" pivotButton="0" quotePrefix="0" xfId="0"/>
    <xf numFmtId="0" fontId="10814" fillId="10819" borderId="10754" pivotButton="0" quotePrefix="0" xfId="0"/>
    <xf numFmtId="0" fontId="10815" fillId="10820" borderId="10755" pivotButton="0" quotePrefix="0" xfId="0"/>
    <xf numFmtId="14" fontId="10816" fillId="10821" borderId="10756" pivotButton="0" quotePrefix="0" xfId="0"/>
    <xf numFmtId="0" fontId="10817" fillId="10822" borderId="10757" pivotButton="0" quotePrefix="0" xfId="0"/>
    <xf numFmtId="14" fontId="10818" fillId="10823" borderId="10758" pivotButton="0" quotePrefix="0" xfId="0"/>
    <xf numFmtId="0" fontId="10819" fillId="10824" borderId="10759" pivotButton="0" quotePrefix="0" xfId="0"/>
    <xf numFmtId="0" fontId="10820" fillId="10825" borderId="10760" pivotButton="0" quotePrefix="0" xfId="0"/>
    <xf numFmtId="0" fontId="10821" fillId="10826" borderId="10761" pivotButton="0" quotePrefix="0" xfId="0"/>
    <xf numFmtId="0" fontId="10822" fillId="10827" borderId="10762" pivotButton="0" quotePrefix="0" xfId="0"/>
    <xf numFmtId="0" fontId="10823" fillId="10828" borderId="10763" pivotButton="0" quotePrefix="0" xfId="0"/>
    <xf numFmtId="0" fontId="10824" fillId="10829" borderId="10764" pivotButton="0" quotePrefix="0" xfId="0"/>
    <xf numFmtId="0" fontId="10825" fillId="10830" borderId="10765" pivotButton="0" quotePrefix="0" xfId="0"/>
    <xf numFmtId="14" fontId="10826" fillId="10831" borderId="10766" pivotButton="0" quotePrefix="0" xfId="0"/>
    <xf numFmtId="0" fontId="10827" fillId="10832" borderId="10767" pivotButton="0" quotePrefix="0" xfId="0"/>
    <xf numFmtId="14" fontId="10828" fillId="10833" borderId="10768" pivotButton="0" quotePrefix="0" xfId="0"/>
    <xf numFmtId="0" fontId="10829" fillId="10834" borderId="10769" pivotButton="0" quotePrefix="0" xfId="0"/>
    <xf numFmtId="0" fontId="10830" fillId="10835" borderId="10770" pivotButton="0" quotePrefix="0" xfId="0"/>
    <xf numFmtId="0" fontId="10831" fillId="10836" borderId="10771" pivotButton="0" quotePrefix="0" xfId="0"/>
    <xf numFmtId="0" fontId="10832" fillId="10837" borderId="10772" pivotButton="0" quotePrefix="0" xfId="0"/>
    <xf numFmtId="0" fontId="10833" fillId="10838" borderId="10773" pivotButton="0" quotePrefix="0" xfId="0"/>
    <xf numFmtId="0" fontId="10834" fillId="10839" borderId="10774" pivotButton="0" quotePrefix="0" xfId="0"/>
    <xf numFmtId="0" fontId="10835" fillId="10840" borderId="10775" pivotButton="0" quotePrefix="0" xfId="0"/>
    <xf numFmtId="14" fontId="10836" fillId="10841" borderId="10776" pivotButton="0" quotePrefix="0" xfId="0"/>
    <xf numFmtId="0" fontId="10837" fillId="10842" borderId="10777" pivotButton="0" quotePrefix="0" xfId="0"/>
    <xf numFmtId="14" fontId="10838" fillId="10843" borderId="10778" pivotButton="0" quotePrefix="0" xfId="0"/>
    <xf numFmtId="0" fontId="10839" fillId="10844" borderId="10779" pivotButton="0" quotePrefix="0" xfId="0"/>
    <xf numFmtId="0" fontId="10840" fillId="10845" borderId="10780" pivotButton="0" quotePrefix="0" xfId="0"/>
    <xf numFmtId="0" fontId="10841" fillId="10846" borderId="10781" pivotButton="0" quotePrefix="0" xfId="0"/>
    <xf numFmtId="0" fontId="10842" fillId="10847" borderId="10782" pivotButton="0" quotePrefix="0" xfId="0"/>
    <xf numFmtId="0" fontId="10843" fillId="10848" borderId="10783" pivotButton="0" quotePrefix="0" xfId="0"/>
    <xf numFmtId="0" fontId="10844" fillId="10849" borderId="10784" pivotButton="0" quotePrefix="0" xfId="0"/>
    <xf numFmtId="0" fontId="10845" fillId="10850" borderId="10785" pivotButton="0" quotePrefix="0" xfId="0"/>
    <xf numFmtId="14" fontId="10846" fillId="10851" borderId="10786" pivotButton="0" quotePrefix="0" xfId="0"/>
    <xf numFmtId="0" fontId="10847" fillId="10852" borderId="10787" pivotButton="0" quotePrefix="0" xfId="0"/>
    <xf numFmtId="14" fontId="10848" fillId="10853" borderId="10788" pivotButton="0" quotePrefix="0" xfId="0"/>
    <xf numFmtId="0" fontId="10849" fillId="10854" borderId="10789" pivotButton="0" quotePrefix="0" xfId="0"/>
    <xf numFmtId="0" fontId="10850" fillId="10855" borderId="10790" pivotButton="0" quotePrefix="0" xfId="0"/>
    <xf numFmtId="0" fontId="10851" fillId="10856" borderId="10791" pivotButton="0" quotePrefix="0" xfId="0"/>
    <xf numFmtId="0" fontId="10852" fillId="10857" borderId="10792" pivotButton="0" quotePrefix="0" xfId="0"/>
    <xf numFmtId="0" fontId="10853" fillId="10858" borderId="10793" pivotButton="0" quotePrefix="0" xfId="0"/>
    <xf numFmtId="0" fontId="10854" fillId="10859" borderId="10794" pivotButton="0" quotePrefix="0" xfId="0"/>
    <xf numFmtId="0" fontId="10855" fillId="10860" borderId="10795" pivotButton="0" quotePrefix="0" xfId="0"/>
    <xf numFmtId="14" fontId="10856" fillId="10861" borderId="10796" pivotButton="0" quotePrefix="0" xfId="0"/>
    <xf numFmtId="0" fontId="10857" fillId="10862" borderId="10797" pivotButton="0" quotePrefix="0" xfId="0"/>
    <xf numFmtId="14" fontId="10858" fillId="10863" borderId="10798" pivotButton="0" quotePrefix="0" xfId="0"/>
    <xf numFmtId="0" fontId="10859" fillId="10864" borderId="10799" pivotButton="0" quotePrefix="0" xfId="0"/>
    <xf numFmtId="0" fontId="10860" fillId="10865" borderId="10800" pivotButton="0" quotePrefix="0" xfId="0"/>
    <xf numFmtId="0" fontId="10861" fillId="10866" borderId="10801" pivotButton="0" quotePrefix="0" xfId="0"/>
    <xf numFmtId="0" fontId="10862" fillId="10867" borderId="10802" pivotButton="0" quotePrefix="0" xfId="0"/>
    <xf numFmtId="0" fontId="10863" fillId="10868" borderId="10803" pivotButton="0" quotePrefix="0" xfId="0"/>
    <xf numFmtId="0" fontId="10864" fillId="10869" borderId="10804" pivotButton="0" quotePrefix="0" xfId="0"/>
    <xf numFmtId="0" fontId="10865" fillId="10870" borderId="10805" pivotButton="0" quotePrefix="0" xfId="0"/>
    <xf numFmtId="14" fontId="10866" fillId="10871" borderId="10806" pivotButton="0" quotePrefix="0" xfId="0"/>
    <xf numFmtId="0" fontId="10867" fillId="10872" borderId="10807" pivotButton="0" quotePrefix="0" xfId="0"/>
    <xf numFmtId="14" fontId="10868" fillId="10873" borderId="10808" pivotButton="0" quotePrefix="0" xfId="0"/>
    <xf numFmtId="0" fontId="10869" fillId="10874" borderId="10809" pivotButton="0" quotePrefix="0" xfId="0"/>
    <xf numFmtId="0" fontId="10870" fillId="10875" borderId="10810" pivotButton="0" quotePrefix="0" xfId="0"/>
    <xf numFmtId="0" fontId="10871" fillId="10876" borderId="10811" pivotButton="0" quotePrefix="0" xfId="0"/>
    <xf numFmtId="0" fontId="10872" fillId="10877" borderId="10812" pivotButton="0" quotePrefix="0" xfId="0"/>
    <xf numFmtId="0" fontId="10873" fillId="10878" borderId="10813" pivotButton="0" quotePrefix="0" xfId="0"/>
    <xf numFmtId="0" fontId="10874" fillId="10879" borderId="10814" pivotButton="0" quotePrefix="0" xfId="0"/>
    <xf numFmtId="0" fontId="10875" fillId="10880" borderId="10815" pivotButton="0" quotePrefix="0" xfId="0"/>
    <xf numFmtId="14" fontId="10876" fillId="10881" borderId="10816" pivotButton="0" quotePrefix="0" xfId="0"/>
    <xf numFmtId="0" fontId="10877" fillId="10882" borderId="10817" pivotButton="0" quotePrefix="0" xfId="0"/>
    <xf numFmtId="14" fontId="10878" fillId="10883" borderId="10818" pivotButton="0" quotePrefix="0" xfId="0"/>
    <xf numFmtId="0" fontId="10879" fillId="10884" borderId="10819" pivotButton="0" quotePrefix="0" xfId="0"/>
    <xf numFmtId="0" fontId="10880" fillId="10885" borderId="10820" pivotButton="0" quotePrefix="0" xfId="0"/>
    <xf numFmtId="0" fontId="10881" fillId="10886" borderId="10821" pivotButton="0" quotePrefix="0" xfId="0"/>
    <xf numFmtId="0" fontId="10882" fillId="10887" borderId="10822" pivotButton="0" quotePrefix="0" xfId="0"/>
    <xf numFmtId="0" fontId="10883" fillId="10888" borderId="10823" pivotButton="0" quotePrefix="0" xfId="0"/>
    <xf numFmtId="0" fontId="10884" fillId="10889" borderId="10824" pivotButton="0" quotePrefix="0" xfId="0"/>
    <xf numFmtId="0" fontId="10885" fillId="10890" borderId="10825" pivotButton="0" quotePrefix="0" xfId="0"/>
    <xf numFmtId="14" fontId="10886" fillId="10891" borderId="10826" pivotButton="0" quotePrefix="0" xfId="0"/>
    <xf numFmtId="0" fontId="10887" fillId="10892" borderId="10827" pivotButton="0" quotePrefix="0" xfId="0"/>
    <xf numFmtId="14" fontId="10888" fillId="10893" borderId="10828" pivotButton="0" quotePrefix="0" xfId="0"/>
    <xf numFmtId="0" fontId="10889" fillId="10894" borderId="10829" pivotButton="0" quotePrefix="0" xfId="0"/>
    <xf numFmtId="0" fontId="10890" fillId="10895" borderId="10830" pivotButton="0" quotePrefix="0" xfId="0"/>
    <xf numFmtId="0" fontId="10891" fillId="10896" borderId="10831" pivotButton="0" quotePrefix="0" xfId="0"/>
    <xf numFmtId="0" fontId="10892" fillId="10897" borderId="10832" pivotButton="0" quotePrefix="0" xfId="0"/>
    <xf numFmtId="0" fontId="10893" fillId="10898" borderId="10833" pivotButton="0" quotePrefix="0" xfId="0"/>
    <xf numFmtId="0" fontId="10894" fillId="10899" borderId="10834" pivotButton="0" quotePrefix="0" xfId="0"/>
    <xf numFmtId="0" fontId="10895" fillId="10900" borderId="10835" pivotButton="0" quotePrefix="0" xfId="0"/>
    <xf numFmtId="14" fontId="10896" fillId="10901" borderId="10836" pivotButton="0" quotePrefix="0" xfId="0"/>
    <xf numFmtId="0" fontId="10897" fillId="10902" borderId="10837" pivotButton="0" quotePrefix="0" xfId="0"/>
    <xf numFmtId="14" fontId="10898" fillId="10903" borderId="10838" pivotButton="0" quotePrefix="0" xfId="0"/>
    <xf numFmtId="0" fontId="10899" fillId="10904" borderId="10839" pivotButton="0" quotePrefix="0" xfId="0"/>
    <xf numFmtId="0" fontId="10900" fillId="10905" borderId="10840" pivotButton="0" quotePrefix="0" xfId="0"/>
    <xf numFmtId="0" fontId="10901" fillId="10906" borderId="10841" pivotButton="0" quotePrefix="0" xfId="0"/>
    <xf numFmtId="0" fontId="10902" fillId="10907" borderId="10842" pivotButton="0" quotePrefix="0" xfId="0"/>
    <xf numFmtId="0" fontId="10903" fillId="10908" borderId="10843" pivotButton="0" quotePrefix="0" xfId="0"/>
    <xf numFmtId="0" fontId="10904" fillId="10909" borderId="10844" pivotButton="0" quotePrefix="0" xfId="0"/>
    <xf numFmtId="0" fontId="10905" fillId="10910" borderId="10845" pivotButton="0" quotePrefix="0" xfId="0"/>
    <xf numFmtId="14" fontId="10906" fillId="10911" borderId="10846" pivotButton="0" quotePrefix="0" xfId="0"/>
    <xf numFmtId="0" fontId="10907" fillId="10912" borderId="10847" pivotButton="0" quotePrefix="0" xfId="0"/>
    <xf numFmtId="14" fontId="10908" fillId="10913" borderId="10848" pivotButton="0" quotePrefix="0" xfId="0"/>
    <xf numFmtId="0" fontId="10909" fillId="10914" borderId="10849" pivotButton="0" quotePrefix="0" xfId="0"/>
    <xf numFmtId="0" fontId="10910" fillId="10915" borderId="10850" pivotButton="0" quotePrefix="0" xfId="0"/>
    <xf numFmtId="0" fontId="10911" fillId="10916" borderId="10851" pivotButton="0" quotePrefix="0" xfId="0"/>
    <xf numFmtId="0" fontId="10912" fillId="10917" borderId="10852" pivotButton="0" quotePrefix="0" xfId="0"/>
    <xf numFmtId="0" fontId="10913" fillId="10918" borderId="10853" pivotButton="0" quotePrefix="0" xfId="0"/>
    <xf numFmtId="0" fontId="10914" fillId="10919" borderId="10854" pivotButton="0" quotePrefix="0" xfId="0"/>
    <xf numFmtId="0" fontId="10915" fillId="10920" borderId="10855" pivotButton="0" quotePrefix="0" xfId="0"/>
    <xf numFmtId="14" fontId="10916" fillId="10921" borderId="10856" pivotButton="0" quotePrefix="0" xfId="0"/>
    <xf numFmtId="0" fontId="10917" fillId="10922" borderId="10857" pivotButton="0" quotePrefix="0" xfId="0"/>
    <xf numFmtId="14" fontId="10918" fillId="10923" borderId="10858" pivotButton="0" quotePrefix="0" xfId="0"/>
    <xf numFmtId="0" fontId="10919" fillId="10924" borderId="10859" pivotButton="0" quotePrefix="0" xfId="0"/>
    <xf numFmtId="0" fontId="10920" fillId="10925" borderId="10860" pivotButton="0" quotePrefix="0" xfId="0"/>
    <xf numFmtId="0" fontId="10921" fillId="10926" borderId="10861" pivotButton="0" quotePrefix="0" xfId="0"/>
    <xf numFmtId="0" fontId="10922" fillId="10927" borderId="10862" pivotButton="0" quotePrefix="0" xfId="0"/>
    <xf numFmtId="0" fontId="10923" fillId="10928" borderId="10863" pivotButton="0" quotePrefix="0" xfId="0"/>
    <xf numFmtId="0" fontId="10924" fillId="10929" borderId="10864" pivotButton="0" quotePrefix="0" xfId="0"/>
    <xf numFmtId="0" fontId="10925" fillId="10930" borderId="10865" pivotButton="0" quotePrefix="0" xfId="0"/>
    <xf numFmtId="14" fontId="10926" fillId="10931" borderId="10866" pivotButton="0" quotePrefix="0" xfId="0"/>
    <xf numFmtId="0" fontId="10927" fillId="10932" borderId="10867" pivotButton="0" quotePrefix="0" xfId="0"/>
    <xf numFmtId="14" fontId="10928" fillId="10933" borderId="10868" pivotButton="0" quotePrefix="0" xfId="0"/>
    <xf numFmtId="0" fontId="10929" fillId="10934" borderId="10869" pivotButton="0" quotePrefix="0" xfId="0"/>
    <xf numFmtId="0" fontId="10930" fillId="10935" borderId="10870" pivotButton="0" quotePrefix="0" xfId="0"/>
    <xf numFmtId="0" fontId="10931" fillId="10936" borderId="10871" pivotButton="0" quotePrefix="0" xfId="0"/>
    <xf numFmtId="0" fontId="10932" fillId="10937" borderId="10872" pivotButton="0" quotePrefix="0" xfId="0"/>
    <xf numFmtId="0" fontId="10933" fillId="10938" borderId="10873" pivotButton="0" quotePrefix="0" xfId="0"/>
    <xf numFmtId="0" fontId="10934" fillId="10939" borderId="10874" pivotButton="0" quotePrefix="0" xfId="0"/>
    <xf numFmtId="0" fontId="10935" fillId="10940" borderId="10875" pivotButton="0" quotePrefix="0" xfId="0"/>
    <xf numFmtId="14" fontId="10936" fillId="10941" borderId="10876" pivotButton="0" quotePrefix="0" xfId="0"/>
    <xf numFmtId="0" fontId="10937" fillId="10942" borderId="10877" pivotButton="0" quotePrefix="0" xfId="0"/>
    <xf numFmtId="14" fontId="10938" fillId="10943" borderId="10878" pivotButton="0" quotePrefix="0" xfId="0"/>
    <xf numFmtId="0" fontId="10939" fillId="10944" borderId="10879" pivotButton="0" quotePrefix="0" xfId="0"/>
    <xf numFmtId="0" fontId="10940" fillId="10945" borderId="10880" pivotButton="0" quotePrefix="0" xfId="0"/>
    <xf numFmtId="0" fontId="10941" fillId="10946" borderId="10881" pivotButton="0" quotePrefix="0" xfId="0"/>
    <xf numFmtId="0" fontId="10942" fillId="10947" borderId="10882" pivotButton="0" quotePrefix="0" xfId="0"/>
    <xf numFmtId="0" fontId="10943" fillId="10948" borderId="10883" pivotButton="0" quotePrefix="0" xfId="0"/>
    <xf numFmtId="0" fontId="10944" fillId="10949" borderId="10884" pivotButton="0" quotePrefix="0" xfId="0"/>
    <xf numFmtId="0" fontId="10945" fillId="10950" borderId="10885" pivotButton="0" quotePrefix="0" xfId="0"/>
    <xf numFmtId="14" fontId="10946" fillId="10951" borderId="10886" pivotButton="0" quotePrefix="0" xfId="0"/>
    <xf numFmtId="0" fontId="10947" fillId="10952" borderId="10887" pivotButton="0" quotePrefix="0" xfId="0"/>
    <xf numFmtId="14" fontId="10948" fillId="10953" borderId="10888" pivotButton="0" quotePrefix="0" xfId="0"/>
    <xf numFmtId="0" fontId="10949" fillId="10954" borderId="10889" pivotButton="0" quotePrefix="0" xfId="0"/>
    <xf numFmtId="0" fontId="10950" fillId="10955" borderId="10890" pivotButton="0" quotePrefix="0" xfId="0"/>
    <xf numFmtId="0" fontId="10951" fillId="10956" borderId="10891" pivotButton="0" quotePrefix="0" xfId="0"/>
    <xf numFmtId="0" fontId="10952" fillId="10957" borderId="10892" pivotButton="0" quotePrefix="0" xfId="0"/>
    <xf numFmtId="0" fontId="10953" fillId="10958" borderId="10893" pivotButton="0" quotePrefix="0" xfId="0"/>
    <xf numFmtId="0" fontId="10954" fillId="10959" borderId="10894" pivotButton="0" quotePrefix="0" xfId="0"/>
    <xf numFmtId="0" fontId="10955" fillId="10960" borderId="10895" pivotButton="0" quotePrefix="0" xfId="0"/>
    <xf numFmtId="14" fontId="10956" fillId="10961" borderId="10896" pivotButton="0" quotePrefix="0" xfId="0"/>
    <xf numFmtId="0" fontId="10957" fillId="10962" borderId="10897" pivotButton="0" quotePrefix="0" xfId="0"/>
    <xf numFmtId="14" fontId="10958" fillId="10963" borderId="10898" pivotButton="0" quotePrefix="0" xfId="0"/>
    <xf numFmtId="0" fontId="10959" fillId="10964" borderId="10899" pivotButton="0" quotePrefix="0" xfId="0"/>
    <xf numFmtId="0" fontId="10960" fillId="10965" borderId="10900" pivotButton="0" quotePrefix="0" xfId="0"/>
    <xf numFmtId="0" fontId="10961" fillId="10966" borderId="10901" pivotButton="0" quotePrefix="0" xfId="0"/>
    <xf numFmtId="0" fontId="10962" fillId="10967" borderId="10902" pivotButton="0" quotePrefix="0" xfId="0"/>
    <xf numFmtId="0" fontId="10963" fillId="10968" borderId="10903" pivotButton="0" quotePrefix="0" xfId="0"/>
    <xf numFmtId="0" fontId="10964" fillId="10969" borderId="10904" pivotButton="0" quotePrefix="0" xfId="0"/>
    <xf numFmtId="0" fontId="10965" fillId="10970" borderId="10905" pivotButton="0" quotePrefix="0" xfId="0"/>
    <xf numFmtId="14" fontId="10966" fillId="10971" borderId="10906" pivotButton="0" quotePrefix="0" xfId="0"/>
    <xf numFmtId="0" fontId="10967" fillId="10972" borderId="10907" pivotButton="0" quotePrefix="0" xfId="0"/>
    <xf numFmtId="14" fontId="10968" fillId="10973" borderId="10908" pivotButton="0" quotePrefix="0" xfId="0"/>
    <xf numFmtId="0" fontId="10969" fillId="10974" borderId="10909" pivotButton="0" quotePrefix="0" xfId="0"/>
    <xf numFmtId="0" fontId="10970" fillId="10975" borderId="10910" pivotButton="0" quotePrefix="0" xfId="0"/>
    <xf numFmtId="0" fontId="10971" fillId="10976" borderId="10911" pivotButton="0" quotePrefix="0" xfId="0"/>
    <xf numFmtId="0" fontId="10972" fillId="10977" borderId="10912" pivotButton="0" quotePrefix="0" xfId="0"/>
    <xf numFmtId="0" fontId="10973" fillId="10978" borderId="10913" pivotButton="0" quotePrefix="0" xfId="0"/>
    <xf numFmtId="0" fontId="10974" fillId="10979" borderId="10914" pivotButton="0" quotePrefix="0" xfId="0"/>
    <xf numFmtId="0" fontId="10975" fillId="10980" borderId="10915" pivotButton="0" quotePrefix="0" xfId="0"/>
    <xf numFmtId="14" fontId="10976" fillId="10981" borderId="10916" pivotButton="0" quotePrefix="0" xfId="0"/>
    <xf numFmtId="0" fontId="10977" fillId="10982" borderId="10917" pivotButton="0" quotePrefix="0" xfId="0"/>
    <xf numFmtId="14" fontId="10978" fillId="10983" borderId="10918" pivotButton="0" quotePrefix="0" xfId="0"/>
    <xf numFmtId="0" fontId="10979" fillId="10984" borderId="10919" pivotButton="0" quotePrefix="0" xfId="0"/>
    <xf numFmtId="0" fontId="10980" fillId="10985" borderId="10920" pivotButton="0" quotePrefix="0" xfId="0"/>
    <xf numFmtId="0" fontId="10981" fillId="10986" borderId="10921" pivotButton="0" quotePrefix="0" xfId="0"/>
    <xf numFmtId="0" fontId="10982" fillId="10987" borderId="10922" pivotButton="0" quotePrefix="0" xfId="0"/>
    <xf numFmtId="0" fontId="10983" fillId="10988" borderId="10923" pivotButton="0" quotePrefix="0" xfId="0"/>
    <xf numFmtId="0" fontId="10984" fillId="10989" borderId="10924" pivotButton="0" quotePrefix="0" xfId="0"/>
    <xf numFmtId="0" fontId="10985" fillId="10990" borderId="10925" pivotButton="0" quotePrefix="0" xfId="0"/>
    <xf numFmtId="14" fontId="10986" fillId="10991" borderId="10926" pivotButton="0" quotePrefix="0" xfId="0"/>
    <xf numFmtId="0" fontId="10987" fillId="10992" borderId="10927" pivotButton="0" quotePrefix="0" xfId="0"/>
    <xf numFmtId="14" fontId="10988" fillId="10993" borderId="10928" pivotButton="0" quotePrefix="0" xfId="0"/>
    <xf numFmtId="0" fontId="10989" fillId="10994" borderId="10929" pivotButton="0" quotePrefix="0" xfId="0"/>
    <xf numFmtId="0" fontId="10990" fillId="10995" borderId="10930" pivotButton="0" quotePrefix="0" xfId="0"/>
    <xf numFmtId="0" fontId="10991" fillId="10996" borderId="10931" pivotButton="0" quotePrefix="0" xfId="0"/>
    <xf numFmtId="0" fontId="10992" fillId="10997" borderId="10932" pivotButton="0" quotePrefix="0" xfId="0"/>
    <xf numFmtId="0" fontId="10993" fillId="10998" borderId="10933" pivotButton="0" quotePrefix="0" xfId="0"/>
    <xf numFmtId="0" fontId="10994" fillId="10999" borderId="10934" pivotButton="0" quotePrefix="0" xfId="0"/>
    <xf numFmtId="0" fontId="10995" fillId="11000" borderId="10935" pivotButton="0" quotePrefix="0" xfId="0"/>
    <xf numFmtId="14" fontId="10996" fillId="11001" borderId="10936" pivotButton="0" quotePrefix="0" xfId="0"/>
    <xf numFmtId="0" fontId="10997" fillId="11002" borderId="10937" pivotButton="0" quotePrefix="0" xfId="0"/>
    <xf numFmtId="14" fontId="10998" fillId="11003" borderId="10938" pivotButton="0" quotePrefix="0" xfId="0"/>
    <xf numFmtId="0" fontId="10999" fillId="11004" borderId="10939" pivotButton="0" quotePrefix="0" xfId="0"/>
    <xf numFmtId="0" fontId="11000" fillId="11005" borderId="10940" pivotButton="0" quotePrefix="0" xfId="0"/>
    <xf numFmtId="0" fontId="11001" fillId="11006" borderId="10941" pivotButton="0" quotePrefix="0" xfId="0"/>
    <xf numFmtId="0" fontId="11002" fillId="11007" borderId="10942" pivotButton="0" quotePrefix="0" xfId="0"/>
    <xf numFmtId="0" fontId="11003" fillId="11008" borderId="10943" pivotButton="0" quotePrefix="0" xfId="0"/>
    <xf numFmtId="0" fontId="11004" fillId="11009" borderId="10944" pivotButton="0" quotePrefix="0" xfId="0"/>
    <xf numFmtId="0" fontId="11005" fillId="11010" borderId="10945" pivotButton="0" quotePrefix="0" xfId="0"/>
    <xf numFmtId="14" fontId="11006" fillId="11011" borderId="10946" pivotButton="0" quotePrefix="0" xfId="0"/>
    <xf numFmtId="0" fontId="11007" fillId="11012" borderId="10947" pivotButton="0" quotePrefix="0" xfId="0"/>
    <xf numFmtId="14" fontId="11008" fillId="11013" borderId="10948" pivotButton="0" quotePrefix="0" xfId="0"/>
    <xf numFmtId="0" fontId="11009" fillId="11014" borderId="10949" pivotButton="0" quotePrefix="0" xfId="0"/>
    <xf numFmtId="0" fontId="11010" fillId="11015" borderId="10950" pivotButton="0" quotePrefix="0" xfId="0"/>
    <xf numFmtId="0" fontId="11011" fillId="11016" borderId="10951" pivotButton="0" quotePrefix="0" xfId="0"/>
    <xf numFmtId="0" fontId="11012" fillId="11017" borderId="10952" pivotButton="0" quotePrefix="0" xfId="0"/>
    <xf numFmtId="0" fontId="11013" fillId="11018" borderId="10953" pivotButton="0" quotePrefix="0" xfId="0"/>
    <xf numFmtId="0" fontId="11014" fillId="11019" borderId="10954" pivotButton="0" quotePrefix="0" xfId="0"/>
    <xf numFmtId="0" fontId="11015" fillId="11020" borderId="10955" pivotButton="0" quotePrefix="0" xfId="0"/>
    <xf numFmtId="14" fontId="11016" fillId="11021" borderId="10956" pivotButton="0" quotePrefix="0" xfId="0"/>
    <xf numFmtId="0" fontId="11017" fillId="11022" borderId="10957" pivotButton="0" quotePrefix="0" xfId="0"/>
    <xf numFmtId="14" fontId="11018" fillId="11023" borderId="10958" pivotButton="0" quotePrefix="0" xfId="0"/>
    <xf numFmtId="0" fontId="11019" fillId="11024" borderId="10959" pivotButton="0" quotePrefix="0" xfId="0"/>
    <xf numFmtId="0" fontId="11020" fillId="11025" borderId="10960" pivotButton="0" quotePrefix="0" xfId="0"/>
    <xf numFmtId="0" fontId="11021" fillId="11026" borderId="10961" pivotButton="0" quotePrefix="0" xfId="0"/>
    <xf numFmtId="0" fontId="11022" fillId="11027" borderId="10962" pivotButton="0" quotePrefix="0" xfId="0"/>
    <xf numFmtId="0" fontId="11023" fillId="11028" borderId="10963" pivotButton="0" quotePrefix="0" xfId="0"/>
    <xf numFmtId="0" fontId="11024" fillId="11029" borderId="10964" pivotButton="0" quotePrefix="0" xfId="0"/>
    <xf numFmtId="0" fontId="11025" fillId="11030" borderId="10965" pivotButton="0" quotePrefix="0" xfId="0"/>
    <xf numFmtId="14" fontId="11026" fillId="11031" borderId="10966" pivotButton="0" quotePrefix="0" xfId="0"/>
    <xf numFmtId="0" fontId="11027" fillId="11032" borderId="10967" pivotButton="0" quotePrefix="0" xfId="0"/>
    <xf numFmtId="14" fontId="11028" fillId="11033" borderId="10968" pivotButton="0" quotePrefix="0" xfId="0"/>
    <xf numFmtId="0" fontId="11029" fillId="11034" borderId="10969" pivotButton="0" quotePrefix="0" xfId="0"/>
    <xf numFmtId="0" fontId="11030" fillId="11035" borderId="10970" pivotButton="0" quotePrefix="0" xfId="0"/>
    <xf numFmtId="0" fontId="11031" fillId="11036" borderId="10971" pivotButton="0" quotePrefix="0" xfId="0"/>
    <xf numFmtId="0" fontId="11032" fillId="11037" borderId="10972" pivotButton="0" quotePrefix="0" xfId="0"/>
    <xf numFmtId="0" fontId="11033" fillId="11038" borderId="10973" pivotButton="0" quotePrefix="0" xfId="0"/>
    <xf numFmtId="0" fontId="11034" fillId="11039" borderId="10974" pivotButton="0" quotePrefix="0" xfId="0"/>
    <xf numFmtId="0" fontId="11035" fillId="11040" borderId="10975" pivotButton="0" quotePrefix="0" xfId="0"/>
    <xf numFmtId="14" fontId="11036" fillId="11041" borderId="10976" pivotButton="0" quotePrefix="0" xfId="0"/>
    <xf numFmtId="0" fontId="11037" fillId="11042" borderId="10977" pivotButton="0" quotePrefix="0" xfId="0"/>
    <xf numFmtId="14" fontId="11038" fillId="11043" borderId="10978" pivotButton="0" quotePrefix="0" xfId="0"/>
    <xf numFmtId="0" fontId="11039" fillId="11044" borderId="10979" pivotButton="0" quotePrefix="0" xfId="0"/>
    <xf numFmtId="0" fontId="11040" fillId="11045" borderId="10980" pivotButton="0" quotePrefix="0" xfId="0"/>
    <xf numFmtId="0" fontId="11041" fillId="11046" borderId="10981" pivotButton="0" quotePrefix="0" xfId="0"/>
    <xf numFmtId="0" fontId="11042" fillId="11047" borderId="10982" pivotButton="0" quotePrefix="0" xfId="0"/>
    <xf numFmtId="0" fontId="11043" fillId="11048" borderId="10983" pivotButton="0" quotePrefix="0" xfId="0"/>
    <xf numFmtId="0" fontId="11044" fillId="11049" borderId="10984" pivotButton="0" quotePrefix="0" xfId="0"/>
    <xf numFmtId="0" fontId="11045" fillId="11050" borderId="10985" pivotButton="0" quotePrefix="0" xfId="0"/>
    <xf numFmtId="14" fontId="11046" fillId="11051" borderId="10986" pivotButton="0" quotePrefix="0" xfId="0"/>
    <xf numFmtId="0" fontId="11047" fillId="11052" borderId="10987" pivotButton="0" quotePrefix="0" xfId="0"/>
    <xf numFmtId="14" fontId="11048" fillId="11053" borderId="10988" pivotButton="0" quotePrefix="0" xfId="0"/>
    <xf numFmtId="0" fontId="11049" fillId="11054" borderId="10989" pivotButton="0" quotePrefix="0" xfId="0"/>
    <xf numFmtId="0" fontId="11050" fillId="11055" borderId="10990" pivotButton="0" quotePrefix="0" xfId="0"/>
    <xf numFmtId="0" fontId="11051" fillId="11056" borderId="10991" pivotButton="0" quotePrefix="0" xfId="0"/>
    <xf numFmtId="0" fontId="11052" fillId="11057" borderId="10992" pivotButton="0" quotePrefix="0" xfId="0"/>
    <xf numFmtId="0" fontId="11053" fillId="11058" borderId="10993" pivotButton="0" quotePrefix="0" xfId="0"/>
    <xf numFmtId="0" fontId="11054" fillId="11059" borderId="10994" pivotButton="0" quotePrefix="0" xfId="0"/>
    <xf numFmtId="0" fontId="11055" fillId="11060" borderId="10995" pivotButton="0" quotePrefix="0" xfId="0"/>
    <xf numFmtId="14" fontId="11056" fillId="11061" borderId="10996" pivotButton="0" quotePrefix="0" xfId="0"/>
    <xf numFmtId="0" fontId="11057" fillId="11062" borderId="10997" pivotButton="0" quotePrefix="0" xfId="0"/>
    <xf numFmtId="14" fontId="11058" fillId="11063" borderId="10998" pivotButton="0" quotePrefix="0" xfId="0"/>
    <xf numFmtId="0" fontId="11059" fillId="11064" borderId="10999" pivotButton="0" quotePrefix="0" xfId="0"/>
    <xf numFmtId="0" fontId="11060" fillId="11065" borderId="11000" pivotButton="0" quotePrefix="0" xfId="0"/>
    <xf numFmtId="0" fontId="11061" fillId="11066" borderId="11001" pivotButton="0" quotePrefix="0" xfId="0"/>
    <xf numFmtId="0" fontId="11062" fillId="11067" borderId="11002" pivotButton="0" quotePrefix="0" xfId="0"/>
    <xf numFmtId="0" fontId="11063" fillId="11068" borderId="11003" pivotButton="0" quotePrefix="0" xfId="0"/>
    <xf numFmtId="0" fontId="11064" fillId="11069" borderId="11004" pivotButton="0" quotePrefix="0" xfId="0"/>
    <xf numFmtId="0" fontId="11065" fillId="11070" borderId="11005" pivotButton="0" quotePrefix="0" xfId="0"/>
    <xf numFmtId="14" fontId="11066" fillId="11071" borderId="11006" pivotButton="0" quotePrefix="0" xfId="0"/>
    <xf numFmtId="0" fontId="11067" fillId="11072" borderId="11007" pivotButton="0" quotePrefix="0" xfId="0"/>
    <xf numFmtId="14" fontId="11068" fillId="11073" borderId="11008" pivotButton="0" quotePrefix="0" xfId="0"/>
    <xf numFmtId="0" fontId="11069" fillId="11074" borderId="11009" pivotButton="0" quotePrefix="0" xfId="0"/>
    <xf numFmtId="0" fontId="11070" fillId="11075" borderId="11010" pivotButton="0" quotePrefix="0" xfId="0"/>
    <xf numFmtId="0" fontId="11071" fillId="11076" borderId="11011" pivotButton="0" quotePrefix="0" xfId="0"/>
    <xf numFmtId="0" fontId="11072" fillId="11077" borderId="11012" pivotButton="0" quotePrefix="0" xfId="0"/>
    <xf numFmtId="0" fontId="11073" fillId="11078" borderId="11013" pivotButton="0" quotePrefix="0" xfId="0"/>
    <xf numFmtId="0" fontId="11074" fillId="11079" borderId="11014" pivotButton="0" quotePrefix="0" xfId="0"/>
    <xf numFmtId="0" fontId="11075" fillId="11080" borderId="11015" pivotButton="0" quotePrefix="0" xfId="0"/>
    <xf numFmtId="14" fontId="11076" fillId="11081" borderId="11016" pivotButton="0" quotePrefix="0" xfId="0"/>
    <xf numFmtId="0" fontId="11077" fillId="11082" borderId="11017" pivotButton="0" quotePrefix="0" xfId="0"/>
    <xf numFmtId="14" fontId="11078" fillId="11083" borderId="11018" pivotButton="0" quotePrefix="0" xfId="0"/>
    <xf numFmtId="0" fontId="11079" fillId="11084" borderId="11019" pivotButton="0" quotePrefix="0" xfId="0"/>
    <xf numFmtId="0" fontId="11080" fillId="11085" borderId="11020" pivotButton="0" quotePrefix="0" xfId="0"/>
    <xf numFmtId="0" fontId="11081" fillId="11086" borderId="11021" pivotButton="0" quotePrefix="0" xfId="0"/>
    <xf numFmtId="0" fontId="11082" fillId="11087" borderId="11022" pivotButton="0" quotePrefix="0" xfId="0"/>
    <xf numFmtId="0" fontId="11083" fillId="11088" borderId="11023" pivotButton="0" quotePrefix="0" xfId="0"/>
    <xf numFmtId="0" fontId="11084" fillId="11089" borderId="11024" pivotButton="0" quotePrefix="0" xfId="0"/>
    <xf numFmtId="0" fontId="11085" fillId="11090" borderId="11025" pivotButton="0" quotePrefix="0" xfId="0"/>
    <xf numFmtId="14" fontId="11086" fillId="11091" borderId="11026" pivotButton="0" quotePrefix="0" xfId="0"/>
    <xf numFmtId="0" fontId="11087" fillId="11092" borderId="11027" pivotButton="0" quotePrefix="0" xfId="0"/>
    <xf numFmtId="14" fontId="11088" fillId="11093" borderId="11028" pivotButton="0" quotePrefix="0" xfId="0"/>
    <xf numFmtId="0" fontId="11089" fillId="11094" borderId="11029" pivotButton="0" quotePrefix="0" xfId="0"/>
    <xf numFmtId="0" fontId="11090" fillId="11095" borderId="11030" pivotButton="0" quotePrefix="0" xfId="0"/>
    <xf numFmtId="0" fontId="11091" fillId="11096" borderId="11031" pivotButton="0" quotePrefix="0" xfId="0"/>
    <xf numFmtId="0" fontId="11092" fillId="11097" borderId="11032" pivotButton="0" quotePrefix="0" xfId="0"/>
    <xf numFmtId="0" fontId="11093" fillId="11098" borderId="11033" pivotButton="0" quotePrefix="0" xfId="0"/>
    <xf numFmtId="0" fontId="11094" fillId="11099" borderId="11034" pivotButton="0" quotePrefix="0" xfId="0"/>
    <xf numFmtId="0" fontId="11095" fillId="11100" borderId="11035" pivotButton="0" quotePrefix="0" xfId="0"/>
    <xf numFmtId="14" fontId="11096" fillId="11101" borderId="11036" pivotButton="0" quotePrefix="0" xfId="0"/>
    <xf numFmtId="0" fontId="11097" fillId="11102" borderId="11037" pivotButton="0" quotePrefix="0" xfId="0"/>
    <xf numFmtId="14" fontId="11098" fillId="11103" borderId="11038" pivotButton="0" quotePrefix="0" xfId="0"/>
    <xf numFmtId="0" fontId="11099" fillId="11104" borderId="11039" pivotButton="0" quotePrefix="0" xfId="0"/>
    <xf numFmtId="0" fontId="11100" fillId="11105" borderId="11040" pivotButton="0" quotePrefix="0" xfId="0"/>
    <xf numFmtId="0" fontId="11101" fillId="11106" borderId="11041" pivotButton="0" quotePrefix="0" xfId="0"/>
    <xf numFmtId="0" fontId="11102" fillId="11107" borderId="11042" pivotButton="0" quotePrefix="0" xfId="0"/>
    <xf numFmtId="0" fontId="11103" fillId="11108" borderId="11043" pivotButton="0" quotePrefix="0" xfId="0"/>
    <xf numFmtId="0" fontId="11104" fillId="11109" borderId="11044" pivotButton="0" quotePrefix="0" xfId="0"/>
    <xf numFmtId="0" fontId="11105" fillId="11110" borderId="11045" pivotButton="0" quotePrefix="0" xfId="0"/>
    <xf numFmtId="14" fontId="11106" fillId="11111" borderId="11046" pivotButton="0" quotePrefix="0" xfId="0"/>
    <xf numFmtId="0" fontId="11107" fillId="11112" borderId="11047" pivotButton="0" quotePrefix="0" xfId="0"/>
    <xf numFmtId="14" fontId="11108" fillId="11113" borderId="11048" pivotButton="0" quotePrefix="0" xfId="0"/>
    <xf numFmtId="0" fontId="11109" fillId="11114" borderId="11049" pivotButton="0" quotePrefix="0" xfId="0"/>
    <xf numFmtId="0" fontId="11110" fillId="11115" borderId="11050" pivotButton="0" quotePrefix="0" xfId="0"/>
    <xf numFmtId="0" fontId="11111" fillId="11116" borderId="11051" pivotButton="0" quotePrefix="0" xfId="0"/>
    <xf numFmtId="0" fontId="11112" fillId="11117" borderId="11052" pivotButton="0" quotePrefix="0" xfId="0"/>
    <xf numFmtId="0" fontId="11113" fillId="11118" borderId="11053" pivotButton="0" quotePrefix="0" xfId="0"/>
    <xf numFmtId="0" fontId="11114" fillId="11119" borderId="11054" pivotButton="0" quotePrefix="0" xfId="0"/>
    <xf numFmtId="0" fontId="11115" fillId="11120" borderId="11055" pivotButton="0" quotePrefix="0" xfId="0"/>
    <xf numFmtId="14" fontId="11116" fillId="11121" borderId="11056" pivotButton="0" quotePrefix="0" xfId="0"/>
    <xf numFmtId="0" fontId="11117" fillId="11122" borderId="11057" pivotButton="0" quotePrefix="0" xfId="0"/>
    <xf numFmtId="14" fontId="11118" fillId="11123" borderId="11058" pivotButton="0" quotePrefix="0" xfId="0"/>
    <xf numFmtId="0" fontId="11119" fillId="11124" borderId="11059" pivotButton="0" quotePrefix="0" xfId="0"/>
    <xf numFmtId="0" fontId="11120" fillId="11125" borderId="11060" pivotButton="0" quotePrefix="0" xfId="0"/>
    <xf numFmtId="0" fontId="11121" fillId="11126" borderId="11061" pivotButton="0" quotePrefix="0" xfId="0"/>
    <xf numFmtId="0" fontId="11122" fillId="11127" borderId="11062" pivotButton="0" quotePrefix="0" xfId="0"/>
    <xf numFmtId="0" fontId="11123" fillId="11128" borderId="11063" pivotButton="0" quotePrefix="0" xfId="0"/>
    <xf numFmtId="0" fontId="11124" fillId="11129" borderId="11064" pivotButton="0" quotePrefix="0" xfId="0"/>
    <xf numFmtId="0" fontId="11125" fillId="11130" borderId="11065" pivotButton="0" quotePrefix="0" xfId="0"/>
    <xf numFmtId="14" fontId="11126" fillId="11131" borderId="11066" pivotButton="0" quotePrefix="0" xfId="0"/>
    <xf numFmtId="0" fontId="11127" fillId="11132" borderId="11067" pivotButton="0" quotePrefix="0" xfId="0"/>
    <xf numFmtId="14" fontId="11128" fillId="11133" borderId="11068" pivotButton="0" quotePrefix="0" xfId="0"/>
    <xf numFmtId="0" fontId="11129" fillId="11134" borderId="11069" pivotButton="0" quotePrefix="0" xfId="0"/>
    <xf numFmtId="0" fontId="11130" fillId="11135" borderId="11070" pivotButton="0" quotePrefix="0" xfId="0"/>
    <xf numFmtId="0" fontId="11131" fillId="11136" borderId="11071" pivotButton="0" quotePrefix="0" xfId="0"/>
    <xf numFmtId="0" fontId="11132" fillId="11137" borderId="11072" pivotButton="0" quotePrefix="0" xfId="0"/>
    <xf numFmtId="0" fontId="11133" fillId="11138" borderId="11073" pivotButton="0" quotePrefix="0" xfId="0"/>
    <xf numFmtId="0" fontId="11134" fillId="11139" borderId="11074" pivotButton="0" quotePrefix="0" xfId="0"/>
    <xf numFmtId="0" fontId="11135" fillId="11140" borderId="11075" pivotButton="0" quotePrefix="0" xfId="0"/>
    <xf numFmtId="14" fontId="11136" fillId="11141" borderId="11076" pivotButton="0" quotePrefix="0" xfId="0"/>
    <xf numFmtId="0" fontId="11137" fillId="11142" borderId="11077" pivotButton="0" quotePrefix="0" xfId="0"/>
    <xf numFmtId="14" fontId="11138" fillId="11143" borderId="11078" pivotButton="0" quotePrefix="0" xfId="0"/>
    <xf numFmtId="0" fontId="11139" fillId="11144" borderId="11079" pivotButton="0" quotePrefix="0" xfId="0"/>
    <xf numFmtId="0" fontId="11140" fillId="11145" borderId="11080" pivotButton="0" quotePrefix="0" xfId="0"/>
    <xf numFmtId="0" fontId="11141" fillId="11146" borderId="11081" pivotButton="0" quotePrefix="0" xfId="0"/>
    <xf numFmtId="0" fontId="11142" fillId="11147" borderId="11082" pivotButton="0" quotePrefix="0" xfId="0"/>
    <xf numFmtId="0" fontId="11143" fillId="11148" borderId="11083" pivotButton="0" quotePrefix="0" xfId="0"/>
    <xf numFmtId="0" fontId="11144" fillId="11149" borderId="11084" pivotButton="0" quotePrefix="0" xfId="0"/>
    <xf numFmtId="0" fontId="11145" fillId="11150" borderId="11085" pivotButton="0" quotePrefix="0" xfId="0"/>
    <xf numFmtId="14" fontId="11146" fillId="11151" borderId="11086" pivotButton="0" quotePrefix="0" xfId="0"/>
    <xf numFmtId="0" fontId="11147" fillId="11152" borderId="11087" pivotButton="0" quotePrefix="0" xfId="0"/>
    <xf numFmtId="14" fontId="11148" fillId="11153" borderId="11088" pivotButton="0" quotePrefix="0" xfId="0"/>
    <xf numFmtId="0" fontId="11149" fillId="11154" borderId="11089" pivotButton="0" quotePrefix="0" xfId="0"/>
    <xf numFmtId="0" fontId="11150" fillId="11155" borderId="11090" pivotButton="0" quotePrefix="0" xfId="0"/>
    <xf numFmtId="0" fontId="11151" fillId="11156" borderId="11091" pivotButton="0" quotePrefix="0" xfId="0"/>
    <xf numFmtId="0" fontId="11152" fillId="11157" borderId="11092" pivotButton="0" quotePrefix="0" xfId="0"/>
    <xf numFmtId="0" fontId="11153" fillId="11158" borderId="11093" pivotButton="0" quotePrefix="0" xfId="0"/>
    <xf numFmtId="0" fontId="11154" fillId="11159" borderId="11094" pivotButton="0" quotePrefix="0" xfId="0"/>
    <xf numFmtId="0" fontId="11155" fillId="11160" borderId="11095" pivotButton="0" quotePrefix="0" xfId="0"/>
    <xf numFmtId="14" fontId="11156" fillId="11161" borderId="11096" pivotButton="0" quotePrefix="0" xfId="0"/>
    <xf numFmtId="0" fontId="11157" fillId="11162" borderId="11097" pivotButton="0" quotePrefix="0" xfId="0"/>
    <xf numFmtId="14" fontId="11158" fillId="11163" borderId="11098" pivotButton="0" quotePrefix="0" xfId="0"/>
    <xf numFmtId="0" fontId="11159" fillId="11164" borderId="11099" pivotButton="0" quotePrefix="0" xfId="0"/>
    <xf numFmtId="0" fontId="11160" fillId="11165" borderId="11100" pivotButton="0" quotePrefix="0" xfId="0"/>
    <xf numFmtId="0" fontId="11161" fillId="11166" borderId="11101" pivotButton="0" quotePrefix="0" xfId="0"/>
    <xf numFmtId="0" fontId="11162" fillId="11167" borderId="11102" pivotButton="0" quotePrefix="0" xfId="0"/>
    <xf numFmtId="0" fontId="11163" fillId="11168" borderId="11103" pivotButton="0" quotePrefix="0" xfId="0"/>
    <xf numFmtId="0" fontId="11164" fillId="11169" borderId="11104" pivotButton="0" quotePrefix="0" xfId="0"/>
    <xf numFmtId="0" fontId="11165" fillId="11170" borderId="11105" pivotButton="0" quotePrefix="0" xfId="0"/>
    <xf numFmtId="14" fontId="11166" fillId="11171" borderId="11106" pivotButton="0" quotePrefix="0" xfId="0"/>
    <xf numFmtId="0" fontId="11167" fillId="11172" borderId="11107" pivotButton="0" quotePrefix="0" xfId="0"/>
    <xf numFmtId="14" fontId="11168" fillId="11173" borderId="11108" pivotButton="0" quotePrefix="0" xfId="0"/>
    <xf numFmtId="0" fontId="11169" fillId="11174" borderId="11109" pivotButton="0" quotePrefix="0" xfId="0"/>
    <xf numFmtId="0" fontId="11170" fillId="11175" borderId="11110" pivotButton="0" quotePrefix="0" xfId="0"/>
    <xf numFmtId="0" fontId="11171" fillId="11176" borderId="11111" pivotButton="0" quotePrefix="0" xfId="0"/>
    <xf numFmtId="0" fontId="11172" fillId="11177" borderId="11112" pivotButton="0" quotePrefix="0" xfId="0"/>
    <xf numFmtId="0" fontId="11173" fillId="11178" borderId="11113" pivotButton="0" quotePrefix="0" xfId="0"/>
    <xf numFmtId="0" fontId="11174" fillId="11179" borderId="11114" pivotButton="0" quotePrefix="0" xfId="0"/>
    <xf numFmtId="0" fontId="11175" fillId="11180" borderId="11115" pivotButton="0" quotePrefix="0" xfId="0"/>
    <xf numFmtId="14" fontId="11176" fillId="11181" borderId="11116" pivotButton="0" quotePrefix="0" xfId="0"/>
    <xf numFmtId="0" fontId="11177" fillId="11182" borderId="11117" pivotButton="0" quotePrefix="0" xfId="0"/>
    <xf numFmtId="14" fontId="11178" fillId="11183" borderId="11118" pivotButton="0" quotePrefix="0" xfId="0"/>
    <xf numFmtId="0" fontId="11179" fillId="11184" borderId="11119" pivotButton="0" quotePrefix="0" xfId="0"/>
    <xf numFmtId="0" fontId="11180" fillId="11185" borderId="11120" pivotButton="0" quotePrefix="0" xfId="0"/>
    <xf numFmtId="0" fontId="11181" fillId="11186" borderId="11121" pivotButton="0" quotePrefix="0" xfId="0"/>
    <xf numFmtId="0" fontId="11182" fillId="11187" borderId="11122" pivotButton="0" quotePrefix="0" xfId="0"/>
    <xf numFmtId="0" fontId="11183" fillId="11188" borderId="11123" pivotButton="0" quotePrefix="0" xfId="0"/>
    <xf numFmtId="0" fontId="11184" fillId="11189" borderId="11124" pivotButton="0" quotePrefix="0" xfId="0"/>
    <xf numFmtId="0" fontId="11185" fillId="11190" borderId="11125" pivotButton="0" quotePrefix="0" xfId="0"/>
    <xf numFmtId="14" fontId="11186" fillId="11191" borderId="11126" pivotButton="0" quotePrefix="0" xfId="0"/>
    <xf numFmtId="0" fontId="11187" fillId="11192" borderId="11127" pivotButton="0" quotePrefix="0" xfId="0"/>
    <xf numFmtId="14" fontId="11188" fillId="11193" borderId="11128" pivotButton="0" quotePrefix="0" xfId="0"/>
    <xf numFmtId="0" fontId="11189" fillId="11194" borderId="11129" pivotButton="0" quotePrefix="0" xfId="0"/>
    <xf numFmtId="0" fontId="11190" fillId="11195" borderId="11130" pivotButton="0" quotePrefix="0" xfId="0"/>
    <xf numFmtId="0" fontId="11191" fillId="11196" borderId="11131" pivotButton="0" quotePrefix="0" xfId="0"/>
    <xf numFmtId="0" fontId="11192" fillId="11197" borderId="11132" pivotButton="0" quotePrefix="0" xfId="0"/>
    <xf numFmtId="0" fontId="11193" fillId="11198" borderId="11133" pivotButton="0" quotePrefix="0" xfId="0"/>
    <xf numFmtId="0" fontId="11194" fillId="11199" borderId="11134" pivotButton="0" quotePrefix="0" xfId="0"/>
    <xf numFmtId="0" fontId="11195" fillId="11200" borderId="11135" pivotButton="0" quotePrefix="0" xfId="0"/>
    <xf numFmtId="14" fontId="11196" fillId="11201" borderId="11136" pivotButton="0" quotePrefix="0" xfId="0"/>
    <xf numFmtId="0" fontId="11197" fillId="11202" borderId="11137" pivotButton="0" quotePrefix="0" xfId="0"/>
    <xf numFmtId="14" fontId="11198" fillId="11203" borderId="11138" pivotButton="0" quotePrefix="0" xfId="0"/>
    <xf numFmtId="0" fontId="11199" fillId="11204" borderId="11139" pivotButton="0" quotePrefix="0" xfId="0"/>
    <xf numFmtId="0" fontId="11200" fillId="11205" borderId="11140" pivotButton="0" quotePrefix="0" xfId="0"/>
    <xf numFmtId="0" fontId="11201" fillId="11206" borderId="11141" pivotButton="0" quotePrefix="0" xfId="0"/>
    <xf numFmtId="0" fontId="11202" fillId="11207" borderId="11142" pivotButton="0" quotePrefix="0" xfId="0"/>
    <xf numFmtId="0" fontId="11203" fillId="11208" borderId="11143" pivotButton="0" quotePrefix="0" xfId="0"/>
    <xf numFmtId="0" fontId="11204" fillId="11209" borderId="11144" pivotButton="0" quotePrefix="0" xfId="0"/>
    <xf numFmtId="0" fontId="11205" fillId="11210" borderId="11145" pivotButton="0" quotePrefix="0" xfId="0"/>
    <xf numFmtId="14" fontId="11206" fillId="11211" borderId="11146" pivotButton="0" quotePrefix="0" xfId="0"/>
    <xf numFmtId="0" fontId="11207" fillId="11212" borderId="11147" pivotButton="0" quotePrefix="0" xfId="0"/>
    <xf numFmtId="14" fontId="11208" fillId="11213" borderId="11148" pivotButton="0" quotePrefix="0" xfId="0"/>
    <xf numFmtId="0" fontId="11209" fillId="11214" borderId="11149" pivotButton="0" quotePrefix="0" xfId="0"/>
    <xf numFmtId="0" fontId="11210" fillId="11215" borderId="11150" pivotButton="0" quotePrefix="0" xfId="0"/>
    <xf numFmtId="0" fontId="11211" fillId="11216" borderId="11151" pivotButton="0" quotePrefix="0" xfId="0"/>
    <xf numFmtId="0" fontId="11212" fillId="11217" borderId="11152" pivotButton="0" quotePrefix="0" xfId="0"/>
    <xf numFmtId="0" fontId="11213" fillId="11218" borderId="11153" pivotButton="0" quotePrefix="0" xfId="0"/>
    <xf numFmtId="0" fontId="11214" fillId="11219" borderId="11154" pivotButton="0" quotePrefix="0" xfId="0"/>
    <xf numFmtId="0" fontId="11215" fillId="11220" borderId="11155" pivotButton="0" quotePrefix="0" xfId="0"/>
    <xf numFmtId="14" fontId="11216" fillId="11221" borderId="11156" pivotButton="0" quotePrefix="0" xfId="0"/>
    <xf numFmtId="0" fontId="11217" fillId="11222" borderId="11157" pivotButton="0" quotePrefix="0" xfId="0"/>
    <xf numFmtId="14" fontId="11218" fillId="11223" borderId="11158" pivotButton="0" quotePrefix="0" xfId="0"/>
    <xf numFmtId="0" fontId="11219" fillId="11224" borderId="11159" pivotButton="0" quotePrefix="0" xfId="0"/>
    <xf numFmtId="0" fontId="11220" fillId="11225" borderId="11160" pivotButton="0" quotePrefix="0" xfId="0"/>
    <xf numFmtId="0" fontId="11221" fillId="11226" borderId="11161" pivotButton="0" quotePrefix="0" xfId="0"/>
    <xf numFmtId="0" fontId="11222" fillId="11227" borderId="11162" pivotButton="0" quotePrefix="0" xfId="0"/>
    <xf numFmtId="0" fontId="11223" fillId="11228" borderId="11163" pivotButton="0" quotePrefix="0" xfId="0"/>
    <xf numFmtId="0" fontId="11224" fillId="11229" borderId="11164" pivotButton="0" quotePrefix="0" xfId="0"/>
    <xf numFmtId="0" fontId="11225" fillId="11230" borderId="11165" pivotButton="0" quotePrefix="0" xfId="0"/>
    <xf numFmtId="14" fontId="11226" fillId="11231" borderId="11166" pivotButton="0" quotePrefix="0" xfId="0"/>
    <xf numFmtId="0" fontId="11227" fillId="11232" borderId="11167" pivotButton="0" quotePrefix="0" xfId="0"/>
    <xf numFmtId="14" fontId="11228" fillId="11233" borderId="11168" pivotButton="0" quotePrefix="0" xfId="0"/>
    <xf numFmtId="0" fontId="11229" fillId="11234" borderId="11169" pivotButton="0" quotePrefix="0" xfId="0"/>
    <xf numFmtId="0" fontId="11230" fillId="11235" borderId="11170" pivotButton="0" quotePrefix="0" xfId="0"/>
    <xf numFmtId="0" fontId="11231" fillId="11236" borderId="11171" pivotButton="0" quotePrefix="0" xfId="0"/>
    <xf numFmtId="0" fontId="11232" fillId="11237" borderId="11172" pivotButton="0" quotePrefix="0" xfId="0"/>
    <xf numFmtId="0" fontId="11233" fillId="11238" borderId="11173" pivotButton="0" quotePrefix="0" xfId="0"/>
    <xf numFmtId="0" fontId="11234" fillId="11239" borderId="11174" pivotButton="0" quotePrefix="0" xfId="0"/>
    <xf numFmtId="0" fontId="11235" fillId="11240" borderId="11175" pivotButton="0" quotePrefix="0" xfId="0"/>
    <xf numFmtId="14" fontId="11236" fillId="11241" borderId="11176" pivotButton="0" quotePrefix="0" xfId="0"/>
    <xf numFmtId="0" fontId="11237" fillId="11242" borderId="11177" pivotButton="0" quotePrefix="0" xfId="0"/>
    <xf numFmtId="14" fontId="11238" fillId="11243" borderId="11178" pivotButton="0" quotePrefix="0" xfId="0"/>
    <xf numFmtId="0" fontId="11239" fillId="11244" borderId="11179" pivotButton="0" quotePrefix="0" xfId="0"/>
    <xf numFmtId="0" fontId="11240" fillId="11245" borderId="11180" pivotButton="0" quotePrefix="0" xfId="0"/>
    <xf numFmtId="0" fontId="11241" fillId="11246" borderId="11181" pivotButton="0" quotePrefix="0" xfId="0"/>
    <xf numFmtId="0" fontId="11242" fillId="11247" borderId="11182" pivotButton="0" quotePrefix="0" xfId="0"/>
    <xf numFmtId="0" fontId="11243" fillId="11248" borderId="11183" pivotButton="0" quotePrefix="0" xfId="0"/>
    <xf numFmtId="0" fontId="11244" fillId="11249" borderId="11184" pivotButton="0" quotePrefix="0" xfId="0"/>
    <xf numFmtId="0" fontId="11245" fillId="11250" borderId="11185" pivotButton="0" quotePrefix="0" xfId="0"/>
    <xf numFmtId="14" fontId="11246" fillId="11251" borderId="11186" pivotButton="0" quotePrefix="0" xfId="0"/>
    <xf numFmtId="0" fontId="11247" fillId="11252" borderId="11187" pivotButton="0" quotePrefix="0" xfId="0"/>
    <xf numFmtId="14" fontId="11248" fillId="11253" borderId="11188" pivotButton="0" quotePrefix="0" xfId="0"/>
    <xf numFmtId="0" fontId="11249" fillId="11254" borderId="11189" pivotButton="0" quotePrefix="0" xfId="0"/>
    <xf numFmtId="0" fontId="11250" fillId="11255" borderId="11190" pivotButton="0" quotePrefix="0" xfId="0"/>
    <xf numFmtId="0" fontId="11251" fillId="11256" borderId="11191" pivotButton="0" quotePrefix="0" xfId="0"/>
    <xf numFmtId="0" fontId="11252" fillId="11257" borderId="11192" pivotButton="0" quotePrefix="0" xfId="0"/>
    <xf numFmtId="0" fontId="11253" fillId="11258" borderId="11193" pivotButton="0" quotePrefix="0" xfId="0"/>
    <xf numFmtId="0" fontId="11254" fillId="11259" borderId="11194" pivotButton="0" quotePrefix="0" xfId="0"/>
    <xf numFmtId="0" fontId="11255" fillId="11260" borderId="11195" pivotButton="0" quotePrefix="0" xfId="0"/>
    <xf numFmtId="14" fontId="11256" fillId="11261" borderId="11196" pivotButton="0" quotePrefix="0" xfId="0"/>
    <xf numFmtId="0" fontId="11257" fillId="11262" borderId="11197" pivotButton="0" quotePrefix="0" xfId="0"/>
    <xf numFmtId="14" fontId="11258" fillId="11263" borderId="11198" pivotButton="0" quotePrefix="0" xfId="0"/>
    <xf numFmtId="0" fontId="11259" fillId="11264" borderId="11199" pivotButton="0" quotePrefix="0" xfId="0"/>
    <xf numFmtId="0" fontId="11260" fillId="11265" borderId="11200" pivotButton="0" quotePrefix="0" xfId="0"/>
    <xf numFmtId="0" fontId="11261" fillId="11266" borderId="11201" pivotButton="0" quotePrefix="0" xfId="0"/>
    <xf numFmtId="0" fontId="11262" fillId="11267" borderId="11202" pivotButton="0" quotePrefix="0" xfId="0"/>
    <xf numFmtId="0" fontId="11263" fillId="11268" borderId="11203" pivotButton="0" quotePrefix="0" xfId="0"/>
    <xf numFmtId="0" fontId="11264" fillId="11269" borderId="11204" pivotButton="0" quotePrefix="0" xfId="0"/>
    <xf numFmtId="0" fontId="11265" fillId="11270" borderId="11205" pivotButton="0" quotePrefix="0" xfId="0"/>
    <xf numFmtId="14" fontId="11266" fillId="11271" borderId="11206" pivotButton="0" quotePrefix="0" xfId="0"/>
    <xf numFmtId="0" fontId="11267" fillId="11272" borderId="11207" pivotButton="0" quotePrefix="0" xfId="0"/>
    <xf numFmtId="14" fontId="11268" fillId="11273" borderId="11208" pivotButton="0" quotePrefix="0" xfId="0"/>
    <xf numFmtId="0" fontId="11269" fillId="11274" borderId="11209" pivotButton="0" quotePrefix="0" xfId="0"/>
    <xf numFmtId="0" fontId="11270" fillId="11275" borderId="11210" pivotButton="0" quotePrefix="0" xfId="0"/>
    <xf numFmtId="0" fontId="11271" fillId="11276" borderId="11211" pivotButton="0" quotePrefix="0" xfId="0"/>
    <xf numFmtId="0" fontId="11272" fillId="11277" borderId="11212" pivotButton="0" quotePrefix="0" xfId="0"/>
    <xf numFmtId="0" fontId="11273" fillId="11278" borderId="11213" pivotButton="0" quotePrefix="0" xfId="0"/>
    <xf numFmtId="0" fontId="11274" fillId="11279" borderId="11214" pivotButton="0" quotePrefix="0" xfId="0"/>
    <xf numFmtId="0" fontId="11275" fillId="11280" borderId="11215" pivotButton="0" quotePrefix="0" xfId="0"/>
    <xf numFmtId="14" fontId="11276" fillId="11281" borderId="11216" pivotButton="0" quotePrefix="0" xfId="0"/>
    <xf numFmtId="0" fontId="11277" fillId="11282" borderId="11217" pivotButton="0" quotePrefix="0" xfId="0"/>
    <xf numFmtId="14" fontId="11278" fillId="11283" borderId="11218" pivotButton="0" quotePrefix="0" xfId="0"/>
    <xf numFmtId="0" fontId="11279" fillId="11284" borderId="11219" pivotButton="0" quotePrefix="0" xfId="0"/>
    <xf numFmtId="0" fontId="11280" fillId="11285" borderId="11220" pivotButton="0" quotePrefix="0" xfId="0"/>
    <xf numFmtId="0" fontId="11281" fillId="11286" borderId="11221" pivotButton="0" quotePrefix="0" xfId="0"/>
    <xf numFmtId="0" fontId="11282" fillId="11287" borderId="11222" pivotButton="0" quotePrefix="0" xfId="0"/>
    <xf numFmtId="0" fontId="11283" fillId="11288" borderId="11223" pivotButton="0" quotePrefix="0" xfId="0"/>
    <xf numFmtId="0" fontId="11284" fillId="11289" borderId="11224" pivotButton="0" quotePrefix="0" xfId="0"/>
    <xf numFmtId="0" fontId="11285" fillId="11290" borderId="11225" pivotButton="0" quotePrefix="0" xfId="0"/>
    <xf numFmtId="14" fontId="11286" fillId="11291" borderId="11226" pivotButton="0" quotePrefix="0" xfId="0"/>
    <xf numFmtId="0" fontId="11287" fillId="11292" borderId="11227" pivotButton="0" quotePrefix="0" xfId="0"/>
    <xf numFmtId="14" fontId="11288" fillId="11293" borderId="11228" pivotButton="0" quotePrefix="0" xfId="0"/>
    <xf numFmtId="0" fontId="11289" fillId="11294" borderId="11229" pivotButton="0" quotePrefix="0" xfId="0"/>
    <xf numFmtId="0" fontId="11290" fillId="11295" borderId="11230" pivotButton="0" quotePrefix="0" xfId="0"/>
    <xf numFmtId="0" fontId="11291" fillId="11296" borderId="11231" pivotButton="0" quotePrefix="0" xfId="0"/>
    <xf numFmtId="0" fontId="11292" fillId="11297" borderId="11232" pivotButton="0" quotePrefix="0" xfId="0"/>
    <xf numFmtId="0" fontId="11293" fillId="11298" borderId="11233" pivotButton="0" quotePrefix="0" xfId="0"/>
    <xf numFmtId="0" fontId="11294" fillId="11299" borderId="11234" pivotButton="0" quotePrefix="0" xfId="0"/>
    <xf numFmtId="0" fontId="11295" fillId="11300" borderId="11235" pivotButton="0" quotePrefix="0" xfId="0"/>
    <xf numFmtId="14" fontId="11296" fillId="11301" borderId="11236" pivotButton="0" quotePrefix="0" xfId="0"/>
    <xf numFmtId="0" fontId="11297" fillId="11302" borderId="11237" pivotButton="0" quotePrefix="0" xfId="0"/>
    <xf numFmtId="14" fontId="11298" fillId="11303" borderId="11238" pivotButton="0" quotePrefix="0" xfId="0"/>
    <xf numFmtId="0" fontId="11299" fillId="11304" borderId="11239" pivotButton="0" quotePrefix="0" xfId="0"/>
    <xf numFmtId="0" fontId="11300" fillId="11305" borderId="11240" pivotButton="0" quotePrefix="0" xfId="0"/>
    <xf numFmtId="0" fontId="11301" fillId="11306" borderId="11241" pivotButton="0" quotePrefix="0" xfId="0"/>
    <xf numFmtId="0" fontId="11302" fillId="11307" borderId="11242" pivotButton="0" quotePrefix="0" xfId="0"/>
    <xf numFmtId="0" fontId="11303" fillId="11308" borderId="11243" pivotButton="0" quotePrefix="0" xfId="0"/>
    <xf numFmtId="0" fontId="11304" fillId="11309" borderId="11244" pivotButton="0" quotePrefix="0" xfId="0"/>
    <xf numFmtId="0" fontId="11305" fillId="11310" borderId="11245" pivotButton="0" quotePrefix="0" xfId="0"/>
    <xf numFmtId="14" fontId="11306" fillId="11311" borderId="11246" pivotButton="0" quotePrefix="0" xfId="0"/>
    <xf numFmtId="0" fontId="11307" fillId="11312" borderId="11247" pivotButton="0" quotePrefix="0" xfId="0"/>
    <xf numFmtId="14" fontId="11308" fillId="11313" borderId="11248" pivotButton="0" quotePrefix="0" xfId="0"/>
    <xf numFmtId="0" fontId="11309" fillId="11314" borderId="11249" pivotButton="0" quotePrefix="0" xfId="0"/>
    <xf numFmtId="0" fontId="11310" fillId="11315" borderId="11250" pivotButton="0" quotePrefix="0" xfId="0"/>
    <xf numFmtId="0" fontId="11311" fillId="11316" borderId="11251" pivotButton="0" quotePrefix="0" xfId="0"/>
    <xf numFmtId="0" fontId="11312" fillId="11317" borderId="11252" pivotButton="0" quotePrefix="0" xfId="0"/>
    <xf numFmtId="0" fontId="11313" fillId="11318" borderId="11253" pivotButton="0" quotePrefix="0" xfId="0"/>
    <xf numFmtId="0" fontId="11314" fillId="11319" borderId="11254" pivotButton="0" quotePrefix="0" xfId="0"/>
    <xf numFmtId="0" fontId="11315" fillId="11320" borderId="11255" pivotButton="0" quotePrefix="0" xfId="0"/>
    <xf numFmtId="14" fontId="11316" fillId="11321" borderId="11256" pivotButton="0" quotePrefix="0" xfId="0"/>
    <xf numFmtId="0" fontId="11317" fillId="11322" borderId="11257" pivotButton="0" quotePrefix="0" xfId="0"/>
    <xf numFmtId="14" fontId="11318" fillId="11323" borderId="11258" pivotButton="0" quotePrefix="0" xfId="0"/>
    <xf numFmtId="0" fontId="11319" fillId="11324" borderId="11259" pivotButton="0" quotePrefix="0" xfId="0"/>
    <xf numFmtId="0" fontId="11320" fillId="11325" borderId="11260" pivotButton="0" quotePrefix="0" xfId="0"/>
    <xf numFmtId="0" fontId="11321" fillId="11326" borderId="11261" pivotButton="0" quotePrefix="0" xfId="0"/>
    <xf numFmtId="0" fontId="11322" fillId="11327" borderId="11262" pivotButton="0" quotePrefix="0" xfId="0"/>
    <xf numFmtId="0" fontId="11323" fillId="11328" borderId="11263" pivotButton="0" quotePrefix="0" xfId="0"/>
    <xf numFmtId="0" fontId="11324" fillId="11329" borderId="11264" pivotButton="0" quotePrefix="0" xfId="0"/>
    <xf numFmtId="0" fontId="11325" fillId="11330" borderId="11265" pivotButton="0" quotePrefix="0" xfId="0"/>
    <xf numFmtId="14" fontId="11326" fillId="11331" borderId="11266" pivotButton="0" quotePrefix="0" xfId="0"/>
    <xf numFmtId="0" fontId="11327" fillId="11332" borderId="11267" pivotButton="0" quotePrefix="0" xfId="0"/>
    <xf numFmtId="14" fontId="11328" fillId="11333" borderId="11268" pivotButton="0" quotePrefix="0" xfId="0"/>
    <xf numFmtId="0" fontId="11329" fillId="11334" borderId="11269" pivotButton="0" quotePrefix="0" xfId="0"/>
    <xf numFmtId="0" fontId="11330" fillId="11335" borderId="11270" pivotButton="0" quotePrefix="0" xfId="0"/>
    <xf numFmtId="0" fontId="11331" fillId="11336" borderId="11271" pivotButton="0" quotePrefix="0" xfId="0"/>
    <xf numFmtId="0" fontId="11332" fillId="11337" borderId="11272" pivotButton="0" quotePrefix="0" xfId="0"/>
    <xf numFmtId="0" fontId="11333" fillId="11338" borderId="11273" pivotButton="0" quotePrefix="0" xfId="0"/>
    <xf numFmtId="0" fontId="11334" fillId="11339" borderId="11274" pivotButton="0" quotePrefix="0" xfId="0"/>
    <xf numFmtId="0" fontId="11335" fillId="11340" borderId="11275" pivotButton="0" quotePrefix="0" xfId="0"/>
    <xf numFmtId="14" fontId="11336" fillId="11341" borderId="11276" pivotButton="0" quotePrefix="0" xfId="0"/>
    <xf numFmtId="0" fontId="11337" fillId="11342" borderId="11277" pivotButton="0" quotePrefix="0" xfId="0"/>
    <xf numFmtId="14" fontId="11338" fillId="11343" borderId="11278" pivotButton="0" quotePrefix="0" xfId="0"/>
    <xf numFmtId="0" fontId="11339" fillId="11344" borderId="11279" pivotButton="0" quotePrefix="0" xfId="0"/>
    <xf numFmtId="0" fontId="11340" fillId="11345" borderId="11280" pivotButton="0" quotePrefix="0" xfId="0"/>
    <xf numFmtId="0" fontId="11341" fillId="11346" borderId="11281" pivotButton="0" quotePrefix="0" xfId="0"/>
    <xf numFmtId="0" fontId="11342" fillId="11347" borderId="11282" pivotButton="0" quotePrefix="0" xfId="0"/>
    <xf numFmtId="0" fontId="11343" fillId="11348" borderId="11283" pivotButton="0" quotePrefix="0" xfId="0"/>
    <xf numFmtId="0" fontId="11344" fillId="11349" borderId="11284" pivotButton="0" quotePrefix="0" xfId="0"/>
    <xf numFmtId="0" fontId="11345" fillId="11350" borderId="11285" pivotButton="0" quotePrefix="0" xfId="0"/>
    <xf numFmtId="14" fontId="11346" fillId="11351" borderId="11286" pivotButton="0" quotePrefix="0" xfId="0"/>
    <xf numFmtId="0" fontId="11347" fillId="11352" borderId="11287" pivotButton="0" quotePrefix="0" xfId="0"/>
    <xf numFmtId="14" fontId="11348" fillId="11353" borderId="11288" pivotButton="0" quotePrefix="0" xfId="0"/>
    <xf numFmtId="0" fontId="11349" fillId="11354" borderId="11289" pivotButton="0" quotePrefix="0" xfId="0"/>
    <xf numFmtId="0" fontId="11350" fillId="11355" borderId="11290" pivotButton="0" quotePrefix="0" xfId="0"/>
    <xf numFmtId="0" fontId="11351" fillId="11356" borderId="11291" pivotButton="0" quotePrefix="0" xfId="0"/>
    <xf numFmtId="0" fontId="11352" fillId="11357" borderId="11292" pivotButton="0" quotePrefix="0" xfId="0"/>
    <xf numFmtId="0" fontId="11353" fillId="11358" borderId="11293" pivotButton="0" quotePrefix="0" xfId="0"/>
    <xf numFmtId="0" fontId="11354" fillId="11359" borderId="11294" pivotButton="0" quotePrefix="0" xfId="0"/>
    <xf numFmtId="0" fontId="11355" fillId="11360" borderId="11295" pivotButton="0" quotePrefix="0" xfId="0"/>
    <xf numFmtId="14" fontId="11356" fillId="11361" borderId="11296" pivotButton="0" quotePrefix="0" xfId="0"/>
    <xf numFmtId="0" fontId="11357" fillId="11362" borderId="11297" pivotButton="0" quotePrefix="0" xfId="0"/>
    <xf numFmtId="14" fontId="11358" fillId="11363" borderId="11298" pivotButton="0" quotePrefix="0" xfId="0"/>
    <xf numFmtId="0" fontId="11359" fillId="11364" borderId="11299" pivotButton="0" quotePrefix="0" xfId="0"/>
    <xf numFmtId="0" fontId="11360" fillId="11365" borderId="11300" pivotButton="0" quotePrefix="0" xfId="0"/>
    <xf numFmtId="0" fontId="11361" fillId="11366" borderId="11301" pivotButton="0" quotePrefix="0" xfId="0"/>
    <xf numFmtId="0" fontId="11362" fillId="11367" borderId="11302" pivotButton="0" quotePrefix="0" xfId="0"/>
    <xf numFmtId="0" fontId="11363" fillId="11368" borderId="11303" pivotButton="0" quotePrefix="0" xfId="0"/>
    <xf numFmtId="0" fontId="11364" fillId="11369" borderId="11304" pivotButton="0" quotePrefix="0" xfId="0"/>
    <xf numFmtId="0" fontId="11365" fillId="11370" borderId="11305" pivotButton="0" quotePrefix="0" xfId="0"/>
    <xf numFmtId="14" fontId="11366" fillId="11371" borderId="11306" pivotButton="0" quotePrefix="0" xfId="0"/>
    <xf numFmtId="0" fontId="11367" fillId="11372" borderId="11307" pivotButton="0" quotePrefix="0" xfId="0"/>
    <xf numFmtId="14" fontId="11368" fillId="11373" borderId="11308" pivotButton="0" quotePrefix="0" xfId="0"/>
    <xf numFmtId="0" fontId="11369" fillId="11374" borderId="11309" pivotButton="0" quotePrefix="0" xfId="0"/>
    <xf numFmtId="0" fontId="11370" fillId="11375" borderId="11310" pivotButton="0" quotePrefix="0" xfId="0"/>
    <xf numFmtId="0" fontId="11371" fillId="11376" borderId="11311" pivotButton="0" quotePrefix="0" xfId="0"/>
    <xf numFmtId="0" fontId="11372" fillId="11377" borderId="11312" pivotButton="0" quotePrefix="0" xfId="0"/>
    <xf numFmtId="0" fontId="11373" fillId="11378" borderId="11313" pivotButton="0" quotePrefix="0" xfId="0"/>
    <xf numFmtId="0" fontId="11374" fillId="11379" borderId="11314" pivotButton="0" quotePrefix="0" xfId="0"/>
    <xf numFmtId="0" fontId="11375" fillId="11380" borderId="11315" pivotButton="0" quotePrefix="0" xfId="0"/>
    <xf numFmtId="14" fontId="11376" fillId="11381" borderId="11316" pivotButton="0" quotePrefix="0" xfId="0"/>
    <xf numFmtId="0" fontId="11377" fillId="11382" borderId="11317" pivotButton="0" quotePrefix="0" xfId="0"/>
    <xf numFmtId="14" fontId="11378" fillId="11383" borderId="11318" pivotButton="0" quotePrefix="0" xfId="0"/>
    <xf numFmtId="0" fontId="11379" fillId="11384" borderId="11319" pivotButton="0" quotePrefix="0" xfId="0"/>
    <xf numFmtId="0" fontId="11380" fillId="11385" borderId="11320" pivotButton="0" quotePrefix="0" xfId="0"/>
    <xf numFmtId="0" fontId="11381" fillId="11386" borderId="11321" pivotButton="0" quotePrefix="0" xfId="0"/>
    <xf numFmtId="0" fontId="11382" fillId="11387" borderId="11322" pivotButton="0" quotePrefix="0" xfId="0"/>
    <xf numFmtId="0" fontId="11383" fillId="11388" borderId="11323" pivotButton="0" quotePrefix="0" xfId="0"/>
    <xf numFmtId="0" fontId="11384" fillId="11389" borderId="11324" pivotButton="0" quotePrefix="0" xfId="0"/>
    <xf numFmtId="0" fontId="11385" fillId="11390" borderId="11325" pivotButton="0" quotePrefix="0" xfId="0"/>
    <xf numFmtId="14" fontId="11386" fillId="11391" borderId="11326" pivotButton="0" quotePrefix="0" xfId="0"/>
    <xf numFmtId="0" fontId="11387" fillId="11392" borderId="11327" pivotButton="0" quotePrefix="0" xfId="0"/>
    <xf numFmtId="14" fontId="11388" fillId="11393" borderId="11328" pivotButton="0" quotePrefix="0" xfId="0"/>
    <xf numFmtId="0" fontId="11389" fillId="11394" borderId="11329" pivotButton="0" quotePrefix="0" xfId="0"/>
    <xf numFmtId="0" fontId="11390" fillId="11395" borderId="11330" pivotButton="0" quotePrefix="0" xfId="0"/>
    <xf numFmtId="0" fontId="11391" fillId="11396" borderId="11331" pivotButton="0" quotePrefix="0" xfId="0"/>
    <xf numFmtId="0" fontId="11392" fillId="11397" borderId="11332" pivotButton="0" quotePrefix="0" xfId="0"/>
    <xf numFmtId="0" fontId="11393" fillId="11398" borderId="11333" pivotButton="0" quotePrefix="0" xfId="0"/>
    <xf numFmtId="0" fontId="11394" fillId="11399" borderId="11334" pivotButton="0" quotePrefix="0" xfId="0"/>
    <xf numFmtId="0" fontId="11395" fillId="11400" borderId="11335" pivotButton="0" quotePrefix="0" xfId="0"/>
    <xf numFmtId="14" fontId="11396" fillId="11401" borderId="11336" pivotButton="0" quotePrefix="0" xfId="0"/>
    <xf numFmtId="0" fontId="11397" fillId="11402" borderId="11337" pivotButton="0" quotePrefix="0" xfId="0"/>
    <xf numFmtId="14" fontId="11398" fillId="11403" borderId="11338" pivotButton="0" quotePrefix="0" xfId="0"/>
    <xf numFmtId="0" fontId="11399" fillId="11404" borderId="11339" pivotButton="0" quotePrefix="0" xfId="0"/>
    <xf numFmtId="0" fontId="11400" fillId="11405" borderId="11340" pivotButton="0" quotePrefix="0" xfId="0"/>
    <xf numFmtId="0" fontId="11401" fillId="11406" borderId="11341" pivotButton="0" quotePrefix="0" xfId="0"/>
    <xf numFmtId="0" fontId="11402" fillId="11407" borderId="11342" pivotButton="0" quotePrefix="0" xfId="0"/>
    <xf numFmtId="0" fontId="11403" fillId="11408" borderId="11343" pivotButton="0" quotePrefix="0" xfId="0"/>
    <xf numFmtId="0" fontId="11404" fillId="11409" borderId="11344" pivotButton="0" quotePrefix="0" xfId="0"/>
    <xf numFmtId="0" fontId="11405" fillId="11410" borderId="11345" pivotButton="0" quotePrefix="0" xfId="0"/>
    <xf numFmtId="14" fontId="11406" fillId="11411" borderId="11346" pivotButton="0" quotePrefix="0" xfId="0"/>
    <xf numFmtId="0" fontId="11407" fillId="11412" borderId="11347" pivotButton="0" quotePrefix="0" xfId="0"/>
    <xf numFmtId="14" fontId="11408" fillId="11413" borderId="11348" pivotButton="0" quotePrefix="0" xfId="0"/>
    <xf numFmtId="0" fontId="11409" fillId="11414" borderId="11349" pivotButton="0" quotePrefix="0" xfId="0"/>
    <xf numFmtId="0" fontId="11410" fillId="11415" borderId="11350" pivotButton="0" quotePrefix="0" xfId="0"/>
    <xf numFmtId="0" fontId="11411" fillId="11416" borderId="11351" pivotButton="0" quotePrefix="0" xfId="0"/>
    <xf numFmtId="0" fontId="11412" fillId="11417" borderId="11352" pivotButton="0" quotePrefix="0" xfId="0"/>
    <xf numFmtId="0" fontId="11413" fillId="11418" borderId="11353" pivotButton="0" quotePrefix="0" xfId="0"/>
    <xf numFmtId="0" fontId="11414" fillId="11419" borderId="11354" pivotButton="0" quotePrefix="0" xfId="0"/>
    <xf numFmtId="0" fontId="11415" fillId="11420" borderId="11355" pivotButton="0" quotePrefix="0" xfId="0"/>
    <xf numFmtId="14" fontId="11416" fillId="11421" borderId="11356" pivotButton="0" quotePrefix="0" xfId="0"/>
    <xf numFmtId="0" fontId="11417" fillId="11422" borderId="11357" pivotButton="0" quotePrefix="0" xfId="0"/>
    <xf numFmtId="14" fontId="11418" fillId="11423" borderId="11358" pivotButton="0" quotePrefix="0" xfId="0"/>
    <xf numFmtId="0" fontId="11419" fillId="11424" borderId="11359" pivotButton="0" quotePrefix="0" xfId="0"/>
    <xf numFmtId="0" fontId="11420" fillId="11425" borderId="11360" pivotButton="0" quotePrefix="0" xfId="0"/>
    <xf numFmtId="0" fontId="11421" fillId="11426" borderId="11361" pivotButton="0" quotePrefix="0" xfId="0"/>
    <xf numFmtId="0" fontId="11422" fillId="11427" borderId="11362" pivotButton="0" quotePrefix="0" xfId="0"/>
    <xf numFmtId="0" fontId="11423" fillId="11428" borderId="11363" pivotButton="0" quotePrefix="0" xfId="0"/>
    <xf numFmtId="0" fontId="11424" fillId="11429" borderId="11364" pivotButton="0" quotePrefix="0" xfId="0"/>
    <xf numFmtId="0" fontId="11425" fillId="11430" borderId="11365" pivotButton="0" quotePrefix="0" xfId="0"/>
    <xf numFmtId="14" fontId="11426" fillId="11431" borderId="11366" pivotButton="0" quotePrefix="0" xfId="0"/>
    <xf numFmtId="0" fontId="11427" fillId="11432" borderId="11367" pivotButton="0" quotePrefix="0" xfId="0"/>
    <xf numFmtId="14" fontId="11428" fillId="11433" borderId="11368" pivotButton="0" quotePrefix="0" xfId="0"/>
    <xf numFmtId="0" fontId="11429" fillId="11434" borderId="11369" pivotButton="0" quotePrefix="0" xfId="0"/>
    <xf numFmtId="0" fontId="11430" fillId="11435" borderId="11370" pivotButton="0" quotePrefix="0" xfId="0"/>
    <xf numFmtId="0" fontId="11431" fillId="11436" borderId="11371" pivotButton="0" quotePrefix="0" xfId="0"/>
    <xf numFmtId="0" fontId="11432" fillId="11437" borderId="11372" pivotButton="0" quotePrefix="0" xfId="0"/>
    <xf numFmtId="0" fontId="11433" fillId="11438" borderId="11373" pivotButton="0" quotePrefix="0" xfId="0"/>
    <xf numFmtId="0" fontId="11434" fillId="11439" borderId="11374" pivotButton="0" quotePrefix="0" xfId="0"/>
    <xf numFmtId="0" fontId="11435" fillId="11440" borderId="11375" pivotButton="0" quotePrefix="0" xfId="0"/>
    <xf numFmtId="14" fontId="11436" fillId="11441" borderId="11376" pivotButton="0" quotePrefix="0" xfId="0"/>
    <xf numFmtId="0" fontId="11437" fillId="11442" borderId="11377" pivotButton="0" quotePrefix="0" xfId="0"/>
    <xf numFmtId="14" fontId="11438" fillId="11443" borderId="11378" pivotButton="0" quotePrefix="0" xfId="0"/>
    <xf numFmtId="0" fontId="11439" fillId="11444" borderId="11379" pivotButton="0" quotePrefix="0" xfId="0"/>
    <xf numFmtId="0" fontId="11440" fillId="11445" borderId="11380" pivotButton="0" quotePrefix="0" xfId="0"/>
    <xf numFmtId="0" fontId="11441" fillId="11446" borderId="11381" pivotButton="0" quotePrefix="0" xfId="0"/>
    <xf numFmtId="0" fontId="11442" fillId="11447" borderId="11382" pivotButton="0" quotePrefix="0" xfId="0"/>
    <xf numFmtId="0" fontId="11443" fillId="11448" borderId="11383" pivotButton="0" quotePrefix="0" xfId="0"/>
    <xf numFmtId="0" fontId="11444" fillId="11449" borderId="11384" pivotButton="0" quotePrefix="0" xfId="0"/>
    <xf numFmtId="0" fontId="11445" fillId="11450" borderId="11385" pivotButton="0" quotePrefix="0" xfId="0"/>
    <xf numFmtId="14" fontId="11446" fillId="11451" borderId="11386" pivotButton="0" quotePrefix="0" xfId="0"/>
    <xf numFmtId="0" fontId="11447" fillId="11452" borderId="11387" pivotButton="0" quotePrefix="0" xfId="0"/>
    <xf numFmtId="14" fontId="11448" fillId="11453" borderId="11388" pivotButton="0" quotePrefix="0" xfId="0"/>
    <xf numFmtId="0" fontId="11449" fillId="11454" borderId="11389" pivotButton="0" quotePrefix="0" xfId="0"/>
    <xf numFmtId="0" fontId="11450" fillId="11455" borderId="11390" pivotButton="0" quotePrefix="0" xfId="0"/>
    <xf numFmtId="0" fontId="11451" fillId="11456" borderId="11391" pivotButton="0" quotePrefix="0" xfId="0"/>
    <xf numFmtId="0" fontId="11452" fillId="11457" borderId="11392" pivotButton="0" quotePrefix="0" xfId="0"/>
    <xf numFmtId="0" fontId="11453" fillId="11458" borderId="11393" pivotButton="0" quotePrefix="0" xfId="0"/>
    <xf numFmtId="0" fontId="11454" fillId="11459" borderId="11394" pivotButton="0" quotePrefix="0" xfId="0"/>
    <xf numFmtId="0" fontId="11455" fillId="11460" borderId="11395" pivotButton="0" quotePrefix="0" xfId="0"/>
    <xf numFmtId="14" fontId="11456" fillId="11461" borderId="11396" pivotButton="0" quotePrefix="0" xfId="0"/>
    <xf numFmtId="0" fontId="11457" fillId="11462" borderId="11397" pivotButton="0" quotePrefix="0" xfId="0"/>
    <xf numFmtId="14" fontId="11458" fillId="11463" borderId="11398" pivotButton="0" quotePrefix="0" xfId="0"/>
    <xf numFmtId="0" fontId="11459" fillId="11464" borderId="11399" pivotButton="0" quotePrefix="0" xfId="0"/>
    <xf numFmtId="0" fontId="11460" fillId="11465" borderId="11400" pivotButton="0" quotePrefix="0" xfId="0"/>
    <xf numFmtId="0" fontId="11461" fillId="11466" borderId="11401" pivotButton="0" quotePrefix="0" xfId="0"/>
    <xf numFmtId="0" fontId="11462" fillId="11467" borderId="11402" pivotButton="0" quotePrefix="0" xfId="0"/>
    <xf numFmtId="0" fontId="11463" fillId="11468" borderId="11403" pivotButton="0" quotePrefix="0" xfId="0"/>
    <xf numFmtId="0" fontId="11464" fillId="11469" borderId="11404" pivotButton="0" quotePrefix="0" xfId="0"/>
    <xf numFmtId="0" fontId="11465" fillId="11470" borderId="11405" pivotButton="0" quotePrefix="0" xfId="0"/>
    <xf numFmtId="14" fontId="11466" fillId="11471" borderId="11406" pivotButton="0" quotePrefix="0" xfId="0"/>
    <xf numFmtId="0" fontId="11467" fillId="11472" borderId="11407" pivotButton="0" quotePrefix="0" xfId="0"/>
    <xf numFmtId="14" fontId="11468" fillId="11473" borderId="11408" pivotButton="0" quotePrefix="0" xfId="0"/>
    <xf numFmtId="0" fontId="11469" fillId="11474" borderId="11409" pivotButton="0" quotePrefix="0" xfId="0"/>
    <xf numFmtId="0" fontId="11470" fillId="11475" borderId="11410" pivotButton="0" quotePrefix="0" xfId="0"/>
    <xf numFmtId="0" fontId="11471" fillId="11476" borderId="11411" pivotButton="0" quotePrefix="0" xfId="0"/>
    <xf numFmtId="0" fontId="11472" fillId="11477" borderId="11412" pivotButton="0" quotePrefix="0" xfId="0"/>
    <xf numFmtId="0" fontId="11473" fillId="11478" borderId="11413" pivotButton="0" quotePrefix="0" xfId="0"/>
    <xf numFmtId="0" fontId="11474" fillId="11479" borderId="11414" pivotButton="0" quotePrefix="0" xfId="0"/>
    <xf numFmtId="0" fontId="11475" fillId="11480" borderId="11415" pivotButton="0" quotePrefix="0" xfId="0"/>
    <xf numFmtId="14" fontId="11476" fillId="11481" borderId="11416" pivotButton="0" quotePrefix="0" xfId="0"/>
    <xf numFmtId="0" fontId="11477" fillId="11482" borderId="11417" pivotButton="0" quotePrefix="0" xfId="0"/>
    <xf numFmtId="14" fontId="11478" fillId="11483" borderId="11418" pivotButton="0" quotePrefix="0" xfId="0"/>
    <xf numFmtId="0" fontId="11479" fillId="11484" borderId="11419" pivotButton="0" quotePrefix="0" xfId="0"/>
    <xf numFmtId="0" fontId="11480" fillId="11485" borderId="11420" pivotButton="0" quotePrefix="0" xfId="0"/>
    <xf numFmtId="0" fontId="11481" fillId="11486" borderId="11421" pivotButton="0" quotePrefix="0" xfId="0"/>
    <xf numFmtId="0" fontId="11482" fillId="11487" borderId="11422" pivotButton="0" quotePrefix="0" xfId="0"/>
    <xf numFmtId="0" fontId="11483" fillId="11488" borderId="11423" pivotButton="0" quotePrefix="0" xfId="0"/>
    <xf numFmtId="0" fontId="11484" fillId="11489" borderId="11424" pivotButton="0" quotePrefix="0" xfId="0"/>
    <xf numFmtId="0" fontId="11485" fillId="11490" borderId="11425" pivotButton="0" quotePrefix="0" xfId="0"/>
    <xf numFmtId="14" fontId="11486" fillId="11491" borderId="11426" pivotButton="0" quotePrefix="0" xfId="0"/>
    <xf numFmtId="0" fontId="11487" fillId="11492" borderId="11427" pivotButton="0" quotePrefix="0" xfId="0"/>
    <xf numFmtId="14" fontId="11488" fillId="11493" borderId="11428" pivotButton="0" quotePrefix="0" xfId="0"/>
    <xf numFmtId="0" fontId="11489" fillId="11494" borderId="11429" pivotButton="0" quotePrefix="0" xfId="0"/>
    <xf numFmtId="0" fontId="11490" fillId="11495" borderId="11430" pivotButton="0" quotePrefix="0" xfId="0"/>
    <xf numFmtId="0" fontId="11491" fillId="11496" borderId="11431" pivotButton="0" quotePrefix="0" xfId="0"/>
    <xf numFmtId="0" fontId="11492" fillId="11497" borderId="11432" pivotButton="0" quotePrefix="0" xfId="0"/>
    <xf numFmtId="0" fontId="11493" fillId="11498" borderId="11433" pivotButton="0" quotePrefix="0" xfId="0"/>
    <xf numFmtId="0" fontId="11496" fillId="11501" borderId="11434" applyAlignment="1" pivotButton="0" quotePrefix="0" xfId="0">
      <alignment horizontal="center" wrapText="1"/>
    </xf>
    <xf numFmtId="0" fontId="11497" fillId="11502" borderId="11435" applyAlignment="1" pivotButton="0" quotePrefix="0" xfId="0">
      <alignment horizontal="center" wrapText="1"/>
    </xf>
    <xf numFmtId="0" fontId="11498" fillId="11503" borderId="11436" applyAlignment="1" pivotButton="0" quotePrefix="0" xfId="0">
      <alignment horizontal="center" wrapText="1"/>
    </xf>
    <xf numFmtId="0" fontId="11499" fillId="11504" borderId="11437" applyAlignment="1" pivotButton="0" quotePrefix="0" xfId="0">
      <alignment horizontal="center" wrapText="1"/>
    </xf>
    <xf numFmtId="0" fontId="11500" fillId="11505" borderId="11438" applyAlignment="1" pivotButton="0" quotePrefix="0" xfId="0">
      <alignment horizontal="center" wrapText="1"/>
    </xf>
    <xf numFmtId="0" fontId="11501" fillId="11506" borderId="11439" applyAlignment="1" pivotButton="0" quotePrefix="0" xfId="0">
      <alignment horizontal="center" wrapText="1"/>
    </xf>
    <xf numFmtId="0" fontId="11502" fillId="11507" borderId="11440" applyAlignment="1" pivotButton="0" quotePrefix="0" xfId="0">
      <alignment horizontal="center" wrapText="1"/>
    </xf>
    <xf numFmtId="0" fontId="11503" fillId="11508" borderId="11441" applyAlignment="1" pivotButton="0" quotePrefix="0" xfId="0">
      <alignment horizontal="center" wrapText="1"/>
    </xf>
    <xf numFmtId="0" fontId="11504" fillId="11509" borderId="11442" applyAlignment="1" pivotButton="0" quotePrefix="0" xfId="0">
      <alignment horizontal="center" wrapText="1"/>
    </xf>
    <xf numFmtId="0" fontId="11505" fillId="11510" borderId="11443" applyAlignment="1" pivotButton="0" quotePrefix="0" xfId="0">
      <alignment horizontal="center" wrapText="1"/>
    </xf>
    <xf numFmtId="0" fontId="11506" fillId="11511" borderId="11444" applyAlignment="1" pivotButton="0" quotePrefix="0" xfId="0">
      <alignment horizontal="center" wrapText="1"/>
    </xf>
    <xf numFmtId="0" fontId="11507" fillId="11512" borderId="11445" applyAlignment="1" pivotButton="0" quotePrefix="0" xfId="0">
      <alignment horizontal="center" wrapText="1"/>
    </xf>
    <xf numFmtId="0" fontId="11508" fillId="11513" borderId="11446" applyAlignment="1" pivotButton="0" quotePrefix="0" xfId="0">
      <alignment horizontal="center" wrapText="1"/>
    </xf>
    <xf numFmtId="0" fontId="11509" fillId="11514" borderId="11447" pivotButton="0" quotePrefix="0" xfId="0"/>
    <xf numFmtId="0" fontId="11512" fillId="11517" borderId="11448" applyAlignment="1" pivotButton="0" quotePrefix="0" xfId="0">
      <alignment horizontal="center" wrapText="1"/>
    </xf>
    <xf numFmtId="0" fontId="11513" fillId="11518" borderId="11449" applyAlignment="1" pivotButton="0" quotePrefix="0" xfId="0">
      <alignment horizontal="center" wrapText="1"/>
    </xf>
    <xf numFmtId="0" fontId="11514" fillId="11519" borderId="11450" applyAlignment="1" pivotButton="0" quotePrefix="0" xfId="0">
      <alignment horizontal="center" wrapText="1"/>
    </xf>
    <xf numFmtId="0" fontId="11515" fillId="11520" borderId="11451" applyAlignment="1" pivotButton="0" quotePrefix="0" xfId="0">
      <alignment horizontal="center" wrapText="1"/>
    </xf>
    <xf numFmtId="0" fontId="11516" fillId="11521" borderId="11452" applyAlignment="1" pivotButton="0" quotePrefix="0" xfId="0">
      <alignment horizontal="center" wrapText="1"/>
    </xf>
    <xf numFmtId="0" fontId="11517" fillId="11522" borderId="11453" applyAlignment="1" pivotButton="0" quotePrefix="0" xfId="0">
      <alignment horizontal="center" wrapText="1"/>
    </xf>
    <xf numFmtId="0" fontId="11518" fillId="11523" borderId="11454" applyAlignment="1" pivotButton="0" quotePrefix="0" xfId="0">
      <alignment horizontal="center" wrapText="1"/>
    </xf>
    <xf numFmtId="0" fontId="11519" fillId="11524" borderId="11455" applyAlignment="1" pivotButton="0" quotePrefix="0" xfId="0">
      <alignment horizontal="center" wrapText="1"/>
    </xf>
    <xf numFmtId="0" fontId="11520" fillId="11525" borderId="11456" applyAlignment="1" pivotButton="0" quotePrefix="0" xfId="0">
      <alignment horizontal="center" wrapText="1"/>
    </xf>
    <xf numFmtId="0" fontId="11521" fillId="11526" borderId="11457" applyAlignment="1" pivotButton="0" quotePrefix="0" xfId="0">
      <alignment horizontal="center" wrapText="1"/>
    </xf>
    <xf numFmtId="0" fontId="11522" fillId="11527" borderId="11458" applyAlignment="1" pivotButton="0" quotePrefix="0" xfId="0">
      <alignment horizontal="center" wrapText="1"/>
    </xf>
    <xf numFmtId="0" fontId="11985" fillId="11990" borderId="11921" pivotButton="0" quotePrefix="0" xfId="0"/>
    <xf numFmtId="166" fontId="11986" fillId="11991" borderId="11922" pivotButton="0" quotePrefix="0" xfId="0"/>
    <xf numFmtId="166" fontId="11987" fillId="11992" borderId="11923" pivotButton="0" quotePrefix="0" xfId="0"/>
    <xf numFmtId="166" fontId="11988" fillId="11993" borderId="11924" pivotButton="0" quotePrefix="0" xfId="0"/>
    <xf numFmtId="4" fontId="11989" fillId="11994" borderId="11925" pivotButton="0" quotePrefix="0" xfId="0"/>
    <xf numFmtId="0" fontId="11991" fillId="11996" borderId="11926" pivotButton="0" quotePrefix="0" xfId="0"/>
    <xf numFmtId="0" fontId="11992" fillId="11997" borderId="11927" pivotButton="0" quotePrefix="0" xfId="0"/>
    <xf numFmtId="0" fontId="11993" fillId="11998" borderId="11928" pivotButton="0" quotePrefix="0" xfId="0"/>
    <xf numFmtId="0" fontId="11994" fillId="11999" borderId="11929" pivotButton="0" quotePrefix="0" xfId="0"/>
    <xf numFmtId="0" fontId="11995" fillId="12000" borderId="11930" pivotButton="0" quotePrefix="0" xfId="0"/>
    <xf numFmtId="0" fontId="11996" fillId="12001" borderId="11931" pivotButton="0" quotePrefix="0" xfId="0"/>
    <xf numFmtId="0" fontId="11997" fillId="12002" borderId="11932" pivotButton="0" quotePrefix="0" xfId="0"/>
    <xf numFmtId="0" fontId="11998" fillId="12003" borderId="11933" pivotButton="0" quotePrefix="0" xfId="0"/>
    <xf numFmtId="0" fontId="11999" fillId="12004" borderId="11934" pivotButton="0" quotePrefix="0" xfId="0"/>
    <xf numFmtId="0" fontId="12000" fillId="12005" borderId="11935" applyAlignment="1" pivotButton="0" quotePrefix="0" xfId="0">
      <alignment horizontal="center"/>
    </xf>
    <xf numFmtId="0" fontId="12001" fillId="12006" borderId="11936" pivotButton="0" quotePrefix="0" xfId="0"/>
    <xf numFmtId="166" fontId="12002" fillId="12007" borderId="11937" pivotButton="0" quotePrefix="0" xfId="0"/>
    <xf numFmtId="166" fontId="12003" fillId="12008" borderId="11938" pivotButton="0" quotePrefix="0" xfId="0"/>
    <xf numFmtId="166" fontId="12004" fillId="12009" borderId="11939" pivotButton="0" quotePrefix="0" xfId="0"/>
    <xf numFmtId="4" fontId="12005" fillId="12010" borderId="11940" pivotButton="0" quotePrefix="0" xfId="0"/>
    <xf numFmtId="167" fontId="12006" fillId="12011" borderId="11941" pivotButton="0" quotePrefix="0" xfId="0"/>
    <xf numFmtId="4" fontId="12007" fillId="12012" borderId="11942" pivotButton="0" quotePrefix="0" xfId="0"/>
    <xf numFmtId="166" fontId="12008" fillId="12013" borderId="11943" pivotButton="0" quotePrefix="0" xfId="0"/>
    <xf numFmtId="0" fontId="12009" fillId="12014" borderId="11944" applyAlignment="1" pivotButton="0" quotePrefix="0" xfId="0">
      <alignment horizontal="center"/>
    </xf>
    <xf numFmtId="0" fontId="12010" fillId="12015" borderId="11945" pivotButton="0" quotePrefix="0" xfId="0"/>
    <xf numFmtId="166" fontId="12011" fillId="12016" borderId="11946" pivotButton="0" quotePrefix="0" xfId="0"/>
    <xf numFmtId="166" fontId="12012" fillId="12017" borderId="11947" pivotButton="0" quotePrefix="0" xfId="0"/>
    <xf numFmtId="166" fontId="12013" fillId="12018" borderId="11948" pivotButton="0" quotePrefix="0" xfId="0"/>
    <xf numFmtId="4" fontId="12014" fillId="12019" borderId="11949" pivotButton="0" quotePrefix="0" xfId="0"/>
    <xf numFmtId="167" fontId="12015" fillId="12020" borderId="11950" pivotButton="0" quotePrefix="0" xfId="0"/>
    <xf numFmtId="4" fontId="12016" fillId="12021" borderId="11951" pivotButton="0" quotePrefix="0" xfId="0"/>
    <xf numFmtId="166" fontId="12017" fillId="12022" borderId="11952" pivotButton="0" quotePrefix="0" xfId="0"/>
    <xf numFmtId="0" fontId="12018" fillId="12023" borderId="11953" applyAlignment="1" pivotButton="0" quotePrefix="0" xfId="0">
      <alignment horizontal="center"/>
    </xf>
    <xf numFmtId="0" fontId="12019" fillId="12024" borderId="11954" pivotButton="0" quotePrefix="0" xfId="0"/>
    <xf numFmtId="166" fontId="12020" fillId="12025" borderId="11955" pivotButton="0" quotePrefix="0" xfId="0"/>
    <xf numFmtId="166" fontId="12021" fillId="12026" borderId="11956" pivotButton="0" quotePrefix="0" xfId="0"/>
    <xf numFmtId="166" fontId="12022" fillId="12027" borderId="11957" pivotButton="0" quotePrefix="0" xfId="0"/>
    <xf numFmtId="4" fontId="12023" fillId="12028" borderId="11958" pivotButton="0" quotePrefix="0" xfId="0"/>
    <xf numFmtId="167" fontId="12024" fillId="12029" borderId="11959" pivotButton="0" quotePrefix="0" xfId="0"/>
    <xf numFmtId="4" fontId="12025" fillId="12030" borderId="11960" pivotButton="0" quotePrefix="0" xfId="0"/>
    <xf numFmtId="166" fontId="12026" fillId="12031" borderId="11961" pivotButton="0" quotePrefix="0" xfId="0"/>
    <xf numFmtId="0" fontId="12027" fillId="12032" borderId="11962" applyAlignment="1" pivotButton="0" quotePrefix="0" xfId="0">
      <alignment horizontal="center"/>
    </xf>
    <xf numFmtId="0" fontId="12028" fillId="12033" borderId="11963" pivotButton="0" quotePrefix="0" xfId="0"/>
    <xf numFmtId="166" fontId="12029" fillId="12034" borderId="11964" pivotButton="0" quotePrefix="0" xfId="0"/>
    <xf numFmtId="166" fontId="12030" fillId="12035" borderId="11965" pivotButton="0" quotePrefix="0" xfId="0"/>
    <xf numFmtId="166" fontId="12031" fillId="12036" borderId="11966" pivotButton="0" quotePrefix="0" xfId="0"/>
    <xf numFmtId="4" fontId="12032" fillId="12037" borderId="11967" pivotButton="0" quotePrefix="0" xfId="0"/>
    <xf numFmtId="167" fontId="12033" fillId="12038" borderId="11968" pivotButton="0" quotePrefix="0" xfId="0"/>
    <xf numFmtId="4" fontId="12034" fillId="12039" borderId="11969" pivotButton="0" quotePrefix="0" xfId="0"/>
    <xf numFmtId="166" fontId="12035" fillId="12040" borderId="11970" pivotButton="0" quotePrefix="0" xfId="0"/>
    <xf numFmtId="0" fontId="12036" fillId="12041" borderId="11971" applyAlignment="1" pivotButton="0" quotePrefix="0" xfId="0">
      <alignment horizontal="center"/>
    </xf>
    <xf numFmtId="0" fontId="12037" fillId="12042" borderId="11972" pivotButton="0" quotePrefix="0" xfId="0"/>
    <xf numFmtId="166" fontId="12038" fillId="12043" borderId="11973" pivotButton="0" quotePrefix="0" xfId="0"/>
    <xf numFmtId="166" fontId="12039" fillId="12044" borderId="11974" pivotButton="0" quotePrefix="0" xfId="0"/>
    <xf numFmtId="166" fontId="12040" fillId="12045" borderId="11975" pivotButton="0" quotePrefix="0" xfId="0"/>
    <xf numFmtId="4" fontId="12041" fillId="12046" borderId="11976" pivotButton="0" quotePrefix="0" xfId="0"/>
    <xf numFmtId="167" fontId="12042" fillId="12047" borderId="11977" pivotButton="0" quotePrefix="0" xfId="0"/>
    <xf numFmtId="4" fontId="12043" fillId="12048" borderId="11978" pivotButton="0" quotePrefix="0" xfId="0"/>
    <xf numFmtId="166" fontId="12044" fillId="12049" borderId="11979" pivotButton="0" quotePrefix="0" xfId="0"/>
    <xf numFmtId="0" fontId="12045" fillId="12050" borderId="11980" applyAlignment="1" pivotButton="0" quotePrefix="0" xfId="0">
      <alignment horizontal="center"/>
    </xf>
    <xf numFmtId="0" fontId="12046" fillId="12051" borderId="11981" pivotButton="0" quotePrefix="0" xfId="0"/>
    <xf numFmtId="166" fontId="12047" fillId="12052" borderId="11982" pivotButton="0" quotePrefix="0" xfId="0"/>
    <xf numFmtId="166" fontId="12048" fillId="12053" borderId="11983" pivotButton="0" quotePrefix="0" xfId="0"/>
    <xf numFmtId="166" fontId="12049" fillId="12054" borderId="11984" pivotButton="0" quotePrefix="0" xfId="0"/>
    <xf numFmtId="4" fontId="12050" fillId="12055" borderId="11985" pivotButton="0" quotePrefix="0" xfId="0"/>
    <xf numFmtId="167" fontId="12051" fillId="12056" borderId="11986" pivotButton="0" quotePrefix="0" xfId="0"/>
    <xf numFmtId="4" fontId="12052" fillId="12057" borderId="11987" pivotButton="0" quotePrefix="0" xfId="0"/>
    <xf numFmtId="166" fontId="12053" fillId="12058" borderId="11988" pivotButton="0" quotePrefix="0" xfId="0"/>
    <xf numFmtId="0" fontId="12054" fillId="12059" borderId="11989" applyAlignment="1" pivotButton="0" quotePrefix="0" xfId="0">
      <alignment horizontal="center"/>
    </xf>
    <xf numFmtId="0" fontId="12055" fillId="12060" borderId="11990" pivotButton="0" quotePrefix="0" xfId="0"/>
    <xf numFmtId="166" fontId="12056" fillId="12061" borderId="11991" pivotButton="0" quotePrefix="0" xfId="0"/>
    <xf numFmtId="166" fontId="12057" fillId="12062" borderId="11992" pivotButton="0" quotePrefix="0" xfId="0"/>
    <xf numFmtId="166" fontId="12058" fillId="12063" borderId="11993" pivotButton="0" quotePrefix="0" xfId="0"/>
    <xf numFmtId="4" fontId="12059" fillId="12064" borderId="11994" pivotButton="0" quotePrefix="0" xfId="0"/>
    <xf numFmtId="167" fontId="12060" fillId="12065" borderId="11995" pivotButton="0" quotePrefix="0" xfId="0"/>
    <xf numFmtId="4" fontId="12061" fillId="12066" borderId="11996" pivotButton="0" quotePrefix="0" xfId="0"/>
    <xf numFmtId="166" fontId="12062" fillId="12067" borderId="11997" pivotButton="0" quotePrefix="0" xfId="0"/>
    <xf numFmtId="0" fontId="12063" fillId="12068" borderId="11998" applyAlignment="1" pivotButton="0" quotePrefix="0" xfId="0">
      <alignment horizontal="center"/>
    </xf>
    <xf numFmtId="0" fontId="12064" fillId="12069" borderId="11999" pivotButton="0" quotePrefix="0" xfId="0"/>
    <xf numFmtId="166" fontId="12065" fillId="12070" borderId="12000" pivotButton="0" quotePrefix="0" xfId="0"/>
    <xf numFmtId="166" fontId="12066" fillId="12071" borderId="12001" pivotButton="0" quotePrefix="0" xfId="0"/>
    <xf numFmtId="166" fontId="12067" fillId="12072" borderId="12002" pivotButton="0" quotePrefix="0" xfId="0"/>
    <xf numFmtId="4" fontId="12068" fillId="12073" borderId="12003" pivotButton="0" quotePrefix="0" xfId="0"/>
    <xf numFmtId="167" fontId="12069" fillId="12074" borderId="12004" pivotButton="0" quotePrefix="0" xfId="0"/>
    <xf numFmtId="4" fontId="12070" fillId="12075" borderId="12005" pivotButton="0" quotePrefix="0" xfId="0"/>
    <xf numFmtId="166" fontId="12071" fillId="12076" borderId="12006" pivotButton="0" quotePrefix="0" xfId="0"/>
    <xf numFmtId="0" fontId="12072" fillId="12077" borderId="12007" applyAlignment="1" pivotButton="0" quotePrefix="0" xfId="0">
      <alignment horizontal="center"/>
    </xf>
    <xf numFmtId="0" fontId="12073" fillId="12078" borderId="12008" pivotButton="0" quotePrefix="0" xfId="0"/>
    <xf numFmtId="166" fontId="12074" fillId="12079" borderId="12009" pivotButton="0" quotePrefix="0" xfId="0"/>
    <xf numFmtId="166" fontId="12075" fillId="12080" borderId="12010" pivotButton="0" quotePrefix="0" xfId="0"/>
    <xf numFmtId="166" fontId="12076" fillId="12081" borderId="12011" pivotButton="0" quotePrefix="0" xfId="0"/>
    <xf numFmtId="4" fontId="12077" fillId="12082" borderId="12012" pivotButton="0" quotePrefix="0" xfId="0"/>
    <xf numFmtId="167" fontId="12078" fillId="12083" borderId="12013" pivotButton="0" quotePrefix="0" xfId="0"/>
    <xf numFmtId="4" fontId="12079" fillId="12084" borderId="12014" pivotButton="0" quotePrefix="0" xfId="0"/>
    <xf numFmtId="166" fontId="12080" fillId="12085" borderId="12015" pivotButton="0" quotePrefix="0" xfId="0"/>
    <xf numFmtId="0" fontId="12081" fillId="12086" borderId="12016" applyAlignment="1" pivotButton="0" quotePrefix="0" xfId="0">
      <alignment horizontal="center"/>
    </xf>
    <xf numFmtId="0" fontId="12082" fillId="12087" borderId="12017" pivotButton="0" quotePrefix="0" xfId="0"/>
    <xf numFmtId="166" fontId="12083" fillId="12088" borderId="12018" pivotButton="0" quotePrefix="0" xfId="0"/>
    <xf numFmtId="166" fontId="12084" fillId="12089" borderId="12019" pivotButton="0" quotePrefix="0" xfId="0"/>
    <xf numFmtId="166" fontId="12085" fillId="12090" borderId="12020" pivotButton="0" quotePrefix="0" xfId="0"/>
    <xf numFmtId="4" fontId="12086" fillId="12091" borderId="12021" pivotButton="0" quotePrefix="0" xfId="0"/>
    <xf numFmtId="167" fontId="12087" fillId="12092" borderId="12022" pivotButton="0" quotePrefix="0" xfId="0"/>
    <xf numFmtId="4" fontId="12088" fillId="12093" borderId="12023" pivotButton="0" quotePrefix="0" xfId="0"/>
    <xf numFmtId="166" fontId="12089" fillId="12094" borderId="12024" pivotButton="0" quotePrefix="0" xfId="0"/>
    <xf numFmtId="0" fontId="12090" fillId="12095" borderId="12025" applyAlignment="1" pivotButton="0" quotePrefix="0" xfId="0">
      <alignment horizontal="center"/>
    </xf>
    <xf numFmtId="0" fontId="12091" fillId="12096" borderId="12026" pivotButton="0" quotePrefix="0" xfId="0"/>
    <xf numFmtId="166" fontId="12092" fillId="12097" borderId="12027" pivotButton="0" quotePrefix="0" xfId="0"/>
    <xf numFmtId="166" fontId="12093" fillId="12098" borderId="12028" pivotButton="0" quotePrefix="0" xfId="0"/>
    <xf numFmtId="166" fontId="12094" fillId="12099" borderId="12029" pivotButton="0" quotePrefix="0" xfId="0"/>
    <xf numFmtId="4" fontId="12095" fillId="12100" borderId="12030" pivotButton="0" quotePrefix="0" xfId="0"/>
    <xf numFmtId="167" fontId="12096" fillId="12101" borderId="12031" pivotButton="0" quotePrefix="0" xfId="0"/>
    <xf numFmtId="4" fontId="12097" fillId="12102" borderId="12032" pivotButton="0" quotePrefix="0" xfId="0"/>
    <xf numFmtId="166" fontId="12098" fillId="12103" borderId="12033" pivotButton="0" quotePrefix="0" xfId="0"/>
    <xf numFmtId="0" fontId="12099" fillId="12104" borderId="12034" applyAlignment="1" pivotButton="0" quotePrefix="0" xfId="0">
      <alignment horizontal="center"/>
    </xf>
    <xf numFmtId="0" fontId="12100" fillId="12105" borderId="12035" pivotButton="0" quotePrefix="0" xfId="0"/>
    <xf numFmtId="166" fontId="12101" fillId="12106" borderId="12036" pivotButton="0" quotePrefix="0" xfId="0"/>
    <xf numFmtId="166" fontId="12102" fillId="12107" borderId="12037" pivotButton="0" quotePrefix="0" xfId="0"/>
    <xf numFmtId="166" fontId="12103" fillId="12108" borderId="12038" pivotButton="0" quotePrefix="0" xfId="0"/>
    <xf numFmtId="4" fontId="12104" fillId="12109" borderId="12039" pivotButton="0" quotePrefix="0" xfId="0"/>
    <xf numFmtId="167" fontId="12105" fillId="12110" borderId="12040" pivotButton="0" quotePrefix="0" xfId="0"/>
    <xf numFmtId="4" fontId="12106" fillId="12111" borderId="12041" pivotButton="0" quotePrefix="0" xfId="0"/>
    <xf numFmtId="166" fontId="12107" fillId="12112" borderId="12042" pivotButton="0" quotePrefix="0" xfId="0"/>
    <xf numFmtId="0" fontId="12108" fillId="12113" borderId="12043" applyAlignment="1" pivotButton="0" quotePrefix="0" xfId="0">
      <alignment horizontal="center"/>
    </xf>
    <xf numFmtId="0" fontId="12109" fillId="12114" borderId="12044" pivotButton="0" quotePrefix="0" xfId="0"/>
    <xf numFmtId="166" fontId="12110" fillId="12115" borderId="12045" pivotButton="0" quotePrefix="0" xfId="0"/>
    <xf numFmtId="166" fontId="12111" fillId="12116" borderId="12046" pivotButton="0" quotePrefix="0" xfId="0"/>
    <xf numFmtId="166" fontId="12112" fillId="12117" borderId="12047" pivotButton="0" quotePrefix="0" xfId="0"/>
    <xf numFmtId="4" fontId="12113" fillId="12118" borderId="12048" pivotButton="0" quotePrefix="0" xfId="0"/>
    <xf numFmtId="167" fontId="12114" fillId="12119" borderId="12049" pivotButton="0" quotePrefix="0" xfId="0"/>
    <xf numFmtId="4" fontId="12115" fillId="12120" borderId="12050" pivotButton="0" quotePrefix="0" xfId="0"/>
    <xf numFmtId="166" fontId="12116" fillId="12121" borderId="12051" pivotButton="0" quotePrefix="0" xfId="0"/>
    <xf numFmtId="0" fontId="12117" fillId="12122" borderId="12052" applyAlignment="1" pivotButton="0" quotePrefix="0" xfId="0">
      <alignment horizontal="center"/>
    </xf>
    <xf numFmtId="0" fontId="12118" fillId="12123" borderId="12053" pivotButton="0" quotePrefix="0" xfId="0"/>
    <xf numFmtId="166" fontId="12119" fillId="12124" borderId="12054" pivotButton="0" quotePrefix="0" xfId="0"/>
    <xf numFmtId="166" fontId="12120" fillId="12125" borderId="12055" pivotButton="0" quotePrefix="0" xfId="0"/>
    <xf numFmtId="166" fontId="12121" fillId="12126" borderId="12056" pivotButton="0" quotePrefix="0" xfId="0"/>
    <xf numFmtId="4" fontId="12122" fillId="12127" borderId="12057" pivotButton="0" quotePrefix="0" xfId="0"/>
    <xf numFmtId="167" fontId="12123" fillId="12128" borderId="12058" pivotButton="0" quotePrefix="0" xfId="0"/>
    <xf numFmtId="4" fontId="12124" fillId="12129" borderId="12059" pivotButton="0" quotePrefix="0" xfId="0"/>
    <xf numFmtId="166" fontId="12125" fillId="12130" borderId="12060" pivotButton="0" quotePrefix="0" xfId="0"/>
    <xf numFmtId="0" fontId="12129" fillId="12134" borderId="12061" applyAlignment="1" pivotButton="0" quotePrefix="0" xfId="0">
      <alignment horizontal="center" wrapText="1"/>
    </xf>
    <xf numFmtId="0" fontId="12130" fillId="12135" borderId="12062" applyAlignment="1" pivotButton="0" quotePrefix="0" xfId="0">
      <alignment horizontal="center" wrapText="1"/>
    </xf>
    <xf numFmtId="0" fontId="12131" fillId="12136" borderId="12063" applyAlignment="1" pivotButton="0" quotePrefix="0" xfId="0">
      <alignment horizontal="center" wrapText="1"/>
    </xf>
    <xf numFmtId="0" fontId="12132" fillId="12137" borderId="12064" applyAlignment="1" pivotButton="0" quotePrefix="0" xfId="0">
      <alignment horizontal="center" wrapText="1"/>
    </xf>
    <xf numFmtId="0" fontId="12133" fillId="12138" borderId="12065" applyAlignment="1" pivotButton="0" quotePrefix="0" xfId="0">
      <alignment horizontal="center" wrapText="1"/>
    </xf>
    <xf numFmtId="0" fontId="12134" fillId="12139" borderId="12066" applyAlignment="1" pivotButton="0" quotePrefix="0" xfId="0">
      <alignment horizontal="center" wrapText="1"/>
    </xf>
    <xf numFmtId="0" fontId="12135" fillId="12140" borderId="12067" applyAlignment="1" pivotButton="0" quotePrefix="0" xfId="0">
      <alignment horizontal="center" wrapText="1"/>
    </xf>
    <xf numFmtId="0" fontId="12136" fillId="12141" borderId="12068" applyAlignment="1" pivotButton="0" quotePrefix="0" xfId="0">
      <alignment horizontal="center" wrapText="1"/>
    </xf>
    <xf numFmtId="0" fontId="12137" fillId="12142" borderId="12069" applyAlignment="1" pivotButton="0" quotePrefix="0" xfId="0">
      <alignment horizontal="center" wrapText="1"/>
    </xf>
    <xf numFmtId="0" fontId="12138" fillId="12143" borderId="12070" applyAlignment="1" pivotButton="0" quotePrefix="0" xfId="0">
      <alignment horizontal="center" wrapText="1"/>
    </xf>
    <xf numFmtId="0" fontId="12140" fillId="12145" borderId="12071" applyAlignment="1" pivotButton="0" quotePrefix="0" xfId="0">
      <alignment horizontal="center"/>
    </xf>
    <xf numFmtId="0" fontId="12141" fillId="12146" borderId="12072" applyAlignment="1" pivotButton="0" quotePrefix="0" xfId="0">
      <alignment horizontal="center"/>
    </xf>
    <xf numFmtId="0" fontId="12142" fillId="12147" borderId="12073" applyAlignment="1" pivotButton="0" quotePrefix="0" xfId="0">
      <alignment horizontal="center"/>
    </xf>
    <xf numFmtId="0" fontId="12143" fillId="12148" borderId="12074" pivotButton="0" quotePrefix="0" xfId="0"/>
    <xf numFmtId="0" fontId="12144" fillId="12149" borderId="12075" pivotButton="0" quotePrefix="0" xfId="0"/>
    <xf numFmtId="0" fontId="12145" fillId="12150" borderId="12076" applyAlignment="1" pivotButton="0" quotePrefix="0" xfId="0">
      <alignment horizontal="center"/>
    </xf>
    <xf numFmtId="0" fontId="12146" fillId="12151" borderId="12077" pivotButton="0" quotePrefix="0" xfId="0"/>
    <xf numFmtId="166" fontId="12147" fillId="12152" borderId="12078" pivotButton="0" quotePrefix="0" xfId="0"/>
    <xf numFmtId="0" fontId="12148" fillId="12153" borderId="12079" applyAlignment="1" pivotButton="0" quotePrefix="0" xfId="0">
      <alignment horizontal="center"/>
    </xf>
    <xf numFmtId="0" fontId="12149" fillId="12154" borderId="12080" applyAlignment="1" pivotButton="0" quotePrefix="0" xfId="0">
      <alignment wrapText="1"/>
    </xf>
    <xf numFmtId="0" fontId="12150" fillId="12155" borderId="12081" applyAlignment="1" pivotButton="0" quotePrefix="0" xfId="0">
      <alignment horizontal="center"/>
    </xf>
    <xf numFmtId="0" fontId="12151" fillId="12156" borderId="12082" applyAlignment="1" pivotButton="0" quotePrefix="0" xfId="0">
      <alignment horizontal="center"/>
    </xf>
    <xf numFmtId="0" fontId="12152" fillId="12157" borderId="12083" applyAlignment="1" pivotButton="0" quotePrefix="0" xfId="0">
      <alignment horizontal="center"/>
    </xf>
    <xf numFmtId="0" fontId="12153" fillId="12158" borderId="12084" pivotButton="0" quotePrefix="0" xfId="0"/>
    <xf numFmtId="0" fontId="12154" fillId="12159" borderId="12085" pivotButton="0" quotePrefix="0" xfId="0"/>
    <xf numFmtId="0" fontId="12155" fillId="12160" borderId="12086" applyAlignment="1" pivotButton="0" quotePrefix="0" xfId="0">
      <alignment horizontal="center"/>
    </xf>
    <xf numFmtId="0" fontId="12156" fillId="12161" borderId="12087" pivotButton="0" quotePrefix="0" xfId="0"/>
    <xf numFmtId="166" fontId="12157" fillId="12162" borderId="12088" pivotButton="0" quotePrefix="0" xfId="0"/>
    <xf numFmtId="0" fontId="12158" fillId="12163" borderId="12089" applyAlignment="1" pivotButton="0" quotePrefix="0" xfId="0">
      <alignment horizontal="center"/>
    </xf>
    <xf numFmtId="0" fontId="12159" fillId="12164" borderId="12090" applyAlignment="1" pivotButton="0" quotePrefix="0" xfId="0">
      <alignment wrapText="1"/>
    </xf>
    <xf numFmtId="0" fontId="12160" fillId="12165" borderId="12091" applyAlignment="1" pivotButton="0" quotePrefix="0" xfId="0">
      <alignment horizontal="center"/>
    </xf>
    <xf numFmtId="0" fontId="12161" fillId="12166" borderId="12092" applyAlignment="1" pivotButton="0" quotePrefix="0" xfId="0">
      <alignment horizontal="center"/>
    </xf>
    <xf numFmtId="0" fontId="12162" fillId="12167" borderId="12093" applyAlignment="1" pivotButton="0" quotePrefix="0" xfId="0">
      <alignment horizontal="center"/>
    </xf>
    <xf numFmtId="0" fontId="12163" fillId="12168" borderId="12094" pivotButton="0" quotePrefix="0" xfId="0"/>
    <xf numFmtId="0" fontId="12164" fillId="12169" borderId="12095" pivotButton="0" quotePrefix="0" xfId="0"/>
    <xf numFmtId="0" fontId="12165" fillId="12170" borderId="12096" applyAlignment="1" pivotButton="0" quotePrefix="0" xfId="0">
      <alignment horizontal="center"/>
    </xf>
    <xf numFmtId="0" fontId="12166" fillId="12171" borderId="12097" pivotButton="0" quotePrefix="0" xfId="0"/>
    <xf numFmtId="166" fontId="12167" fillId="12172" borderId="12098" pivotButton="0" quotePrefix="0" xfId="0"/>
    <xf numFmtId="0" fontId="12168" fillId="12173" borderId="12099" applyAlignment="1" pivotButton="0" quotePrefix="0" xfId="0">
      <alignment horizontal="center"/>
    </xf>
    <xf numFmtId="0" fontId="12169" fillId="12174" borderId="12100" applyAlignment="1" pivotButton="0" quotePrefix="0" xfId="0">
      <alignment wrapText="1"/>
    </xf>
    <xf numFmtId="0" fontId="12170" fillId="12175" borderId="12101" applyAlignment="1" pivotButton="0" quotePrefix="0" xfId="0">
      <alignment horizontal="center"/>
    </xf>
    <xf numFmtId="0" fontId="12171" fillId="12176" borderId="12102" applyAlignment="1" pivotButton="0" quotePrefix="0" xfId="0">
      <alignment horizontal="center"/>
    </xf>
    <xf numFmtId="0" fontId="12172" fillId="12177" borderId="12103" applyAlignment="1" pivotButton="0" quotePrefix="0" xfId="0">
      <alignment horizontal="center"/>
    </xf>
    <xf numFmtId="0" fontId="12173" fillId="12178" borderId="12104" pivotButton="0" quotePrefix="0" xfId="0"/>
    <xf numFmtId="0" fontId="12174" fillId="12179" borderId="12105" pivotButton="0" quotePrefix="0" xfId="0"/>
    <xf numFmtId="0" fontId="12175" fillId="12180" borderId="12106" applyAlignment="1" pivotButton="0" quotePrefix="0" xfId="0">
      <alignment horizontal="center"/>
    </xf>
    <xf numFmtId="0" fontId="12176" fillId="12181" borderId="12107" pivotButton="0" quotePrefix="0" xfId="0"/>
    <xf numFmtId="166" fontId="12177" fillId="12182" borderId="12108" pivotButton="0" quotePrefix="0" xfId="0"/>
    <xf numFmtId="0" fontId="12178" fillId="12183" borderId="12109" applyAlignment="1" pivotButton="0" quotePrefix="0" xfId="0">
      <alignment horizontal="center"/>
    </xf>
    <xf numFmtId="0" fontId="12179" fillId="12184" borderId="12110" applyAlignment="1" pivotButton="0" quotePrefix="0" xfId="0">
      <alignment wrapText="1"/>
    </xf>
    <xf numFmtId="0" fontId="12180" fillId="12185" borderId="12111" applyAlignment="1" pivotButton="0" quotePrefix="0" xfId="0">
      <alignment horizontal="center"/>
    </xf>
    <xf numFmtId="0" fontId="12181" fillId="12186" borderId="12112" applyAlignment="1" pivotButton="0" quotePrefix="0" xfId="0">
      <alignment horizontal="center"/>
    </xf>
    <xf numFmtId="0" fontId="12182" fillId="12187" borderId="12113" applyAlignment="1" pivotButton="0" quotePrefix="0" xfId="0">
      <alignment horizontal="center"/>
    </xf>
    <xf numFmtId="0" fontId="12183" fillId="12188" borderId="12114" pivotButton="0" quotePrefix="0" xfId="0"/>
    <xf numFmtId="0" fontId="12184" fillId="12189" borderId="12115" pivotButton="0" quotePrefix="0" xfId="0"/>
    <xf numFmtId="0" fontId="12185" fillId="12190" borderId="12116" applyAlignment="1" pivotButton="0" quotePrefix="0" xfId="0">
      <alignment horizontal="center"/>
    </xf>
    <xf numFmtId="0" fontId="12186" fillId="12191" borderId="12117" pivotButton="0" quotePrefix="0" xfId="0"/>
    <xf numFmtId="166" fontId="12187" fillId="12192" borderId="12118" pivotButton="0" quotePrefix="0" xfId="0"/>
    <xf numFmtId="0" fontId="12188" fillId="12193" borderId="12119" applyAlignment="1" pivotButton="0" quotePrefix="0" xfId="0">
      <alignment horizontal="center"/>
    </xf>
    <xf numFmtId="0" fontId="12189" fillId="12194" borderId="12120" applyAlignment="1" pivotButton="0" quotePrefix="0" xfId="0">
      <alignment wrapText="1"/>
    </xf>
    <xf numFmtId="0" fontId="12190" fillId="12195" borderId="12121" applyAlignment="1" pivotButton="0" quotePrefix="0" xfId="0">
      <alignment horizontal="center"/>
    </xf>
    <xf numFmtId="0" fontId="12191" fillId="12196" borderId="12122" applyAlignment="1" pivotButton="0" quotePrefix="0" xfId="0">
      <alignment horizontal="center"/>
    </xf>
    <xf numFmtId="0" fontId="12192" fillId="12197" borderId="12123" applyAlignment="1" pivotButton="0" quotePrefix="0" xfId="0">
      <alignment horizontal="center"/>
    </xf>
    <xf numFmtId="0" fontId="12193" fillId="12198" borderId="12124" pivotButton="0" quotePrefix="0" xfId="0"/>
    <xf numFmtId="0" fontId="12194" fillId="12199" borderId="12125" pivotButton="0" quotePrefix="0" xfId="0"/>
    <xf numFmtId="0" fontId="12195" fillId="12200" borderId="12126" applyAlignment="1" pivotButton="0" quotePrefix="0" xfId="0">
      <alignment horizontal="center"/>
    </xf>
    <xf numFmtId="0" fontId="12196" fillId="12201" borderId="12127" pivotButton="0" quotePrefix="0" xfId="0"/>
    <xf numFmtId="166" fontId="12197" fillId="12202" borderId="12128" pivotButton="0" quotePrefix="0" xfId="0"/>
    <xf numFmtId="0" fontId="12198" fillId="12203" borderId="12129" applyAlignment="1" pivotButton="0" quotePrefix="0" xfId="0">
      <alignment horizontal="center"/>
    </xf>
    <xf numFmtId="0" fontId="12199" fillId="12204" borderId="12130" applyAlignment="1" pivotButton="0" quotePrefix="0" xfId="0">
      <alignment wrapText="1"/>
    </xf>
    <xf numFmtId="0" fontId="12200" fillId="12205" borderId="12131" applyAlignment="1" pivotButton="0" quotePrefix="0" xfId="0">
      <alignment horizontal="center"/>
    </xf>
    <xf numFmtId="0" fontId="12201" fillId="12206" borderId="12132" applyAlignment="1" pivotButton="0" quotePrefix="0" xfId="0">
      <alignment horizontal="center"/>
    </xf>
    <xf numFmtId="0" fontId="12202" fillId="12207" borderId="12133" applyAlignment="1" pivotButton="0" quotePrefix="0" xfId="0">
      <alignment horizontal="center"/>
    </xf>
    <xf numFmtId="0" fontId="12203" fillId="12208" borderId="12134" pivotButton="0" quotePrefix="0" xfId="0"/>
    <xf numFmtId="0" fontId="12204" fillId="12209" borderId="12135" pivotButton="0" quotePrefix="0" xfId="0"/>
    <xf numFmtId="0" fontId="12205" fillId="12210" borderId="12136" applyAlignment="1" pivotButton="0" quotePrefix="0" xfId="0">
      <alignment horizontal="center"/>
    </xf>
    <xf numFmtId="0" fontId="12206" fillId="12211" borderId="12137" pivotButton="0" quotePrefix="0" xfId="0"/>
    <xf numFmtId="166" fontId="12207" fillId="12212" borderId="12138" pivotButton="0" quotePrefix="0" xfId="0"/>
    <xf numFmtId="0" fontId="12208" fillId="12213" borderId="12139" applyAlignment="1" pivotButton="0" quotePrefix="0" xfId="0">
      <alignment horizontal="center"/>
    </xf>
    <xf numFmtId="0" fontId="12209" fillId="12214" borderId="12140" applyAlignment="1" pivotButton="0" quotePrefix="0" xfId="0">
      <alignment wrapText="1"/>
    </xf>
    <xf numFmtId="0" fontId="12210" fillId="12215" borderId="12141" applyAlignment="1" pivotButton="0" quotePrefix="0" xfId="0">
      <alignment horizontal="center"/>
    </xf>
    <xf numFmtId="0" fontId="12211" fillId="12216" borderId="12142" applyAlignment="1" pivotButton="0" quotePrefix="0" xfId="0">
      <alignment horizontal="center"/>
    </xf>
    <xf numFmtId="0" fontId="12212" fillId="12217" borderId="12143" applyAlignment="1" pivotButton="0" quotePrefix="0" xfId="0">
      <alignment horizontal="center"/>
    </xf>
    <xf numFmtId="0" fontId="12213" fillId="12218" borderId="12144" pivotButton="0" quotePrefix="0" xfId="0"/>
    <xf numFmtId="0" fontId="12214" fillId="12219" borderId="12145" pivotButton="0" quotePrefix="0" xfId="0"/>
    <xf numFmtId="0" fontId="12215" fillId="12220" borderId="12146" applyAlignment="1" pivotButton="0" quotePrefix="0" xfId="0">
      <alignment horizontal="center"/>
    </xf>
    <xf numFmtId="0" fontId="12216" fillId="12221" borderId="12147" pivotButton="0" quotePrefix="0" xfId="0"/>
    <xf numFmtId="166" fontId="12217" fillId="12222" borderId="12148" pivotButton="0" quotePrefix="0" xfId="0"/>
    <xf numFmtId="0" fontId="12218" fillId="12223" borderId="12149" applyAlignment="1" pivotButton="0" quotePrefix="0" xfId="0">
      <alignment horizontal="center"/>
    </xf>
    <xf numFmtId="0" fontId="12219" fillId="12224" borderId="12150" applyAlignment="1" pivotButton="0" quotePrefix="0" xfId="0">
      <alignment wrapText="1"/>
    </xf>
    <xf numFmtId="0" fontId="12220" fillId="12225" borderId="12151" applyAlignment="1" pivotButton="0" quotePrefix="0" xfId="0">
      <alignment horizontal="center"/>
    </xf>
    <xf numFmtId="0" fontId="12221" fillId="12226" borderId="12152" applyAlignment="1" pivotButton="0" quotePrefix="0" xfId="0">
      <alignment horizontal="center"/>
    </xf>
    <xf numFmtId="0" fontId="12222" fillId="12227" borderId="12153" applyAlignment="1" pivotButton="0" quotePrefix="0" xfId="0">
      <alignment horizontal="center"/>
    </xf>
    <xf numFmtId="0" fontId="12223" fillId="12228" borderId="12154" pivotButton="0" quotePrefix="0" xfId="0"/>
    <xf numFmtId="0" fontId="12224" fillId="12229" borderId="12155" pivotButton="0" quotePrefix="0" xfId="0"/>
    <xf numFmtId="0" fontId="12225" fillId="12230" borderId="12156" applyAlignment="1" pivotButton="0" quotePrefix="0" xfId="0">
      <alignment horizontal="center"/>
    </xf>
    <xf numFmtId="0" fontId="12226" fillId="12231" borderId="12157" pivotButton="0" quotePrefix="0" xfId="0"/>
    <xf numFmtId="166" fontId="12227" fillId="12232" borderId="12158" pivotButton="0" quotePrefix="0" xfId="0"/>
    <xf numFmtId="0" fontId="12228" fillId="12233" borderId="12159" applyAlignment="1" pivotButton="0" quotePrefix="0" xfId="0">
      <alignment horizontal="center"/>
    </xf>
    <xf numFmtId="0" fontId="12229" fillId="12234" borderId="12160" applyAlignment="1" pivotButton="0" quotePrefix="0" xfId="0">
      <alignment wrapText="1"/>
    </xf>
    <xf numFmtId="0" fontId="12230" fillId="12235" borderId="12161" applyAlignment="1" pivotButton="0" quotePrefix="0" xfId="0">
      <alignment horizontal="center"/>
    </xf>
    <xf numFmtId="0" fontId="12231" fillId="12236" borderId="12162" applyAlignment="1" pivotButton="0" quotePrefix="0" xfId="0">
      <alignment horizontal="center"/>
    </xf>
    <xf numFmtId="0" fontId="12232" fillId="12237" borderId="12163" applyAlignment="1" pivotButton="0" quotePrefix="0" xfId="0">
      <alignment horizontal="center"/>
    </xf>
    <xf numFmtId="0" fontId="12233" fillId="12238" borderId="12164" pivotButton="0" quotePrefix="0" xfId="0"/>
    <xf numFmtId="0" fontId="12234" fillId="12239" borderId="12165" pivotButton="0" quotePrefix="0" xfId="0"/>
    <xf numFmtId="0" fontId="12235" fillId="12240" borderId="12166" applyAlignment="1" pivotButton="0" quotePrefix="0" xfId="0">
      <alignment horizontal="center"/>
    </xf>
    <xf numFmtId="0" fontId="12236" fillId="12241" borderId="12167" pivotButton="0" quotePrefix="0" xfId="0"/>
    <xf numFmtId="166" fontId="12237" fillId="12242" borderId="12168" pivotButton="0" quotePrefix="0" xfId="0"/>
    <xf numFmtId="0" fontId="12238" fillId="12243" borderId="12169" applyAlignment="1" pivotButton="0" quotePrefix="0" xfId="0">
      <alignment horizontal="center"/>
    </xf>
    <xf numFmtId="0" fontId="12239" fillId="12244" borderId="12170" applyAlignment="1" pivotButton="0" quotePrefix="0" xfId="0">
      <alignment wrapText="1"/>
    </xf>
    <xf numFmtId="0" fontId="12240" fillId="12245" borderId="12171" applyAlignment="1" pivotButton="0" quotePrefix="0" xfId="0">
      <alignment horizontal="center"/>
    </xf>
    <xf numFmtId="0" fontId="12241" fillId="12246" borderId="12172" applyAlignment="1" pivotButton="0" quotePrefix="0" xfId="0">
      <alignment horizontal="center"/>
    </xf>
    <xf numFmtId="0" fontId="12242" fillId="12247" borderId="12173" applyAlignment="1" pivotButton="0" quotePrefix="0" xfId="0">
      <alignment horizontal="center"/>
    </xf>
    <xf numFmtId="0" fontId="12243" fillId="12248" borderId="12174" pivotButton="0" quotePrefix="0" xfId="0"/>
    <xf numFmtId="0" fontId="12244" fillId="12249" borderId="12175" pivotButton="0" quotePrefix="0" xfId="0"/>
    <xf numFmtId="0" fontId="12245" fillId="12250" borderId="12176" applyAlignment="1" pivotButton="0" quotePrefix="0" xfId="0">
      <alignment horizontal="center"/>
    </xf>
    <xf numFmtId="0" fontId="12246" fillId="12251" borderId="12177" pivotButton="0" quotePrefix="0" xfId="0"/>
    <xf numFmtId="166" fontId="12247" fillId="12252" borderId="12178" pivotButton="0" quotePrefix="0" xfId="0"/>
    <xf numFmtId="0" fontId="12248" fillId="12253" borderId="12179" applyAlignment="1" pivotButton="0" quotePrefix="0" xfId="0">
      <alignment horizontal="center"/>
    </xf>
    <xf numFmtId="0" fontId="12249" fillId="12254" borderId="12180" applyAlignment="1" pivotButton="0" quotePrefix="0" xfId="0">
      <alignment wrapText="1"/>
    </xf>
    <xf numFmtId="0" fontId="12250" fillId="12255" borderId="12181" applyAlignment="1" pivotButton="0" quotePrefix="0" xfId="0">
      <alignment horizontal="center"/>
    </xf>
    <xf numFmtId="0" fontId="12251" fillId="12256" borderId="12182" applyAlignment="1" pivotButton="0" quotePrefix="0" xfId="0">
      <alignment horizontal="center"/>
    </xf>
    <xf numFmtId="0" fontId="12252" fillId="12257" borderId="12183" applyAlignment="1" pivotButton="0" quotePrefix="0" xfId="0">
      <alignment horizontal="center"/>
    </xf>
    <xf numFmtId="0" fontId="12253" fillId="12258" borderId="12184" pivotButton="0" quotePrefix="0" xfId="0"/>
    <xf numFmtId="0" fontId="12254" fillId="12259" borderId="12185" pivotButton="0" quotePrefix="0" xfId="0"/>
    <xf numFmtId="0" fontId="12255" fillId="12260" borderId="12186" applyAlignment="1" pivotButton="0" quotePrefix="0" xfId="0">
      <alignment horizontal="center"/>
    </xf>
    <xf numFmtId="0" fontId="12256" fillId="12261" borderId="12187" pivotButton="0" quotePrefix="0" xfId="0"/>
    <xf numFmtId="166" fontId="12257" fillId="12262" borderId="12188" pivotButton="0" quotePrefix="0" xfId="0"/>
    <xf numFmtId="0" fontId="12258" fillId="12263" borderId="12189" applyAlignment="1" pivotButton="0" quotePrefix="0" xfId="0">
      <alignment horizontal="center"/>
    </xf>
    <xf numFmtId="0" fontId="12259" fillId="12264" borderId="12190" applyAlignment="1" pivotButton="0" quotePrefix="0" xfId="0">
      <alignment wrapText="1"/>
    </xf>
    <xf numFmtId="0" fontId="12260" fillId="12265" borderId="12191" applyAlignment="1" pivotButton="0" quotePrefix="0" xfId="0">
      <alignment horizontal="center"/>
    </xf>
    <xf numFmtId="0" fontId="12261" fillId="12266" borderId="12192" applyAlignment="1" pivotButton="0" quotePrefix="0" xfId="0">
      <alignment horizontal="center"/>
    </xf>
    <xf numFmtId="0" fontId="12262" fillId="12267" borderId="12193" applyAlignment="1" pivotButton="0" quotePrefix="0" xfId="0">
      <alignment horizontal="center"/>
    </xf>
    <xf numFmtId="0" fontId="12263" fillId="12268" borderId="12194" pivotButton="0" quotePrefix="0" xfId="0"/>
    <xf numFmtId="0" fontId="12264" fillId="12269" borderId="12195" pivotButton="0" quotePrefix="0" xfId="0"/>
    <xf numFmtId="0" fontId="12265" fillId="12270" borderId="12196" applyAlignment="1" pivotButton="0" quotePrefix="0" xfId="0">
      <alignment horizontal="center"/>
    </xf>
    <xf numFmtId="0" fontId="12266" fillId="12271" borderId="12197" pivotButton="0" quotePrefix="0" xfId="0"/>
    <xf numFmtId="166" fontId="12267" fillId="12272" borderId="12198" pivotButton="0" quotePrefix="0" xfId="0"/>
    <xf numFmtId="0" fontId="12268" fillId="12273" borderId="12199" applyAlignment="1" pivotButton="0" quotePrefix="0" xfId="0">
      <alignment horizontal="center"/>
    </xf>
    <xf numFmtId="0" fontId="12269" fillId="12274" borderId="12200" applyAlignment="1" pivotButton="0" quotePrefix="0" xfId="0">
      <alignment wrapText="1"/>
    </xf>
    <xf numFmtId="0" fontId="12270" fillId="12275" borderId="12201" applyAlignment="1" pivotButton="0" quotePrefix="0" xfId="0">
      <alignment horizontal="center"/>
    </xf>
    <xf numFmtId="0" fontId="12271" fillId="12276" borderId="12202" applyAlignment="1" pivotButton="0" quotePrefix="0" xfId="0">
      <alignment horizontal="center"/>
    </xf>
    <xf numFmtId="0" fontId="12272" fillId="12277" borderId="12203" applyAlignment="1" pivotButton="0" quotePrefix="0" xfId="0">
      <alignment horizontal="center"/>
    </xf>
    <xf numFmtId="0" fontId="12273" fillId="12278" borderId="12204" pivotButton="0" quotePrefix="0" xfId="0"/>
    <xf numFmtId="0" fontId="12274" fillId="12279" borderId="12205" pivotButton="0" quotePrefix="0" xfId="0"/>
    <xf numFmtId="0" fontId="12275" fillId="12280" borderId="12206" applyAlignment="1" pivotButton="0" quotePrefix="0" xfId="0">
      <alignment horizontal="center"/>
    </xf>
    <xf numFmtId="0" fontId="12276" fillId="12281" borderId="12207" pivotButton="0" quotePrefix="0" xfId="0"/>
    <xf numFmtId="166" fontId="12277" fillId="12282" borderId="12208" pivotButton="0" quotePrefix="0" xfId="0"/>
    <xf numFmtId="0" fontId="12278" fillId="12283" borderId="12209" applyAlignment="1" pivotButton="0" quotePrefix="0" xfId="0">
      <alignment horizontal="center"/>
    </xf>
    <xf numFmtId="0" fontId="12279" fillId="12284" borderId="12210" applyAlignment="1" pivotButton="0" quotePrefix="0" xfId="0">
      <alignment wrapText="1"/>
    </xf>
    <xf numFmtId="0" fontId="12280" fillId="12285" borderId="12211" applyAlignment="1" pivotButton="0" quotePrefix="0" xfId="0">
      <alignment horizontal="center"/>
    </xf>
    <xf numFmtId="0" fontId="12281" fillId="12286" borderId="12212" applyAlignment="1" pivotButton="0" quotePrefix="0" xfId="0">
      <alignment horizontal="center"/>
    </xf>
    <xf numFmtId="0" fontId="12282" fillId="12287" borderId="12213" applyAlignment="1" pivotButton="0" quotePrefix="0" xfId="0">
      <alignment horizontal="center"/>
    </xf>
    <xf numFmtId="0" fontId="12283" fillId="12288" borderId="12214" pivotButton="0" quotePrefix="0" xfId="0"/>
    <xf numFmtId="0" fontId="12284" fillId="12289" borderId="12215" pivotButton="0" quotePrefix="0" xfId="0"/>
    <xf numFmtId="0" fontId="12285" fillId="12290" borderId="12216" applyAlignment="1" pivotButton="0" quotePrefix="0" xfId="0">
      <alignment horizontal="center"/>
    </xf>
    <xf numFmtId="0" fontId="12286" fillId="12291" borderId="12217" pivotButton="0" quotePrefix="0" xfId="0"/>
    <xf numFmtId="166" fontId="12287" fillId="12292" borderId="12218" pivotButton="0" quotePrefix="0" xfId="0"/>
    <xf numFmtId="0" fontId="12288" fillId="12293" borderId="12219" applyAlignment="1" pivotButton="0" quotePrefix="0" xfId="0">
      <alignment horizontal="center"/>
    </xf>
    <xf numFmtId="0" fontId="12289" fillId="12294" borderId="12220" applyAlignment="1" pivotButton="0" quotePrefix="0" xfId="0">
      <alignment wrapText="1"/>
    </xf>
    <xf numFmtId="0" fontId="12290" fillId="12295" borderId="12221" applyAlignment="1" pivotButton="0" quotePrefix="0" xfId="0">
      <alignment horizontal="center"/>
    </xf>
    <xf numFmtId="0" fontId="12291" fillId="12296" borderId="12222" applyAlignment="1" pivotButton="0" quotePrefix="0" xfId="0">
      <alignment horizontal="center"/>
    </xf>
    <xf numFmtId="0" fontId="12292" fillId="12297" borderId="12223" applyAlignment="1" pivotButton="0" quotePrefix="0" xfId="0">
      <alignment horizontal="center"/>
    </xf>
    <xf numFmtId="0" fontId="12293" fillId="12298" borderId="12224" pivotButton="0" quotePrefix="0" xfId="0"/>
    <xf numFmtId="0" fontId="12294" fillId="12299" borderId="12225" pivotButton="0" quotePrefix="0" xfId="0"/>
    <xf numFmtId="0" fontId="12295" fillId="12300" borderId="12226" applyAlignment="1" pivotButton="0" quotePrefix="0" xfId="0">
      <alignment horizontal="center"/>
    </xf>
    <xf numFmtId="0" fontId="12296" fillId="12301" borderId="12227" pivotButton="0" quotePrefix="0" xfId="0"/>
    <xf numFmtId="166" fontId="12297" fillId="12302" borderId="12228" pivotButton="0" quotePrefix="0" xfId="0"/>
    <xf numFmtId="0" fontId="12298" fillId="12303" borderId="12229" applyAlignment="1" pivotButton="0" quotePrefix="0" xfId="0">
      <alignment horizontal="center"/>
    </xf>
    <xf numFmtId="0" fontId="12299" fillId="12304" borderId="12230" applyAlignment="1" pivotButton="0" quotePrefix="0" xfId="0">
      <alignment wrapText="1"/>
    </xf>
    <xf numFmtId="0" fontId="12300" fillId="12305" borderId="12231" applyAlignment="1" pivotButton="0" quotePrefix="0" xfId="0">
      <alignment horizontal="center"/>
    </xf>
    <xf numFmtId="0" fontId="12301" fillId="12306" borderId="12232" applyAlignment="1" pivotButton="0" quotePrefix="0" xfId="0">
      <alignment horizontal="center"/>
    </xf>
    <xf numFmtId="0" fontId="12302" fillId="12307" borderId="12233" applyAlignment="1" pivotButton="0" quotePrefix="0" xfId="0">
      <alignment horizontal="center"/>
    </xf>
    <xf numFmtId="0" fontId="12303" fillId="12308" borderId="12234" pivotButton="0" quotePrefix="0" xfId="0"/>
    <xf numFmtId="0" fontId="12304" fillId="12309" borderId="12235" pivotButton="0" quotePrefix="0" xfId="0"/>
    <xf numFmtId="0" fontId="12305" fillId="12310" borderId="12236" applyAlignment="1" pivotButton="0" quotePrefix="0" xfId="0">
      <alignment horizontal="center"/>
    </xf>
    <xf numFmtId="0" fontId="12306" fillId="12311" borderId="12237" pivotButton="0" quotePrefix="0" xfId="0"/>
    <xf numFmtId="166" fontId="12307" fillId="12312" borderId="12238" pivotButton="0" quotePrefix="0" xfId="0"/>
    <xf numFmtId="0" fontId="12308" fillId="12313" borderId="12239" applyAlignment="1" pivotButton="0" quotePrefix="0" xfId="0">
      <alignment horizontal="center"/>
    </xf>
    <xf numFmtId="0" fontId="12309" fillId="12314" borderId="12240" applyAlignment="1" pivotButton="0" quotePrefix="0" xfId="0">
      <alignment wrapText="1"/>
    </xf>
    <xf numFmtId="0" fontId="12310" fillId="12315" borderId="12241" applyAlignment="1" pivotButton="0" quotePrefix="0" xfId="0">
      <alignment horizontal="center"/>
    </xf>
    <xf numFmtId="0" fontId="12311" fillId="12316" borderId="12242" applyAlignment="1" pivotButton="0" quotePrefix="0" xfId="0">
      <alignment horizontal="center"/>
    </xf>
    <xf numFmtId="0" fontId="12312" fillId="12317" borderId="12243" applyAlignment="1" pivotButton="0" quotePrefix="0" xfId="0">
      <alignment horizontal="center"/>
    </xf>
    <xf numFmtId="0" fontId="12313" fillId="12318" borderId="12244" pivotButton="0" quotePrefix="0" xfId="0"/>
    <xf numFmtId="0" fontId="12314" fillId="12319" borderId="12245" pivotButton="0" quotePrefix="0" xfId="0"/>
    <xf numFmtId="0" fontId="12315" fillId="12320" borderId="12246" applyAlignment="1" pivotButton="0" quotePrefix="0" xfId="0">
      <alignment horizontal="center"/>
    </xf>
    <xf numFmtId="0" fontId="12316" fillId="12321" borderId="12247" pivotButton="0" quotePrefix="0" xfId="0"/>
    <xf numFmtId="166" fontId="12317" fillId="12322" borderId="12248" pivotButton="0" quotePrefix="0" xfId="0"/>
    <xf numFmtId="0" fontId="12318" fillId="12323" borderId="12249" applyAlignment="1" pivotButton="0" quotePrefix="0" xfId="0">
      <alignment horizontal="center"/>
    </xf>
    <xf numFmtId="0" fontId="12319" fillId="12324" borderId="12250" applyAlignment="1" pivotButton="0" quotePrefix="0" xfId="0">
      <alignment wrapText="1"/>
    </xf>
    <xf numFmtId="0" fontId="12320" fillId="12325" borderId="12251" applyAlignment="1" pivotButton="0" quotePrefix="0" xfId="0">
      <alignment horizontal="center"/>
    </xf>
    <xf numFmtId="0" fontId="12321" fillId="12326" borderId="12252" applyAlignment="1" pivotButton="0" quotePrefix="0" xfId="0">
      <alignment horizontal="center"/>
    </xf>
    <xf numFmtId="0" fontId="12322" fillId="12327" borderId="12253" applyAlignment="1" pivotButton="0" quotePrefix="0" xfId="0">
      <alignment horizontal="center"/>
    </xf>
    <xf numFmtId="0" fontId="12323" fillId="12328" borderId="12254" pivotButton="0" quotePrefix="0" xfId="0"/>
    <xf numFmtId="0" fontId="12324" fillId="12329" borderId="12255" pivotButton="0" quotePrefix="0" xfId="0"/>
    <xf numFmtId="0" fontId="12325" fillId="12330" borderId="12256" applyAlignment="1" pivotButton="0" quotePrefix="0" xfId="0">
      <alignment horizontal="center"/>
    </xf>
    <xf numFmtId="0" fontId="12326" fillId="12331" borderId="12257" pivotButton="0" quotePrefix="0" xfId="0"/>
    <xf numFmtId="166" fontId="12327" fillId="12332" borderId="12258" pivotButton="0" quotePrefix="0" xfId="0"/>
    <xf numFmtId="0" fontId="12328" fillId="12333" borderId="12259" applyAlignment="1" pivotButton="0" quotePrefix="0" xfId="0">
      <alignment horizontal="center"/>
    </xf>
    <xf numFmtId="0" fontId="12329" fillId="12334" borderId="12260" applyAlignment="1" pivotButton="0" quotePrefix="0" xfId="0">
      <alignment wrapText="1"/>
    </xf>
    <xf numFmtId="0" fontId="12330" fillId="12335" borderId="12261" applyAlignment="1" pivotButton="0" quotePrefix="0" xfId="0">
      <alignment horizontal="center"/>
    </xf>
    <xf numFmtId="0" fontId="12331" fillId="12336" borderId="12262" applyAlignment="1" pivotButton="0" quotePrefix="0" xfId="0">
      <alignment horizontal="center"/>
    </xf>
    <xf numFmtId="0" fontId="12332" fillId="12337" borderId="12263" applyAlignment="1" pivotButton="0" quotePrefix="0" xfId="0">
      <alignment horizontal="center"/>
    </xf>
    <xf numFmtId="0" fontId="12333" fillId="12338" borderId="12264" pivotButton="0" quotePrefix="0" xfId="0"/>
    <xf numFmtId="0" fontId="12334" fillId="12339" borderId="12265" pivotButton="0" quotePrefix="0" xfId="0"/>
    <xf numFmtId="0" fontId="12335" fillId="12340" borderId="12266" applyAlignment="1" pivotButton="0" quotePrefix="0" xfId="0">
      <alignment horizontal="center"/>
    </xf>
    <xf numFmtId="0" fontId="12336" fillId="12341" borderId="12267" pivotButton="0" quotePrefix="0" xfId="0"/>
    <xf numFmtId="166" fontId="12337" fillId="12342" borderId="12268" pivotButton="0" quotePrefix="0" xfId="0"/>
    <xf numFmtId="0" fontId="12338" fillId="12343" borderId="12269" applyAlignment="1" pivotButton="0" quotePrefix="0" xfId="0">
      <alignment horizontal="center"/>
    </xf>
    <xf numFmtId="0" fontId="12339" fillId="12344" borderId="12270" applyAlignment="1" pivotButton="0" quotePrefix="0" xfId="0">
      <alignment wrapText="1"/>
    </xf>
    <xf numFmtId="0" fontId="12340" fillId="12345" borderId="12271" applyAlignment="1" pivotButton="0" quotePrefix="0" xfId="0">
      <alignment horizontal="center"/>
    </xf>
    <xf numFmtId="0" fontId="12341" fillId="12346" borderId="12272" applyAlignment="1" pivotButton="0" quotePrefix="0" xfId="0">
      <alignment horizontal="center"/>
    </xf>
    <xf numFmtId="0" fontId="12342" fillId="12347" borderId="12273" applyAlignment="1" pivotButton="0" quotePrefix="0" xfId="0">
      <alignment horizontal="center"/>
    </xf>
    <xf numFmtId="0" fontId="12343" fillId="12348" borderId="12274" pivotButton="0" quotePrefix="0" xfId="0"/>
    <xf numFmtId="0" fontId="12344" fillId="12349" borderId="12275" pivotButton="0" quotePrefix="0" xfId="0"/>
    <xf numFmtId="0" fontId="12345" fillId="12350" borderId="12276" applyAlignment="1" pivotButton="0" quotePrefix="0" xfId="0">
      <alignment horizontal="center"/>
    </xf>
    <xf numFmtId="0" fontId="12346" fillId="12351" borderId="12277" pivotButton="0" quotePrefix="0" xfId="0"/>
    <xf numFmtId="166" fontId="12347" fillId="12352" borderId="12278" pivotButton="0" quotePrefix="0" xfId="0"/>
    <xf numFmtId="0" fontId="12348" fillId="12353" borderId="12279" applyAlignment="1" pivotButton="0" quotePrefix="0" xfId="0">
      <alignment horizontal="center"/>
    </xf>
    <xf numFmtId="0" fontId="12349" fillId="12354" borderId="12280" applyAlignment="1" pivotButton="0" quotePrefix="0" xfId="0">
      <alignment wrapText="1"/>
    </xf>
    <xf numFmtId="0" fontId="12350" fillId="12355" borderId="12281" applyAlignment="1" pivotButton="0" quotePrefix="0" xfId="0">
      <alignment horizontal="center"/>
    </xf>
    <xf numFmtId="0" fontId="12351" fillId="12356" borderId="12282" applyAlignment="1" pivotButton="0" quotePrefix="0" xfId="0">
      <alignment horizontal="center"/>
    </xf>
    <xf numFmtId="0" fontId="12352" fillId="12357" borderId="12283" applyAlignment="1" pivotButton="0" quotePrefix="0" xfId="0">
      <alignment horizontal="center"/>
    </xf>
    <xf numFmtId="0" fontId="12353" fillId="12358" borderId="12284" pivotButton="0" quotePrefix="0" xfId="0"/>
    <xf numFmtId="0" fontId="12354" fillId="12359" borderId="12285" pivotButton="0" quotePrefix="0" xfId="0"/>
    <xf numFmtId="0" fontId="12355" fillId="12360" borderId="12286" applyAlignment="1" pivotButton="0" quotePrefix="0" xfId="0">
      <alignment horizontal="center"/>
    </xf>
    <xf numFmtId="0" fontId="12356" fillId="12361" borderId="12287" pivotButton="0" quotePrefix="0" xfId="0"/>
    <xf numFmtId="166" fontId="12357" fillId="12362" borderId="12288" pivotButton="0" quotePrefix="0" xfId="0"/>
    <xf numFmtId="0" fontId="12358" fillId="12363" borderId="12289" applyAlignment="1" pivotButton="0" quotePrefix="0" xfId="0">
      <alignment horizontal="center"/>
    </xf>
    <xf numFmtId="0" fontId="12359" fillId="12364" borderId="12290" applyAlignment="1" pivotButton="0" quotePrefix="0" xfId="0">
      <alignment wrapText="1"/>
    </xf>
    <xf numFmtId="0" fontId="12360" fillId="12365" borderId="12291" applyAlignment="1" pivotButton="0" quotePrefix="0" xfId="0">
      <alignment horizontal="center"/>
    </xf>
    <xf numFmtId="0" fontId="12361" fillId="12366" borderId="12292" applyAlignment="1" pivotButton="0" quotePrefix="0" xfId="0">
      <alignment horizontal="center"/>
    </xf>
    <xf numFmtId="0" fontId="12362" fillId="12367" borderId="12293" applyAlignment="1" pivotButton="0" quotePrefix="0" xfId="0">
      <alignment horizontal="center"/>
    </xf>
    <xf numFmtId="0" fontId="12363" fillId="12368" borderId="12294" pivotButton="0" quotePrefix="0" xfId="0"/>
    <xf numFmtId="0" fontId="12364" fillId="12369" borderId="12295" pivotButton="0" quotePrefix="0" xfId="0"/>
    <xf numFmtId="0" fontId="12365" fillId="12370" borderId="12296" applyAlignment="1" pivotButton="0" quotePrefix="0" xfId="0">
      <alignment horizontal="center"/>
    </xf>
    <xf numFmtId="0" fontId="12366" fillId="12371" borderId="12297" pivotButton="0" quotePrefix="0" xfId="0"/>
    <xf numFmtId="166" fontId="12367" fillId="12372" borderId="12298" pivotButton="0" quotePrefix="0" xfId="0"/>
    <xf numFmtId="0" fontId="12368" fillId="12373" borderId="12299" applyAlignment="1" pivotButton="0" quotePrefix="0" xfId="0">
      <alignment horizontal="center"/>
    </xf>
    <xf numFmtId="0" fontId="12369" fillId="12374" borderId="12300" applyAlignment="1" pivotButton="0" quotePrefix="0" xfId="0">
      <alignment wrapText="1"/>
    </xf>
    <xf numFmtId="0" fontId="12370" fillId="12375" borderId="12301" applyAlignment="1" pivotButton="0" quotePrefix="0" xfId="0">
      <alignment horizontal="center"/>
    </xf>
    <xf numFmtId="0" fontId="12371" fillId="12376" borderId="12302" applyAlignment="1" pivotButton="0" quotePrefix="0" xfId="0">
      <alignment horizontal="center"/>
    </xf>
    <xf numFmtId="0" fontId="12372" fillId="12377" borderId="12303" applyAlignment="1" pivotButton="0" quotePrefix="0" xfId="0">
      <alignment horizontal="center"/>
    </xf>
    <xf numFmtId="0" fontId="12373" fillId="12378" borderId="12304" pivotButton="0" quotePrefix="0" xfId="0"/>
    <xf numFmtId="0" fontId="12374" fillId="12379" borderId="12305" pivotButton="0" quotePrefix="0" xfId="0"/>
    <xf numFmtId="0" fontId="12375" fillId="12380" borderId="12306" applyAlignment="1" pivotButton="0" quotePrefix="0" xfId="0">
      <alignment horizontal="center"/>
    </xf>
    <xf numFmtId="0" fontId="12376" fillId="12381" borderId="12307" pivotButton="0" quotePrefix="0" xfId="0"/>
    <xf numFmtId="166" fontId="12377" fillId="12382" borderId="12308" pivotButton="0" quotePrefix="0" xfId="0"/>
    <xf numFmtId="0" fontId="12378" fillId="12383" borderId="12309" applyAlignment="1" pivotButton="0" quotePrefix="0" xfId="0">
      <alignment horizontal="center"/>
    </xf>
    <xf numFmtId="0" fontId="12379" fillId="12384" borderId="12310" applyAlignment="1" pivotButton="0" quotePrefix="0" xfId="0">
      <alignment wrapText="1"/>
    </xf>
    <xf numFmtId="0" fontId="12380" fillId="12385" borderId="12311" applyAlignment="1" pivotButton="0" quotePrefix="0" xfId="0">
      <alignment horizontal="center"/>
    </xf>
    <xf numFmtId="0" fontId="12381" fillId="12386" borderId="12312" applyAlignment="1" pivotButton="0" quotePrefix="0" xfId="0">
      <alignment horizontal="center"/>
    </xf>
    <xf numFmtId="0" fontId="12382" fillId="12387" borderId="12313" applyAlignment="1" pivotButton="0" quotePrefix="0" xfId="0">
      <alignment horizontal="center"/>
    </xf>
    <xf numFmtId="0" fontId="12383" fillId="12388" borderId="12314" pivotButton="0" quotePrefix="0" xfId="0"/>
    <xf numFmtId="0" fontId="12384" fillId="12389" borderId="12315" pivotButton="0" quotePrefix="0" xfId="0"/>
    <xf numFmtId="0" fontId="12385" fillId="12390" borderId="12316" applyAlignment="1" pivotButton="0" quotePrefix="0" xfId="0">
      <alignment horizontal="center"/>
    </xf>
    <xf numFmtId="0" fontId="12386" fillId="12391" borderId="12317" pivotButton="0" quotePrefix="0" xfId="0"/>
    <xf numFmtId="166" fontId="12387" fillId="12392" borderId="12318" pivotButton="0" quotePrefix="0" xfId="0"/>
    <xf numFmtId="0" fontId="12388" fillId="12393" borderId="12319" applyAlignment="1" pivotButton="0" quotePrefix="0" xfId="0">
      <alignment horizontal="center"/>
    </xf>
    <xf numFmtId="0" fontId="12389" fillId="12394" borderId="12320" applyAlignment="1" pivotButton="0" quotePrefix="0" xfId="0">
      <alignment wrapText="1"/>
    </xf>
    <xf numFmtId="0" fontId="12390" fillId="12395" borderId="12321" applyAlignment="1" pivotButton="0" quotePrefix="0" xfId="0">
      <alignment horizontal="center"/>
    </xf>
    <xf numFmtId="0" fontId="12391" fillId="12396" borderId="12322" applyAlignment="1" pivotButton="0" quotePrefix="0" xfId="0">
      <alignment horizontal="center"/>
    </xf>
    <xf numFmtId="0" fontId="12392" fillId="12397" borderId="12323" applyAlignment="1" pivotButton="0" quotePrefix="0" xfId="0">
      <alignment horizontal="center"/>
    </xf>
    <xf numFmtId="0" fontId="12393" fillId="12398" borderId="12324" pivotButton="0" quotePrefix="0" xfId="0"/>
    <xf numFmtId="0" fontId="12394" fillId="12399" borderId="12325" pivotButton="0" quotePrefix="0" xfId="0"/>
    <xf numFmtId="0" fontId="12395" fillId="12400" borderId="12326" applyAlignment="1" pivotButton="0" quotePrefix="0" xfId="0">
      <alignment horizontal="center"/>
    </xf>
    <xf numFmtId="0" fontId="12396" fillId="12401" borderId="12327" pivotButton="0" quotePrefix="0" xfId="0"/>
    <xf numFmtId="166" fontId="12397" fillId="12402" borderId="12328" pivotButton="0" quotePrefix="0" xfId="0"/>
    <xf numFmtId="0" fontId="12398" fillId="12403" borderId="12329" applyAlignment="1" pivotButton="0" quotePrefix="0" xfId="0">
      <alignment horizontal="center"/>
    </xf>
    <xf numFmtId="0" fontId="12399" fillId="12404" borderId="12330" applyAlignment="1" pivotButton="0" quotePrefix="0" xfId="0">
      <alignment wrapText="1"/>
    </xf>
    <xf numFmtId="0" fontId="12400" fillId="12405" borderId="12331" applyAlignment="1" pivotButton="0" quotePrefix="0" xfId="0">
      <alignment horizontal="center"/>
    </xf>
    <xf numFmtId="0" fontId="12401" fillId="12406" borderId="12332" applyAlignment="1" pivotButton="0" quotePrefix="0" xfId="0">
      <alignment horizontal="center"/>
    </xf>
    <xf numFmtId="0" fontId="12402" fillId="12407" borderId="12333" applyAlignment="1" pivotButton="0" quotePrefix="0" xfId="0">
      <alignment horizontal="center"/>
    </xf>
    <xf numFmtId="0" fontId="12403" fillId="12408" borderId="12334" pivotButton="0" quotePrefix="0" xfId="0"/>
    <xf numFmtId="0" fontId="12404" fillId="12409" borderId="12335" pivotButton="0" quotePrefix="0" xfId="0"/>
    <xf numFmtId="0" fontId="12405" fillId="12410" borderId="12336" applyAlignment="1" pivotButton="0" quotePrefix="0" xfId="0">
      <alignment horizontal="center"/>
    </xf>
    <xf numFmtId="0" fontId="12406" fillId="12411" borderId="12337" pivotButton="0" quotePrefix="0" xfId="0"/>
    <xf numFmtId="166" fontId="12407" fillId="12412" borderId="12338" pivotButton="0" quotePrefix="0" xfId="0"/>
    <xf numFmtId="0" fontId="12408" fillId="12413" borderId="12339" applyAlignment="1" pivotButton="0" quotePrefix="0" xfId="0">
      <alignment horizontal="center"/>
    </xf>
    <xf numFmtId="0" fontId="12409" fillId="12414" borderId="12340" applyAlignment="1" pivotButton="0" quotePrefix="0" xfId="0">
      <alignment wrapText="1"/>
    </xf>
    <xf numFmtId="0" fontId="12410" fillId="12415" borderId="12341" pivotButton="0" quotePrefix="0" xfId="0"/>
    <xf numFmtId="166" fontId="12411" fillId="12416" borderId="12342" pivotButton="0" quotePrefix="0" xfId="0"/>
    <xf numFmtId="0" fontId="12413" fillId="12418" borderId="12343" applyAlignment="1" pivotButton="0" quotePrefix="0" xfId="0">
      <alignment horizontal="center"/>
    </xf>
    <xf numFmtId="0" fontId="12414" fillId="12419" borderId="12344" applyAlignment="1" pivotButton="0" quotePrefix="0" xfId="0">
      <alignment horizontal="center"/>
    </xf>
    <xf numFmtId="0" fontId="12415" fillId="12420" borderId="12345" applyAlignment="1" pivotButton="0" quotePrefix="0" xfId="0">
      <alignment horizontal="center"/>
    </xf>
    <xf numFmtId="0" fontId="12416" fillId="12421" borderId="12346" pivotButton="0" quotePrefix="0" xfId="0"/>
    <xf numFmtId="0" fontId="12417" fillId="12422" borderId="12347" pivotButton="0" quotePrefix="0" xfId="0"/>
    <xf numFmtId="0" fontId="12418" fillId="12423" borderId="12348" applyAlignment="1" pivotButton="0" quotePrefix="0" xfId="0">
      <alignment horizontal="center"/>
    </xf>
    <xf numFmtId="0" fontId="12419" fillId="12424" borderId="12349" pivotButton="0" quotePrefix="0" xfId="0"/>
    <xf numFmtId="166" fontId="12420" fillId="12425" borderId="12350" pivotButton="0" quotePrefix="0" xfId="0"/>
    <xf numFmtId="0" fontId="12421" fillId="12426" borderId="12351" applyAlignment="1" pivotButton="0" quotePrefix="0" xfId="0">
      <alignment horizontal="center"/>
    </xf>
    <xf numFmtId="0" fontId="12422" fillId="12427" borderId="12352" applyAlignment="1" pivotButton="0" quotePrefix="0" xfId="0">
      <alignment wrapText="1"/>
    </xf>
    <xf numFmtId="0" fontId="12423" fillId="12428" borderId="12353" applyAlignment="1" pivotButton="0" quotePrefix="0" xfId="0">
      <alignment horizontal="center"/>
    </xf>
    <xf numFmtId="0" fontId="12424" fillId="12429" borderId="12354" applyAlignment="1" pivotButton="0" quotePrefix="0" xfId="0">
      <alignment horizontal="center"/>
    </xf>
    <xf numFmtId="0" fontId="12425" fillId="12430" borderId="12355" applyAlignment="1" pivotButton="0" quotePrefix="0" xfId="0">
      <alignment horizontal="center"/>
    </xf>
    <xf numFmtId="0" fontId="12426" fillId="12431" borderId="12356" pivotButton="0" quotePrefix="0" xfId="0"/>
    <xf numFmtId="0" fontId="12427" fillId="12432" borderId="12357" pivotButton="0" quotePrefix="0" xfId="0"/>
    <xf numFmtId="0" fontId="12428" fillId="12433" borderId="12358" applyAlignment="1" pivotButton="0" quotePrefix="0" xfId="0">
      <alignment horizontal="center"/>
    </xf>
    <xf numFmtId="0" fontId="12429" fillId="12434" borderId="12359" pivotButton="0" quotePrefix="0" xfId="0"/>
    <xf numFmtId="166" fontId="12430" fillId="12435" borderId="12360" pivotButton="0" quotePrefix="0" xfId="0"/>
    <xf numFmtId="0" fontId="12431" fillId="12436" borderId="12361" applyAlignment="1" pivotButton="0" quotePrefix="0" xfId="0">
      <alignment horizontal="center"/>
    </xf>
    <xf numFmtId="0" fontId="12432" fillId="12437" borderId="12362" applyAlignment="1" pivotButton="0" quotePrefix="0" xfId="0">
      <alignment wrapText="1"/>
    </xf>
    <xf numFmtId="0" fontId="12433" fillId="12438" borderId="12363" applyAlignment="1" pivotButton="0" quotePrefix="0" xfId="0">
      <alignment horizontal="center"/>
    </xf>
    <xf numFmtId="0" fontId="12434" fillId="12439" borderId="12364" applyAlignment="1" pivotButton="0" quotePrefix="0" xfId="0">
      <alignment horizontal="center"/>
    </xf>
    <xf numFmtId="0" fontId="12435" fillId="12440" borderId="12365" applyAlignment="1" pivotButton="0" quotePrefix="0" xfId="0">
      <alignment horizontal="center"/>
    </xf>
    <xf numFmtId="0" fontId="12436" fillId="12441" borderId="12366" pivotButton="0" quotePrefix="0" xfId="0"/>
    <xf numFmtId="0" fontId="12437" fillId="12442" borderId="12367" pivotButton="0" quotePrefix="0" xfId="0"/>
    <xf numFmtId="0" fontId="12438" fillId="12443" borderId="12368" applyAlignment="1" pivotButton="0" quotePrefix="0" xfId="0">
      <alignment horizontal="center"/>
    </xf>
    <xf numFmtId="0" fontId="12439" fillId="12444" borderId="12369" pivotButton="0" quotePrefix="0" xfId="0"/>
    <xf numFmtId="166" fontId="12440" fillId="12445" borderId="12370" pivotButton="0" quotePrefix="0" xfId="0"/>
    <xf numFmtId="0" fontId="12441" fillId="12446" borderId="12371" applyAlignment="1" pivotButton="0" quotePrefix="0" xfId="0">
      <alignment horizontal="center"/>
    </xf>
    <xf numFmtId="0" fontId="12442" fillId="12447" borderId="12372" applyAlignment="1" pivotButton="0" quotePrefix="0" xfId="0">
      <alignment wrapText="1"/>
    </xf>
    <xf numFmtId="0" fontId="12443" fillId="12448" borderId="12373" applyAlignment="1" pivotButton="0" quotePrefix="0" xfId="0">
      <alignment horizontal="center"/>
    </xf>
    <xf numFmtId="0" fontId="12444" fillId="12449" borderId="12374" applyAlignment="1" pivotButton="0" quotePrefix="0" xfId="0">
      <alignment horizontal="center"/>
    </xf>
    <xf numFmtId="0" fontId="12445" fillId="12450" borderId="12375" applyAlignment="1" pivotButton="0" quotePrefix="0" xfId="0">
      <alignment horizontal="center"/>
    </xf>
    <xf numFmtId="0" fontId="12446" fillId="12451" borderId="12376" pivotButton="0" quotePrefix="0" xfId="0"/>
    <xf numFmtId="0" fontId="12447" fillId="12452" borderId="12377" pivotButton="0" quotePrefix="0" xfId="0"/>
    <xf numFmtId="0" fontId="12448" fillId="12453" borderId="12378" applyAlignment="1" pivotButton="0" quotePrefix="0" xfId="0">
      <alignment horizontal="center"/>
    </xf>
    <xf numFmtId="0" fontId="12449" fillId="12454" borderId="12379" pivotButton="0" quotePrefix="0" xfId="0"/>
    <xf numFmtId="166" fontId="12450" fillId="12455" borderId="12380" pivotButton="0" quotePrefix="0" xfId="0"/>
    <xf numFmtId="0" fontId="12451" fillId="12456" borderId="12381" applyAlignment="1" pivotButton="0" quotePrefix="0" xfId="0">
      <alignment horizontal="center"/>
    </xf>
    <xf numFmtId="0" fontId="12452" fillId="12457" borderId="12382" applyAlignment="1" pivotButton="0" quotePrefix="0" xfId="0">
      <alignment wrapText="1"/>
    </xf>
    <xf numFmtId="0" fontId="12453" fillId="12458" borderId="12383" pivotButton="0" quotePrefix="0" xfId="0"/>
    <xf numFmtId="166" fontId="12454" fillId="12459" borderId="12384" pivotButton="0" quotePrefix="0" xfId="0"/>
    <xf numFmtId="0" fontId="12456" fillId="12461" borderId="12385" applyAlignment="1" pivotButton="0" quotePrefix="0" xfId="0">
      <alignment horizontal="center"/>
    </xf>
    <xf numFmtId="0" fontId="12457" fillId="12462" borderId="12386" applyAlignment="1" pivotButton="0" quotePrefix="0" xfId="0">
      <alignment horizontal="center"/>
    </xf>
    <xf numFmtId="0" fontId="12458" fillId="12463" borderId="12387" applyAlignment="1" pivotButton="0" quotePrefix="0" xfId="0">
      <alignment horizontal="center"/>
    </xf>
    <xf numFmtId="0" fontId="12459" fillId="12464" borderId="12388" pivotButton="0" quotePrefix="0" xfId="0"/>
    <xf numFmtId="0" fontId="12460" fillId="12465" borderId="12389" pivotButton="0" quotePrefix="0" xfId="0"/>
    <xf numFmtId="0" fontId="12461" fillId="12466" borderId="12390" applyAlignment="1" pivotButton="0" quotePrefix="0" xfId="0">
      <alignment horizontal="center"/>
    </xf>
    <xf numFmtId="0" fontId="12462" fillId="12467" borderId="12391" pivotButton="0" quotePrefix="0" xfId="0"/>
    <xf numFmtId="166" fontId="12463" fillId="12468" borderId="12392" pivotButton="0" quotePrefix="0" xfId="0"/>
    <xf numFmtId="0" fontId="12464" fillId="12469" borderId="12393" applyAlignment="1" pivotButton="0" quotePrefix="0" xfId="0">
      <alignment horizontal="center"/>
    </xf>
    <xf numFmtId="0" fontId="12465" fillId="12470" borderId="12394" applyAlignment="1" pivotButton="0" quotePrefix="0" xfId="0">
      <alignment wrapText="1"/>
    </xf>
    <xf numFmtId="0" fontId="12466" fillId="12471" borderId="12395" applyAlignment="1" pivotButton="0" quotePrefix="0" xfId="0">
      <alignment horizontal="center"/>
    </xf>
    <xf numFmtId="0" fontId="12467" fillId="12472" borderId="12396" applyAlignment="1" pivotButton="0" quotePrefix="0" xfId="0">
      <alignment horizontal="center"/>
    </xf>
    <xf numFmtId="0" fontId="12468" fillId="12473" borderId="12397" applyAlignment="1" pivotButton="0" quotePrefix="0" xfId="0">
      <alignment horizontal="center"/>
    </xf>
    <xf numFmtId="0" fontId="12469" fillId="12474" borderId="12398" pivotButton="0" quotePrefix="0" xfId="0"/>
    <xf numFmtId="0" fontId="12470" fillId="12475" borderId="12399" pivotButton="0" quotePrefix="0" xfId="0"/>
    <xf numFmtId="0" fontId="12471" fillId="12476" borderId="12400" applyAlignment="1" pivotButton="0" quotePrefix="0" xfId="0">
      <alignment horizontal="center"/>
    </xf>
    <xf numFmtId="0" fontId="12472" fillId="12477" borderId="12401" pivotButton="0" quotePrefix="0" xfId="0"/>
    <xf numFmtId="166" fontId="12473" fillId="12478" borderId="12402" pivotButton="0" quotePrefix="0" xfId="0"/>
    <xf numFmtId="0" fontId="12474" fillId="12479" borderId="12403" applyAlignment="1" pivotButton="0" quotePrefix="0" xfId="0">
      <alignment horizontal="center"/>
    </xf>
    <xf numFmtId="0" fontId="12475" fillId="12480" borderId="12404" applyAlignment="1" pivotButton="0" quotePrefix="0" xfId="0">
      <alignment wrapText="1"/>
    </xf>
    <xf numFmtId="0" fontId="12476" fillId="12481" borderId="12405" applyAlignment="1" pivotButton="0" quotePrefix="0" xfId="0">
      <alignment horizontal="center"/>
    </xf>
    <xf numFmtId="0" fontId="12477" fillId="12482" borderId="12406" applyAlignment="1" pivotButton="0" quotePrefix="0" xfId="0">
      <alignment horizontal="center"/>
    </xf>
    <xf numFmtId="0" fontId="12478" fillId="12483" borderId="12407" applyAlignment="1" pivotButton="0" quotePrefix="0" xfId="0">
      <alignment horizontal="center"/>
    </xf>
    <xf numFmtId="0" fontId="12479" fillId="12484" borderId="12408" pivotButton="0" quotePrefix="0" xfId="0"/>
    <xf numFmtId="0" fontId="12480" fillId="12485" borderId="12409" pivotButton="0" quotePrefix="0" xfId="0"/>
    <xf numFmtId="0" fontId="12481" fillId="12486" borderId="12410" applyAlignment="1" pivotButton="0" quotePrefix="0" xfId="0">
      <alignment horizontal="center"/>
    </xf>
    <xf numFmtId="0" fontId="12482" fillId="12487" borderId="12411" pivotButton="0" quotePrefix="0" xfId="0"/>
    <xf numFmtId="166" fontId="12483" fillId="12488" borderId="12412" pivotButton="0" quotePrefix="0" xfId="0"/>
    <xf numFmtId="0" fontId="12484" fillId="12489" borderId="12413" applyAlignment="1" pivotButton="0" quotePrefix="0" xfId="0">
      <alignment horizontal="center"/>
    </xf>
    <xf numFmtId="0" fontId="12485" fillId="12490" borderId="12414" applyAlignment="1" pivotButton="0" quotePrefix="0" xfId="0">
      <alignment wrapText="1"/>
    </xf>
    <xf numFmtId="0" fontId="12486" fillId="12491" borderId="12415" applyAlignment="1" pivotButton="0" quotePrefix="0" xfId="0">
      <alignment horizontal="center"/>
    </xf>
    <xf numFmtId="0" fontId="12487" fillId="12492" borderId="12416" applyAlignment="1" pivotButton="0" quotePrefix="0" xfId="0">
      <alignment horizontal="center"/>
    </xf>
    <xf numFmtId="0" fontId="12488" fillId="12493" borderId="12417" applyAlignment="1" pivotButton="0" quotePrefix="0" xfId="0">
      <alignment horizontal="center"/>
    </xf>
    <xf numFmtId="0" fontId="12489" fillId="12494" borderId="12418" pivotButton="0" quotePrefix="0" xfId="0"/>
    <xf numFmtId="0" fontId="12490" fillId="12495" borderId="12419" pivotButton="0" quotePrefix="0" xfId="0"/>
    <xf numFmtId="0" fontId="12491" fillId="12496" borderId="12420" applyAlignment="1" pivotButton="0" quotePrefix="0" xfId="0">
      <alignment horizontal="center"/>
    </xf>
    <xf numFmtId="0" fontId="12492" fillId="12497" borderId="12421" pivotButton="0" quotePrefix="0" xfId="0"/>
    <xf numFmtId="166" fontId="12493" fillId="12498" borderId="12422" pivotButton="0" quotePrefix="0" xfId="0"/>
    <xf numFmtId="0" fontId="12494" fillId="12499" borderId="12423" applyAlignment="1" pivotButton="0" quotePrefix="0" xfId="0">
      <alignment horizontal="center"/>
    </xf>
    <xf numFmtId="0" fontId="12495" fillId="12500" borderId="12424" applyAlignment="1" pivotButton="0" quotePrefix="0" xfId="0">
      <alignment wrapText="1"/>
    </xf>
    <xf numFmtId="0" fontId="12496" fillId="12501" borderId="12425" applyAlignment="1" pivotButton="0" quotePrefix="0" xfId="0">
      <alignment horizontal="center"/>
    </xf>
    <xf numFmtId="0" fontId="12497" fillId="12502" borderId="12426" applyAlignment="1" pivotButton="0" quotePrefix="0" xfId="0">
      <alignment horizontal="center"/>
    </xf>
    <xf numFmtId="0" fontId="12498" fillId="12503" borderId="12427" applyAlignment="1" pivotButton="0" quotePrefix="0" xfId="0">
      <alignment horizontal="center"/>
    </xf>
    <xf numFmtId="0" fontId="12499" fillId="12504" borderId="12428" pivotButton="0" quotePrefix="0" xfId="0"/>
    <xf numFmtId="0" fontId="12500" fillId="12505" borderId="12429" pivotButton="0" quotePrefix="0" xfId="0"/>
    <xf numFmtId="0" fontId="12501" fillId="12506" borderId="12430" applyAlignment="1" pivotButton="0" quotePrefix="0" xfId="0">
      <alignment horizontal="center"/>
    </xf>
    <xf numFmtId="0" fontId="12502" fillId="12507" borderId="12431" pivotButton="0" quotePrefix="0" xfId="0"/>
    <xf numFmtId="166" fontId="12503" fillId="12508" borderId="12432" pivotButton="0" quotePrefix="0" xfId="0"/>
    <xf numFmtId="0" fontId="12504" fillId="12509" borderId="12433" applyAlignment="1" pivotButton="0" quotePrefix="0" xfId="0">
      <alignment horizontal="center"/>
    </xf>
    <xf numFmtId="0" fontId="12505" fillId="12510" borderId="12434" applyAlignment="1" pivotButton="0" quotePrefix="0" xfId="0">
      <alignment wrapText="1"/>
    </xf>
    <xf numFmtId="0" fontId="12506" fillId="12511" borderId="12435" applyAlignment="1" pivotButton="0" quotePrefix="0" xfId="0">
      <alignment horizontal="center"/>
    </xf>
    <xf numFmtId="0" fontId="12507" fillId="12512" borderId="12436" applyAlignment="1" pivotButton="0" quotePrefix="0" xfId="0">
      <alignment horizontal="center"/>
    </xf>
    <xf numFmtId="0" fontId="12508" fillId="12513" borderId="12437" applyAlignment="1" pivotButton="0" quotePrefix="0" xfId="0">
      <alignment horizontal="center"/>
    </xf>
    <xf numFmtId="0" fontId="12509" fillId="12514" borderId="12438" pivotButton="0" quotePrefix="0" xfId="0"/>
    <xf numFmtId="0" fontId="12510" fillId="12515" borderId="12439" pivotButton="0" quotePrefix="0" xfId="0"/>
    <xf numFmtId="0" fontId="12511" fillId="12516" borderId="12440" applyAlignment="1" pivotButton="0" quotePrefix="0" xfId="0">
      <alignment horizontal="center"/>
    </xf>
    <xf numFmtId="0" fontId="12512" fillId="12517" borderId="12441" pivotButton="0" quotePrefix="0" xfId="0"/>
    <xf numFmtId="166" fontId="12513" fillId="12518" borderId="12442" pivotButton="0" quotePrefix="0" xfId="0"/>
    <xf numFmtId="0" fontId="12514" fillId="12519" borderId="12443" applyAlignment="1" pivotButton="0" quotePrefix="0" xfId="0">
      <alignment horizontal="center"/>
    </xf>
    <xf numFmtId="0" fontId="12515" fillId="12520" borderId="12444" applyAlignment="1" pivotButton="0" quotePrefix="0" xfId="0">
      <alignment wrapText="1"/>
    </xf>
    <xf numFmtId="0" fontId="12516" fillId="12521" borderId="12445" pivotButton="0" quotePrefix="0" xfId="0"/>
    <xf numFmtId="166" fontId="12517" fillId="12522" borderId="12446" pivotButton="0" quotePrefix="0" xfId="0"/>
    <xf numFmtId="0" fontId="12518" fillId="12523" borderId="12447" pivotButton="0" quotePrefix="0" xfId="0"/>
    <xf numFmtId="166" fontId="12519" fillId="12524" borderId="12448" pivotButton="0" quotePrefix="0" xfId="0"/>
    <xf numFmtId="0" fontId="12521" fillId="12526" borderId="12449" applyAlignment="1" pivotButton="0" quotePrefix="0" xfId="0">
      <alignment horizontal="center" wrapText="1"/>
    </xf>
    <xf numFmtId="0" fontId="12522" fillId="12527" borderId="12450" applyAlignment="1" pivotButton="0" quotePrefix="0" xfId="0">
      <alignment horizontal="center" wrapText="1"/>
    </xf>
    <xf numFmtId="0" fontId="12523" fillId="12528" borderId="12451" applyAlignment="1" pivotButton="0" quotePrefix="0" xfId="0">
      <alignment horizontal="center" wrapText="1"/>
    </xf>
    <xf numFmtId="0" fontId="12524" fillId="12529" borderId="12452" applyAlignment="1" pivotButton="0" quotePrefix="0" xfId="0">
      <alignment horizontal="center" wrapText="1"/>
    </xf>
    <xf numFmtId="0" fontId="12525" fillId="12530" borderId="12453" applyAlignment="1" pivotButton="0" quotePrefix="0" xfId="0">
      <alignment horizontal="center" wrapText="1"/>
    </xf>
    <xf numFmtId="0" fontId="12526" fillId="12531" borderId="12454" applyAlignment="1" pivotButton="0" quotePrefix="0" xfId="0">
      <alignment horizontal="center" wrapText="1"/>
    </xf>
    <xf numFmtId="0" fontId="12527" fillId="12532" borderId="12455" applyAlignment="1" pivotButton="0" quotePrefix="0" xfId="0">
      <alignment horizontal="center" wrapText="1"/>
    </xf>
    <xf numFmtId="0" fontId="12528" fillId="12533" borderId="12456" applyAlignment="1" pivotButton="0" quotePrefix="0" xfId="0">
      <alignment horizontal="center" wrapText="1"/>
    </xf>
    <xf numFmtId="0" fontId="12529" fillId="12534" borderId="12457" applyAlignment="1" pivotButton="0" quotePrefix="0" xfId="0">
      <alignment horizontal="center" wrapText="1"/>
    </xf>
    <xf numFmtId="0" fontId="12530" fillId="12535" borderId="12458" applyAlignment="1" pivotButton="0" quotePrefix="0" xfId="0">
      <alignment horizontal="center" wrapText="1"/>
    </xf>
    <xf numFmtId="0" fontId="12531" fillId="12536" borderId="12459" applyAlignment="1" pivotButton="0" quotePrefix="0" xfId="0">
      <alignment horizontal="center" wrapText="1"/>
    </xf>
    <xf numFmtId="0" fontId="12532" fillId="12537" borderId="12460" applyAlignment="1" pivotButton="0" quotePrefix="0" xfId="0">
      <alignment horizontal="center" wrapText="1"/>
    </xf>
    <xf numFmtId="0" fontId="12533" fillId="12538" borderId="12461" applyAlignment="1" pivotButton="0" quotePrefix="0" xfId="0">
      <alignment horizontal="center" wrapText="1"/>
    </xf>
    <xf numFmtId="0" fontId="12534" fillId="12539" borderId="12462" applyAlignment="1" pivotButton="0" quotePrefix="0" xfId="0">
      <alignment horizontal="center" wrapText="1"/>
    </xf>
    <xf numFmtId="0" fontId="12535" fillId="12540" borderId="12463" applyAlignment="1" pivotButton="0" quotePrefix="0" xfId="0">
      <alignment horizontal="center" wrapText="1"/>
    </xf>
    <xf numFmtId="0" fontId="12536" fillId="12541" borderId="12464" applyAlignment="1" pivotButton="0" quotePrefix="0" xfId="0">
      <alignment horizontal="center"/>
    </xf>
    <xf numFmtId="14" fontId="12537" fillId="12542" borderId="12465" pivotButton="0" quotePrefix="0" xfId="0"/>
    <xf numFmtId="0" fontId="12538" fillId="12543" borderId="12466" applyAlignment="1" pivotButton="0" quotePrefix="0" xfId="0">
      <alignment horizontal="center"/>
    </xf>
    <xf numFmtId="0" fontId="12539" fillId="12544" borderId="12467" pivotButton="0" quotePrefix="0" xfId="0"/>
    <xf numFmtId="0" fontId="12540" fillId="12545" borderId="12468" pivotButton="0" quotePrefix="0" xfId="0"/>
    <xf numFmtId="166" fontId="12541" fillId="12546" borderId="12469" pivotButton="0" quotePrefix="0" xfId="0"/>
    <xf numFmtId="166" fontId="12542" fillId="12547" borderId="12470" pivotButton="0" quotePrefix="0" xfId="0"/>
    <xf numFmtId="168" fontId="12543" fillId="12548" borderId="12471" pivotButton="0" quotePrefix="0" xfId="0"/>
    <xf numFmtId="167" fontId="12544" fillId="12549" borderId="12472" pivotButton="0" quotePrefix="0" xfId="0"/>
    <xf numFmtId="166" fontId="12545" fillId="12550" borderId="12473" pivotButton="0" quotePrefix="0" xfId="0"/>
    <xf numFmtId="0" fontId="12546" fillId="12551" borderId="12474" applyAlignment="1" pivotButton="0" quotePrefix="0" xfId="0">
      <alignment horizontal="center"/>
    </xf>
    <xf numFmtId="0" fontId="12547" fillId="12552" borderId="12475" applyAlignment="1" pivotButton="0" quotePrefix="0" xfId="0">
      <alignment horizontal="center"/>
    </xf>
    <xf numFmtId="0" fontId="12548" fillId="12553" borderId="12476" applyAlignment="1" pivotButton="0" quotePrefix="0" xfId="0">
      <alignment wrapText="1"/>
    </xf>
    <xf numFmtId="166" fontId="12549" fillId="12554" borderId="12477" pivotButton="0" quotePrefix="0" xfId="0"/>
    <xf numFmtId="0" fontId="12550" fillId="12555" borderId="12478" applyAlignment="1" pivotButton="0" quotePrefix="0" xfId="0">
      <alignment wrapText="1"/>
    </xf>
    <xf numFmtId="0" fontId="12551" fillId="12556" borderId="12479" applyAlignment="1" pivotButton="0" quotePrefix="0" xfId="0">
      <alignment horizontal="center"/>
    </xf>
    <xf numFmtId="14" fontId="12552" fillId="12557" borderId="12480" pivotButton="0" quotePrefix="0" xfId="0"/>
    <xf numFmtId="0" fontId="12553" fillId="12558" borderId="12481" applyAlignment="1" pivotButton="0" quotePrefix="0" xfId="0">
      <alignment horizontal="center"/>
    </xf>
    <xf numFmtId="0" fontId="12554" fillId="12559" borderId="12482" pivotButton="0" quotePrefix="0" xfId="0"/>
    <xf numFmtId="0" fontId="12555" fillId="12560" borderId="12483" pivotButton="0" quotePrefix="0" xfId="0"/>
    <xf numFmtId="166" fontId="12556" fillId="12561" borderId="12484" pivotButton="0" quotePrefix="0" xfId="0"/>
    <xf numFmtId="166" fontId="12557" fillId="12562" borderId="12485" pivotButton="0" quotePrefix="0" xfId="0"/>
    <xf numFmtId="168" fontId="12558" fillId="12563" borderId="12486" pivotButton="0" quotePrefix="0" xfId="0"/>
    <xf numFmtId="167" fontId="12559" fillId="12564" borderId="12487" pivotButton="0" quotePrefix="0" xfId="0"/>
    <xf numFmtId="166" fontId="12560" fillId="12565" borderId="12488" pivotButton="0" quotePrefix="0" xfId="0"/>
    <xf numFmtId="0" fontId="12561" fillId="12566" borderId="12489" applyAlignment="1" pivotButton="0" quotePrefix="0" xfId="0">
      <alignment horizontal="center"/>
    </xf>
    <xf numFmtId="0" fontId="12562" fillId="12567" borderId="12490" applyAlignment="1" pivotButton="0" quotePrefix="0" xfId="0">
      <alignment horizontal="center"/>
    </xf>
    <xf numFmtId="0" fontId="12563" fillId="12568" borderId="12491" applyAlignment="1" pivotButton="0" quotePrefix="0" xfId="0">
      <alignment wrapText="1"/>
    </xf>
    <xf numFmtId="166" fontId="12564" fillId="12569" borderId="12492" pivotButton="0" quotePrefix="0" xfId="0"/>
    <xf numFmtId="0" fontId="12565" fillId="12570" borderId="12493" applyAlignment="1" pivotButton="0" quotePrefix="0" xfId="0">
      <alignment wrapText="1"/>
    </xf>
    <xf numFmtId="0" fontId="12566" fillId="12571" borderId="12494" applyAlignment="1" pivotButton="0" quotePrefix="0" xfId="0">
      <alignment horizontal="center"/>
    </xf>
    <xf numFmtId="14" fontId="12567" fillId="12572" borderId="12495" pivotButton="0" quotePrefix="0" xfId="0"/>
    <xf numFmtId="0" fontId="12568" fillId="12573" borderId="12496" applyAlignment="1" pivotButton="0" quotePrefix="0" xfId="0">
      <alignment horizontal="center"/>
    </xf>
    <xf numFmtId="0" fontId="12569" fillId="12574" borderId="12497" pivotButton="0" quotePrefix="0" xfId="0"/>
    <xf numFmtId="0" fontId="12570" fillId="12575" borderId="12498" pivotButton="0" quotePrefix="0" xfId="0"/>
    <xf numFmtId="166" fontId="12571" fillId="12576" borderId="12499" pivotButton="0" quotePrefix="0" xfId="0"/>
    <xf numFmtId="166" fontId="12572" fillId="12577" borderId="12500" pivotButton="0" quotePrefix="0" xfId="0"/>
    <xf numFmtId="168" fontId="12573" fillId="12578" borderId="12501" pivotButton="0" quotePrefix="0" xfId="0"/>
    <xf numFmtId="167" fontId="12574" fillId="12579" borderId="12502" pivotButton="0" quotePrefix="0" xfId="0"/>
    <xf numFmtId="166" fontId="12575" fillId="12580" borderId="12503" pivotButton="0" quotePrefix="0" xfId="0"/>
    <xf numFmtId="0" fontId="12576" fillId="12581" borderId="12504" applyAlignment="1" pivotButton="0" quotePrefix="0" xfId="0">
      <alignment horizontal="center"/>
    </xf>
    <xf numFmtId="0" fontId="12577" fillId="12582" borderId="12505" applyAlignment="1" pivotButton="0" quotePrefix="0" xfId="0">
      <alignment horizontal="center"/>
    </xf>
    <xf numFmtId="0" fontId="12578" fillId="12583" borderId="12506" applyAlignment="1" pivotButton="0" quotePrefix="0" xfId="0">
      <alignment wrapText="1"/>
    </xf>
    <xf numFmtId="166" fontId="12579" fillId="12584" borderId="12507" pivotButton="0" quotePrefix="0" xfId="0"/>
    <xf numFmtId="0" fontId="12580" fillId="12585" borderId="12508" applyAlignment="1" pivotButton="0" quotePrefix="0" xfId="0">
      <alignment wrapText="1"/>
    </xf>
    <xf numFmtId="0" fontId="12581" fillId="12586" borderId="12509" applyAlignment="1" pivotButton="0" quotePrefix="0" xfId="0">
      <alignment horizontal="center"/>
    </xf>
    <xf numFmtId="14" fontId="12582" fillId="12587" borderId="12510" pivotButton="0" quotePrefix="0" xfId="0"/>
    <xf numFmtId="0" fontId="12583" fillId="12588" borderId="12511" applyAlignment="1" pivotButton="0" quotePrefix="0" xfId="0">
      <alignment horizontal="center"/>
    </xf>
    <xf numFmtId="0" fontId="12584" fillId="12589" borderId="12512" pivotButton="0" quotePrefix="0" xfId="0"/>
    <xf numFmtId="0" fontId="12585" fillId="12590" borderId="12513" pivotButton="0" quotePrefix="0" xfId="0"/>
    <xf numFmtId="166" fontId="12586" fillId="12591" borderId="12514" pivotButton="0" quotePrefix="0" xfId="0"/>
    <xf numFmtId="166" fontId="12587" fillId="12592" borderId="12515" pivotButton="0" quotePrefix="0" xfId="0"/>
    <xf numFmtId="168" fontId="12588" fillId="12593" borderId="12516" pivotButton="0" quotePrefix="0" xfId="0"/>
    <xf numFmtId="167" fontId="12589" fillId="12594" borderId="12517" pivotButton="0" quotePrefix="0" xfId="0"/>
    <xf numFmtId="166" fontId="12590" fillId="12595" borderId="12518" pivotButton="0" quotePrefix="0" xfId="0"/>
    <xf numFmtId="0" fontId="12591" fillId="12596" borderId="12519" applyAlignment="1" pivotButton="0" quotePrefix="0" xfId="0">
      <alignment horizontal="center"/>
    </xf>
    <xf numFmtId="0" fontId="12592" fillId="12597" borderId="12520" applyAlignment="1" pivotButton="0" quotePrefix="0" xfId="0">
      <alignment horizontal="center"/>
    </xf>
    <xf numFmtId="0" fontId="12593" fillId="12598" borderId="12521" applyAlignment="1" pivotButton="0" quotePrefix="0" xfId="0">
      <alignment wrapText="1"/>
    </xf>
    <xf numFmtId="166" fontId="12594" fillId="12599" borderId="12522" pivotButton="0" quotePrefix="0" xfId="0"/>
    <xf numFmtId="0" fontId="12595" fillId="12600" borderId="12523" applyAlignment="1" pivotButton="0" quotePrefix="0" xfId="0">
      <alignment wrapText="1"/>
    </xf>
    <xf numFmtId="0" fontId="12596" fillId="12601" borderId="12524" applyAlignment="1" pivotButton="0" quotePrefix="0" xfId="0">
      <alignment horizontal="center"/>
    </xf>
    <xf numFmtId="14" fontId="12597" fillId="12602" borderId="12525" pivotButton="0" quotePrefix="0" xfId="0"/>
    <xf numFmtId="0" fontId="12598" fillId="12603" borderId="12526" applyAlignment="1" pivotButton="0" quotePrefix="0" xfId="0">
      <alignment horizontal="center"/>
    </xf>
    <xf numFmtId="0" fontId="12599" fillId="12604" borderId="12527" pivotButton="0" quotePrefix="0" xfId="0"/>
    <xf numFmtId="0" fontId="12600" fillId="12605" borderId="12528" pivotButton="0" quotePrefix="0" xfId="0"/>
    <xf numFmtId="166" fontId="12601" fillId="12606" borderId="12529" pivotButton="0" quotePrefix="0" xfId="0"/>
    <xf numFmtId="166" fontId="12602" fillId="12607" borderId="12530" pivotButton="0" quotePrefix="0" xfId="0"/>
    <xf numFmtId="168" fontId="12603" fillId="12608" borderId="12531" pivotButton="0" quotePrefix="0" xfId="0"/>
    <xf numFmtId="167" fontId="12604" fillId="12609" borderId="12532" pivotButton="0" quotePrefix="0" xfId="0"/>
    <xf numFmtId="166" fontId="12605" fillId="12610" borderId="12533" pivotButton="0" quotePrefix="0" xfId="0"/>
    <xf numFmtId="0" fontId="12606" fillId="12611" borderId="12534" applyAlignment="1" pivotButton="0" quotePrefix="0" xfId="0">
      <alignment horizontal="center"/>
    </xf>
    <xf numFmtId="0" fontId="12607" fillId="12612" borderId="12535" applyAlignment="1" pivotButton="0" quotePrefix="0" xfId="0">
      <alignment horizontal="center"/>
    </xf>
    <xf numFmtId="0" fontId="12608" fillId="12613" borderId="12536" pivotButton="0" quotePrefix="0" xfId="0"/>
    <xf numFmtId="166" fontId="12609" fillId="12614" borderId="12537" pivotButton="0" quotePrefix="0" xfId="0"/>
    <xf numFmtId="0" fontId="12610" fillId="12615" borderId="12538" pivotButton="0" quotePrefix="0" xfId="0"/>
    <xf numFmtId="0" fontId="12611" fillId="12616" borderId="12539" applyAlignment="1" pivotButton="0" quotePrefix="0" xfId="0">
      <alignment horizontal="center"/>
    </xf>
    <xf numFmtId="14" fontId="12612" fillId="12617" borderId="12540" pivotButton="0" quotePrefix="0" xfId="0"/>
    <xf numFmtId="0" fontId="12613" fillId="12618" borderId="12541" applyAlignment="1" pivotButton="0" quotePrefix="0" xfId="0">
      <alignment horizontal="center"/>
    </xf>
    <xf numFmtId="0" fontId="12614" fillId="12619" borderId="12542" pivotButton="0" quotePrefix="0" xfId="0"/>
    <xf numFmtId="0" fontId="12615" fillId="12620" borderId="12543" pivotButton="0" quotePrefix="0" xfId="0"/>
    <xf numFmtId="166" fontId="12616" fillId="12621" borderId="12544" pivotButton="0" quotePrefix="0" xfId="0"/>
    <xf numFmtId="166" fontId="12617" fillId="12622" borderId="12545" pivotButton="0" quotePrefix="0" xfId="0"/>
    <xf numFmtId="168" fontId="12618" fillId="12623" borderId="12546" pivotButton="0" quotePrefix="0" xfId="0"/>
    <xf numFmtId="167" fontId="12619" fillId="12624" borderId="12547" pivotButton="0" quotePrefix="0" xfId="0"/>
    <xf numFmtId="166" fontId="12620" fillId="12625" borderId="12548" pivotButton="0" quotePrefix="0" xfId="0"/>
    <xf numFmtId="0" fontId="12621" fillId="12626" borderId="12549" applyAlignment="1" pivotButton="0" quotePrefix="0" xfId="0">
      <alignment horizontal="center"/>
    </xf>
    <xf numFmtId="0" fontId="12622" fillId="12627" borderId="12550" applyAlignment="1" pivotButton="0" quotePrefix="0" xfId="0">
      <alignment horizontal="center"/>
    </xf>
    <xf numFmtId="0" fontId="12623" fillId="12628" borderId="12551" pivotButton="0" quotePrefix="0" xfId="0"/>
    <xf numFmtId="166" fontId="12624" fillId="12629" borderId="12552" pivotButton="0" quotePrefix="0" xfId="0"/>
    <xf numFmtId="0" fontId="12625" fillId="12630" borderId="12553" pivotButton="0" quotePrefix="0" xfId="0"/>
    <xf numFmtId="0" fontId="12626" fillId="12631" borderId="12554" applyAlignment="1" pivotButton="0" quotePrefix="0" xfId="0">
      <alignment horizontal="center"/>
    </xf>
    <xf numFmtId="14" fontId="12627" fillId="12632" borderId="12555" pivotButton="0" quotePrefix="0" xfId="0"/>
    <xf numFmtId="0" fontId="12628" fillId="12633" borderId="12556" applyAlignment="1" pivotButton="0" quotePrefix="0" xfId="0">
      <alignment horizontal="center"/>
    </xf>
    <xf numFmtId="0" fontId="12629" fillId="12634" borderId="12557" pivotButton="0" quotePrefix="0" xfId="0"/>
    <xf numFmtId="0" fontId="12630" fillId="12635" borderId="12558" pivotButton="0" quotePrefix="0" xfId="0"/>
    <xf numFmtId="166" fontId="12631" fillId="12636" borderId="12559" pivotButton="0" quotePrefix="0" xfId="0"/>
    <xf numFmtId="166" fontId="12632" fillId="12637" borderId="12560" pivotButton="0" quotePrefix="0" xfId="0"/>
    <xf numFmtId="168" fontId="12633" fillId="12638" borderId="12561" pivotButton="0" quotePrefix="0" xfId="0"/>
    <xf numFmtId="167" fontId="12634" fillId="12639" borderId="12562" pivotButton="0" quotePrefix="0" xfId="0"/>
    <xf numFmtId="166" fontId="12635" fillId="12640" borderId="12563" pivotButton="0" quotePrefix="0" xfId="0"/>
    <xf numFmtId="0" fontId="12636" fillId="12641" borderId="12564" applyAlignment="1" pivotButton="0" quotePrefix="0" xfId="0">
      <alignment horizontal="center"/>
    </xf>
    <xf numFmtId="0" fontId="12637" fillId="12642" borderId="12565" applyAlignment="1" pivotButton="0" quotePrefix="0" xfId="0">
      <alignment horizontal="center"/>
    </xf>
    <xf numFmtId="0" fontId="12638" fillId="12643" borderId="12566" pivotButton="0" quotePrefix="0" xfId="0"/>
    <xf numFmtId="166" fontId="12639" fillId="12644" borderId="12567" pivotButton="0" quotePrefix="0" xfId="0"/>
    <xf numFmtId="0" fontId="12640" fillId="12645" borderId="12568" pivotButton="0" quotePrefix="0" xfId="0"/>
    <xf numFmtId="0" fontId="12641" fillId="12646" borderId="12569" applyAlignment="1" pivotButton="0" quotePrefix="0" xfId="0">
      <alignment horizontal="center"/>
    </xf>
    <xf numFmtId="14" fontId="12642" fillId="12647" borderId="12570" pivotButton="0" quotePrefix="0" xfId="0"/>
    <xf numFmtId="0" fontId="12643" fillId="12648" borderId="12571" applyAlignment="1" pivotButton="0" quotePrefix="0" xfId="0">
      <alignment horizontal="center"/>
    </xf>
    <xf numFmtId="0" fontId="12644" fillId="12649" borderId="12572" pivotButton="0" quotePrefix="0" xfId="0"/>
    <xf numFmtId="0" fontId="12645" fillId="12650" borderId="12573" pivotButton="0" quotePrefix="0" xfId="0"/>
    <xf numFmtId="166" fontId="12646" fillId="12651" borderId="12574" pivotButton="0" quotePrefix="0" xfId="0"/>
    <xf numFmtId="166" fontId="12647" fillId="12652" borderId="12575" pivotButton="0" quotePrefix="0" xfId="0"/>
    <xf numFmtId="168" fontId="12648" fillId="12653" borderId="12576" pivotButton="0" quotePrefix="0" xfId="0"/>
    <xf numFmtId="167" fontId="12649" fillId="12654" borderId="12577" pivotButton="0" quotePrefix="0" xfId="0"/>
    <xf numFmtId="166" fontId="12650" fillId="12655" borderId="12578" pivotButton="0" quotePrefix="0" xfId="0"/>
    <xf numFmtId="0" fontId="12651" fillId="12656" borderId="12579" applyAlignment="1" pivotButton="0" quotePrefix="0" xfId="0">
      <alignment horizontal="center"/>
    </xf>
    <xf numFmtId="0" fontId="12652" fillId="12657" borderId="12580" applyAlignment="1" pivotButton="0" quotePrefix="0" xfId="0">
      <alignment horizontal="center"/>
    </xf>
    <xf numFmtId="0" fontId="12653" fillId="12658" borderId="12581" pivotButton="0" quotePrefix="0" xfId="0"/>
    <xf numFmtId="166" fontId="12654" fillId="12659" borderId="12582" pivotButton="0" quotePrefix="0" xfId="0"/>
    <xf numFmtId="0" fontId="12655" fillId="12660" borderId="12583" pivotButton="0" quotePrefix="0" xfId="0"/>
    <xf numFmtId="0" fontId="12656" fillId="12661" borderId="12584" applyAlignment="1" pivotButton="0" quotePrefix="0" xfId="0">
      <alignment horizontal="center"/>
    </xf>
    <xf numFmtId="14" fontId="12657" fillId="12662" borderId="12585" pivotButton="0" quotePrefix="0" xfId="0"/>
    <xf numFmtId="0" fontId="12658" fillId="12663" borderId="12586" applyAlignment="1" pivotButton="0" quotePrefix="0" xfId="0">
      <alignment horizontal="center"/>
    </xf>
    <xf numFmtId="0" fontId="12659" fillId="12664" borderId="12587" pivotButton="0" quotePrefix="0" xfId="0"/>
    <xf numFmtId="0" fontId="12660" fillId="12665" borderId="12588" pivotButton="0" quotePrefix="0" xfId="0"/>
    <xf numFmtId="166" fontId="12661" fillId="12666" borderId="12589" pivotButton="0" quotePrefix="0" xfId="0"/>
    <xf numFmtId="166" fontId="12662" fillId="12667" borderId="12590" pivotButton="0" quotePrefix="0" xfId="0"/>
    <xf numFmtId="168" fontId="12663" fillId="12668" borderId="12591" pivotButton="0" quotePrefix="0" xfId="0"/>
    <xf numFmtId="167" fontId="12664" fillId="12669" borderId="12592" pivotButton="0" quotePrefix="0" xfId="0"/>
    <xf numFmtId="166" fontId="12665" fillId="12670" borderId="12593" pivotButton="0" quotePrefix="0" xfId="0"/>
    <xf numFmtId="0" fontId="12666" fillId="12671" borderId="12594" applyAlignment="1" pivotButton="0" quotePrefix="0" xfId="0">
      <alignment horizontal="center"/>
    </xf>
    <xf numFmtId="0" fontId="12667" fillId="12672" borderId="12595" applyAlignment="1" pivotButton="0" quotePrefix="0" xfId="0">
      <alignment horizontal="center"/>
    </xf>
    <xf numFmtId="0" fontId="12668" fillId="12673" borderId="12596" pivotButton="0" quotePrefix="0" xfId="0"/>
    <xf numFmtId="166" fontId="12669" fillId="12674" borderId="12597" pivotButton="0" quotePrefix="0" xfId="0"/>
    <xf numFmtId="0" fontId="12670" fillId="12675" borderId="12598" pivotButton="0" quotePrefix="0" xfId="0"/>
    <xf numFmtId="0" fontId="12671" fillId="12676" borderId="12599" applyAlignment="1" pivotButton="0" quotePrefix="0" xfId="0">
      <alignment horizontal="center"/>
    </xf>
    <xf numFmtId="14" fontId="12672" fillId="12677" borderId="12600" pivotButton="0" quotePrefix="0" xfId="0"/>
    <xf numFmtId="0" fontId="12673" fillId="12678" borderId="12601" applyAlignment="1" pivotButton="0" quotePrefix="0" xfId="0">
      <alignment horizontal="center"/>
    </xf>
    <xf numFmtId="0" fontId="12674" fillId="12679" borderId="12602" pivotButton="0" quotePrefix="0" xfId="0"/>
    <xf numFmtId="0" fontId="12675" fillId="12680" borderId="12603" pivotButton="0" quotePrefix="0" xfId="0"/>
    <xf numFmtId="166" fontId="12676" fillId="12681" borderId="12604" pivotButton="0" quotePrefix="0" xfId="0"/>
    <xf numFmtId="166" fontId="12677" fillId="12682" borderId="12605" pivotButton="0" quotePrefix="0" xfId="0"/>
    <xf numFmtId="168" fontId="12678" fillId="12683" borderId="12606" pivotButton="0" quotePrefix="0" xfId="0"/>
    <xf numFmtId="167" fontId="12679" fillId="12684" borderId="12607" pivotButton="0" quotePrefix="0" xfId="0"/>
    <xf numFmtId="166" fontId="12680" fillId="12685" borderId="12608" pivotButton="0" quotePrefix="0" xfId="0"/>
    <xf numFmtId="0" fontId="12681" fillId="12686" borderId="12609" applyAlignment="1" pivotButton="0" quotePrefix="0" xfId="0">
      <alignment horizontal="center"/>
    </xf>
    <xf numFmtId="0" fontId="12682" fillId="12687" borderId="12610" applyAlignment="1" pivotButton="0" quotePrefix="0" xfId="0">
      <alignment horizontal="center"/>
    </xf>
    <xf numFmtId="0" fontId="12683" fillId="12688" borderId="12611" pivotButton="0" quotePrefix="0" xfId="0"/>
    <xf numFmtId="166" fontId="12684" fillId="12689" borderId="12612" pivotButton="0" quotePrefix="0" xfId="0"/>
    <xf numFmtId="0" fontId="12685" fillId="12690" borderId="12613" pivotButton="0" quotePrefix="0" xfId="0"/>
    <xf numFmtId="0" fontId="12686" fillId="12691" borderId="12614" applyAlignment="1" pivotButton="0" quotePrefix="0" xfId="0">
      <alignment horizontal="center"/>
    </xf>
    <xf numFmtId="14" fontId="12687" fillId="12692" borderId="12615" pivotButton="0" quotePrefix="0" xfId="0"/>
    <xf numFmtId="0" fontId="12688" fillId="12693" borderId="12616" applyAlignment="1" pivotButton="0" quotePrefix="0" xfId="0">
      <alignment horizontal="center"/>
    </xf>
    <xf numFmtId="0" fontId="12689" fillId="12694" borderId="12617" pivotButton="0" quotePrefix="0" xfId="0"/>
    <xf numFmtId="0" fontId="12690" fillId="12695" borderId="12618" pivotButton="0" quotePrefix="0" xfId="0"/>
    <xf numFmtId="166" fontId="12691" fillId="12696" borderId="12619" pivotButton="0" quotePrefix="0" xfId="0"/>
    <xf numFmtId="166" fontId="12692" fillId="12697" borderId="12620" pivotButton="0" quotePrefix="0" xfId="0"/>
    <xf numFmtId="168" fontId="12693" fillId="12698" borderId="12621" pivotButton="0" quotePrefix="0" xfId="0"/>
    <xf numFmtId="167" fontId="12694" fillId="12699" borderId="12622" pivotButton="0" quotePrefix="0" xfId="0"/>
    <xf numFmtId="166" fontId="12695" fillId="12700" borderId="12623" pivotButton="0" quotePrefix="0" xfId="0"/>
    <xf numFmtId="0" fontId="12696" fillId="12701" borderId="12624" applyAlignment="1" pivotButton="0" quotePrefix="0" xfId="0">
      <alignment horizontal="center"/>
    </xf>
    <xf numFmtId="0" fontId="12697" fillId="12702" borderId="12625" applyAlignment="1" pivotButton="0" quotePrefix="0" xfId="0">
      <alignment horizontal="center"/>
    </xf>
    <xf numFmtId="0" fontId="12698" fillId="12703" borderId="12626" pivotButton="0" quotePrefix="0" xfId="0"/>
    <xf numFmtId="166" fontId="12699" fillId="12704" borderId="12627" pivotButton="0" quotePrefix="0" xfId="0"/>
    <xf numFmtId="0" fontId="12700" fillId="12705" borderId="12628" pivotButton="0" quotePrefix="0" xfId="0"/>
    <xf numFmtId="0" fontId="12701" fillId="12706" borderId="12629" applyAlignment="1" pivotButton="0" quotePrefix="0" xfId="0">
      <alignment horizontal="center"/>
    </xf>
    <xf numFmtId="14" fontId="12702" fillId="12707" borderId="12630" pivotButton="0" quotePrefix="0" xfId="0"/>
    <xf numFmtId="0" fontId="12703" fillId="12708" borderId="12631" applyAlignment="1" pivotButton="0" quotePrefix="0" xfId="0">
      <alignment horizontal="center"/>
    </xf>
    <xf numFmtId="0" fontId="12704" fillId="12709" borderId="12632" pivotButton="0" quotePrefix="0" xfId="0"/>
    <xf numFmtId="0" fontId="12705" fillId="12710" borderId="12633" pivotButton="0" quotePrefix="0" xfId="0"/>
    <xf numFmtId="166" fontId="12706" fillId="12711" borderId="12634" pivotButton="0" quotePrefix="0" xfId="0"/>
    <xf numFmtId="166" fontId="12707" fillId="12712" borderId="12635" pivotButton="0" quotePrefix="0" xfId="0"/>
    <xf numFmtId="168" fontId="12708" fillId="12713" borderId="12636" pivotButton="0" quotePrefix="0" xfId="0"/>
    <xf numFmtId="167" fontId="12709" fillId="12714" borderId="12637" pivotButton="0" quotePrefix="0" xfId="0"/>
    <xf numFmtId="166" fontId="12710" fillId="12715" borderId="12638" pivotButton="0" quotePrefix="0" xfId="0"/>
    <xf numFmtId="0" fontId="12711" fillId="12716" borderId="12639" applyAlignment="1" pivotButton="0" quotePrefix="0" xfId="0">
      <alignment horizontal="center"/>
    </xf>
    <xf numFmtId="0" fontId="12712" fillId="12717" borderId="12640" applyAlignment="1" pivotButton="0" quotePrefix="0" xfId="0">
      <alignment horizontal="center"/>
    </xf>
    <xf numFmtId="0" fontId="12713" fillId="12718" borderId="12641" pivotButton="0" quotePrefix="0" xfId="0"/>
    <xf numFmtId="166" fontId="12714" fillId="12719" borderId="12642" pivotButton="0" quotePrefix="0" xfId="0"/>
    <xf numFmtId="0" fontId="12715" fillId="12720" borderId="12643" pivotButton="0" quotePrefix="0" xfId="0"/>
    <xf numFmtId="0" fontId="12716" fillId="12721" borderId="12644" applyAlignment="1" pivotButton="0" quotePrefix="0" xfId="0">
      <alignment horizontal="center"/>
    </xf>
    <xf numFmtId="14" fontId="12717" fillId="12722" borderId="12645" pivotButton="0" quotePrefix="0" xfId="0"/>
    <xf numFmtId="0" fontId="12718" fillId="12723" borderId="12646" applyAlignment="1" pivotButton="0" quotePrefix="0" xfId="0">
      <alignment horizontal="center"/>
    </xf>
    <xf numFmtId="0" fontId="12719" fillId="12724" borderId="12647" pivotButton="0" quotePrefix="0" xfId="0"/>
    <xf numFmtId="0" fontId="12720" fillId="12725" borderId="12648" pivotButton="0" quotePrefix="0" xfId="0"/>
    <xf numFmtId="166" fontId="12721" fillId="12726" borderId="12649" pivotButton="0" quotePrefix="0" xfId="0"/>
    <xf numFmtId="166" fontId="12722" fillId="12727" borderId="12650" pivotButton="0" quotePrefix="0" xfId="0"/>
    <xf numFmtId="168" fontId="12723" fillId="12728" borderId="12651" pivotButton="0" quotePrefix="0" xfId="0"/>
    <xf numFmtId="167" fontId="12724" fillId="12729" borderId="12652" pivotButton="0" quotePrefix="0" xfId="0"/>
    <xf numFmtId="166" fontId="12725" fillId="12730" borderId="12653" pivotButton="0" quotePrefix="0" xfId="0"/>
    <xf numFmtId="0" fontId="12726" fillId="12731" borderId="12654" applyAlignment="1" pivotButton="0" quotePrefix="0" xfId="0">
      <alignment horizontal="center"/>
    </xf>
    <xf numFmtId="0" fontId="12727" fillId="12732" borderId="12655" applyAlignment="1" pivotButton="0" quotePrefix="0" xfId="0">
      <alignment horizontal="center"/>
    </xf>
    <xf numFmtId="0" fontId="12728" fillId="12733" borderId="12656" pivotButton="0" quotePrefix="0" xfId="0"/>
    <xf numFmtId="166" fontId="12729" fillId="12734" borderId="12657" pivotButton="0" quotePrefix="0" xfId="0"/>
    <xf numFmtId="0" fontId="12730" fillId="12735" borderId="12658" pivotButton="0" quotePrefix="0" xfId="0"/>
    <xf numFmtId="0" fontId="12731" fillId="12736" borderId="12659" applyAlignment="1" pivotButton="0" quotePrefix="0" xfId="0">
      <alignment horizontal="center"/>
    </xf>
    <xf numFmtId="14" fontId="12732" fillId="12737" borderId="12660" pivotButton="0" quotePrefix="0" xfId="0"/>
    <xf numFmtId="0" fontId="12733" fillId="12738" borderId="12661" applyAlignment="1" pivotButton="0" quotePrefix="0" xfId="0">
      <alignment horizontal="center"/>
    </xf>
    <xf numFmtId="0" fontId="12734" fillId="12739" borderId="12662" pivotButton="0" quotePrefix="0" xfId="0"/>
    <xf numFmtId="0" fontId="12735" fillId="12740" borderId="12663" pivotButton="0" quotePrefix="0" xfId="0"/>
    <xf numFmtId="166" fontId="12736" fillId="12741" borderId="12664" pivotButton="0" quotePrefix="0" xfId="0"/>
    <xf numFmtId="166" fontId="12737" fillId="12742" borderId="12665" pivotButton="0" quotePrefix="0" xfId="0"/>
    <xf numFmtId="168" fontId="12738" fillId="12743" borderId="12666" pivotButton="0" quotePrefix="0" xfId="0"/>
    <xf numFmtId="167" fontId="12739" fillId="12744" borderId="12667" pivotButton="0" quotePrefix="0" xfId="0"/>
    <xf numFmtId="166" fontId="12740" fillId="12745" borderId="12668" pivotButton="0" quotePrefix="0" xfId="0"/>
    <xf numFmtId="0" fontId="12741" fillId="12746" borderId="12669" applyAlignment="1" pivotButton="0" quotePrefix="0" xfId="0">
      <alignment horizontal="center"/>
    </xf>
    <xf numFmtId="0" fontId="12742" fillId="12747" borderId="12670" applyAlignment="1" pivotButton="0" quotePrefix="0" xfId="0">
      <alignment horizontal="center"/>
    </xf>
    <xf numFmtId="0" fontId="12743" fillId="12748" borderId="12671" pivotButton="0" quotePrefix="0" xfId="0"/>
    <xf numFmtId="166" fontId="12744" fillId="12749" borderId="12672" pivotButton="0" quotePrefix="0" xfId="0"/>
    <xf numFmtId="0" fontId="12745" fillId="12750" borderId="12673" pivotButton="0" quotePrefix="0" xfId="0"/>
    <xf numFmtId="0" fontId="12746" fillId="12751" borderId="12674" applyAlignment="1" pivotButton="0" quotePrefix="0" xfId="0">
      <alignment horizontal="center"/>
    </xf>
    <xf numFmtId="14" fontId="12747" fillId="12752" borderId="12675" pivotButton="0" quotePrefix="0" xfId="0"/>
    <xf numFmtId="0" fontId="12748" fillId="12753" borderId="12676" applyAlignment="1" pivotButton="0" quotePrefix="0" xfId="0">
      <alignment horizontal="center"/>
    </xf>
    <xf numFmtId="0" fontId="12749" fillId="12754" borderId="12677" pivotButton="0" quotePrefix="0" xfId="0"/>
    <xf numFmtId="0" fontId="12750" fillId="12755" borderId="12678" pivotButton="0" quotePrefix="0" xfId="0"/>
    <xf numFmtId="166" fontId="12751" fillId="12756" borderId="12679" pivotButton="0" quotePrefix="0" xfId="0"/>
    <xf numFmtId="166" fontId="12752" fillId="12757" borderId="12680" pivotButton="0" quotePrefix="0" xfId="0"/>
    <xf numFmtId="168" fontId="12753" fillId="12758" borderId="12681" pivotButton="0" quotePrefix="0" xfId="0"/>
    <xf numFmtId="167" fontId="12754" fillId="12759" borderId="12682" pivotButton="0" quotePrefix="0" xfId="0"/>
    <xf numFmtId="166" fontId="12755" fillId="12760" borderId="12683" pivotButton="0" quotePrefix="0" xfId="0"/>
    <xf numFmtId="0" fontId="12756" fillId="12761" borderId="12684" applyAlignment="1" pivotButton="0" quotePrefix="0" xfId="0">
      <alignment horizontal="center"/>
    </xf>
    <xf numFmtId="0" fontId="12757" fillId="12762" borderId="12685" applyAlignment="1" pivotButton="0" quotePrefix="0" xfId="0">
      <alignment horizontal="center"/>
    </xf>
    <xf numFmtId="0" fontId="12758" fillId="12763" borderId="12686" pivotButton="0" quotePrefix="0" xfId="0"/>
    <xf numFmtId="166" fontId="12759" fillId="12764" borderId="12687" pivotButton="0" quotePrefix="0" xfId="0"/>
    <xf numFmtId="0" fontId="12760" fillId="12765" borderId="12688" pivotButton="0" quotePrefix="0" xfId="0"/>
    <xf numFmtId="0" fontId="12761" fillId="12766" borderId="12689" applyAlignment="1" pivotButton="0" quotePrefix="0" xfId="0">
      <alignment horizontal="center"/>
    </xf>
    <xf numFmtId="14" fontId="12762" fillId="12767" borderId="12690" pivotButton="0" quotePrefix="0" xfId="0"/>
    <xf numFmtId="0" fontId="12763" fillId="12768" borderId="12691" applyAlignment="1" pivotButton="0" quotePrefix="0" xfId="0">
      <alignment horizontal="center"/>
    </xf>
    <xf numFmtId="0" fontId="12764" fillId="12769" borderId="12692" pivotButton="0" quotePrefix="0" xfId="0"/>
    <xf numFmtId="0" fontId="12765" fillId="12770" borderId="12693" pivotButton="0" quotePrefix="0" xfId="0"/>
    <xf numFmtId="166" fontId="12766" fillId="12771" borderId="12694" pivotButton="0" quotePrefix="0" xfId="0"/>
    <xf numFmtId="166" fontId="12767" fillId="12772" borderId="12695" pivotButton="0" quotePrefix="0" xfId="0"/>
    <xf numFmtId="168" fontId="12768" fillId="12773" borderId="12696" pivotButton="0" quotePrefix="0" xfId="0"/>
    <xf numFmtId="167" fontId="12769" fillId="12774" borderId="12697" pivotButton="0" quotePrefix="0" xfId="0"/>
    <xf numFmtId="166" fontId="12770" fillId="12775" borderId="12698" pivotButton="0" quotePrefix="0" xfId="0"/>
    <xf numFmtId="0" fontId="12771" fillId="12776" borderId="12699" applyAlignment="1" pivotButton="0" quotePrefix="0" xfId="0">
      <alignment horizontal="center"/>
    </xf>
    <xf numFmtId="0" fontId="12772" fillId="12777" borderId="12700" applyAlignment="1" pivotButton="0" quotePrefix="0" xfId="0">
      <alignment horizontal="center"/>
    </xf>
    <xf numFmtId="0" fontId="12773" fillId="12778" borderId="12701" pivotButton="0" quotePrefix="0" xfId="0"/>
    <xf numFmtId="166" fontId="12774" fillId="12779" borderId="12702" pivotButton="0" quotePrefix="0" xfId="0"/>
    <xf numFmtId="0" fontId="12775" fillId="12780" borderId="12703" pivotButton="0" quotePrefix="0" xfId="0"/>
    <xf numFmtId="0" fontId="12776" fillId="12781" borderId="12704" applyAlignment="1" pivotButton="0" quotePrefix="0" xfId="0">
      <alignment horizontal="center"/>
    </xf>
    <xf numFmtId="14" fontId="12777" fillId="12782" borderId="12705" pivotButton="0" quotePrefix="0" xfId="0"/>
    <xf numFmtId="0" fontId="12778" fillId="12783" borderId="12706" applyAlignment="1" pivotButton="0" quotePrefix="0" xfId="0">
      <alignment horizontal="center"/>
    </xf>
    <xf numFmtId="0" fontId="12779" fillId="12784" borderId="12707" pivotButton="0" quotePrefix="0" xfId="0"/>
    <xf numFmtId="0" fontId="12780" fillId="12785" borderId="12708" pivotButton="0" quotePrefix="0" xfId="0"/>
    <xf numFmtId="166" fontId="12781" fillId="12786" borderId="12709" pivotButton="0" quotePrefix="0" xfId="0"/>
    <xf numFmtId="166" fontId="12782" fillId="12787" borderId="12710" pivotButton="0" quotePrefix="0" xfId="0"/>
    <xf numFmtId="168" fontId="12783" fillId="12788" borderId="12711" pivotButton="0" quotePrefix="0" xfId="0"/>
    <xf numFmtId="167" fontId="12784" fillId="12789" borderId="12712" pivotButton="0" quotePrefix="0" xfId="0"/>
    <xf numFmtId="166" fontId="12785" fillId="12790" borderId="12713" pivotButton="0" quotePrefix="0" xfId="0"/>
    <xf numFmtId="0" fontId="12786" fillId="12791" borderId="12714" applyAlignment="1" pivotButton="0" quotePrefix="0" xfId="0">
      <alignment horizontal="center"/>
    </xf>
    <xf numFmtId="0" fontId="12787" fillId="12792" borderId="12715" applyAlignment="1" pivotButton="0" quotePrefix="0" xfId="0">
      <alignment horizontal="center"/>
    </xf>
    <xf numFmtId="0" fontId="12788" fillId="12793" borderId="12716" pivotButton="0" quotePrefix="0" xfId="0"/>
    <xf numFmtId="166" fontId="12789" fillId="12794" borderId="12717" pivotButton="0" quotePrefix="0" xfId="0"/>
    <xf numFmtId="0" fontId="12790" fillId="12795" borderId="12718" pivotButton="0" quotePrefix="0" xfId="0"/>
    <xf numFmtId="0" fontId="12791" fillId="12796" borderId="12719" applyAlignment="1" pivotButton="0" quotePrefix="0" xfId="0">
      <alignment horizontal="center"/>
    </xf>
    <xf numFmtId="14" fontId="12792" fillId="12797" borderId="12720" pivotButton="0" quotePrefix="0" xfId="0"/>
    <xf numFmtId="0" fontId="12793" fillId="12798" borderId="12721" applyAlignment="1" pivotButton="0" quotePrefix="0" xfId="0">
      <alignment horizontal="center"/>
    </xf>
    <xf numFmtId="0" fontId="12794" fillId="12799" borderId="12722" pivotButton="0" quotePrefix="0" xfId="0"/>
    <xf numFmtId="0" fontId="12795" fillId="12800" borderId="12723" pivotButton="0" quotePrefix="0" xfId="0"/>
    <xf numFmtId="166" fontId="12796" fillId="12801" borderId="12724" pivotButton="0" quotePrefix="0" xfId="0"/>
    <xf numFmtId="166" fontId="12797" fillId="12802" borderId="12725" pivotButton="0" quotePrefix="0" xfId="0"/>
    <xf numFmtId="168" fontId="12798" fillId="12803" borderId="12726" pivotButton="0" quotePrefix="0" xfId="0"/>
    <xf numFmtId="167" fontId="12799" fillId="12804" borderId="12727" pivotButton="0" quotePrefix="0" xfId="0"/>
    <xf numFmtId="166" fontId="12800" fillId="12805" borderId="12728" pivotButton="0" quotePrefix="0" xfId="0"/>
    <xf numFmtId="0" fontId="12801" fillId="12806" borderId="12729" applyAlignment="1" pivotButton="0" quotePrefix="0" xfId="0">
      <alignment horizontal="center"/>
    </xf>
    <xf numFmtId="0" fontId="12802" fillId="12807" borderId="12730" applyAlignment="1" pivotButton="0" quotePrefix="0" xfId="0">
      <alignment horizontal="center"/>
    </xf>
    <xf numFmtId="0" fontId="12803" fillId="12808" borderId="12731" pivotButton="0" quotePrefix="0" xfId="0"/>
    <xf numFmtId="166" fontId="12804" fillId="12809" borderId="12732" pivotButton="0" quotePrefix="0" xfId="0"/>
    <xf numFmtId="0" fontId="12805" fillId="12810" borderId="12733" pivotButton="0" quotePrefix="0" xfId="0"/>
    <xf numFmtId="0" fontId="12806" fillId="12811" borderId="12734" applyAlignment="1" pivotButton="0" quotePrefix="0" xfId="0">
      <alignment horizontal="center"/>
    </xf>
    <xf numFmtId="14" fontId="12807" fillId="12812" borderId="12735" pivotButton="0" quotePrefix="0" xfId="0"/>
    <xf numFmtId="0" fontId="12808" fillId="12813" borderId="12736" applyAlignment="1" pivotButton="0" quotePrefix="0" xfId="0">
      <alignment horizontal="center"/>
    </xf>
    <xf numFmtId="0" fontId="12809" fillId="12814" borderId="12737" pivotButton="0" quotePrefix="0" xfId="0"/>
    <xf numFmtId="0" fontId="12810" fillId="12815" borderId="12738" pivotButton="0" quotePrefix="0" xfId="0"/>
    <xf numFmtId="166" fontId="12811" fillId="12816" borderId="12739" pivotButton="0" quotePrefix="0" xfId="0"/>
    <xf numFmtId="166" fontId="12812" fillId="12817" borderId="12740" pivotButton="0" quotePrefix="0" xfId="0"/>
    <xf numFmtId="168" fontId="12813" fillId="12818" borderId="12741" pivotButton="0" quotePrefix="0" xfId="0"/>
    <xf numFmtId="167" fontId="12814" fillId="12819" borderId="12742" pivotButton="0" quotePrefix="0" xfId="0"/>
    <xf numFmtId="166" fontId="12815" fillId="12820" borderId="12743" pivotButton="0" quotePrefix="0" xfId="0"/>
    <xf numFmtId="0" fontId="12816" fillId="12821" borderId="12744" applyAlignment="1" pivotButton="0" quotePrefix="0" xfId="0">
      <alignment horizontal="center"/>
    </xf>
    <xf numFmtId="0" fontId="12817" fillId="12822" borderId="12745" applyAlignment="1" pivotButton="0" quotePrefix="0" xfId="0">
      <alignment horizontal="center"/>
    </xf>
    <xf numFmtId="0" fontId="12818" fillId="12823" borderId="12746" pivotButton="0" quotePrefix="0" xfId="0"/>
    <xf numFmtId="166" fontId="12819" fillId="12824" borderId="12747" pivotButton="0" quotePrefix="0" xfId="0"/>
    <xf numFmtId="0" fontId="12820" fillId="12825" borderId="12748" pivotButton="0" quotePrefix="0" xfId="0"/>
    <xf numFmtId="0" fontId="12821" fillId="12826" borderId="12749" applyAlignment="1" pivotButton="0" quotePrefix="0" xfId="0">
      <alignment horizontal="center"/>
    </xf>
    <xf numFmtId="14" fontId="12822" fillId="12827" borderId="12750" pivotButton="0" quotePrefix="0" xfId="0"/>
    <xf numFmtId="0" fontId="12823" fillId="12828" borderId="12751" applyAlignment="1" pivotButton="0" quotePrefix="0" xfId="0">
      <alignment horizontal="center"/>
    </xf>
    <xf numFmtId="0" fontId="12824" fillId="12829" borderId="12752" pivotButton="0" quotePrefix="0" xfId="0"/>
    <xf numFmtId="0" fontId="12825" fillId="12830" borderId="12753" pivotButton="0" quotePrefix="0" xfId="0"/>
    <xf numFmtId="166" fontId="12826" fillId="12831" borderId="12754" pivotButton="0" quotePrefix="0" xfId="0"/>
    <xf numFmtId="166" fontId="12827" fillId="12832" borderId="12755" pivotButton="0" quotePrefix="0" xfId="0"/>
    <xf numFmtId="168" fontId="12828" fillId="12833" borderId="12756" pivotButton="0" quotePrefix="0" xfId="0"/>
    <xf numFmtId="167" fontId="12829" fillId="12834" borderId="12757" pivotButton="0" quotePrefix="0" xfId="0"/>
    <xf numFmtId="166" fontId="12830" fillId="12835" borderId="12758" pivotButton="0" quotePrefix="0" xfId="0"/>
    <xf numFmtId="0" fontId="12831" fillId="12836" borderId="12759" applyAlignment="1" pivotButton="0" quotePrefix="0" xfId="0">
      <alignment horizontal="center"/>
    </xf>
    <xf numFmtId="0" fontId="12832" fillId="12837" borderId="12760" applyAlignment="1" pivotButton="0" quotePrefix="0" xfId="0">
      <alignment horizontal="center"/>
    </xf>
    <xf numFmtId="0" fontId="12833" fillId="12838" borderId="12761" pivotButton="0" quotePrefix="0" xfId="0"/>
    <xf numFmtId="166" fontId="12834" fillId="12839" borderId="12762" pivotButton="0" quotePrefix="0" xfId="0"/>
    <xf numFmtId="0" fontId="12835" fillId="12840" borderId="12763" pivotButton="0" quotePrefix="0" xfId="0"/>
    <xf numFmtId="0" fontId="12836" fillId="12841" borderId="12764" applyAlignment="1" pivotButton="0" quotePrefix="0" xfId="0">
      <alignment horizontal="center"/>
    </xf>
    <xf numFmtId="14" fontId="12837" fillId="12842" borderId="12765" pivotButton="0" quotePrefix="0" xfId="0"/>
    <xf numFmtId="0" fontId="12838" fillId="12843" borderId="12766" applyAlignment="1" pivotButton="0" quotePrefix="0" xfId="0">
      <alignment horizontal="center"/>
    </xf>
    <xf numFmtId="0" fontId="12839" fillId="12844" borderId="12767" pivotButton="0" quotePrefix="0" xfId="0"/>
    <xf numFmtId="0" fontId="12840" fillId="12845" borderId="12768" pivotButton="0" quotePrefix="0" xfId="0"/>
    <xf numFmtId="166" fontId="12841" fillId="12846" borderId="12769" pivotButton="0" quotePrefix="0" xfId="0"/>
    <xf numFmtId="166" fontId="12842" fillId="12847" borderId="12770" pivotButton="0" quotePrefix="0" xfId="0"/>
    <xf numFmtId="168" fontId="12843" fillId="12848" borderId="12771" pivotButton="0" quotePrefix="0" xfId="0"/>
    <xf numFmtId="167" fontId="12844" fillId="12849" borderId="12772" pivotButton="0" quotePrefix="0" xfId="0"/>
    <xf numFmtId="166" fontId="12845" fillId="12850" borderId="12773" pivotButton="0" quotePrefix="0" xfId="0"/>
    <xf numFmtId="0" fontId="12846" fillId="12851" borderId="12774" applyAlignment="1" pivotButton="0" quotePrefix="0" xfId="0">
      <alignment horizontal="center"/>
    </xf>
    <xf numFmtId="0" fontId="12847" fillId="12852" borderId="12775" applyAlignment="1" pivotButton="0" quotePrefix="0" xfId="0">
      <alignment horizontal="center"/>
    </xf>
    <xf numFmtId="0" fontId="12848" fillId="12853" borderId="12776" pivotButton="0" quotePrefix="0" xfId="0"/>
    <xf numFmtId="166" fontId="12849" fillId="12854" borderId="12777" pivotButton="0" quotePrefix="0" xfId="0"/>
    <xf numFmtId="0" fontId="12850" fillId="12855" borderId="12778" pivotButton="0" quotePrefix="0" xfId="0"/>
    <xf numFmtId="0" fontId="12851" fillId="12856" borderId="12779" applyAlignment="1" pivotButton="0" quotePrefix="0" xfId="0">
      <alignment horizontal="center"/>
    </xf>
    <xf numFmtId="14" fontId="12852" fillId="12857" borderId="12780" pivotButton="0" quotePrefix="0" xfId="0"/>
    <xf numFmtId="0" fontId="12853" fillId="12858" borderId="12781" applyAlignment="1" pivotButton="0" quotePrefix="0" xfId="0">
      <alignment horizontal="center"/>
    </xf>
    <xf numFmtId="0" fontId="12854" fillId="12859" borderId="12782" pivotButton="0" quotePrefix="0" xfId="0"/>
    <xf numFmtId="0" fontId="12855" fillId="12860" borderId="12783" pivotButton="0" quotePrefix="0" xfId="0"/>
    <xf numFmtId="166" fontId="12856" fillId="12861" borderId="12784" pivotButton="0" quotePrefix="0" xfId="0"/>
    <xf numFmtId="166" fontId="12857" fillId="12862" borderId="12785" pivotButton="0" quotePrefix="0" xfId="0"/>
    <xf numFmtId="168" fontId="12858" fillId="12863" borderId="12786" pivotButton="0" quotePrefix="0" xfId="0"/>
    <xf numFmtId="167" fontId="12859" fillId="12864" borderId="12787" pivotButton="0" quotePrefix="0" xfId="0"/>
    <xf numFmtId="166" fontId="12860" fillId="12865" borderId="12788" pivotButton="0" quotePrefix="0" xfId="0"/>
    <xf numFmtId="0" fontId="12861" fillId="12866" borderId="12789" applyAlignment="1" pivotButton="0" quotePrefix="0" xfId="0">
      <alignment horizontal="center"/>
    </xf>
    <xf numFmtId="0" fontId="12862" fillId="12867" borderId="12790" applyAlignment="1" pivotButton="0" quotePrefix="0" xfId="0">
      <alignment horizontal="center"/>
    </xf>
    <xf numFmtId="0" fontId="12863" fillId="12868" borderId="12791" pivotButton="0" quotePrefix="0" xfId="0"/>
    <xf numFmtId="166" fontId="12864" fillId="12869" borderId="12792" pivotButton="0" quotePrefix="0" xfId="0"/>
    <xf numFmtId="0" fontId="12865" fillId="12870" borderId="12793" pivotButton="0" quotePrefix="0" xfId="0"/>
    <xf numFmtId="0" fontId="12866" fillId="12871" borderId="12794" applyAlignment="1" pivotButton="0" quotePrefix="0" xfId="0">
      <alignment horizontal="center"/>
    </xf>
    <xf numFmtId="14" fontId="12867" fillId="12872" borderId="12795" pivotButton="0" quotePrefix="0" xfId="0"/>
    <xf numFmtId="0" fontId="12868" fillId="12873" borderId="12796" applyAlignment="1" pivotButton="0" quotePrefix="0" xfId="0">
      <alignment horizontal="center"/>
    </xf>
    <xf numFmtId="0" fontId="12869" fillId="12874" borderId="12797" pivotButton="0" quotePrefix="0" xfId="0"/>
    <xf numFmtId="0" fontId="12870" fillId="12875" borderId="12798" pivotButton="0" quotePrefix="0" xfId="0"/>
    <xf numFmtId="166" fontId="12871" fillId="12876" borderId="12799" pivotButton="0" quotePrefix="0" xfId="0"/>
    <xf numFmtId="166" fontId="12872" fillId="12877" borderId="12800" pivotButton="0" quotePrefix="0" xfId="0"/>
    <xf numFmtId="168" fontId="12873" fillId="12878" borderId="12801" pivotButton="0" quotePrefix="0" xfId="0"/>
    <xf numFmtId="167" fontId="12874" fillId="12879" borderId="12802" pivotButton="0" quotePrefix="0" xfId="0"/>
    <xf numFmtId="166" fontId="12875" fillId="12880" borderId="12803" pivotButton="0" quotePrefix="0" xfId="0"/>
    <xf numFmtId="0" fontId="12876" fillId="12881" borderId="12804" applyAlignment="1" pivotButton="0" quotePrefix="0" xfId="0">
      <alignment horizontal="center"/>
    </xf>
    <xf numFmtId="0" fontId="12877" fillId="12882" borderId="12805" applyAlignment="1" pivotButton="0" quotePrefix="0" xfId="0">
      <alignment horizontal="center"/>
    </xf>
    <xf numFmtId="0" fontId="12878" fillId="12883" borderId="12806" pivotButton="0" quotePrefix="0" xfId="0"/>
    <xf numFmtId="166" fontId="12879" fillId="12884" borderId="12807" pivotButton="0" quotePrefix="0" xfId="0"/>
    <xf numFmtId="0" fontId="12880" fillId="12885" borderId="12808" pivotButton="0" quotePrefix="0" xfId="0"/>
    <xf numFmtId="0" fontId="12881" fillId="12886" borderId="12809" applyAlignment="1" pivotButton="0" quotePrefix="0" xfId="0">
      <alignment horizontal="center"/>
    </xf>
    <xf numFmtId="14" fontId="12882" fillId="12887" borderId="12810" pivotButton="0" quotePrefix="0" xfId="0"/>
    <xf numFmtId="0" fontId="12883" fillId="12888" borderId="12811" applyAlignment="1" pivotButton="0" quotePrefix="0" xfId="0">
      <alignment horizontal="center"/>
    </xf>
    <xf numFmtId="0" fontId="12884" fillId="12889" borderId="12812" pivotButton="0" quotePrefix="0" xfId="0"/>
    <xf numFmtId="0" fontId="12885" fillId="12890" borderId="12813" pivotButton="0" quotePrefix="0" xfId="0"/>
    <xf numFmtId="166" fontId="12886" fillId="12891" borderId="12814" pivotButton="0" quotePrefix="0" xfId="0"/>
    <xf numFmtId="166" fontId="12887" fillId="12892" borderId="12815" pivotButton="0" quotePrefix="0" xfId="0"/>
    <xf numFmtId="168" fontId="12888" fillId="12893" borderId="12816" pivotButton="0" quotePrefix="0" xfId="0"/>
    <xf numFmtId="167" fontId="12889" fillId="12894" borderId="12817" pivotButton="0" quotePrefix="0" xfId="0"/>
    <xf numFmtId="166" fontId="12890" fillId="12895" borderId="12818" pivotButton="0" quotePrefix="0" xfId="0"/>
    <xf numFmtId="0" fontId="12891" fillId="12896" borderId="12819" applyAlignment="1" pivotButton="0" quotePrefix="0" xfId="0">
      <alignment horizontal="center"/>
    </xf>
    <xf numFmtId="0" fontId="12892" fillId="12897" borderId="12820" applyAlignment="1" pivotButton="0" quotePrefix="0" xfId="0">
      <alignment horizontal="center"/>
    </xf>
    <xf numFmtId="0" fontId="12893" fillId="12898" borderId="12821" pivotButton="0" quotePrefix="0" xfId="0"/>
    <xf numFmtId="166" fontId="12894" fillId="12899" borderId="12822" pivotButton="0" quotePrefix="0" xfId="0"/>
    <xf numFmtId="0" fontId="12895" fillId="12900" borderId="12823" pivotButton="0" quotePrefix="0" xfId="0"/>
    <xf numFmtId="0" fontId="12896" fillId="12901" borderId="12824" applyAlignment="1" pivotButton="0" quotePrefix="0" xfId="0">
      <alignment horizontal="center"/>
    </xf>
    <xf numFmtId="14" fontId="12897" fillId="12902" borderId="12825" pivotButton="0" quotePrefix="0" xfId="0"/>
    <xf numFmtId="0" fontId="12898" fillId="12903" borderId="12826" applyAlignment="1" pivotButton="0" quotePrefix="0" xfId="0">
      <alignment horizontal="center"/>
    </xf>
    <xf numFmtId="0" fontId="12899" fillId="12904" borderId="12827" pivotButton="0" quotePrefix="0" xfId="0"/>
    <xf numFmtId="0" fontId="12900" fillId="12905" borderId="12828" pivotButton="0" quotePrefix="0" xfId="0"/>
    <xf numFmtId="166" fontId="12901" fillId="12906" borderId="12829" pivotButton="0" quotePrefix="0" xfId="0"/>
    <xf numFmtId="166" fontId="12902" fillId="12907" borderId="12830" pivotButton="0" quotePrefix="0" xfId="0"/>
    <xf numFmtId="168" fontId="12903" fillId="12908" borderId="12831" pivotButton="0" quotePrefix="0" xfId="0"/>
    <xf numFmtId="167" fontId="12904" fillId="12909" borderId="12832" pivotButton="0" quotePrefix="0" xfId="0"/>
    <xf numFmtId="166" fontId="12905" fillId="12910" borderId="12833" pivotButton="0" quotePrefix="0" xfId="0"/>
    <xf numFmtId="0" fontId="12906" fillId="12911" borderId="12834" applyAlignment="1" pivotButton="0" quotePrefix="0" xfId="0">
      <alignment horizontal="center"/>
    </xf>
    <xf numFmtId="0" fontId="12907" fillId="12912" borderId="12835" applyAlignment="1" pivotButton="0" quotePrefix="0" xfId="0">
      <alignment horizontal="center"/>
    </xf>
    <xf numFmtId="0" fontId="12908" fillId="12913" borderId="12836" pivotButton="0" quotePrefix="0" xfId="0"/>
    <xf numFmtId="166" fontId="12909" fillId="12914" borderId="12837" pivotButton="0" quotePrefix="0" xfId="0"/>
    <xf numFmtId="0" fontId="12910" fillId="12915" borderId="12838" pivotButton="0" quotePrefix="0" xfId="0"/>
    <xf numFmtId="0" fontId="12911" fillId="12916" borderId="12839" applyAlignment="1" pivotButton="0" quotePrefix="0" xfId="0">
      <alignment horizontal="center"/>
    </xf>
    <xf numFmtId="14" fontId="12912" fillId="12917" borderId="12840" pivotButton="0" quotePrefix="0" xfId="0"/>
    <xf numFmtId="0" fontId="12913" fillId="12918" borderId="12841" applyAlignment="1" pivotButton="0" quotePrefix="0" xfId="0">
      <alignment horizontal="center"/>
    </xf>
    <xf numFmtId="0" fontId="12914" fillId="12919" borderId="12842" pivotButton="0" quotePrefix="0" xfId="0"/>
    <xf numFmtId="0" fontId="12915" fillId="12920" borderId="12843" pivotButton="0" quotePrefix="0" xfId="0"/>
    <xf numFmtId="166" fontId="12916" fillId="12921" borderId="12844" pivotButton="0" quotePrefix="0" xfId="0"/>
    <xf numFmtId="166" fontId="12917" fillId="12922" borderId="12845" pivotButton="0" quotePrefix="0" xfId="0"/>
    <xf numFmtId="168" fontId="12918" fillId="12923" borderId="12846" pivotButton="0" quotePrefix="0" xfId="0"/>
    <xf numFmtId="167" fontId="12919" fillId="12924" borderId="12847" pivotButton="0" quotePrefix="0" xfId="0"/>
    <xf numFmtId="166" fontId="12920" fillId="12925" borderId="12848" pivotButton="0" quotePrefix="0" xfId="0"/>
    <xf numFmtId="0" fontId="12921" fillId="12926" borderId="12849" applyAlignment="1" pivotButton="0" quotePrefix="0" xfId="0">
      <alignment horizontal="center"/>
    </xf>
    <xf numFmtId="0" fontId="12922" fillId="12927" borderId="12850" applyAlignment="1" pivotButton="0" quotePrefix="0" xfId="0">
      <alignment horizontal="center"/>
    </xf>
    <xf numFmtId="0" fontId="12923" fillId="12928" borderId="12851" pivotButton="0" quotePrefix="0" xfId="0"/>
    <xf numFmtId="166" fontId="12924" fillId="12929" borderId="12852" pivotButton="0" quotePrefix="0" xfId="0"/>
    <xf numFmtId="0" fontId="12925" fillId="12930" borderId="12853" pivotButton="0" quotePrefix="0" xfId="0"/>
    <xf numFmtId="0" fontId="12926" fillId="12931" borderId="12854" applyAlignment="1" pivotButton="0" quotePrefix="0" xfId="0">
      <alignment horizontal="center"/>
    </xf>
    <xf numFmtId="14" fontId="12927" fillId="12932" borderId="12855" pivotButton="0" quotePrefix="0" xfId="0"/>
    <xf numFmtId="0" fontId="12928" fillId="12933" borderId="12856" applyAlignment="1" pivotButton="0" quotePrefix="0" xfId="0">
      <alignment horizontal="center"/>
    </xf>
    <xf numFmtId="0" fontId="12929" fillId="12934" borderId="12857" pivotButton="0" quotePrefix="0" xfId="0"/>
    <xf numFmtId="0" fontId="12930" fillId="12935" borderId="12858" pivotButton="0" quotePrefix="0" xfId="0"/>
    <xf numFmtId="166" fontId="12931" fillId="12936" borderId="12859" pivotButton="0" quotePrefix="0" xfId="0"/>
    <xf numFmtId="166" fontId="12932" fillId="12937" borderId="12860" pivotButton="0" quotePrefix="0" xfId="0"/>
    <xf numFmtId="168" fontId="12933" fillId="12938" borderId="12861" pivotButton="0" quotePrefix="0" xfId="0"/>
    <xf numFmtId="167" fontId="12934" fillId="12939" borderId="12862" pivotButton="0" quotePrefix="0" xfId="0"/>
    <xf numFmtId="166" fontId="12935" fillId="12940" borderId="12863" pivotButton="0" quotePrefix="0" xfId="0"/>
    <xf numFmtId="0" fontId="12936" fillId="12941" borderId="12864" applyAlignment="1" pivotButton="0" quotePrefix="0" xfId="0">
      <alignment horizontal="center"/>
    </xf>
    <xf numFmtId="0" fontId="12937" fillId="12942" borderId="12865" applyAlignment="1" pivotButton="0" quotePrefix="0" xfId="0">
      <alignment horizontal="center"/>
    </xf>
    <xf numFmtId="0" fontId="12938" fillId="12943" borderId="12866" pivotButton="0" quotePrefix="0" xfId="0"/>
    <xf numFmtId="166" fontId="12939" fillId="12944" borderId="12867" pivotButton="0" quotePrefix="0" xfId="0"/>
    <xf numFmtId="0" fontId="12940" fillId="12945" borderId="12868" pivotButton="0" quotePrefix="0" xfId="0"/>
    <xf numFmtId="0" fontId="12941" fillId="12946" borderId="12869" applyAlignment="1" pivotButton="0" quotePrefix="0" xfId="0">
      <alignment horizontal="center"/>
    </xf>
    <xf numFmtId="14" fontId="12942" fillId="12947" borderId="12870" pivotButton="0" quotePrefix="0" xfId="0"/>
    <xf numFmtId="0" fontId="12943" fillId="12948" borderId="12871" applyAlignment="1" pivotButton="0" quotePrefix="0" xfId="0">
      <alignment horizontal="center"/>
    </xf>
    <xf numFmtId="0" fontId="12944" fillId="12949" borderId="12872" pivotButton="0" quotePrefix="0" xfId="0"/>
    <xf numFmtId="0" fontId="12945" fillId="12950" borderId="12873" pivotButton="0" quotePrefix="0" xfId="0"/>
    <xf numFmtId="166" fontId="12946" fillId="12951" borderId="12874" pivotButton="0" quotePrefix="0" xfId="0"/>
    <xf numFmtId="166" fontId="12947" fillId="12952" borderId="12875" pivotButton="0" quotePrefix="0" xfId="0"/>
    <xf numFmtId="168" fontId="12948" fillId="12953" borderId="12876" pivotButton="0" quotePrefix="0" xfId="0"/>
    <xf numFmtId="167" fontId="12949" fillId="12954" borderId="12877" pivotButton="0" quotePrefix="0" xfId="0"/>
    <xf numFmtId="166" fontId="12950" fillId="12955" borderId="12878" pivotButton="0" quotePrefix="0" xfId="0"/>
    <xf numFmtId="0" fontId="12951" fillId="12956" borderId="12879" applyAlignment="1" pivotButton="0" quotePrefix="0" xfId="0">
      <alignment horizontal="center"/>
    </xf>
    <xf numFmtId="0" fontId="12952" fillId="12957" borderId="12880" applyAlignment="1" pivotButton="0" quotePrefix="0" xfId="0">
      <alignment horizontal="center"/>
    </xf>
    <xf numFmtId="0" fontId="12953" fillId="12958" borderId="12881" pivotButton="0" quotePrefix="0" xfId="0"/>
    <xf numFmtId="166" fontId="12954" fillId="12959" borderId="12882" pivotButton="0" quotePrefix="0" xfId="0"/>
    <xf numFmtId="0" fontId="12955" fillId="12960" borderId="12883" pivotButton="0" quotePrefix="0" xfId="0"/>
    <xf numFmtId="0" fontId="12956" fillId="12961" borderId="12884" applyAlignment="1" pivotButton="0" quotePrefix="0" xfId="0">
      <alignment horizontal="center"/>
    </xf>
    <xf numFmtId="14" fontId="12957" fillId="12962" borderId="12885" pivotButton="0" quotePrefix="0" xfId="0"/>
    <xf numFmtId="0" fontId="12958" fillId="12963" borderId="12886" applyAlignment="1" pivotButton="0" quotePrefix="0" xfId="0">
      <alignment horizontal="center"/>
    </xf>
    <xf numFmtId="0" fontId="12959" fillId="12964" borderId="12887" pivotButton="0" quotePrefix="0" xfId="0"/>
    <xf numFmtId="0" fontId="12960" fillId="12965" borderId="12888" pivotButton="0" quotePrefix="0" xfId="0"/>
    <xf numFmtId="166" fontId="12961" fillId="12966" borderId="12889" pivotButton="0" quotePrefix="0" xfId="0"/>
    <xf numFmtId="166" fontId="12962" fillId="12967" borderId="12890" pivotButton="0" quotePrefix="0" xfId="0"/>
    <xf numFmtId="168" fontId="12963" fillId="12968" borderId="12891" pivotButton="0" quotePrefix="0" xfId="0"/>
    <xf numFmtId="167" fontId="12964" fillId="12969" borderId="12892" pivotButton="0" quotePrefix="0" xfId="0"/>
    <xf numFmtId="166" fontId="12965" fillId="12970" borderId="12893" pivotButton="0" quotePrefix="0" xfId="0"/>
    <xf numFmtId="0" fontId="12966" fillId="12971" borderId="12894" applyAlignment="1" pivotButton="0" quotePrefix="0" xfId="0">
      <alignment horizontal="center"/>
    </xf>
    <xf numFmtId="0" fontId="12967" fillId="12972" borderId="12895" applyAlignment="1" pivotButton="0" quotePrefix="0" xfId="0">
      <alignment horizontal="center"/>
    </xf>
    <xf numFmtId="0" fontId="12968" fillId="12973" borderId="12896" pivotButton="0" quotePrefix="0" xfId="0"/>
    <xf numFmtId="166" fontId="12969" fillId="12974" borderId="12897" pivotButton="0" quotePrefix="0" xfId="0"/>
    <xf numFmtId="0" fontId="12970" fillId="12975" borderId="12898" pivotButton="0" quotePrefix="0" xfId="0"/>
    <xf numFmtId="0" fontId="12971" fillId="12976" borderId="12899" applyAlignment="1" pivotButton="0" quotePrefix="0" xfId="0">
      <alignment horizontal="center"/>
    </xf>
    <xf numFmtId="14" fontId="12972" fillId="12977" borderId="12900" pivotButton="0" quotePrefix="0" xfId="0"/>
    <xf numFmtId="0" fontId="12973" fillId="12978" borderId="12901" applyAlignment="1" pivotButton="0" quotePrefix="0" xfId="0">
      <alignment horizontal="center"/>
    </xf>
    <xf numFmtId="0" fontId="12974" fillId="12979" borderId="12902" pivotButton="0" quotePrefix="0" xfId="0"/>
    <xf numFmtId="0" fontId="12975" fillId="12980" borderId="12903" pivotButton="0" quotePrefix="0" xfId="0"/>
    <xf numFmtId="166" fontId="12976" fillId="12981" borderId="12904" pivotButton="0" quotePrefix="0" xfId="0"/>
    <xf numFmtId="166" fontId="12977" fillId="12982" borderId="12905" pivotButton="0" quotePrefix="0" xfId="0"/>
    <xf numFmtId="168" fontId="12978" fillId="12983" borderId="12906" pivotButton="0" quotePrefix="0" xfId="0"/>
    <xf numFmtId="167" fontId="12979" fillId="12984" borderId="12907" pivotButton="0" quotePrefix="0" xfId="0"/>
    <xf numFmtId="166" fontId="12980" fillId="12985" borderId="12908" pivotButton="0" quotePrefix="0" xfId="0"/>
    <xf numFmtId="0" fontId="12981" fillId="12986" borderId="12909" applyAlignment="1" pivotButton="0" quotePrefix="0" xfId="0">
      <alignment horizontal="center"/>
    </xf>
    <xf numFmtId="0" fontId="12982" fillId="12987" borderId="12910" applyAlignment="1" pivotButton="0" quotePrefix="0" xfId="0">
      <alignment horizontal="center"/>
    </xf>
    <xf numFmtId="0" fontId="12983" fillId="12988" borderId="12911" pivotButton="0" quotePrefix="0" xfId="0"/>
    <xf numFmtId="166" fontId="12984" fillId="12989" borderId="12912" pivotButton="0" quotePrefix="0" xfId="0"/>
    <xf numFmtId="0" fontId="12985" fillId="12990" borderId="12913" pivotButton="0" quotePrefix="0" xfId="0"/>
    <xf numFmtId="0" fontId="12986" fillId="12991" borderId="12914" applyAlignment="1" pivotButton="0" quotePrefix="0" xfId="0">
      <alignment horizontal="center"/>
    </xf>
    <xf numFmtId="14" fontId="12987" fillId="12992" borderId="12915" pivotButton="0" quotePrefix="0" xfId="0"/>
    <xf numFmtId="0" fontId="12988" fillId="12993" borderId="12916" applyAlignment="1" pivotButton="0" quotePrefix="0" xfId="0">
      <alignment horizontal="center"/>
    </xf>
    <xf numFmtId="0" fontId="12989" fillId="12994" borderId="12917" pivotButton="0" quotePrefix="0" xfId="0"/>
    <xf numFmtId="0" fontId="12990" fillId="12995" borderId="12918" pivotButton="0" quotePrefix="0" xfId="0"/>
    <xf numFmtId="166" fontId="12991" fillId="12996" borderId="12919" pivotButton="0" quotePrefix="0" xfId="0"/>
    <xf numFmtId="166" fontId="12992" fillId="12997" borderId="12920" pivotButton="0" quotePrefix="0" xfId="0"/>
    <xf numFmtId="168" fontId="12993" fillId="12998" borderId="12921" pivotButton="0" quotePrefix="0" xfId="0"/>
    <xf numFmtId="167" fontId="12994" fillId="12999" borderId="12922" pivotButton="0" quotePrefix="0" xfId="0"/>
    <xf numFmtId="166" fontId="12995" fillId="13000" borderId="12923" pivotButton="0" quotePrefix="0" xfId="0"/>
    <xf numFmtId="0" fontId="12996" fillId="13001" borderId="12924" applyAlignment="1" pivotButton="0" quotePrefix="0" xfId="0">
      <alignment horizontal="center"/>
    </xf>
    <xf numFmtId="0" fontId="12997" fillId="13002" borderId="12925" applyAlignment="1" pivotButton="0" quotePrefix="0" xfId="0">
      <alignment horizontal="center"/>
    </xf>
    <xf numFmtId="0" fontId="12998" fillId="13003" borderId="12926" pivotButton="0" quotePrefix="0" xfId="0"/>
    <xf numFmtId="166" fontId="12999" fillId="13004" borderId="12927" pivotButton="0" quotePrefix="0" xfId="0"/>
    <xf numFmtId="0" fontId="13000" fillId="13005" borderId="12928" pivotButton="0" quotePrefix="0" xfId="0"/>
    <xf numFmtId="0" fontId="13001" fillId="13006" borderId="12929" applyAlignment="1" pivotButton="0" quotePrefix="0" xfId="0">
      <alignment horizontal="center"/>
    </xf>
    <xf numFmtId="14" fontId="13002" fillId="13007" borderId="12930" pivotButton="0" quotePrefix="0" xfId="0"/>
    <xf numFmtId="0" fontId="13003" fillId="13008" borderId="12931" applyAlignment="1" pivotButton="0" quotePrefix="0" xfId="0">
      <alignment horizontal="center"/>
    </xf>
    <xf numFmtId="0" fontId="13004" fillId="13009" borderId="12932" pivotButton="0" quotePrefix="0" xfId="0"/>
    <xf numFmtId="0" fontId="13005" fillId="13010" borderId="12933" pivotButton="0" quotePrefix="0" xfId="0"/>
    <xf numFmtId="166" fontId="13006" fillId="13011" borderId="12934" pivotButton="0" quotePrefix="0" xfId="0"/>
    <xf numFmtId="166" fontId="13007" fillId="13012" borderId="12935" pivotButton="0" quotePrefix="0" xfId="0"/>
    <xf numFmtId="168" fontId="13008" fillId="13013" borderId="12936" pivotButton="0" quotePrefix="0" xfId="0"/>
    <xf numFmtId="167" fontId="13009" fillId="13014" borderId="12937" pivotButton="0" quotePrefix="0" xfId="0"/>
    <xf numFmtId="166" fontId="13010" fillId="13015" borderId="12938" pivotButton="0" quotePrefix="0" xfId="0"/>
    <xf numFmtId="0" fontId="13011" fillId="13016" borderId="12939" applyAlignment="1" pivotButton="0" quotePrefix="0" xfId="0">
      <alignment horizontal="center"/>
    </xf>
    <xf numFmtId="0" fontId="13012" fillId="13017" borderId="12940" applyAlignment="1" pivotButton="0" quotePrefix="0" xfId="0">
      <alignment horizontal="center"/>
    </xf>
    <xf numFmtId="0" fontId="13013" fillId="13018" borderId="12941" pivotButton="0" quotePrefix="0" xfId="0"/>
    <xf numFmtId="166" fontId="13014" fillId="13019" borderId="12942" pivotButton="0" quotePrefix="0" xfId="0"/>
    <xf numFmtId="0" fontId="13015" fillId="13020" borderId="12943" pivotButton="0" quotePrefix="0" xfId="0"/>
    <xf numFmtId="0" fontId="13016" fillId="13021" borderId="12944" applyAlignment="1" pivotButton="0" quotePrefix="0" xfId="0">
      <alignment horizontal="center"/>
    </xf>
    <xf numFmtId="14" fontId="13017" fillId="13022" borderId="12945" pivotButton="0" quotePrefix="0" xfId="0"/>
    <xf numFmtId="0" fontId="13018" fillId="13023" borderId="12946" applyAlignment="1" pivotButton="0" quotePrefix="0" xfId="0">
      <alignment horizontal="center"/>
    </xf>
    <xf numFmtId="0" fontId="13019" fillId="13024" borderId="12947" pivotButton="0" quotePrefix="0" xfId="0"/>
    <xf numFmtId="0" fontId="13020" fillId="13025" borderId="12948" pivotButton="0" quotePrefix="0" xfId="0"/>
    <xf numFmtId="166" fontId="13021" fillId="13026" borderId="12949" pivotButton="0" quotePrefix="0" xfId="0"/>
    <xf numFmtId="166" fontId="13022" fillId="13027" borderId="12950" pivotButton="0" quotePrefix="0" xfId="0"/>
    <xf numFmtId="168" fontId="13023" fillId="13028" borderId="12951" pivotButton="0" quotePrefix="0" xfId="0"/>
    <xf numFmtId="167" fontId="13024" fillId="13029" borderId="12952" pivotButton="0" quotePrefix="0" xfId="0"/>
    <xf numFmtId="166" fontId="13025" fillId="13030" borderId="12953" pivotButton="0" quotePrefix="0" xfId="0"/>
    <xf numFmtId="0" fontId="13026" fillId="13031" borderId="12954" applyAlignment="1" pivotButton="0" quotePrefix="0" xfId="0">
      <alignment horizontal="center"/>
    </xf>
    <xf numFmtId="0" fontId="13027" fillId="13032" borderId="12955" applyAlignment="1" pivotButton="0" quotePrefix="0" xfId="0">
      <alignment horizontal="center"/>
    </xf>
    <xf numFmtId="0" fontId="13028" fillId="13033" borderId="12956" pivotButton="0" quotePrefix="0" xfId="0"/>
    <xf numFmtId="166" fontId="13029" fillId="13034" borderId="12957" pivotButton="0" quotePrefix="0" xfId="0"/>
    <xf numFmtId="0" fontId="13030" fillId="13035" borderId="12958" pivotButton="0" quotePrefix="0" xfId="0"/>
    <xf numFmtId="0" fontId="13031" fillId="13036" borderId="12959" applyAlignment="1" pivotButton="0" quotePrefix="0" xfId="0">
      <alignment horizontal="center"/>
    </xf>
    <xf numFmtId="14" fontId="13032" fillId="13037" borderId="12960" pivotButton="0" quotePrefix="0" xfId="0"/>
    <xf numFmtId="0" fontId="13033" fillId="13038" borderId="12961" applyAlignment="1" pivotButton="0" quotePrefix="0" xfId="0">
      <alignment horizontal="center"/>
    </xf>
    <xf numFmtId="0" fontId="13034" fillId="13039" borderId="12962" pivotButton="0" quotePrefix="0" xfId="0"/>
    <xf numFmtId="0" fontId="13035" fillId="13040" borderId="12963" pivotButton="0" quotePrefix="0" xfId="0"/>
    <xf numFmtId="166" fontId="13036" fillId="13041" borderId="12964" pivotButton="0" quotePrefix="0" xfId="0"/>
    <xf numFmtId="166" fontId="13037" fillId="13042" borderId="12965" pivotButton="0" quotePrefix="0" xfId="0"/>
    <xf numFmtId="168" fontId="13038" fillId="13043" borderId="12966" pivotButton="0" quotePrefix="0" xfId="0"/>
    <xf numFmtId="167" fontId="13039" fillId="13044" borderId="12967" pivotButton="0" quotePrefix="0" xfId="0"/>
    <xf numFmtId="166" fontId="13040" fillId="13045" borderId="12968" pivotButton="0" quotePrefix="0" xfId="0"/>
    <xf numFmtId="0" fontId="13041" fillId="13046" borderId="12969" applyAlignment="1" pivotButton="0" quotePrefix="0" xfId="0">
      <alignment horizontal="center"/>
    </xf>
    <xf numFmtId="0" fontId="13042" fillId="13047" borderId="12970" applyAlignment="1" pivotButton="0" quotePrefix="0" xfId="0">
      <alignment horizontal="center"/>
    </xf>
    <xf numFmtId="0" fontId="13043" fillId="13048" borderId="12971" pivotButton="0" quotePrefix="0" xfId="0"/>
    <xf numFmtId="166" fontId="13044" fillId="13049" borderId="12972" pivotButton="0" quotePrefix="0" xfId="0"/>
    <xf numFmtId="0" fontId="13045" fillId="13050" borderId="12973" pivotButton="0" quotePrefix="0" xfId="0"/>
    <xf numFmtId="0" fontId="13046" fillId="13051" borderId="12974" applyAlignment="1" pivotButton="0" quotePrefix="0" xfId="0">
      <alignment horizontal="center"/>
    </xf>
    <xf numFmtId="14" fontId="13047" fillId="13052" borderId="12975" pivotButton="0" quotePrefix="0" xfId="0"/>
    <xf numFmtId="0" fontId="13048" fillId="13053" borderId="12976" applyAlignment="1" pivotButton="0" quotePrefix="0" xfId="0">
      <alignment horizontal="center"/>
    </xf>
    <xf numFmtId="0" fontId="13049" fillId="13054" borderId="12977" pivotButton="0" quotePrefix="0" xfId="0"/>
    <xf numFmtId="0" fontId="13050" fillId="13055" borderId="12978" pivotButton="0" quotePrefix="0" xfId="0"/>
    <xf numFmtId="166" fontId="13051" fillId="13056" borderId="12979" pivotButton="0" quotePrefix="0" xfId="0"/>
    <xf numFmtId="166" fontId="13052" fillId="13057" borderId="12980" pivotButton="0" quotePrefix="0" xfId="0"/>
    <xf numFmtId="168" fontId="13053" fillId="13058" borderId="12981" pivotButton="0" quotePrefix="0" xfId="0"/>
    <xf numFmtId="167" fontId="13054" fillId="13059" borderId="12982" pivotButton="0" quotePrefix="0" xfId="0"/>
    <xf numFmtId="166" fontId="13055" fillId="13060" borderId="12983" pivotButton="0" quotePrefix="0" xfId="0"/>
    <xf numFmtId="0" fontId="13056" fillId="13061" borderId="12984" applyAlignment="1" pivotButton="0" quotePrefix="0" xfId="0">
      <alignment horizontal="center"/>
    </xf>
    <xf numFmtId="0" fontId="13057" fillId="13062" borderId="12985" applyAlignment="1" pivotButton="0" quotePrefix="0" xfId="0">
      <alignment horizontal="center"/>
    </xf>
    <xf numFmtId="0" fontId="13058" fillId="13063" borderId="12986" pivotButton="0" quotePrefix="0" xfId="0"/>
    <xf numFmtId="166" fontId="13059" fillId="13064" borderId="12987" pivotButton="0" quotePrefix="0" xfId="0"/>
    <xf numFmtId="0" fontId="13060" fillId="13065" borderId="12988" pivotButton="0" quotePrefix="0" xfId="0"/>
    <xf numFmtId="0" fontId="13061" fillId="13066" borderId="12989" applyAlignment="1" pivotButton="0" quotePrefix="0" xfId="0">
      <alignment horizontal="center"/>
    </xf>
    <xf numFmtId="14" fontId="13062" fillId="13067" borderId="12990" pivotButton="0" quotePrefix="0" xfId="0"/>
    <xf numFmtId="0" fontId="13063" fillId="13068" borderId="12991" applyAlignment="1" pivotButton="0" quotePrefix="0" xfId="0">
      <alignment horizontal="center"/>
    </xf>
    <xf numFmtId="0" fontId="13064" fillId="13069" borderId="12992" pivotButton="0" quotePrefix="0" xfId="0"/>
    <xf numFmtId="0" fontId="13065" fillId="13070" borderId="12993" pivotButton="0" quotePrefix="0" xfId="0"/>
    <xf numFmtId="166" fontId="13066" fillId="13071" borderId="12994" pivotButton="0" quotePrefix="0" xfId="0"/>
    <xf numFmtId="166" fontId="13067" fillId="13072" borderId="12995" pivotButton="0" quotePrefix="0" xfId="0"/>
    <xf numFmtId="168" fontId="13068" fillId="13073" borderId="12996" pivotButton="0" quotePrefix="0" xfId="0"/>
    <xf numFmtId="167" fontId="13069" fillId="13074" borderId="12997" pivotButton="0" quotePrefix="0" xfId="0"/>
    <xf numFmtId="166" fontId="13070" fillId="13075" borderId="12998" pivotButton="0" quotePrefix="0" xfId="0"/>
    <xf numFmtId="0" fontId="13071" fillId="13076" borderId="12999" applyAlignment="1" pivotButton="0" quotePrefix="0" xfId="0">
      <alignment horizontal="center"/>
    </xf>
    <xf numFmtId="0" fontId="13072" fillId="13077" borderId="13000" applyAlignment="1" pivotButton="0" quotePrefix="0" xfId="0">
      <alignment horizontal="center"/>
    </xf>
    <xf numFmtId="0" fontId="13073" fillId="13078" borderId="13001" pivotButton="0" quotePrefix="0" xfId="0"/>
    <xf numFmtId="166" fontId="13074" fillId="13079" borderId="13002" pivotButton="0" quotePrefix="0" xfId="0"/>
    <xf numFmtId="0" fontId="13075" fillId="13080" borderId="13003" pivotButton="0" quotePrefix="0" xfId="0"/>
    <xf numFmtId="0" fontId="13076" fillId="13081" borderId="13004" applyAlignment="1" pivotButton="0" quotePrefix="0" xfId="0">
      <alignment horizontal="center"/>
    </xf>
    <xf numFmtId="14" fontId="13077" fillId="13082" borderId="13005" pivotButton="0" quotePrefix="0" xfId="0"/>
    <xf numFmtId="0" fontId="13078" fillId="13083" borderId="13006" applyAlignment="1" pivotButton="0" quotePrefix="0" xfId="0">
      <alignment horizontal="center"/>
    </xf>
    <xf numFmtId="0" fontId="13079" fillId="13084" borderId="13007" pivotButton="0" quotePrefix="0" xfId="0"/>
    <xf numFmtId="0" fontId="13080" fillId="13085" borderId="13008" pivotButton="0" quotePrefix="0" xfId="0"/>
    <xf numFmtId="166" fontId="13081" fillId="13086" borderId="13009" pivotButton="0" quotePrefix="0" xfId="0"/>
    <xf numFmtId="166" fontId="13082" fillId="13087" borderId="13010" pivotButton="0" quotePrefix="0" xfId="0"/>
    <xf numFmtId="168" fontId="13083" fillId="13088" borderId="13011" pivotButton="0" quotePrefix="0" xfId="0"/>
    <xf numFmtId="167" fontId="13084" fillId="13089" borderId="13012" pivotButton="0" quotePrefix="0" xfId="0"/>
    <xf numFmtId="166" fontId="13085" fillId="13090" borderId="13013" pivotButton="0" quotePrefix="0" xfId="0"/>
    <xf numFmtId="0" fontId="13086" fillId="13091" borderId="13014" applyAlignment="1" pivotButton="0" quotePrefix="0" xfId="0">
      <alignment horizontal="center"/>
    </xf>
    <xf numFmtId="0" fontId="13087" fillId="13092" borderId="13015" applyAlignment="1" pivotButton="0" quotePrefix="0" xfId="0">
      <alignment horizontal="center"/>
    </xf>
    <xf numFmtId="0" fontId="13088" fillId="13093" borderId="13016" pivotButton="0" quotePrefix="0" xfId="0"/>
    <xf numFmtId="166" fontId="13089" fillId="13094" borderId="13017" pivotButton="0" quotePrefix="0" xfId="0"/>
    <xf numFmtId="0" fontId="13090" fillId="13095" borderId="13018" pivotButton="0" quotePrefix="0" xfId="0"/>
    <xf numFmtId="0" fontId="13091" fillId="13096" borderId="13019" applyAlignment="1" pivotButton="0" quotePrefix="0" xfId="0">
      <alignment horizontal="center"/>
    </xf>
    <xf numFmtId="14" fontId="13092" fillId="13097" borderId="13020" pivotButton="0" quotePrefix="0" xfId="0"/>
    <xf numFmtId="0" fontId="13093" fillId="13098" borderId="13021" applyAlignment="1" pivotButton="0" quotePrefix="0" xfId="0">
      <alignment horizontal="center"/>
    </xf>
    <xf numFmtId="0" fontId="13094" fillId="13099" borderId="13022" pivotButton="0" quotePrefix="0" xfId="0"/>
    <xf numFmtId="0" fontId="13095" fillId="13100" borderId="13023" pivotButton="0" quotePrefix="0" xfId="0"/>
    <xf numFmtId="166" fontId="13096" fillId="13101" borderId="13024" pivotButton="0" quotePrefix="0" xfId="0"/>
    <xf numFmtId="166" fontId="13097" fillId="13102" borderId="13025" pivotButton="0" quotePrefix="0" xfId="0"/>
    <xf numFmtId="168" fontId="13098" fillId="13103" borderId="13026" pivotButton="0" quotePrefix="0" xfId="0"/>
    <xf numFmtId="167" fontId="13099" fillId="13104" borderId="13027" pivotButton="0" quotePrefix="0" xfId="0"/>
    <xf numFmtId="166" fontId="13100" fillId="13105" borderId="13028" pivotButton="0" quotePrefix="0" xfId="0"/>
    <xf numFmtId="0" fontId="13101" fillId="13106" borderId="13029" applyAlignment="1" pivotButton="0" quotePrefix="0" xfId="0">
      <alignment horizontal="center"/>
    </xf>
    <xf numFmtId="0" fontId="13102" fillId="13107" borderId="13030" applyAlignment="1" pivotButton="0" quotePrefix="0" xfId="0">
      <alignment horizontal="center"/>
    </xf>
    <xf numFmtId="0" fontId="13103" fillId="13108" borderId="13031" pivotButton="0" quotePrefix="0" xfId="0"/>
    <xf numFmtId="166" fontId="13104" fillId="13109" borderId="13032" pivotButton="0" quotePrefix="0" xfId="0"/>
    <xf numFmtId="0" fontId="13105" fillId="13110" borderId="13033" pivotButton="0" quotePrefix="0" xfId="0"/>
    <xf numFmtId="0" fontId="13106" fillId="13111" borderId="13034" applyAlignment="1" pivotButton="0" quotePrefix="0" xfId="0">
      <alignment horizontal="center"/>
    </xf>
    <xf numFmtId="14" fontId="13107" fillId="13112" borderId="13035" pivotButton="0" quotePrefix="0" xfId="0"/>
    <xf numFmtId="0" fontId="13108" fillId="13113" borderId="13036" applyAlignment="1" pivotButton="0" quotePrefix="0" xfId="0">
      <alignment horizontal="center"/>
    </xf>
    <xf numFmtId="0" fontId="13109" fillId="13114" borderId="13037" pivotButton="0" quotePrefix="0" xfId="0"/>
    <xf numFmtId="0" fontId="13110" fillId="13115" borderId="13038" pivotButton="0" quotePrefix="0" xfId="0"/>
    <xf numFmtId="166" fontId="13111" fillId="13116" borderId="13039" pivotButton="0" quotePrefix="0" xfId="0"/>
    <xf numFmtId="166" fontId="13112" fillId="13117" borderId="13040" pivotButton="0" quotePrefix="0" xfId="0"/>
    <xf numFmtId="168" fontId="13113" fillId="13118" borderId="13041" pivotButton="0" quotePrefix="0" xfId="0"/>
    <xf numFmtId="167" fontId="13114" fillId="13119" borderId="13042" pivotButton="0" quotePrefix="0" xfId="0"/>
    <xf numFmtId="166" fontId="13115" fillId="13120" borderId="13043" pivotButton="0" quotePrefix="0" xfId="0"/>
    <xf numFmtId="0" fontId="13116" fillId="13121" borderId="13044" applyAlignment="1" pivotButton="0" quotePrefix="0" xfId="0">
      <alignment horizontal="center"/>
    </xf>
    <xf numFmtId="0" fontId="13117" fillId="13122" borderId="13045" applyAlignment="1" pivotButton="0" quotePrefix="0" xfId="0">
      <alignment horizontal="center"/>
    </xf>
    <xf numFmtId="0" fontId="13118" fillId="13123" borderId="13046" pivotButton="0" quotePrefix="0" xfId="0"/>
    <xf numFmtId="166" fontId="13119" fillId="13124" borderId="13047" pivotButton="0" quotePrefix="0" xfId="0"/>
    <xf numFmtId="0" fontId="13120" fillId="13125" borderId="13048" pivotButton="0" quotePrefix="0" xfId="0"/>
    <xf numFmtId="0" fontId="13121" fillId="13126" borderId="13049" applyAlignment="1" pivotButton="0" quotePrefix="0" xfId="0">
      <alignment horizontal="center"/>
    </xf>
    <xf numFmtId="14" fontId="13122" fillId="13127" borderId="13050" pivotButton="0" quotePrefix="0" xfId="0"/>
    <xf numFmtId="0" fontId="13123" fillId="13128" borderId="13051" applyAlignment="1" pivotButton="0" quotePrefix="0" xfId="0">
      <alignment horizontal="center"/>
    </xf>
    <xf numFmtId="0" fontId="13124" fillId="13129" borderId="13052" pivotButton="0" quotePrefix="0" xfId="0"/>
    <xf numFmtId="0" fontId="13125" fillId="13130" borderId="13053" pivotButton="0" quotePrefix="0" xfId="0"/>
    <xf numFmtId="166" fontId="13126" fillId="13131" borderId="13054" pivotButton="0" quotePrefix="0" xfId="0"/>
    <xf numFmtId="166" fontId="13127" fillId="13132" borderId="13055" pivotButton="0" quotePrefix="0" xfId="0"/>
    <xf numFmtId="168" fontId="13128" fillId="13133" borderId="13056" pivotButton="0" quotePrefix="0" xfId="0"/>
    <xf numFmtId="167" fontId="13129" fillId="13134" borderId="13057" pivotButton="0" quotePrefix="0" xfId="0"/>
    <xf numFmtId="166" fontId="13130" fillId="13135" borderId="13058" pivotButton="0" quotePrefix="0" xfId="0"/>
    <xf numFmtId="0" fontId="13131" fillId="13136" borderId="13059" applyAlignment="1" pivotButton="0" quotePrefix="0" xfId="0">
      <alignment horizontal="center"/>
    </xf>
    <xf numFmtId="0" fontId="13132" fillId="13137" borderId="13060" applyAlignment="1" pivotButton="0" quotePrefix="0" xfId="0">
      <alignment horizontal="center"/>
    </xf>
    <xf numFmtId="0" fontId="13133" fillId="13138" borderId="13061" pivotButton="0" quotePrefix="0" xfId="0"/>
    <xf numFmtId="166" fontId="13134" fillId="13139" borderId="13062" pivotButton="0" quotePrefix="0" xfId="0"/>
    <xf numFmtId="0" fontId="13135" fillId="13140" borderId="13063" pivotButton="0" quotePrefix="0" xfId="0"/>
    <xf numFmtId="0" fontId="13136" fillId="13141" borderId="13064" applyAlignment="1" pivotButton="0" quotePrefix="0" xfId="0">
      <alignment horizontal="center"/>
    </xf>
    <xf numFmtId="14" fontId="13137" fillId="13142" borderId="13065" pivotButton="0" quotePrefix="0" xfId="0"/>
    <xf numFmtId="0" fontId="13138" fillId="13143" borderId="13066" applyAlignment="1" pivotButton="0" quotePrefix="0" xfId="0">
      <alignment horizontal="center"/>
    </xf>
    <xf numFmtId="0" fontId="13139" fillId="13144" borderId="13067" pivotButton="0" quotePrefix="0" xfId="0"/>
    <xf numFmtId="0" fontId="13140" fillId="13145" borderId="13068" pivotButton="0" quotePrefix="0" xfId="0"/>
    <xf numFmtId="166" fontId="13141" fillId="13146" borderId="13069" pivotButton="0" quotePrefix="0" xfId="0"/>
    <xf numFmtId="166" fontId="13142" fillId="13147" borderId="13070" pivotButton="0" quotePrefix="0" xfId="0"/>
    <xf numFmtId="168" fontId="13143" fillId="13148" borderId="13071" pivotButton="0" quotePrefix="0" xfId="0"/>
    <xf numFmtId="167" fontId="13144" fillId="13149" borderId="13072" pivotButton="0" quotePrefix="0" xfId="0"/>
    <xf numFmtId="166" fontId="13145" fillId="13150" borderId="13073" pivotButton="0" quotePrefix="0" xfId="0"/>
    <xf numFmtId="0" fontId="13146" fillId="13151" borderId="13074" applyAlignment="1" pivotButton="0" quotePrefix="0" xfId="0">
      <alignment horizontal="center"/>
    </xf>
    <xf numFmtId="0" fontId="13147" fillId="13152" borderId="13075" applyAlignment="1" pivotButton="0" quotePrefix="0" xfId="0">
      <alignment horizontal="center"/>
    </xf>
    <xf numFmtId="0" fontId="13148" fillId="13153" borderId="13076" pivotButton="0" quotePrefix="0" xfId="0"/>
    <xf numFmtId="166" fontId="13149" fillId="13154" borderId="13077" pivotButton="0" quotePrefix="0" xfId="0"/>
    <xf numFmtId="0" fontId="13150" fillId="13155" borderId="13078" pivotButton="0" quotePrefix="0" xfId="0"/>
    <xf numFmtId="0" fontId="13151" fillId="13156" borderId="13079" applyAlignment="1" pivotButton="0" quotePrefix="0" xfId="0">
      <alignment horizontal="center"/>
    </xf>
    <xf numFmtId="14" fontId="13152" fillId="13157" borderId="13080" pivotButton="0" quotePrefix="0" xfId="0"/>
    <xf numFmtId="0" fontId="13153" fillId="13158" borderId="13081" applyAlignment="1" pivotButton="0" quotePrefix="0" xfId="0">
      <alignment horizontal="center"/>
    </xf>
    <xf numFmtId="0" fontId="13154" fillId="13159" borderId="13082" pivotButton="0" quotePrefix="0" xfId="0"/>
    <xf numFmtId="0" fontId="13155" fillId="13160" borderId="13083" pivotButton="0" quotePrefix="0" xfId="0"/>
    <xf numFmtId="166" fontId="13156" fillId="13161" borderId="13084" pivotButton="0" quotePrefix="0" xfId="0"/>
    <xf numFmtId="166" fontId="13157" fillId="13162" borderId="13085" pivotButton="0" quotePrefix="0" xfId="0"/>
    <xf numFmtId="168" fontId="13158" fillId="13163" borderId="13086" pivotButton="0" quotePrefix="0" xfId="0"/>
    <xf numFmtId="167" fontId="13159" fillId="13164" borderId="13087" pivotButton="0" quotePrefix="0" xfId="0"/>
    <xf numFmtId="166" fontId="13160" fillId="13165" borderId="13088" pivotButton="0" quotePrefix="0" xfId="0"/>
    <xf numFmtId="0" fontId="13161" fillId="13166" borderId="13089" applyAlignment="1" pivotButton="0" quotePrefix="0" xfId="0">
      <alignment horizontal="center"/>
    </xf>
    <xf numFmtId="0" fontId="13162" fillId="13167" borderId="13090" applyAlignment="1" pivotButton="0" quotePrefix="0" xfId="0">
      <alignment horizontal="center"/>
    </xf>
    <xf numFmtId="0" fontId="13163" fillId="13168" borderId="13091" pivotButton="0" quotePrefix="0" xfId="0"/>
    <xf numFmtId="166" fontId="13164" fillId="13169" borderId="13092" pivotButton="0" quotePrefix="0" xfId="0"/>
    <xf numFmtId="0" fontId="13165" fillId="13170" borderId="13093" pivotButton="0" quotePrefix="0" xfId="0"/>
    <xf numFmtId="0" fontId="13166" fillId="13171" borderId="13094" applyAlignment="1" pivotButton="0" quotePrefix="0" xfId="0">
      <alignment horizontal="center"/>
    </xf>
    <xf numFmtId="14" fontId="13167" fillId="13172" borderId="13095" pivotButton="0" quotePrefix="0" xfId="0"/>
    <xf numFmtId="0" fontId="13168" fillId="13173" borderId="13096" applyAlignment="1" pivotButton="0" quotePrefix="0" xfId="0">
      <alignment horizontal="center"/>
    </xf>
    <xf numFmtId="0" fontId="13169" fillId="13174" borderId="13097" pivotButton="0" quotePrefix="0" xfId="0"/>
    <xf numFmtId="0" fontId="13170" fillId="13175" borderId="13098" pivotButton="0" quotePrefix="0" xfId="0"/>
    <xf numFmtId="166" fontId="13171" fillId="13176" borderId="13099" pivotButton="0" quotePrefix="0" xfId="0"/>
    <xf numFmtId="166" fontId="13172" fillId="13177" borderId="13100" pivotButton="0" quotePrefix="0" xfId="0"/>
    <xf numFmtId="168" fontId="13173" fillId="13178" borderId="13101" pivotButton="0" quotePrefix="0" xfId="0"/>
    <xf numFmtId="167" fontId="13174" fillId="13179" borderId="13102" pivotButton="0" quotePrefix="0" xfId="0"/>
    <xf numFmtId="166" fontId="13175" fillId="13180" borderId="13103" pivotButton="0" quotePrefix="0" xfId="0"/>
    <xf numFmtId="0" fontId="13176" fillId="13181" borderId="13104" applyAlignment="1" pivotButton="0" quotePrefix="0" xfId="0">
      <alignment horizontal="center"/>
    </xf>
    <xf numFmtId="0" fontId="13177" fillId="13182" borderId="13105" applyAlignment="1" pivotButton="0" quotePrefix="0" xfId="0">
      <alignment horizontal="center"/>
    </xf>
    <xf numFmtId="0" fontId="13178" fillId="13183" borderId="13106" pivotButton="0" quotePrefix="0" xfId="0"/>
    <xf numFmtId="166" fontId="13179" fillId="13184" borderId="13107" pivotButton="0" quotePrefix="0" xfId="0"/>
    <xf numFmtId="0" fontId="13180" fillId="13185" borderId="13108" pivotButton="0" quotePrefix="0" xfId="0"/>
    <xf numFmtId="0" fontId="13181" fillId="13186" borderId="13109" applyAlignment="1" pivotButton="0" quotePrefix="0" xfId="0">
      <alignment horizontal="center"/>
    </xf>
    <xf numFmtId="14" fontId="13182" fillId="13187" borderId="13110" pivotButton="0" quotePrefix="0" xfId="0"/>
    <xf numFmtId="0" fontId="13183" fillId="13188" borderId="13111" applyAlignment="1" pivotButton="0" quotePrefix="0" xfId="0">
      <alignment horizontal="center"/>
    </xf>
    <xf numFmtId="0" fontId="13184" fillId="13189" borderId="13112" pivotButton="0" quotePrefix="0" xfId="0"/>
    <xf numFmtId="0" fontId="13185" fillId="13190" borderId="13113" pivotButton="0" quotePrefix="0" xfId="0"/>
    <xf numFmtId="166" fontId="13186" fillId="13191" borderId="13114" pivotButton="0" quotePrefix="0" xfId="0"/>
    <xf numFmtId="166" fontId="13187" fillId="13192" borderId="13115" pivotButton="0" quotePrefix="0" xfId="0"/>
    <xf numFmtId="168" fontId="13188" fillId="13193" borderId="13116" pivotButton="0" quotePrefix="0" xfId="0"/>
    <xf numFmtId="167" fontId="13189" fillId="13194" borderId="13117" pivotButton="0" quotePrefix="0" xfId="0"/>
    <xf numFmtId="166" fontId="13190" fillId="13195" borderId="13118" pivotButton="0" quotePrefix="0" xfId="0"/>
    <xf numFmtId="0" fontId="13191" fillId="13196" borderId="13119" applyAlignment="1" pivotButton="0" quotePrefix="0" xfId="0">
      <alignment horizontal="center"/>
    </xf>
    <xf numFmtId="0" fontId="13192" fillId="13197" borderId="13120" applyAlignment="1" pivotButton="0" quotePrefix="0" xfId="0">
      <alignment horizontal="center"/>
    </xf>
    <xf numFmtId="0" fontId="13193" fillId="13198" borderId="13121" pivotButton="0" quotePrefix="0" xfId="0"/>
    <xf numFmtId="166" fontId="13194" fillId="13199" borderId="13122" pivotButton="0" quotePrefix="0" xfId="0"/>
    <xf numFmtId="0" fontId="13195" fillId="13200" borderId="13123" pivotButton="0" quotePrefix="0" xfId="0"/>
    <xf numFmtId="0" fontId="13196" fillId="13201" borderId="13124" applyAlignment="1" pivotButton="0" quotePrefix="0" xfId="0">
      <alignment horizontal="center"/>
    </xf>
    <xf numFmtId="14" fontId="13197" fillId="13202" borderId="13125" pivotButton="0" quotePrefix="0" xfId="0"/>
    <xf numFmtId="0" fontId="13198" fillId="13203" borderId="13126" applyAlignment="1" pivotButton="0" quotePrefix="0" xfId="0">
      <alignment horizontal="center"/>
    </xf>
    <xf numFmtId="0" fontId="13199" fillId="13204" borderId="13127" pivotButton="0" quotePrefix="0" xfId="0"/>
    <xf numFmtId="0" fontId="13200" fillId="13205" borderId="13128" pivotButton="0" quotePrefix="0" xfId="0"/>
    <xf numFmtId="166" fontId="13201" fillId="13206" borderId="13129" pivotButton="0" quotePrefix="0" xfId="0"/>
    <xf numFmtId="166" fontId="13202" fillId="13207" borderId="13130" pivotButton="0" quotePrefix="0" xfId="0"/>
    <xf numFmtId="168" fontId="13203" fillId="13208" borderId="13131" pivotButton="0" quotePrefix="0" xfId="0"/>
    <xf numFmtId="167" fontId="13204" fillId="13209" borderId="13132" pivotButton="0" quotePrefix="0" xfId="0"/>
    <xf numFmtId="166" fontId="13205" fillId="13210" borderId="13133" pivotButton="0" quotePrefix="0" xfId="0"/>
    <xf numFmtId="0" fontId="13206" fillId="13211" borderId="13134" applyAlignment="1" pivotButton="0" quotePrefix="0" xfId="0">
      <alignment horizontal="center"/>
    </xf>
    <xf numFmtId="0" fontId="13207" fillId="13212" borderId="13135" applyAlignment="1" pivotButton="0" quotePrefix="0" xfId="0">
      <alignment horizontal="center"/>
    </xf>
    <xf numFmtId="0" fontId="13208" fillId="13213" borderId="13136" pivotButton="0" quotePrefix="0" xfId="0"/>
    <xf numFmtId="166" fontId="13209" fillId="13214" borderId="13137" pivotButton="0" quotePrefix="0" xfId="0"/>
    <xf numFmtId="0" fontId="13210" fillId="13215" borderId="13138" pivotButton="0" quotePrefix="0" xfId="0"/>
    <xf numFmtId="0" fontId="13211" fillId="13216" borderId="13139" applyAlignment="1" pivotButton="0" quotePrefix="0" xfId="0">
      <alignment horizontal="center"/>
    </xf>
    <xf numFmtId="14" fontId="13212" fillId="13217" borderId="13140" pivotButton="0" quotePrefix="0" xfId="0"/>
    <xf numFmtId="0" fontId="13213" fillId="13218" borderId="13141" applyAlignment="1" pivotButton="0" quotePrefix="0" xfId="0">
      <alignment horizontal="center"/>
    </xf>
    <xf numFmtId="0" fontId="13214" fillId="13219" borderId="13142" pivotButton="0" quotePrefix="0" xfId="0"/>
    <xf numFmtId="0" fontId="13215" fillId="13220" borderId="13143" pivotButton="0" quotePrefix="0" xfId="0"/>
    <xf numFmtId="166" fontId="13216" fillId="13221" borderId="13144" pivotButton="0" quotePrefix="0" xfId="0"/>
    <xf numFmtId="166" fontId="13217" fillId="13222" borderId="13145" pivotButton="0" quotePrefix="0" xfId="0"/>
    <xf numFmtId="168" fontId="13218" fillId="13223" borderId="13146" pivotButton="0" quotePrefix="0" xfId="0"/>
    <xf numFmtId="167" fontId="13219" fillId="13224" borderId="13147" pivotButton="0" quotePrefix="0" xfId="0"/>
    <xf numFmtId="166" fontId="13220" fillId="13225" borderId="13148" pivotButton="0" quotePrefix="0" xfId="0"/>
    <xf numFmtId="0" fontId="13221" fillId="13226" borderId="13149" applyAlignment="1" pivotButton="0" quotePrefix="0" xfId="0">
      <alignment horizontal="center"/>
    </xf>
    <xf numFmtId="0" fontId="13222" fillId="13227" borderId="13150" applyAlignment="1" pivotButton="0" quotePrefix="0" xfId="0">
      <alignment horizontal="center"/>
    </xf>
    <xf numFmtId="0" fontId="13223" fillId="13228" borderId="13151" pivotButton="0" quotePrefix="0" xfId="0"/>
    <xf numFmtId="166" fontId="13224" fillId="13229" borderId="13152" pivotButton="0" quotePrefix="0" xfId="0"/>
    <xf numFmtId="0" fontId="13225" fillId="13230" borderId="13153" pivotButton="0" quotePrefix="0" xfId="0"/>
    <xf numFmtId="0" fontId="13226" fillId="13231" borderId="13154" applyAlignment="1" pivotButton="0" quotePrefix="0" xfId="0">
      <alignment horizontal="center"/>
    </xf>
    <xf numFmtId="14" fontId="13227" fillId="13232" borderId="13155" pivotButton="0" quotePrefix="0" xfId="0"/>
    <xf numFmtId="0" fontId="13228" fillId="13233" borderId="13156" applyAlignment="1" pivotButton="0" quotePrefix="0" xfId="0">
      <alignment horizontal="center"/>
    </xf>
    <xf numFmtId="0" fontId="13229" fillId="13234" borderId="13157" pivotButton="0" quotePrefix="0" xfId="0"/>
    <xf numFmtId="0" fontId="13230" fillId="13235" borderId="13158" pivotButton="0" quotePrefix="0" xfId="0"/>
    <xf numFmtId="166" fontId="13231" fillId="13236" borderId="13159" pivotButton="0" quotePrefix="0" xfId="0"/>
    <xf numFmtId="166" fontId="13232" fillId="13237" borderId="13160" pivotButton="0" quotePrefix="0" xfId="0"/>
    <xf numFmtId="168" fontId="13233" fillId="13238" borderId="13161" pivotButton="0" quotePrefix="0" xfId="0"/>
    <xf numFmtId="167" fontId="13234" fillId="13239" borderId="13162" pivotButton="0" quotePrefix="0" xfId="0"/>
    <xf numFmtId="166" fontId="13235" fillId="13240" borderId="13163" pivotButton="0" quotePrefix="0" xfId="0"/>
    <xf numFmtId="0" fontId="13236" fillId="13241" borderId="13164" applyAlignment="1" pivotButton="0" quotePrefix="0" xfId="0">
      <alignment horizontal="center"/>
    </xf>
    <xf numFmtId="0" fontId="13237" fillId="13242" borderId="13165" applyAlignment="1" pivotButton="0" quotePrefix="0" xfId="0">
      <alignment horizontal="center"/>
    </xf>
    <xf numFmtId="0" fontId="13238" fillId="13243" borderId="13166" pivotButton="0" quotePrefix="0" xfId="0"/>
    <xf numFmtId="166" fontId="13239" fillId="13244" borderId="13167" pivotButton="0" quotePrefix="0" xfId="0"/>
    <xf numFmtId="0" fontId="13240" fillId="13245" borderId="13168" pivotButton="0" quotePrefix="0" xfId="0"/>
    <xf numFmtId="0" fontId="13241" fillId="13246" borderId="13169" applyAlignment="1" pivotButton="0" quotePrefix="0" xfId="0">
      <alignment horizontal="center"/>
    </xf>
    <xf numFmtId="14" fontId="13242" fillId="13247" borderId="13170" pivotButton="0" quotePrefix="0" xfId="0"/>
    <xf numFmtId="0" fontId="13243" fillId="13248" borderId="13171" applyAlignment="1" pivotButton="0" quotePrefix="0" xfId="0">
      <alignment horizontal="center"/>
    </xf>
    <xf numFmtId="0" fontId="13244" fillId="13249" borderId="13172" pivotButton="0" quotePrefix="0" xfId="0"/>
    <xf numFmtId="0" fontId="13245" fillId="13250" borderId="13173" pivotButton="0" quotePrefix="0" xfId="0"/>
    <xf numFmtId="166" fontId="13246" fillId="13251" borderId="13174" pivotButton="0" quotePrefix="0" xfId="0"/>
    <xf numFmtId="166" fontId="13247" fillId="13252" borderId="13175" pivotButton="0" quotePrefix="0" xfId="0"/>
    <xf numFmtId="168" fontId="13248" fillId="13253" borderId="13176" pivotButton="0" quotePrefix="0" xfId="0"/>
    <xf numFmtId="167" fontId="13249" fillId="13254" borderId="13177" pivotButton="0" quotePrefix="0" xfId="0"/>
    <xf numFmtId="166" fontId="13250" fillId="13255" borderId="13178" pivotButton="0" quotePrefix="0" xfId="0"/>
    <xf numFmtId="0" fontId="13251" fillId="13256" borderId="13179" applyAlignment="1" pivotButton="0" quotePrefix="0" xfId="0">
      <alignment horizontal="center"/>
    </xf>
    <xf numFmtId="0" fontId="13252" fillId="13257" borderId="13180" applyAlignment="1" pivotButton="0" quotePrefix="0" xfId="0">
      <alignment horizontal="center"/>
    </xf>
    <xf numFmtId="0" fontId="13253" fillId="13258" borderId="13181" pivotButton="0" quotePrefix="0" xfId="0"/>
    <xf numFmtId="166" fontId="13254" fillId="13259" borderId="13182" pivotButton="0" quotePrefix="0" xfId="0"/>
    <xf numFmtId="0" fontId="13255" fillId="13260" borderId="13183" pivotButton="0" quotePrefix="0" xfId="0"/>
    <xf numFmtId="0" fontId="13256" fillId="13261" borderId="13184" applyAlignment="1" pivotButton="0" quotePrefix="0" xfId="0">
      <alignment horizontal="center"/>
    </xf>
    <xf numFmtId="14" fontId="13257" fillId="13262" borderId="13185" pivotButton="0" quotePrefix="0" xfId="0"/>
    <xf numFmtId="0" fontId="13258" fillId="13263" borderId="13186" applyAlignment="1" pivotButton="0" quotePrefix="0" xfId="0">
      <alignment horizontal="center"/>
    </xf>
    <xf numFmtId="0" fontId="13259" fillId="13264" borderId="13187" pivotButton="0" quotePrefix="0" xfId="0"/>
    <xf numFmtId="0" fontId="13260" fillId="13265" borderId="13188" pivotButton="0" quotePrefix="0" xfId="0"/>
    <xf numFmtId="166" fontId="13261" fillId="13266" borderId="13189" pivotButton="0" quotePrefix="0" xfId="0"/>
    <xf numFmtId="166" fontId="13262" fillId="13267" borderId="13190" pivotButton="0" quotePrefix="0" xfId="0"/>
    <xf numFmtId="168" fontId="13263" fillId="13268" borderId="13191" pivotButton="0" quotePrefix="0" xfId="0"/>
    <xf numFmtId="167" fontId="13264" fillId="13269" borderId="13192" pivotButton="0" quotePrefix="0" xfId="0"/>
    <xf numFmtId="166" fontId="13265" fillId="13270" borderId="13193" pivotButton="0" quotePrefix="0" xfId="0"/>
    <xf numFmtId="0" fontId="13266" fillId="13271" borderId="13194" applyAlignment="1" pivotButton="0" quotePrefix="0" xfId="0">
      <alignment horizontal="center"/>
    </xf>
    <xf numFmtId="0" fontId="13267" fillId="13272" borderId="13195" applyAlignment="1" pivotButton="0" quotePrefix="0" xfId="0">
      <alignment horizontal="center"/>
    </xf>
    <xf numFmtId="0" fontId="13268" fillId="13273" borderId="13196" pivotButton="0" quotePrefix="0" xfId="0"/>
    <xf numFmtId="166" fontId="13269" fillId="13274" borderId="13197" pivotButton="0" quotePrefix="0" xfId="0"/>
    <xf numFmtId="0" fontId="13270" fillId="13275" borderId="13198" pivotButton="0" quotePrefix="0" xfId="0"/>
    <xf numFmtId="0" fontId="13271" fillId="13276" borderId="13199" applyAlignment="1" pivotButton="0" quotePrefix="0" xfId="0">
      <alignment horizontal="center"/>
    </xf>
    <xf numFmtId="14" fontId="13272" fillId="13277" borderId="13200" pivotButton="0" quotePrefix="0" xfId="0"/>
    <xf numFmtId="0" fontId="13273" fillId="13278" borderId="13201" applyAlignment="1" pivotButton="0" quotePrefix="0" xfId="0">
      <alignment horizontal="center"/>
    </xf>
    <xf numFmtId="0" fontId="13274" fillId="13279" borderId="13202" pivotButton="0" quotePrefix="0" xfId="0"/>
    <xf numFmtId="0" fontId="13275" fillId="13280" borderId="13203" pivotButton="0" quotePrefix="0" xfId="0"/>
    <xf numFmtId="166" fontId="13276" fillId="13281" borderId="13204" pivotButton="0" quotePrefix="0" xfId="0"/>
    <xf numFmtId="166" fontId="13277" fillId="13282" borderId="13205" pivotButton="0" quotePrefix="0" xfId="0"/>
    <xf numFmtId="168" fontId="13278" fillId="13283" borderId="13206" pivotButton="0" quotePrefix="0" xfId="0"/>
    <xf numFmtId="167" fontId="13279" fillId="13284" borderId="13207" pivotButton="0" quotePrefix="0" xfId="0"/>
    <xf numFmtId="166" fontId="13280" fillId="13285" borderId="13208" pivotButton="0" quotePrefix="0" xfId="0"/>
    <xf numFmtId="0" fontId="13281" fillId="13286" borderId="13209" applyAlignment="1" pivotButton="0" quotePrefix="0" xfId="0">
      <alignment horizontal="center"/>
    </xf>
    <xf numFmtId="0" fontId="13282" fillId="13287" borderId="13210" applyAlignment="1" pivotButton="0" quotePrefix="0" xfId="0">
      <alignment horizontal="center"/>
    </xf>
    <xf numFmtId="0" fontId="13283" fillId="13288" borderId="13211" pivotButton="0" quotePrefix="0" xfId="0"/>
    <xf numFmtId="166" fontId="13284" fillId="13289" borderId="13212" pivotButton="0" quotePrefix="0" xfId="0"/>
    <xf numFmtId="0" fontId="13285" fillId="13290" borderId="13213" pivotButton="0" quotePrefix="0" xfId="0"/>
    <xf numFmtId="0" fontId="13286" fillId="13291" borderId="13214" applyAlignment="1" pivotButton="0" quotePrefix="0" xfId="0">
      <alignment horizontal="center"/>
    </xf>
    <xf numFmtId="14" fontId="13287" fillId="13292" borderId="13215" pivotButton="0" quotePrefix="0" xfId="0"/>
    <xf numFmtId="0" fontId="13288" fillId="13293" borderId="13216" applyAlignment="1" pivotButton="0" quotePrefix="0" xfId="0">
      <alignment horizontal="center"/>
    </xf>
    <xf numFmtId="0" fontId="13289" fillId="13294" borderId="13217" pivotButton="0" quotePrefix="0" xfId="0"/>
    <xf numFmtId="0" fontId="13290" fillId="13295" borderId="13218" pivotButton="0" quotePrefix="0" xfId="0"/>
    <xf numFmtId="166" fontId="13291" fillId="13296" borderId="13219" pivotButton="0" quotePrefix="0" xfId="0"/>
    <xf numFmtId="166" fontId="13292" fillId="13297" borderId="13220" pivotButton="0" quotePrefix="0" xfId="0"/>
    <xf numFmtId="168" fontId="13293" fillId="13298" borderId="13221" pivotButton="0" quotePrefix="0" xfId="0"/>
    <xf numFmtId="167" fontId="13294" fillId="13299" borderId="13222" pivotButton="0" quotePrefix="0" xfId="0"/>
    <xf numFmtId="166" fontId="13295" fillId="13300" borderId="13223" pivotButton="0" quotePrefix="0" xfId="0"/>
    <xf numFmtId="0" fontId="13296" fillId="13301" borderId="13224" applyAlignment="1" pivotButton="0" quotePrefix="0" xfId="0">
      <alignment horizontal="center"/>
    </xf>
    <xf numFmtId="0" fontId="13297" fillId="13302" borderId="13225" applyAlignment="1" pivotButton="0" quotePrefix="0" xfId="0">
      <alignment horizontal="center"/>
    </xf>
    <xf numFmtId="0" fontId="13298" fillId="13303" borderId="13226" pivotButton="0" quotePrefix="0" xfId="0"/>
    <xf numFmtId="166" fontId="13299" fillId="13304" borderId="13227" pivotButton="0" quotePrefix="0" xfId="0"/>
    <xf numFmtId="0" fontId="13300" fillId="13305" borderId="13228" pivotButton="0" quotePrefix="0" xfId="0"/>
    <xf numFmtId="0" fontId="13301" fillId="13306" borderId="13229" applyAlignment="1" pivotButton="0" quotePrefix="0" xfId="0">
      <alignment horizontal="center"/>
    </xf>
    <xf numFmtId="14" fontId="13302" fillId="13307" borderId="13230" pivotButton="0" quotePrefix="0" xfId="0"/>
    <xf numFmtId="0" fontId="13303" fillId="13308" borderId="13231" applyAlignment="1" pivotButton="0" quotePrefix="0" xfId="0">
      <alignment horizontal="center"/>
    </xf>
    <xf numFmtId="0" fontId="13304" fillId="13309" borderId="13232" pivotButton="0" quotePrefix="0" xfId="0"/>
    <xf numFmtId="0" fontId="13305" fillId="13310" borderId="13233" pivotButton="0" quotePrefix="0" xfId="0"/>
    <xf numFmtId="166" fontId="13306" fillId="13311" borderId="13234" pivotButton="0" quotePrefix="0" xfId="0"/>
    <xf numFmtId="166" fontId="13307" fillId="13312" borderId="13235" pivotButton="0" quotePrefix="0" xfId="0"/>
    <xf numFmtId="168" fontId="13308" fillId="13313" borderId="13236" pivotButton="0" quotePrefix="0" xfId="0"/>
    <xf numFmtId="167" fontId="13309" fillId="13314" borderId="13237" pivotButton="0" quotePrefix="0" xfId="0"/>
    <xf numFmtId="166" fontId="13310" fillId="13315" borderId="13238" pivotButton="0" quotePrefix="0" xfId="0"/>
    <xf numFmtId="0" fontId="13311" fillId="13316" borderId="13239" applyAlignment="1" pivotButton="0" quotePrefix="0" xfId="0">
      <alignment horizontal="center"/>
    </xf>
    <xf numFmtId="0" fontId="13312" fillId="13317" borderId="13240" applyAlignment="1" pivotButton="0" quotePrefix="0" xfId="0">
      <alignment horizontal="center"/>
    </xf>
    <xf numFmtId="0" fontId="13313" fillId="13318" borderId="13241" pivotButton="0" quotePrefix="0" xfId="0"/>
    <xf numFmtId="166" fontId="13314" fillId="13319" borderId="13242" pivotButton="0" quotePrefix="0" xfId="0"/>
    <xf numFmtId="0" fontId="13315" fillId="13320" borderId="13243" pivotButton="0" quotePrefix="0" xfId="0"/>
    <xf numFmtId="0" fontId="13316" fillId="13321" borderId="13244" applyAlignment="1" pivotButton="0" quotePrefix="0" xfId="0">
      <alignment horizontal="center"/>
    </xf>
    <xf numFmtId="14" fontId="13317" fillId="13322" borderId="13245" pivotButton="0" quotePrefix="0" xfId="0"/>
    <xf numFmtId="0" fontId="13318" fillId="13323" borderId="13246" applyAlignment="1" pivotButton="0" quotePrefix="0" xfId="0">
      <alignment horizontal="center"/>
    </xf>
    <xf numFmtId="0" fontId="13319" fillId="13324" borderId="13247" pivotButton="0" quotePrefix="0" xfId="0"/>
    <xf numFmtId="0" fontId="13320" fillId="13325" borderId="13248" pivotButton="0" quotePrefix="0" xfId="0"/>
    <xf numFmtId="166" fontId="13321" fillId="13326" borderId="13249" pivotButton="0" quotePrefix="0" xfId="0"/>
    <xf numFmtId="166" fontId="13322" fillId="13327" borderId="13250" pivotButton="0" quotePrefix="0" xfId="0"/>
    <xf numFmtId="168" fontId="13323" fillId="13328" borderId="13251" pivotButton="0" quotePrefix="0" xfId="0"/>
    <xf numFmtId="167" fontId="13324" fillId="13329" borderId="13252" pivotButton="0" quotePrefix="0" xfId="0"/>
    <xf numFmtId="166" fontId="13325" fillId="13330" borderId="13253" pivotButton="0" quotePrefix="0" xfId="0"/>
    <xf numFmtId="0" fontId="13326" fillId="13331" borderId="13254" applyAlignment="1" pivotButton="0" quotePrefix="0" xfId="0">
      <alignment horizontal="center"/>
    </xf>
    <xf numFmtId="0" fontId="13327" fillId="13332" borderId="13255" applyAlignment="1" pivotButton="0" quotePrefix="0" xfId="0">
      <alignment horizontal="center"/>
    </xf>
    <xf numFmtId="0" fontId="13328" fillId="13333" borderId="13256" pivotButton="0" quotePrefix="0" xfId="0"/>
    <xf numFmtId="166" fontId="13329" fillId="13334" borderId="13257" pivotButton="0" quotePrefix="0" xfId="0"/>
    <xf numFmtId="0" fontId="13330" fillId="13335" borderId="13258" pivotButton="0" quotePrefix="0" xfId="0"/>
    <xf numFmtId="0" fontId="13331" fillId="13336" borderId="13259" applyAlignment="1" pivotButton="0" quotePrefix="0" xfId="0">
      <alignment horizontal="center"/>
    </xf>
    <xf numFmtId="14" fontId="13332" fillId="13337" borderId="13260" pivotButton="0" quotePrefix="0" xfId="0"/>
    <xf numFmtId="0" fontId="13333" fillId="13338" borderId="13261" applyAlignment="1" pivotButton="0" quotePrefix="0" xfId="0">
      <alignment horizontal="center"/>
    </xf>
    <xf numFmtId="0" fontId="13334" fillId="13339" borderId="13262" pivotButton="0" quotePrefix="0" xfId="0"/>
    <xf numFmtId="0" fontId="13335" fillId="13340" borderId="13263" pivotButton="0" quotePrefix="0" xfId="0"/>
    <xf numFmtId="166" fontId="13336" fillId="13341" borderId="13264" pivotButton="0" quotePrefix="0" xfId="0"/>
    <xf numFmtId="166" fontId="13337" fillId="13342" borderId="13265" pivotButton="0" quotePrefix="0" xfId="0"/>
    <xf numFmtId="168" fontId="13338" fillId="13343" borderId="13266" pivotButton="0" quotePrefix="0" xfId="0"/>
    <xf numFmtId="167" fontId="13339" fillId="13344" borderId="13267" pivotButton="0" quotePrefix="0" xfId="0"/>
    <xf numFmtId="166" fontId="13340" fillId="13345" borderId="13268" pivotButton="0" quotePrefix="0" xfId="0"/>
    <xf numFmtId="0" fontId="13341" fillId="13346" borderId="13269" applyAlignment="1" pivotButton="0" quotePrefix="0" xfId="0">
      <alignment horizontal="center"/>
    </xf>
    <xf numFmtId="0" fontId="13342" fillId="13347" borderId="13270" applyAlignment="1" pivotButton="0" quotePrefix="0" xfId="0">
      <alignment horizontal="center"/>
    </xf>
    <xf numFmtId="0" fontId="13343" fillId="13348" borderId="13271" pivotButton="0" quotePrefix="0" xfId="0"/>
    <xf numFmtId="166" fontId="13344" fillId="13349" borderId="13272" pivotButton="0" quotePrefix="0" xfId="0"/>
    <xf numFmtId="0" fontId="13345" fillId="13350" borderId="13273" pivotButton="0" quotePrefix="0" xfId="0"/>
    <xf numFmtId="0" fontId="13346" fillId="13351" borderId="13274" applyAlignment="1" pivotButton="0" quotePrefix="0" xfId="0">
      <alignment horizontal="center"/>
    </xf>
    <xf numFmtId="14" fontId="13347" fillId="13352" borderId="13275" pivotButton="0" quotePrefix="0" xfId="0"/>
    <xf numFmtId="0" fontId="13348" fillId="13353" borderId="13276" applyAlignment="1" pivotButton="0" quotePrefix="0" xfId="0">
      <alignment horizontal="center"/>
    </xf>
    <xf numFmtId="0" fontId="13349" fillId="13354" borderId="13277" pivotButton="0" quotePrefix="0" xfId="0"/>
    <xf numFmtId="0" fontId="13350" fillId="13355" borderId="13278" pivotButton="0" quotePrefix="0" xfId="0"/>
    <xf numFmtId="166" fontId="13351" fillId="13356" borderId="13279" pivotButton="0" quotePrefix="0" xfId="0"/>
    <xf numFmtId="166" fontId="13352" fillId="13357" borderId="13280" pivotButton="0" quotePrefix="0" xfId="0"/>
    <xf numFmtId="168" fontId="13353" fillId="13358" borderId="13281" pivotButton="0" quotePrefix="0" xfId="0"/>
    <xf numFmtId="167" fontId="13354" fillId="13359" borderId="13282" pivotButton="0" quotePrefix="0" xfId="0"/>
    <xf numFmtId="166" fontId="13355" fillId="13360" borderId="13283" pivotButton="0" quotePrefix="0" xfId="0"/>
    <xf numFmtId="0" fontId="13356" fillId="13361" borderId="13284" applyAlignment="1" pivotButton="0" quotePrefix="0" xfId="0">
      <alignment horizontal="center"/>
    </xf>
    <xf numFmtId="0" fontId="13357" fillId="13362" borderId="13285" applyAlignment="1" pivotButton="0" quotePrefix="0" xfId="0">
      <alignment horizontal="center"/>
    </xf>
    <xf numFmtId="0" fontId="13358" fillId="13363" borderId="13286" pivotButton="0" quotePrefix="0" xfId="0"/>
    <xf numFmtId="166" fontId="13359" fillId="13364" borderId="13287" pivotButton="0" quotePrefix="0" xfId="0"/>
    <xf numFmtId="0" fontId="13360" fillId="13365" borderId="13288" pivotButton="0" quotePrefix="0" xfId="0"/>
    <xf numFmtId="0" fontId="13361" fillId="13366" borderId="13289" applyAlignment="1" pivotButton="0" quotePrefix="0" xfId="0">
      <alignment horizontal="center"/>
    </xf>
    <xf numFmtId="14" fontId="13362" fillId="13367" borderId="13290" pivotButton="0" quotePrefix="0" xfId="0"/>
    <xf numFmtId="0" fontId="13363" fillId="13368" borderId="13291" applyAlignment="1" pivotButton="0" quotePrefix="0" xfId="0">
      <alignment horizontal="center"/>
    </xf>
    <xf numFmtId="0" fontId="13364" fillId="13369" borderId="13292" pivotButton="0" quotePrefix="0" xfId="0"/>
    <xf numFmtId="0" fontId="13365" fillId="13370" borderId="13293" pivotButton="0" quotePrefix="0" xfId="0"/>
    <xf numFmtId="166" fontId="13366" fillId="13371" borderId="13294" pivotButton="0" quotePrefix="0" xfId="0"/>
    <xf numFmtId="166" fontId="13367" fillId="13372" borderId="13295" pivotButton="0" quotePrefix="0" xfId="0"/>
    <xf numFmtId="168" fontId="13368" fillId="13373" borderId="13296" pivotButton="0" quotePrefix="0" xfId="0"/>
    <xf numFmtId="167" fontId="13369" fillId="13374" borderId="13297" pivotButton="0" quotePrefix="0" xfId="0"/>
    <xf numFmtId="166" fontId="13370" fillId="13375" borderId="13298" pivotButton="0" quotePrefix="0" xfId="0"/>
    <xf numFmtId="0" fontId="13371" fillId="13376" borderId="13299" applyAlignment="1" pivotButton="0" quotePrefix="0" xfId="0">
      <alignment horizontal="center"/>
    </xf>
    <xf numFmtId="0" fontId="13372" fillId="13377" borderId="13300" applyAlignment="1" pivotButton="0" quotePrefix="0" xfId="0">
      <alignment horizontal="center"/>
    </xf>
    <xf numFmtId="0" fontId="13373" fillId="13378" borderId="13301" pivotButton="0" quotePrefix="0" xfId="0"/>
    <xf numFmtId="166" fontId="13374" fillId="13379" borderId="13302" pivotButton="0" quotePrefix="0" xfId="0"/>
    <xf numFmtId="0" fontId="13375" fillId="13380" borderId="13303" pivotButton="0" quotePrefix="0" xfId="0"/>
    <xf numFmtId="0" fontId="13376" fillId="13381" borderId="13304" applyAlignment="1" pivotButton="0" quotePrefix="0" xfId="0">
      <alignment horizontal="center"/>
    </xf>
    <xf numFmtId="14" fontId="13377" fillId="13382" borderId="13305" pivotButton="0" quotePrefix="0" xfId="0"/>
    <xf numFmtId="0" fontId="13378" fillId="13383" borderId="13306" applyAlignment="1" pivotButton="0" quotePrefix="0" xfId="0">
      <alignment horizontal="center"/>
    </xf>
    <xf numFmtId="0" fontId="13379" fillId="13384" borderId="13307" pivotButton="0" quotePrefix="0" xfId="0"/>
    <xf numFmtId="0" fontId="13380" fillId="13385" borderId="13308" pivotButton="0" quotePrefix="0" xfId="0"/>
    <xf numFmtId="166" fontId="13381" fillId="13386" borderId="13309" pivotButton="0" quotePrefix="0" xfId="0"/>
    <xf numFmtId="166" fontId="13382" fillId="13387" borderId="13310" pivotButton="0" quotePrefix="0" xfId="0"/>
    <xf numFmtId="168" fontId="13383" fillId="13388" borderId="13311" pivotButton="0" quotePrefix="0" xfId="0"/>
    <xf numFmtId="167" fontId="13384" fillId="13389" borderId="13312" pivotButton="0" quotePrefix="0" xfId="0"/>
    <xf numFmtId="166" fontId="13385" fillId="13390" borderId="13313" pivotButton="0" quotePrefix="0" xfId="0"/>
    <xf numFmtId="0" fontId="13386" fillId="13391" borderId="13314" applyAlignment="1" pivotButton="0" quotePrefix="0" xfId="0">
      <alignment horizontal="center"/>
    </xf>
    <xf numFmtId="0" fontId="13387" fillId="13392" borderId="13315" applyAlignment="1" pivotButton="0" quotePrefix="0" xfId="0">
      <alignment horizontal="center"/>
    </xf>
    <xf numFmtId="0" fontId="13388" fillId="13393" borderId="13316" pivotButton="0" quotePrefix="0" xfId="0"/>
    <xf numFmtId="166" fontId="13389" fillId="13394" borderId="13317" pivotButton="0" quotePrefix="0" xfId="0"/>
    <xf numFmtId="0" fontId="13390" fillId="13395" borderId="13318" pivotButton="0" quotePrefix="0" xfId="0"/>
    <xf numFmtId="0" fontId="13391" fillId="13396" borderId="13319" applyAlignment="1" pivotButton="0" quotePrefix="0" xfId="0">
      <alignment horizontal="center"/>
    </xf>
    <xf numFmtId="14" fontId="13392" fillId="13397" borderId="13320" pivotButton="0" quotePrefix="0" xfId="0"/>
    <xf numFmtId="0" fontId="13393" fillId="13398" borderId="13321" applyAlignment="1" pivotButton="0" quotePrefix="0" xfId="0">
      <alignment horizontal="center"/>
    </xf>
    <xf numFmtId="0" fontId="13394" fillId="13399" borderId="13322" pivotButton="0" quotePrefix="0" xfId="0"/>
    <xf numFmtId="0" fontId="13395" fillId="13400" borderId="13323" pivotButton="0" quotePrefix="0" xfId="0"/>
    <xf numFmtId="166" fontId="13396" fillId="13401" borderId="13324" pivotButton="0" quotePrefix="0" xfId="0"/>
    <xf numFmtId="166" fontId="13397" fillId="13402" borderId="13325" pivotButton="0" quotePrefix="0" xfId="0"/>
    <xf numFmtId="168" fontId="13398" fillId="13403" borderId="13326" pivotButton="0" quotePrefix="0" xfId="0"/>
    <xf numFmtId="167" fontId="13399" fillId="13404" borderId="13327" pivotButton="0" quotePrefix="0" xfId="0"/>
    <xf numFmtId="166" fontId="13400" fillId="13405" borderId="13328" pivotButton="0" quotePrefix="0" xfId="0"/>
    <xf numFmtId="0" fontId="13401" fillId="13406" borderId="13329" applyAlignment="1" pivotButton="0" quotePrefix="0" xfId="0">
      <alignment horizontal="center"/>
    </xf>
    <xf numFmtId="0" fontId="13402" fillId="13407" borderId="13330" applyAlignment="1" pivotButton="0" quotePrefix="0" xfId="0">
      <alignment horizontal="center"/>
    </xf>
    <xf numFmtId="0" fontId="13403" fillId="13408" borderId="13331" pivotButton="0" quotePrefix="0" xfId="0"/>
    <xf numFmtId="166" fontId="13404" fillId="13409" borderId="13332" pivotButton="0" quotePrefix="0" xfId="0"/>
    <xf numFmtId="0" fontId="13405" fillId="13410" borderId="13333" pivotButton="0" quotePrefix="0" xfId="0"/>
    <xf numFmtId="0" fontId="13406" fillId="13411" borderId="13334" applyAlignment="1" pivotButton="0" quotePrefix="0" xfId="0">
      <alignment horizontal="center"/>
    </xf>
    <xf numFmtId="14" fontId="13407" fillId="13412" borderId="13335" pivotButton="0" quotePrefix="0" xfId="0"/>
    <xf numFmtId="0" fontId="13408" fillId="13413" borderId="13336" applyAlignment="1" pivotButton="0" quotePrefix="0" xfId="0">
      <alignment horizontal="center"/>
    </xf>
    <xf numFmtId="0" fontId="13409" fillId="13414" borderId="13337" pivotButton="0" quotePrefix="0" xfId="0"/>
    <xf numFmtId="0" fontId="13410" fillId="13415" borderId="13338" pivotButton="0" quotePrefix="0" xfId="0"/>
    <xf numFmtId="166" fontId="13411" fillId="13416" borderId="13339" pivotButton="0" quotePrefix="0" xfId="0"/>
    <xf numFmtId="166" fontId="13412" fillId="13417" borderId="13340" pivotButton="0" quotePrefix="0" xfId="0"/>
    <xf numFmtId="168" fontId="13413" fillId="13418" borderId="13341" pivotButton="0" quotePrefix="0" xfId="0"/>
    <xf numFmtId="167" fontId="13414" fillId="13419" borderId="13342" pivotButton="0" quotePrefix="0" xfId="0"/>
    <xf numFmtId="166" fontId="13415" fillId="13420" borderId="13343" pivotButton="0" quotePrefix="0" xfId="0"/>
    <xf numFmtId="0" fontId="13416" fillId="13421" borderId="13344" applyAlignment="1" pivotButton="0" quotePrefix="0" xfId="0">
      <alignment horizontal="center"/>
    </xf>
    <xf numFmtId="0" fontId="13417" fillId="13422" borderId="13345" applyAlignment="1" pivotButton="0" quotePrefix="0" xfId="0">
      <alignment horizontal="center"/>
    </xf>
    <xf numFmtId="0" fontId="13418" fillId="13423" borderId="13346" pivotButton="0" quotePrefix="0" xfId="0"/>
    <xf numFmtId="166" fontId="13419" fillId="13424" borderId="13347" pivotButton="0" quotePrefix="0" xfId="0"/>
    <xf numFmtId="0" fontId="13420" fillId="13425" borderId="13348" pivotButton="0" quotePrefix="0" xfId="0"/>
    <xf numFmtId="0" fontId="13421" fillId="13426" borderId="13349" applyAlignment="1" pivotButton="0" quotePrefix="0" xfId="0">
      <alignment horizontal="center"/>
    </xf>
    <xf numFmtId="14" fontId="13422" fillId="13427" borderId="13350" pivotButton="0" quotePrefix="0" xfId="0"/>
    <xf numFmtId="0" fontId="13423" fillId="13428" borderId="13351" applyAlignment="1" pivotButton="0" quotePrefix="0" xfId="0">
      <alignment horizontal="center"/>
    </xf>
    <xf numFmtId="0" fontId="13424" fillId="13429" borderId="13352" pivotButton="0" quotePrefix="0" xfId="0"/>
    <xf numFmtId="0" fontId="13425" fillId="13430" borderId="13353" pivotButton="0" quotePrefix="0" xfId="0"/>
    <xf numFmtId="166" fontId="13426" fillId="13431" borderId="13354" pivotButton="0" quotePrefix="0" xfId="0"/>
    <xf numFmtId="166" fontId="13427" fillId="13432" borderId="13355" pivotButton="0" quotePrefix="0" xfId="0"/>
    <xf numFmtId="168" fontId="13428" fillId="13433" borderId="13356" pivotButton="0" quotePrefix="0" xfId="0"/>
    <xf numFmtId="167" fontId="13429" fillId="13434" borderId="13357" pivotButton="0" quotePrefix="0" xfId="0"/>
    <xf numFmtId="166" fontId="13430" fillId="13435" borderId="13358" pivotButton="0" quotePrefix="0" xfId="0"/>
    <xf numFmtId="0" fontId="13431" fillId="13436" borderId="13359" applyAlignment="1" pivotButton="0" quotePrefix="0" xfId="0">
      <alignment horizontal="center"/>
    </xf>
    <xf numFmtId="0" fontId="13432" fillId="13437" borderId="13360" applyAlignment="1" pivotButton="0" quotePrefix="0" xfId="0">
      <alignment horizontal="center"/>
    </xf>
    <xf numFmtId="0" fontId="13433" fillId="13438" borderId="13361" pivotButton="0" quotePrefix="0" xfId="0"/>
    <xf numFmtId="166" fontId="13434" fillId="13439" borderId="13362" pivotButton="0" quotePrefix="0" xfId="0"/>
    <xf numFmtId="0" fontId="13435" fillId="13440" borderId="13363" pivotButton="0" quotePrefix="0" xfId="0"/>
    <xf numFmtId="0" fontId="13436" fillId="13441" borderId="13364" applyAlignment="1" pivotButton="0" quotePrefix="0" xfId="0">
      <alignment horizontal="center"/>
    </xf>
    <xf numFmtId="14" fontId="13437" fillId="13442" borderId="13365" pivotButton="0" quotePrefix="0" xfId="0"/>
    <xf numFmtId="0" fontId="13438" fillId="13443" borderId="13366" applyAlignment="1" pivotButton="0" quotePrefix="0" xfId="0">
      <alignment horizontal="center"/>
    </xf>
    <xf numFmtId="0" fontId="13439" fillId="13444" borderId="13367" pivotButton="0" quotePrefix="0" xfId="0"/>
    <xf numFmtId="0" fontId="13440" fillId="13445" borderId="13368" pivotButton="0" quotePrefix="0" xfId="0"/>
    <xf numFmtId="166" fontId="13441" fillId="13446" borderId="13369" pivotButton="0" quotePrefix="0" xfId="0"/>
    <xf numFmtId="166" fontId="13442" fillId="13447" borderId="13370" pivotButton="0" quotePrefix="0" xfId="0"/>
    <xf numFmtId="168" fontId="13443" fillId="13448" borderId="13371" pivotButton="0" quotePrefix="0" xfId="0"/>
    <xf numFmtId="167" fontId="13444" fillId="13449" borderId="13372" pivotButton="0" quotePrefix="0" xfId="0"/>
    <xf numFmtId="166" fontId="13445" fillId="13450" borderId="13373" pivotButton="0" quotePrefix="0" xfId="0"/>
    <xf numFmtId="0" fontId="13446" fillId="13451" borderId="13374" applyAlignment="1" pivotButton="0" quotePrefix="0" xfId="0">
      <alignment horizontal="center"/>
    </xf>
    <xf numFmtId="0" fontId="13447" fillId="13452" borderId="13375" applyAlignment="1" pivotButton="0" quotePrefix="0" xfId="0">
      <alignment horizontal="center"/>
    </xf>
    <xf numFmtId="0" fontId="13448" fillId="13453" borderId="13376" pivotButton="0" quotePrefix="0" xfId="0"/>
    <xf numFmtId="166" fontId="13449" fillId="13454" borderId="13377" pivotButton="0" quotePrefix="0" xfId="0"/>
    <xf numFmtId="0" fontId="13450" fillId="13455" borderId="13378" pivotButton="0" quotePrefix="0" xfId="0"/>
    <xf numFmtId="0" fontId="13451" fillId="13456" borderId="13379" applyAlignment="1" pivotButton="0" quotePrefix="0" xfId="0">
      <alignment horizontal="center"/>
    </xf>
    <xf numFmtId="14" fontId="13452" fillId="13457" borderId="13380" pivotButton="0" quotePrefix="0" xfId="0"/>
    <xf numFmtId="0" fontId="13453" fillId="13458" borderId="13381" applyAlignment="1" pivotButton="0" quotePrefix="0" xfId="0">
      <alignment horizontal="center"/>
    </xf>
    <xf numFmtId="0" fontId="13454" fillId="13459" borderId="13382" pivotButton="0" quotePrefix="0" xfId="0"/>
    <xf numFmtId="0" fontId="13455" fillId="13460" borderId="13383" pivotButton="0" quotePrefix="0" xfId="0"/>
    <xf numFmtId="166" fontId="13456" fillId="13461" borderId="13384" pivotButton="0" quotePrefix="0" xfId="0"/>
    <xf numFmtId="166" fontId="13457" fillId="13462" borderId="13385" pivotButton="0" quotePrefix="0" xfId="0"/>
    <xf numFmtId="168" fontId="13458" fillId="13463" borderId="13386" pivotButton="0" quotePrefix="0" xfId="0"/>
    <xf numFmtId="167" fontId="13459" fillId="13464" borderId="13387" pivotButton="0" quotePrefix="0" xfId="0"/>
    <xf numFmtId="166" fontId="13460" fillId="13465" borderId="13388" pivotButton="0" quotePrefix="0" xfId="0"/>
    <xf numFmtId="0" fontId="13461" fillId="13466" borderId="13389" applyAlignment="1" pivotButton="0" quotePrefix="0" xfId="0">
      <alignment horizontal="center"/>
    </xf>
    <xf numFmtId="0" fontId="13462" fillId="13467" borderId="13390" applyAlignment="1" pivotButton="0" quotePrefix="0" xfId="0">
      <alignment horizontal="center"/>
    </xf>
    <xf numFmtId="0" fontId="13463" fillId="13468" borderId="13391" pivotButton="0" quotePrefix="0" xfId="0"/>
    <xf numFmtId="166" fontId="13464" fillId="13469" borderId="13392" pivotButton="0" quotePrefix="0" xfId="0"/>
    <xf numFmtId="0" fontId="13465" fillId="13470" borderId="13393" pivotButton="0" quotePrefix="0" xfId="0"/>
    <xf numFmtId="0" fontId="13466" fillId="13471" borderId="13394" applyAlignment="1" pivotButton="0" quotePrefix="0" xfId="0">
      <alignment horizontal="center"/>
    </xf>
    <xf numFmtId="14" fontId="13467" fillId="13472" borderId="13395" pivotButton="0" quotePrefix="0" xfId="0"/>
    <xf numFmtId="0" fontId="13468" fillId="13473" borderId="13396" applyAlignment="1" pivotButton="0" quotePrefix="0" xfId="0">
      <alignment horizontal="center"/>
    </xf>
    <xf numFmtId="0" fontId="13469" fillId="13474" borderId="13397" pivotButton="0" quotePrefix="0" xfId="0"/>
    <xf numFmtId="0" fontId="13470" fillId="13475" borderId="13398" pivotButton="0" quotePrefix="0" xfId="0"/>
    <xf numFmtId="166" fontId="13471" fillId="13476" borderId="13399" pivotButton="0" quotePrefix="0" xfId="0"/>
    <xf numFmtId="166" fontId="13472" fillId="13477" borderId="13400" pivotButton="0" quotePrefix="0" xfId="0"/>
    <xf numFmtId="168" fontId="13473" fillId="13478" borderId="13401" pivotButton="0" quotePrefix="0" xfId="0"/>
    <xf numFmtId="167" fontId="13474" fillId="13479" borderId="13402" pivotButton="0" quotePrefix="0" xfId="0"/>
    <xf numFmtId="166" fontId="13475" fillId="13480" borderId="13403" pivotButton="0" quotePrefix="0" xfId="0"/>
    <xf numFmtId="0" fontId="13476" fillId="13481" borderId="13404" applyAlignment="1" pivotButton="0" quotePrefix="0" xfId="0">
      <alignment horizontal="center"/>
    </xf>
    <xf numFmtId="0" fontId="13477" fillId="13482" borderId="13405" applyAlignment="1" pivotButton="0" quotePrefix="0" xfId="0">
      <alignment horizontal="center"/>
    </xf>
    <xf numFmtId="0" fontId="13478" fillId="13483" borderId="13406" pivotButton="0" quotePrefix="0" xfId="0"/>
    <xf numFmtId="166" fontId="13479" fillId="13484" borderId="13407" pivotButton="0" quotePrefix="0" xfId="0"/>
    <xf numFmtId="0" fontId="13480" fillId="13485" borderId="13408" pivotButton="0" quotePrefix="0" xfId="0"/>
    <xf numFmtId="0" fontId="13481" fillId="13486" borderId="13409" applyAlignment="1" pivotButton="0" quotePrefix="0" xfId="0">
      <alignment horizontal="center"/>
    </xf>
    <xf numFmtId="14" fontId="13482" fillId="13487" borderId="13410" pivotButton="0" quotePrefix="0" xfId="0"/>
    <xf numFmtId="0" fontId="13483" fillId="13488" borderId="13411" applyAlignment="1" pivotButton="0" quotePrefix="0" xfId="0">
      <alignment horizontal="center"/>
    </xf>
    <xf numFmtId="0" fontId="13484" fillId="13489" borderId="13412" pivotButton="0" quotePrefix="0" xfId="0"/>
    <xf numFmtId="0" fontId="13485" fillId="13490" borderId="13413" pivotButton="0" quotePrefix="0" xfId="0"/>
    <xf numFmtId="166" fontId="13486" fillId="13491" borderId="13414" pivotButton="0" quotePrefix="0" xfId="0"/>
    <xf numFmtId="166" fontId="13487" fillId="13492" borderId="13415" pivotButton="0" quotePrefix="0" xfId="0"/>
    <xf numFmtId="168" fontId="13488" fillId="13493" borderId="13416" pivotButton="0" quotePrefix="0" xfId="0"/>
    <xf numFmtId="167" fontId="13489" fillId="13494" borderId="13417" pivotButton="0" quotePrefix="0" xfId="0"/>
    <xf numFmtId="166" fontId="13490" fillId="13495" borderId="13418" pivotButton="0" quotePrefix="0" xfId="0"/>
    <xf numFmtId="0" fontId="13491" fillId="13496" borderId="13419" applyAlignment="1" pivotButton="0" quotePrefix="0" xfId="0">
      <alignment horizontal="center"/>
    </xf>
    <xf numFmtId="0" fontId="13492" fillId="13497" borderId="13420" applyAlignment="1" pivotButton="0" quotePrefix="0" xfId="0">
      <alignment horizontal="center"/>
    </xf>
    <xf numFmtId="0" fontId="13493" fillId="13498" borderId="13421" pivotButton="0" quotePrefix="0" xfId="0"/>
    <xf numFmtId="166" fontId="13494" fillId="13499" borderId="13422" pivotButton="0" quotePrefix="0" xfId="0"/>
    <xf numFmtId="0" fontId="13495" fillId="13500" borderId="13423" pivotButton="0" quotePrefix="0" xfId="0"/>
    <xf numFmtId="0" fontId="13496" fillId="13501" borderId="13424" applyAlignment="1" pivotButton="0" quotePrefix="0" xfId="0">
      <alignment horizontal="center"/>
    </xf>
    <xf numFmtId="14" fontId="13497" fillId="13502" borderId="13425" pivotButton="0" quotePrefix="0" xfId="0"/>
    <xf numFmtId="0" fontId="13498" fillId="13503" borderId="13426" applyAlignment="1" pivotButton="0" quotePrefix="0" xfId="0">
      <alignment horizontal="center"/>
    </xf>
    <xf numFmtId="0" fontId="13499" fillId="13504" borderId="13427" pivotButton="0" quotePrefix="0" xfId="0"/>
    <xf numFmtId="0" fontId="13500" fillId="13505" borderId="13428" pivotButton="0" quotePrefix="0" xfId="0"/>
    <xf numFmtId="166" fontId="13501" fillId="13506" borderId="13429" pivotButton="0" quotePrefix="0" xfId="0"/>
    <xf numFmtId="166" fontId="13502" fillId="13507" borderId="13430" pivotButton="0" quotePrefix="0" xfId="0"/>
    <xf numFmtId="168" fontId="13503" fillId="13508" borderId="13431" pivotButton="0" quotePrefix="0" xfId="0"/>
    <xf numFmtId="167" fontId="13504" fillId="13509" borderId="13432" pivotButton="0" quotePrefix="0" xfId="0"/>
    <xf numFmtId="166" fontId="13505" fillId="13510" borderId="13433" pivotButton="0" quotePrefix="0" xfId="0"/>
    <xf numFmtId="0" fontId="13506" fillId="13511" borderId="13434" applyAlignment="1" pivotButton="0" quotePrefix="0" xfId="0">
      <alignment horizontal="center"/>
    </xf>
    <xf numFmtId="0" fontId="13507" fillId="13512" borderId="13435" applyAlignment="1" pivotButton="0" quotePrefix="0" xfId="0">
      <alignment horizontal="center"/>
    </xf>
    <xf numFmtId="0" fontId="13508" fillId="13513" borderId="13436" pivotButton="0" quotePrefix="0" xfId="0"/>
    <xf numFmtId="166" fontId="13509" fillId="13514" borderId="13437" pivotButton="0" quotePrefix="0" xfId="0"/>
    <xf numFmtId="0" fontId="13510" fillId="13515" borderId="13438" pivotButton="0" quotePrefix="0" xfId="0"/>
    <xf numFmtId="0" fontId="13511" fillId="13516" borderId="13439" applyAlignment="1" pivotButton="0" quotePrefix="0" xfId="0">
      <alignment horizontal="center"/>
    </xf>
    <xf numFmtId="14" fontId="13512" fillId="13517" borderId="13440" pivotButton="0" quotePrefix="0" xfId="0"/>
    <xf numFmtId="0" fontId="13513" fillId="13518" borderId="13441" applyAlignment="1" pivotButton="0" quotePrefix="0" xfId="0">
      <alignment horizontal="center"/>
    </xf>
    <xf numFmtId="0" fontId="13514" fillId="13519" borderId="13442" pivotButton="0" quotePrefix="0" xfId="0"/>
    <xf numFmtId="0" fontId="13515" fillId="13520" borderId="13443" pivotButton="0" quotePrefix="0" xfId="0"/>
    <xf numFmtId="166" fontId="13516" fillId="13521" borderId="13444" pivotButton="0" quotePrefix="0" xfId="0"/>
    <xf numFmtId="166" fontId="13517" fillId="13522" borderId="13445" pivotButton="0" quotePrefix="0" xfId="0"/>
    <xf numFmtId="168" fontId="13518" fillId="13523" borderId="13446" pivotButton="0" quotePrefix="0" xfId="0"/>
    <xf numFmtId="167" fontId="13519" fillId="13524" borderId="13447" pivotButton="0" quotePrefix="0" xfId="0"/>
    <xf numFmtId="166" fontId="13520" fillId="13525" borderId="13448" pivotButton="0" quotePrefix="0" xfId="0"/>
    <xf numFmtId="0" fontId="13521" fillId="13526" borderId="13449" applyAlignment="1" pivotButton="0" quotePrefix="0" xfId="0">
      <alignment horizontal="center"/>
    </xf>
    <xf numFmtId="0" fontId="13522" fillId="13527" borderId="13450" applyAlignment="1" pivotButton="0" quotePrefix="0" xfId="0">
      <alignment horizontal="center"/>
    </xf>
    <xf numFmtId="0" fontId="13523" fillId="13528" borderId="13451" pivotButton="0" quotePrefix="0" xfId="0"/>
    <xf numFmtId="166" fontId="13524" fillId="13529" borderId="13452" pivotButton="0" quotePrefix="0" xfId="0"/>
    <xf numFmtId="0" fontId="13525" fillId="13530" borderId="13453" pivotButton="0" quotePrefix="0" xfId="0"/>
    <xf numFmtId="0" fontId="13526" fillId="13531" borderId="13454" applyAlignment="1" pivotButton="0" quotePrefix="0" xfId="0">
      <alignment horizontal="center"/>
    </xf>
    <xf numFmtId="14" fontId="13527" fillId="13532" borderId="13455" pivotButton="0" quotePrefix="0" xfId="0"/>
    <xf numFmtId="0" fontId="13528" fillId="13533" borderId="13456" applyAlignment="1" pivotButton="0" quotePrefix="0" xfId="0">
      <alignment horizontal="center"/>
    </xf>
    <xf numFmtId="0" fontId="13529" fillId="13534" borderId="13457" pivotButton="0" quotePrefix="0" xfId="0"/>
    <xf numFmtId="0" fontId="13530" fillId="13535" borderId="13458" pivotButton="0" quotePrefix="0" xfId="0"/>
    <xf numFmtId="166" fontId="13531" fillId="13536" borderId="13459" pivotButton="0" quotePrefix="0" xfId="0"/>
    <xf numFmtId="166" fontId="13532" fillId="13537" borderId="13460" pivotButton="0" quotePrefix="0" xfId="0"/>
    <xf numFmtId="168" fontId="13533" fillId="13538" borderId="13461" pivotButton="0" quotePrefix="0" xfId="0"/>
    <xf numFmtId="167" fontId="13534" fillId="13539" borderId="13462" pivotButton="0" quotePrefix="0" xfId="0"/>
    <xf numFmtId="166" fontId="13535" fillId="13540" borderId="13463" pivotButton="0" quotePrefix="0" xfId="0"/>
    <xf numFmtId="0" fontId="13536" fillId="13541" borderId="13464" applyAlignment="1" pivotButton="0" quotePrefix="0" xfId="0">
      <alignment horizontal="center"/>
    </xf>
    <xf numFmtId="0" fontId="13537" fillId="13542" borderId="13465" applyAlignment="1" pivotButton="0" quotePrefix="0" xfId="0">
      <alignment horizontal="center"/>
    </xf>
    <xf numFmtId="0" fontId="13538" fillId="13543" borderId="13466" pivotButton="0" quotePrefix="0" xfId="0"/>
    <xf numFmtId="166" fontId="13539" fillId="13544" borderId="13467" pivotButton="0" quotePrefix="0" xfId="0"/>
    <xf numFmtId="0" fontId="13540" fillId="13545" borderId="13468" pivotButton="0" quotePrefix="0" xfId="0"/>
    <xf numFmtId="0" fontId="13541" fillId="13546" borderId="13469" applyAlignment="1" pivotButton="0" quotePrefix="0" xfId="0">
      <alignment horizontal="center"/>
    </xf>
    <xf numFmtId="14" fontId="13542" fillId="13547" borderId="13470" pivotButton="0" quotePrefix="0" xfId="0"/>
    <xf numFmtId="0" fontId="13543" fillId="13548" borderId="13471" applyAlignment="1" pivotButton="0" quotePrefix="0" xfId="0">
      <alignment horizontal="center"/>
    </xf>
    <xf numFmtId="0" fontId="13544" fillId="13549" borderId="13472" pivotButton="0" quotePrefix="0" xfId="0"/>
    <xf numFmtId="0" fontId="13545" fillId="13550" borderId="13473" pivotButton="0" quotePrefix="0" xfId="0"/>
    <xf numFmtId="166" fontId="13546" fillId="13551" borderId="13474" pivotButton="0" quotePrefix="0" xfId="0"/>
    <xf numFmtId="166" fontId="13547" fillId="13552" borderId="13475" pivotButton="0" quotePrefix="0" xfId="0"/>
    <xf numFmtId="168" fontId="13548" fillId="13553" borderId="13476" pivotButton="0" quotePrefix="0" xfId="0"/>
    <xf numFmtId="167" fontId="13549" fillId="13554" borderId="13477" pivotButton="0" quotePrefix="0" xfId="0"/>
    <xf numFmtId="166" fontId="13550" fillId="13555" borderId="13478" pivotButton="0" quotePrefix="0" xfId="0"/>
    <xf numFmtId="0" fontId="13551" fillId="13556" borderId="13479" applyAlignment="1" pivotButton="0" quotePrefix="0" xfId="0">
      <alignment horizontal="center"/>
    </xf>
    <xf numFmtId="0" fontId="13552" fillId="13557" borderId="13480" applyAlignment="1" pivotButton="0" quotePrefix="0" xfId="0">
      <alignment horizontal="center"/>
    </xf>
    <xf numFmtId="0" fontId="13553" fillId="13558" borderId="13481" pivotButton="0" quotePrefix="0" xfId="0"/>
    <xf numFmtId="166" fontId="13554" fillId="13559" borderId="13482" pivotButton="0" quotePrefix="0" xfId="0"/>
    <xf numFmtId="0" fontId="13555" fillId="13560" borderId="13483" pivotButton="0" quotePrefix="0" xfId="0"/>
    <xf numFmtId="0" fontId="13556" fillId="13561" borderId="13484" applyAlignment="1" pivotButton="0" quotePrefix="0" xfId="0">
      <alignment horizontal="center"/>
    </xf>
    <xf numFmtId="14" fontId="13557" fillId="13562" borderId="13485" pivotButton="0" quotePrefix="0" xfId="0"/>
    <xf numFmtId="0" fontId="13558" fillId="13563" borderId="13486" applyAlignment="1" pivotButton="0" quotePrefix="0" xfId="0">
      <alignment horizontal="center"/>
    </xf>
    <xf numFmtId="0" fontId="13559" fillId="13564" borderId="13487" pivotButton="0" quotePrefix="0" xfId="0"/>
    <xf numFmtId="0" fontId="13560" fillId="13565" borderId="13488" pivotButton="0" quotePrefix="0" xfId="0"/>
    <xf numFmtId="166" fontId="13561" fillId="13566" borderId="13489" pivotButton="0" quotePrefix="0" xfId="0"/>
    <xf numFmtId="166" fontId="13562" fillId="13567" borderId="13490" pivotButton="0" quotePrefix="0" xfId="0"/>
    <xf numFmtId="168" fontId="13563" fillId="13568" borderId="13491" pivotButton="0" quotePrefix="0" xfId="0"/>
    <xf numFmtId="167" fontId="13564" fillId="13569" borderId="13492" pivotButton="0" quotePrefix="0" xfId="0"/>
    <xf numFmtId="166" fontId="13565" fillId="13570" borderId="13493" pivotButton="0" quotePrefix="0" xfId="0"/>
    <xf numFmtId="0" fontId="13566" fillId="13571" borderId="13494" applyAlignment="1" pivotButton="0" quotePrefix="0" xfId="0">
      <alignment horizontal="center"/>
    </xf>
    <xf numFmtId="0" fontId="13567" fillId="13572" borderId="13495" applyAlignment="1" pivotButton="0" quotePrefix="0" xfId="0">
      <alignment horizontal="center"/>
    </xf>
    <xf numFmtId="0" fontId="13568" fillId="13573" borderId="13496" pivotButton="0" quotePrefix="0" xfId="0"/>
    <xf numFmtId="166" fontId="13569" fillId="13574" borderId="13497" pivotButton="0" quotePrefix="0" xfId="0"/>
    <xf numFmtId="0" fontId="13570" fillId="13575" borderId="13498" pivotButton="0" quotePrefix="0" xfId="0"/>
    <xf numFmtId="0" fontId="13571" fillId="13576" borderId="13499" applyAlignment="1" pivotButton="0" quotePrefix="0" xfId="0">
      <alignment horizontal="center"/>
    </xf>
    <xf numFmtId="14" fontId="13572" fillId="13577" borderId="13500" pivotButton="0" quotePrefix="0" xfId="0"/>
    <xf numFmtId="0" fontId="13573" fillId="13578" borderId="13501" applyAlignment="1" pivotButton="0" quotePrefix="0" xfId="0">
      <alignment horizontal="center"/>
    </xf>
    <xf numFmtId="0" fontId="13574" fillId="13579" borderId="13502" pivotButton="0" quotePrefix="0" xfId="0"/>
    <xf numFmtId="0" fontId="13575" fillId="13580" borderId="13503" pivotButton="0" quotePrefix="0" xfId="0"/>
    <xf numFmtId="166" fontId="13576" fillId="13581" borderId="13504" pivotButton="0" quotePrefix="0" xfId="0"/>
    <xf numFmtId="166" fontId="13577" fillId="13582" borderId="13505" pivotButton="0" quotePrefix="0" xfId="0"/>
    <xf numFmtId="168" fontId="13578" fillId="13583" borderId="13506" pivotButton="0" quotePrefix="0" xfId="0"/>
    <xf numFmtId="167" fontId="13579" fillId="13584" borderId="13507" pivotButton="0" quotePrefix="0" xfId="0"/>
    <xf numFmtId="166" fontId="13580" fillId="13585" borderId="13508" pivotButton="0" quotePrefix="0" xfId="0"/>
    <xf numFmtId="0" fontId="13581" fillId="13586" borderId="13509" applyAlignment="1" pivotButton="0" quotePrefix="0" xfId="0">
      <alignment horizontal="center"/>
    </xf>
    <xf numFmtId="0" fontId="13582" fillId="13587" borderId="13510" applyAlignment="1" pivotButton="0" quotePrefix="0" xfId="0">
      <alignment horizontal="center"/>
    </xf>
    <xf numFmtId="0" fontId="13583" fillId="13588" borderId="13511" pivotButton="0" quotePrefix="0" xfId="0"/>
    <xf numFmtId="166" fontId="13584" fillId="13589" borderId="13512" pivotButton="0" quotePrefix="0" xfId="0"/>
    <xf numFmtId="0" fontId="13585" fillId="13590" borderId="13513" pivotButton="0" quotePrefix="0" xfId="0"/>
    <xf numFmtId="0" fontId="13586" fillId="13591" borderId="13514" applyAlignment="1" pivotButton="0" quotePrefix="0" xfId="0">
      <alignment horizontal="center"/>
    </xf>
    <xf numFmtId="14" fontId="13587" fillId="13592" borderId="13515" pivotButton="0" quotePrefix="0" xfId="0"/>
    <xf numFmtId="0" fontId="13588" fillId="13593" borderId="13516" applyAlignment="1" pivotButton="0" quotePrefix="0" xfId="0">
      <alignment horizontal="center"/>
    </xf>
    <xf numFmtId="0" fontId="13589" fillId="13594" borderId="13517" pivotButton="0" quotePrefix="0" xfId="0"/>
    <xf numFmtId="0" fontId="13590" fillId="13595" borderId="13518" pivotButton="0" quotePrefix="0" xfId="0"/>
    <xf numFmtId="166" fontId="13591" fillId="13596" borderId="13519" pivotButton="0" quotePrefix="0" xfId="0"/>
    <xf numFmtId="166" fontId="13592" fillId="13597" borderId="13520" pivotButton="0" quotePrefix="0" xfId="0"/>
    <xf numFmtId="168" fontId="13593" fillId="13598" borderId="13521" pivotButton="0" quotePrefix="0" xfId="0"/>
    <xf numFmtId="167" fontId="13594" fillId="13599" borderId="13522" pivotButton="0" quotePrefix="0" xfId="0"/>
    <xf numFmtId="166" fontId="13595" fillId="13600" borderId="13523" pivotButton="0" quotePrefix="0" xfId="0"/>
    <xf numFmtId="0" fontId="13596" fillId="13601" borderId="13524" applyAlignment="1" pivotButton="0" quotePrefix="0" xfId="0">
      <alignment horizontal="center"/>
    </xf>
    <xf numFmtId="0" fontId="13597" fillId="13602" borderId="13525" applyAlignment="1" pivotButton="0" quotePrefix="0" xfId="0">
      <alignment horizontal="center"/>
    </xf>
    <xf numFmtId="0" fontId="13598" fillId="13603" borderId="13526" pivotButton="0" quotePrefix="0" xfId="0"/>
    <xf numFmtId="166" fontId="13599" fillId="13604" borderId="13527" pivotButton="0" quotePrefix="0" xfId="0"/>
    <xf numFmtId="0" fontId="13600" fillId="13605" borderId="13528" pivotButton="0" quotePrefix="0" xfId="0"/>
    <xf numFmtId="0" fontId="13601" fillId="13606" borderId="13529" applyAlignment="1" pivotButton="0" quotePrefix="0" xfId="0">
      <alignment horizontal="center"/>
    </xf>
    <xf numFmtId="14" fontId="13602" fillId="13607" borderId="13530" pivotButton="0" quotePrefix="0" xfId="0"/>
    <xf numFmtId="0" fontId="13603" fillId="13608" borderId="13531" applyAlignment="1" pivotButton="0" quotePrefix="0" xfId="0">
      <alignment horizontal="center"/>
    </xf>
    <xf numFmtId="0" fontId="13604" fillId="13609" borderId="13532" pivotButton="0" quotePrefix="0" xfId="0"/>
    <xf numFmtId="0" fontId="13605" fillId="13610" borderId="13533" pivotButton="0" quotePrefix="0" xfId="0"/>
    <xf numFmtId="166" fontId="13606" fillId="13611" borderId="13534" pivotButton="0" quotePrefix="0" xfId="0"/>
    <xf numFmtId="166" fontId="13607" fillId="13612" borderId="13535" pivotButton="0" quotePrefix="0" xfId="0"/>
    <xf numFmtId="168" fontId="13608" fillId="13613" borderId="13536" pivotButton="0" quotePrefix="0" xfId="0"/>
    <xf numFmtId="167" fontId="13609" fillId="13614" borderId="13537" pivotButton="0" quotePrefix="0" xfId="0"/>
    <xf numFmtId="166" fontId="13610" fillId="13615" borderId="13538" pivotButton="0" quotePrefix="0" xfId="0"/>
    <xf numFmtId="0" fontId="13611" fillId="13616" borderId="13539" applyAlignment="1" pivotButton="0" quotePrefix="0" xfId="0">
      <alignment horizontal="center"/>
    </xf>
    <xf numFmtId="0" fontId="13612" fillId="13617" borderId="13540" applyAlignment="1" pivotButton="0" quotePrefix="0" xfId="0">
      <alignment horizontal="center"/>
    </xf>
    <xf numFmtId="0" fontId="13613" fillId="13618" borderId="13541" pivotButton="0" quotePrefix="0" xfId="0"/>
    <xf numFmtId="166" fontId="13614" fillId="13619" borderId="13542" pivotButton="0" quotePrefix="0" xfId="0"/>
    <xf numFmtId="0" fontId="13615" fillId="13620" borderId="13543" pivotButton="0" quotePrefix="0" xfId="0"/>
    <xf numFmtId="0" fontId="13616" fillId="13621" borderId="13544" applyAlignment="1" pivotButton="0" quotePrefix="0" xfId="0">
      <alignment horizontal="center"/>
    </xf>
    <xf numFmtId="14" fontId="13617" fillId="13622" borderId="13545" pivotButton="0" quotePrefix="0" xfId="0"/>
    <xf numFmtId="0" fontId="13618" fillId="13623" borderId="13546" applyAlignment="1" pivotButton="0" quotePrefix="0" xfId="0">
      <alignment horizontal="center"/>
    </xf>
    <xf numFmtId="0" fontId="13619" fillId="13624" borderId="13547" pivotButton="0" quotePrefix="0" xfId="0"/>
    <xf numFmtId="0" fontId="13620" fillId="13625" borderId="13548" pivotButton="0" quotePrefix="0" xfId="0"/>
    <xf numFmtId="166" fontId="13621" fillId="13626" borderId="13549" pivotButton="0" quotePrefix="0" xfId="0"/>
    <xf numFmtId="166" fontId="13622" fillId="13627" borderId="13550" pivotButton="0" quotePrefix="0" xfId="0"/>
    <xf numFmtId="168" fontId="13623" fillId="13628" borderId="13551" pivotButton="0" quotePrefix="0" xfId="0"/>
    <xf numFmtId="167" fontId="13624" fillId="13629" borderId="13552" pivotButton="0" quotePrefix="0" xfId="0"/>
    <xf numFmtId="166" fontId="13625" fillId="13630" borderId="13553" pivotButton="0" quotePrefix="0" xfId="0"/>
    <xf numFmtId="0" fontId="13626" fillId="13631" borderId="13554" applyAlignment="1" pivotButton="0" quotePrefix="0" xfId="0">
      <alignment horizontal="center"/>
    </xf>
    <xf numFmtId="0" fontId="13627" fillId="13632" borderId="13555" applyAlignment="1" pivotButton="0" quotePrefix="0" xfId="0">
      <alignment horizontal="center"/>
    </xf>
    <xf numFmtId="0" fontId="13628" fillId="13633" borderId="13556" pivotButton="0" quotePrefix="0" xfId="0"/>
    <xf numFmtId="166" fontId="13629" fillId="13634" borderId="13557" pivotButton="0" quotePrefix="0" xfId="0"/>
    <xf numFmtId="0" fontId="13630" fillId="13635" borderId="13558" pivotButton="0" quotePrefix="0" xfId="0"/>
    <xf numFmtId="0" fontId="13631" fillId="13636" borderId="13559" applyAlignment="1" pivotButton="0" quotePrefix="0" xfId="0">
      <alignment horizontal="center"/>
    </xf>
    <xf numFmtId="14" fontId="13632" fillId="13637" borderId="13560" pivotButton="0" quotePrefix="0" xfId="0"/>
    <xf numFmtId="0" fontId="13633" fillId="13638" borderId="13561" applyAlignment="1" pivotButton="0" quotePrefix="0" xfId="0">
      <alignment horizontal="center"/>
    </xf>
    <xf numFmtId="0" fontId="13634" fillId="13639" borderId="13562" pivotButton="0" quotePrefix="0" xfId="0"/>
    <xf numFmtId="0" fontId="13635" fillId="13640" borderId="13563" pivotButton="0" quotePrefix="0" xfId="0"/>
    <xf numFmtId="166" fontId="13636" fillId="13641" borderId="13564" pivotButton="0" quotePrefix="0" xfId="0"/>
    <xf numFmtId="166" fontId="13637" fillId="13642" borderId="13565" pivotButton="0" quotePrefix="0" xfId="0"/>
    <xf numFmtId="168" fontId="13638" fillId="13643" borderId="13566" pivotButton="0" quotePrefix="0" xfId="0"/>
    <xf numFmtId="167" fontId="13639" fillId="13644" borderId="13567" pivotButton="0" quotePrefix="0" xfId="0"/>
    <xf numFmtId="166" fontId="13640" fillId="13645" borderId="13568" pivotButton="0" quotePrefix="0" xfId="0"/>
    <xf numFmtId="0" fontId="13641" fillId="13646" borderId="13569" applyAlignment="1" pivotButton="0" quotePrefix="0" xfId="0">
      <alignment horizontal="center"/>
    </xf>
    <xf numFmtId="0" fontId="13642" fillId="13647" borderId="13570" applyAlignment="1" pivotButton="0" quotePrefix="0" xfId="0">
      <alignment horizontal="center"/>
    </xf>
    <xf numFmtId="0" fontId="13643" fillId="13648" borderId="13571" pivotButton="0" quotePrefix="0" xfId="0"/>
    <xf numFmtId="166" fontId="13644" fillId="13649" borderId="13572" pivotButton="0" quotePrefix="0" xfId="0"/>
    <xf numFmtId="0" fontId="13645" fillId="13650" borderId="13573" pivotButton="0" quotePrefix="0" xfId="0"/>
    <xf numFmtId="0" fontId="13646" fillId="13651" borderId="13574" applyAlignment="1" pivotButton="0" quotePrefix="0" xfId="0">
      <alignment horizontal="center"/>
    </xf>
    <xf numFmtId="14" fontId="13647" fillId="13652" borderId="13575" pivotButton="0" quotePrefix="0" xfId="0"/>
    <xf numFmtId="0" fontId="13648" fillId="13653" borderId="13576" applyAlignment="1" pivotButton="0" quotePrefix="0" xfId="0">
      <alignment horizontal="center"/>
    </xf>
    <xf numFmtId="0" fontId="13649" fillId="13654" borderId="13577" pivotButton="0" quotePrefix="0" xfId="0"/>
    <xf numFmtId="0" fontId="13650" fillId="13655" borderId="13578" pivotButton="0" quotePrefix="0" xfId="0"/>
    <xf numFmtId="166" fontId="13651" fillId="13656" borderId="13579" pivotButton="0" quotePrefix="0" xfId="0"/>
    <xf numFmtId="166" fontId="13652" fillId="13657" borderId="13580" pivotButton="0" quotePrefix="0" xfId="0"/>
    <xf numFmtId="168" fontId="13653" fillId="13658" borderId="13581" pivotButton="0" quotePrefix="0" xfId="0"/>
    <xf numFmtId="167" fontId="13654" fillId="13659" borderId="13582" pivotButton="0" quotePrefix="0" xfId="0"/>
    <xf numFmtId="166" fontId="13655" fillId="13660" borderId="13583" pivotButton="0" quotePrefix="0" xfId="0"/>
    <xf numFmtId="0" fontId="13656" fillId="13661" borderId="13584" applyAlignment="1" pivotButton="0" quotePrefix="0" xfId="0">
      <alignment horizontal="center"/>
    </xf>
    <xf numFmtId="0" fontId="13657" fillId="13662" borderId="13585" applyAlignment="1" pivotButton="0" quotePrefix="0" xfId="0">
      <alignment horizontal="center"/>
    </xf>
    <xf numFmtId="0" fontId="13658" fillId="13663" borderId="13586" pivotButton="0" quotePrefix="0" xfId="0"/>
    <xf numFmtId="166" fontId="13659" fillId="13664" borderId="13587" pivotButton="0" quotePrefix="0" xfId="0"/>
    <xf numFmtId="0" fontId="13660" fillId="13665" borderId="13588" pivotButton="0" quotePrefix="0" xfId="0"/>
    <xf numFmtId="0" fontId="13661" fillId="13666" borderId="13589" applyAlignment="1" pivotButton="0" quotePrefix="0" xfId="0">
      <alignment horizontal="center"/>
    </xf>
    <xf numFmtId="14" fontId="13662" fillId="13667" borderId="13590" pivotButton="0" quotePrefix="0" xfId="0"/>
    <xf numFmtId="0" fontId="13663" fillId="13668" borderId="13591" applyAlignment="1" pivotButton="0" quotePrefix="0" xfId="0">
      <alignment horizontal="center"/>
    </xf>
    <xf numFmtId="0" fontId="13664" fillId="13669" borderId="13592" pivotButton="0" quotePrefix="0" xfId="0"/>
    <xf numFmtId="0" fontId="13665" fillId="13670" borderId="13593" pivotButton="0" quotePrefix="0" xfId="0"/>
    <xf numFmtId="166" fontId="13666" fillId="13671" borderId="13594" pivotButton="0" quotePrefix="0" xfId="0"/>
    <xf numFmtId="166" fontId="13667" fillId="13672" borderId="13595" pivotButton="0" quotePrefix="0" xfId="0"/>
    <xf numFmtId="168" fontId="13668" fillId="13673" borderId="13596" pivotButton="0" quotePrefix="0" xfId="0"/>
    <xf numFmtId="167" fontId="13669" fillId="13674" borderId="13597" pivotButton="0" quotePrefix="0" xfId="0"/>
    <xf numFmtId="166" fontId="13670" fillId="13675" borderId="13598" pivotButton="0" quotePrefix="0" xfId="0"/>
    <xf numFmtId="0" fontId="13671" fillId="13676" borderId="13599" applyAlignment="1" pivotButton="0" quotePrefix="0" xfId="0">
      <alignment horizontal="center"/>
    </xf>
    <xf numFmtId="0" fontId="13672" fillId="13677" borderId="13600" applyAlignment="1" pivotButton="0" quotePrefix="0" xfId="0">
      <alignment horizontal="center"/>
    </xf>
    <xf numFmtId="0" fontId="13673" fillId="13678" borderId="13601" pivotButton="0" quotePrefix="0" xfId="0"/>
    <xf numFmtId="166" fontId="13674" fillId="13679" borderId="13602" pivotButton="0" quotePrefix="0" xfId="0"/>
    <xf numFmtId="0" fontId="13675" fillId="13680" borderId="13603" pivotButton="0" quotePrefix="0" xfId="0"/>
    <xf numFmtId="0" fontId="13676" fillId="13681" borderId="13604" applyAlignment="1" pivotButton="0" quotePrefix="0" xfId="0">
      <alignment horizontal="center"/>
    </xf>
    <xf numFmtId="14" fontId="13677" fillId="13682" borderId="13605" pivotButton="0" quotePrefix="0" xfId="0"/>
    <xf numFmtId="0" fontId="13678" fillId="13683" borderId="13606" applyAlignment="1" pivotButton="0" quotePrefix="0" xfId="0">
      <alignment horizontal="center"/>
    </xf>
    <xf numFmtId="0" fontId="13679" fillId="13684" borderId="13607" pivotButton="0" quotePrefix="0" xfId="0"/>
    <xf numFmtId="0" fontId="13680" fillId="13685" borderId="13608" pivotButton="0" quotePrefix="0" xfId="0"/>
    <xf numFmtId="166" fontId="13681" fillId="13686" borderId="13609" pivotButton="0" quotePrefix="0" xfId="0"/>
    <xf numFmtId="166" fontId="13682" fillId="13687" borderId="13610" pivotButton="0" quotePrefix="0" xfId="0"/>
    <xf numFmtId="168" fontId="13683" fillId="13688" borderId="13611" pivotButton="0" quotePrefix="0" xfId="0"/>
    <xf numFmtId="167" fontId="13684" fillId="13689" borderId="13612" pivotButton="0" quotePrefix="0" xfId="0"/>
    <xf numFmtId="166" fontId="13685" fillId="13690" borderId="13613" pivotButton="0" quotePrefix="0" xfId="0"/>
    <xf numFmtId="0" fontId="13686" fillId="13691" borderId="13614" applyAlignment="1" pivotButton="0" quotePrefix="0" xfId="0">
      <alignment horizontal="center"/>
    </xf>
    <xf numFmtId="0" fontId="13687" fillId="13692" borderId="13615" applyAlignment="1" pivotButton="0" quotePrefix="0" xfId="0">
      <alignment horizontal="center"/>
    </xf>
    <xf numFmtId="0" fontId="13688" fillId="13693" borderId="13616" pivotButton="0" quotePrefix="0" xfId="0"/>
    <xf numFmtId="166" fontId="13689" fillId="13694" borderId="13617" pivotButton="0" quotePrefix="0" xfId="0"/>
    <xf numFmtId="0" fontId="13690" fillId="13695" borderId="13618" pivotButton="0" quotePrefix="0" xfId="0"/>
    <xf numFmtId="0" fontId="13691" fillId="13696" borderId="13619" applyAlignment="1" pivotButton="0" quotePrefix="0" xfId="0">
      <alignment horizontal="center"/>
    </xf>
    <xf numFmtId="14" fontId="13692" fillId="13697" borderId="13620" pivotButton="0" quotePrefix="0" xfId="0"/>
    <xf numFmtId="0" fontId="13693" fillId="13698" borderId="13621" applyAlignment="1" pivotButton="0" quotePrefix="0" xfId="0">
      <alignment horizontal="center"/>
    </xf>
    <xf numFmtId="0" fontId="13694" fillId="13699" borderId="13622" pivotButton="0" quotePrefix="0" xfId="0"/>
    <xf numFmtId="0" fontId="13695" fillId="13700" borderId="13623" pivotButton="0" quotePrefix="0" xfId="0"/>
    <xf numFmtId="166" fontId="13696" fillId="13701" borderId="13624" pivotButton="0" quotePrefix="0" xfId="0"/>
    <xf numFmtId="166" fontId="13697" fillId="13702" borderId="13625" pivotButton="0" quotePrefix="0" xfId="0"/>
    <xf numFmtId="168" fontId="13698" fillId="13703" borderId="13626" pivotButton="0" quotePrefix="0" xfId="0"/>
    <xf numFmtId="167" fontId="13699" fillId="13704" borderId="13627" pivotButton="0" quotePrefix="0" xfId="0"/>
    <xf numFmtId="166" fontId="13700" fillId="13705" borderId="13628" pivotButton="0" quotePrefix="0" xfId="0"/>
    <xf numFmtId="0" fontId="13701" fillId="13706" borderId="13629" applyAlignment="1" pivotButton="0" quotePrefix="0" xfId="0">
      <alignment horizontal="center"/>
    </xf>
    <xf numFmtId="0" fontId="13702" fillId="13707" borderId="13630" applyAlignment="1" pivotButton="0" quotePrefix="0" xfId="0">
      <alignment horizontal="center"/>
    </xf>
    <xf numFmtId="0" fontId="13703" fillId="13708" borderId="13631" pivotButton="0" quotePrefix="0" xfId="0"/>
    <xf numFmtId="166" fontId="13704" fillId="13709" borderId="13632" pivotButton="0" quotePrefix="0" xfId="0"/>
    <xf numFmtId="0" fontId="13705" fillId="13710" borderId="13633" pivotButton="0" quotePrefix="0" xfId="0"/>
    <xf numFmtId="0" fontId="13706" fillId="13711" borderId="13634" applyAlignment="1" pivotButton="0" quotePrefix="0" xfId="0">
      <alignment horizontal="center"/>
    </xf>
    <xf numFmtId="14" fontId="13707" fillId="13712" borderId="13635" pivotButton="0" quotePrefix="0" xfId="0"/>
    <xf numFmtId="0" fontId="13708" fillId="13713" borderId="13636" applyAlignment="1" pivotButton="0" quotePrefix="0" xfId="0">
      <alignment horizontal="center"/>
    </xf>
    <xf numFmtId="0" fontId="13709" fillId="13714" borderId="13637" pivotButton="0" quotePrefix="0" xfId="0"/>
    <xf numFmtId="0" fontId="13710" fillId="13715" borderId="13638" pivotButton="0" quotePrefix="0" xfId="0"/>
    <xf numFmtId="166" fontId="13711" fillId="13716" borderId="13639" pivotButton="0" quotePrefix="0" xfId="0"/>
    <xf numFmtId="166" fontId="13712" fillId="13717" borderId="13640" pivotButton="0" quotePrefix="0" xfId="0"/>
    <xf numFmtId="168" fontId="13713" fillId="13718" borderId="13641" pivotButton="0" quotePrefix="0" xfId="0"/>
    <xf numFmtId="167" fontId="13714" fillId="13719" borderId="13642" pivotButton="0" quotePrefix="0" xfId="0"/>
    <xf numFmtId="166" fontId="13715" fillId="13720" borderId="13643" pivotButton="0" quotePrefix="0" xfId="0"/>
    <xf numFmtId="0" fontId="13716" fillId="13721" borderId="13644" applyAlignment="1" pivotButton="0" quotePrefix="0" xfId="0">
      <alignment horizontal="center"/>
    </xf>
    <xf numFmtId="0" fontId="13717" fillId="13722" borderId="13645" applyAlignment="1" pivotButton="0" quotePrefix="0" xfId="0">
      <alignment horizontal="center"/>
    </xf>
    <xf numFmtId="0" fontId="13718" fillId="13723" borderId="13646" pivotButton="0" quotePrefix="0" xfId="0"/>
    <xf numFmtId="166" fontId="13719" fillId="13724" borderId="13647" pivotButton="0" quotePrefix="0" xfId="0"/>
    <xf numFmtId="0" fontId="13720" fillId="13725" borderId="13648" pivotButton="0" quotePrefix="0" xfId="0"/>
    <xf numFmtId="0" fontId="13721" fillId="13726" borderId="13649" applyAlignment="1" pivotButton="0" quotePrefix="0" xfId="0">
      <alignment horizontal="center"/>
    </xf>
    <xf numFmtId="14" fontId="13722" fillId="13727" borderId="13650" pivotButton="0" quotePrefix="0" xfId="0"/>
    <xf numFmtId="0" fontId="13723" fillId="13728" borderId="13651" applyAlignment="1" pivotButton="0" quotePrefix="0" xfId="0">
      <alignment horizontal="center"/>
    </xf>
    <xf numFmtId="0" fontId="13724" fillId="13729" borderId="13652" pivotButton="0" quotePrefix="0" xfId="0"/>
    <xf numFmtId="0" fontId="13725" fillId="13730" borderId="13653" pivotButton="0" quotePrefix="0" xfId="0"/>
    <xf numFmtId="166" fontId="13726" fillId="13731" borderId="13654" pivotButton="0" quotePrefix="0" xfId="0"/>
    <xf numFmtId="166" fontId="13727" fillId="13732" borderId="13655" pivotButton="0" quotePrefix="0" xfId="0"/>
    <xf numFmtId="168" fontId="13728" fillId="13733" borderId="13656" pivotButton="0" quotePrefix="0" xfId="0"/>
    <xf numFmtId="167" fontId="13729" fillId="13734" borderId="13657" pivotButton="0" quotePrefix="0" xfId="0"/>
    <xf numFmtId="166" fontId="13730" fillId="13735" borderId="13658" pivotButton="0" quotePrefix="0" xfId="0"/>
    <xf numFmtId="0" fontId="13731" fillId="13736" borderId="13659" applyAlignment="1" pivotButton="0" quotePrefix="0" xfId="0">
      <alignment horizontal="center"/>
    </xf>
    <xf numFmtId="0" fontId="13732" fillId="13737" borderId="13660" applyAlignment="1" pivotButton="0" quotePrefix="0" xfId="0">
      <alignment horizontal="center"/>
    </xf>
    <xf numFmtId="0" fontId="13733" fillId="13738" borderId="13661" pivotButton="0" quotePrefix="0" xfId="0"/>
    <xf numFmtId="166" fontId="13734" fillId="13739" borderId="13662" pivotButton="0" quotePrefix="0" xfId="0"/>
    <xf numFmtId="0" fontId="13735" fillId="13740" borderId="13663" pivotButton="0" quotePrefix="0" xfId="0"/>
    <xf numFmtId="0" fontId="13736" fillId="13741" borderId="13664" applyAlignment="1" pivotButton="0" quotePrefix="0" xfId="0">
      <alignment horizontal="center"/>
    </xf>
    <xf numFmtId="14" fontId="13737" fillId="13742" borderId="13665" pivotButton="0" quotePrefix="0" xfId="0"/>
    <xf numFmtId="0" fontId="13738" fillId="13743" borderId="13666" applyAlignment="1" pivotButton="0" quotePrefix="0" xfId="0">
      <alignment horizontal="center"/>
    </xf>
    <xf numFmtId="0" fontId="13739" fillId="13744" borderId="13667" pivotButton="0" quotePrefix="0" xfId="0"/>
    <xf numFmtId="0" fontId="13740" fillId="13745" borderId="13668" pivotButton="0" quotePrefix="0" xfId="0"/>
    <xf numFmtId="166" fontId="13741" fillId="13746" borderId="13669" pivotButton="0" quotePrefix="0" xfId="0"/>
    <xf numFmtId="166" fontId="13742" fillId="13747" borderId="13670" pivotButton="0" quotePrefix="0" xfId="0"/>
    <xf numFmtId="168" fontId="13743" fillId="13748" borderId="13671" pivotButton="0" quotePrefix="0" xfId="0"/>
    <xf numFmtId="167" fontId="13744" fillId="13749" borderId="13672" pivotButton="0" quotePrefix="0" xfId="0"/>
    <xf numFmtId="166" fontId="13745" fillId="13750" borderId="13673" pivotButton="0" quotePrefix="0" xfId="0"/>
    <xf numFmtId="0" fontId="13746" fillId="13751" borderId="13674" applyAlignment="1" pivotButton="0" quotePrefix="0" xfId="0">
      <alignment horizontal="center"/>
    </xf>
    <xf numFmtId="0" fontId="13747" fillId="13752" borderId="13675" applyAlignment="1" pivotButton="0" quotePrefix="0" xfId="0">
      <alignment horizontal="center"/>
    </xf>
    <xf numFmtId="0" fontId="13748" fillId="13753" borderId="13676" pivotButton="0" quotePrefix="0" xfId="0"/>
    <xf numFmtId="166" fontId="13749" fillId="13754" borderId="13677" pivotButton="0" quotePrefix="0" xfId="0"/>
    <xf numFmtId="0" fontId="13750" fillId="13755" borderId="13678" pivotButton="0" quotePrefix="0" xfId="0"/>
    <xf numFmtId="0" fontId="13751" fillId="13756" borderId="13679" applyAlignment="1" pivotButton="0" quotePrefix="0" xfId="0">
      <alignment horizontal="center"/>
    </xf>
    <xf numFmtId="14" fontId="13752" fillId="13757" borderId="13680" pivotButton="0" quotePrefix="0" xfId="0"/>
    <xf numFmtId="0" fontId="13753" fillId="13758" borderId="13681" applyAlignment="1" pivotButton="0" quotePrefix="0" xfId="0">
      <alignment horizontal="center"/>
    </xf>
    <xf numFmtId="0" fontId="13754" fillId="13759" borderId="13682" pivotButton="0" quotePrefix="0" xfId="0"/>
    <xf numFmtId="0" fontId="13755" fillId="13760" borderId="13683" pivotButton="0" quotePrefix="0" xfId="0"/>
    <xf numFmtId="166" fontId="13756" fillId="13761" borderId="13684" pivotButton="0" quotePrefix="0" xfId="0"/>
    <xf numFmtId="166" fontId="13757" fillId="13762" borderId="13685" pivotButton="0" quotePrefix="0" xfId="0"/>
    <xf numFmtId="168" fontId="13758" fillId="13763" borderId="13686" pivotButton="0" quotePrefix="0" xfId="0"/>
    <xf numFmtId="167" fontId="13759" fillId="13764" borderId="13687" pivotButton="0" quotePrefix="0" xfId="0"/>
    <xf numFmtId="166" fontId="13760" fillId="13765" borderId="13688" pivotButton="0" quotePrefix="0" xfId="0"/>
    <xf numFmtId="0" fontId="13761" fillId="13766" borderId="13689" applyAlignment="1" pivotButton="0" quotePrefix="0" xfId="0">
      <alignment horizontal="center"/>
    </xf>
    <xf numFmtId="0" fontId="13762" fillId="13767" borderId="13690" applyAlignment="1" pivotButton="0" quotePrefix="0" xfId="0">
      <alignment horizontal="center"/>
    </xf>
    <xf numFmtId="0" fontId="13763" fillId="13768" borderId="13691" pivotButton="0" quotePrefix="0" xfId="0"/>
    <xf numFmtId="166" fontId="13764" fillId="13769" borderId="13692" pivotButton="0" quotePrefix="0" xfId="0"/>
    <xf numFmtId="0" fontId="13765" fillId="13770" borderId="13693" pivotButton="0" quotePrefix="0" xfId="0"/>
    <xf numFmtId="0" fontId="13766" fillId="13771" borderId="13694" applyAlignment="1" pivotButton="0" quotePrefix="0" xfId="0">
      <alignment horizontal="center"/>
    </xf>
    <xf numFmtId="14" fontId="13767" fillId="13772" borderId="13695" pivotButton="0" quotePrefix="0" xfId="0"/>
    <xf numFmtId="0" fontId="13768" fillId="13773" borderId="13696" applyAlignment="1" pivotButton="0" quotePrefix="0" xfId="0">
      <alignment horizontal="center"/>
    </xf>
    <xf numFmtId="0" fontId="13769" fillId="13774" borderId="13697" pivotButton="0" quotePrefix="0" xfId="0"/>
    <xf numFmtId="0" fontId="13770" fillId="13775" borderId="13698" pivotButton="0" quotePrefix="0" xfId="0"/>
    <xf numFmtId="166" fontId="13771" fillId="13776" borderId="13699" pivotButton="0" quotePrefix="0" xfId="0"/>
    <xf numFmtId="166" fontId="13772" fillId="13777" borderId="13700" pivotButton="0" quotePrefix="0" xfId="0"/>
    <xf numFmtId="168" fontId="13773" fillId="13778" borderId="13701" pivotButton="0" quotePrefix="0" xfId="0"/>
    <xf numFmtId="167" fontId="13774" fillId="13779" borderId="13702" pivotButton="0" quotePrefix="0" xfId="0"/>
    <xf numFmtId="166" fontId="13775" fillId="13780" borderId="13703" pivotButton="0" quotePrefix="0" xfId="0"/>
    <xf numFmtId="0" fontId="13776" fillId="13781" borderId="13704" applyAlignment="1" pivotButton="0" quotePrefix="0" xfId="0">
      <alignment horizontal="center"/>
    </xf>
    <xf numFmtId="0" fontId="13777" fillId="13782" borderId="13705" applyAlignment="1" pivotButton="0" quotePrefix="0" xfId="0">
      <alignment horizontal="center"/>
    </xf>
    <xf numFmtId="0" fontId="13778" fillId="13783" borderId="13706" pivotButton="0" quotePrefix="0" xfId="0"/>
    <xf numFmtId="166" fontId="13779" fillId="13784" borderId="13707" pivotButton="0" quotePrefix="0" xfId="0"/>
    <xf numFmtId="0" fontId="13780" fillId="13785" borderId="13708" pivotButton="0" quotePrefix="0" xfId="0"/>
    <xf numFmtId="0" fontId="13781" fillId="13786" borderId="13709" applyAlignment="1" pivotButton="0" quotePrefix="0" xfId="0">
      <alignment horizontal="center"/>
    </xf>
    <xf numFmtId="14" fontId="13782" fillId="13787" borderId="13710" pivotButton="0" quotePrefix="0" xfId="0"/>
    <xf numFmtId="0" fontId="13783" fillId="13788" borderId="13711" applyAlignment="1" pivotButton="0" quotePrefix="0" xfId="0">
      <alignment horizontal="center"/>
    </xf>
    <xf numFmtId="0" fontId="13784" fillId="13789" borderId="13712" pivotButton="0" quotePrefix="0" xfId="0"/>
    <xf numFmtId="0" fontId="13785" fillId="13790" borderId="13713" pivotButton="0" quotePrefix="0" xfId="0"/>
    <xf numFmtId="166" fontId="13786" fillId="13791" borderId="13714" pivotButton="0" quotePrefix="0" xfId="0"/>
    <xf numFmtId="166" fontId="13787" fillId="13792" borderId="13715" pivotButton="0" quotePrefix="0" xfId="0"/>
    <xf numFmtId="168" fontId="13788" fillId="13793" borderId="13716" pivotButton="0" quotePrefix="0" xfId="0"/>
    <xf numFmtId="167" fontId="13789" fillId="13794" borderId="13717" pivotButton="0" quotePrefix="0" xfId="0"/>
    <xf numFmtId="166" fontId="13790" fillId="13795" borderId="13718" pivotButton="0" quotePrefix="0" xfId="0"/>
    <xf numFmtId="0" fontId="13791" fillId="13796" borderId="13719" applyAlignment="1" pivotButton="0" quotePrefix="0" xfId="0">
      <alignment horizontal="center"/>
    </xf>
    <xf numFmtId="0" fontId="13792" fillId="13797" borderId="13720" applyAlignment="1" pivotButton="0" quotePrefix="0" xfId="0">
      <alignment horizontal="center"/>
    </xf>
    <xf numFmtId="0" fontId="13793" fillId="13798" borderId="13721" pivotButton="0" quotePrefix="0" xfId="0"/>
    <xf numFmtId="166" fontId="13794" fillId="13799" borderId="13722" pivotButton="0" quotePrefix="0" xfId="0"/>
    <xf numFmtId="0" fontId="13795" fillId="13800" borderId="13723" pivotButton="0" quotePrefix="0" xfId="0"/>
    <xf numFmtId="0" fontId="13796" fillId="13801" borderId="13724" applyAlignment="1" pivotButton="0" quotePrefix="0" xfId="0">
      <alignment horizontal="center"/>
    </xf>
    <xf numFmtId="14" fontId="13797" fillId="13802" borderId="13725" pivotButton="0" quotePrefix="0" xfId="0"/>
    <xf numFmtId="0" fontId="13798" fillId="13803" borderId="13726" applyAlignment="1" pivotButton="0" quotePrefix="0" xfId="0">
      <alignment horizontal="center"/>
    </xf>
    <xf numFmtId="0" fontId="13799" fillId="13804" borderId="13727" pivotButton="0" quotePrefix="0" xfId="0"/>
    <xf numFmtId="0" fontId="13800" fillId="13805" borderId="13728" pivotButton="0" quotePrefix="0" xfId="0"/>
    <xf numFmtId="166" fontId="13801" fillId="13806" borderId="13729" pivotButton="0" quotePrefix="0" xfId="0"/>
    <xf numFmtId="166" fontId="13802" fillId="13807" borderId="13730" pivotButton="0" quotePrefix="0" xfId="0"/>
    <xf numFmtId="168" fontId="13803" fillId="13808" borderId="13731" pivotButton="0" quotePrefix="0" xfId="0"/>
    <xf numFmtId="167" fontId="13804" fillId="13809" borderId="13732" pivotButton="0" quotePrefix="0" xfId="0"/>
    <xf numFmtId="166" fontId="13805" fillId="13810" borderId="13733" pivotButton="0" quotePrefix="0" xfId="0"/>
    <xf numFmtId="0" fontId="13806" fillId="13811" borderId="13734" applyAlignment="1" pivotButton="0" quotePrefix="0" xfId="0">
      <alignment horizontal="center"/>
    </xf>
    <xf numFmtId="0" fontId="13807" fillId="13812" borderId="13735" applyAlignment="1" pivotButton="0" quotePrefix="0" xfId="0">
      <alignment horizontal="center"/>
    </xf>
    <xf numFmtId="0" fontId="13808" fillId="13813" borderId="13736" pivotButton="0" quotePrefix="0" xfId="0"/>
    <xf numFmtId="166" fontId="13809" fillId="13814" borderId="13737" pivotButton="0" quotePrefix="0" xfId="0"/>
    <xf numFmtId="0" fontId="13810" fillId="13815" borderId="13738" pivotButton="0" quotePrefix="0" xfId="0"/>
    <xf numFmtId="0" fontId="13811" fillId="13816" borderId="13739" applyAlignment="1" pivotButton="0" quotePrefix="0" xfId="0">
      <alignment horizontal="center"/>
    </xf>
    <xf numFmtId="14" fontId="13812" fillId="13817" borderId="13740" pivotButton="0" quotePrefix="0" xfId="0"/>
    <xf numFmtId="0" fontId="13813" fillId="13818" borderId="13741" applyAlignment="1" pivotButton="0" quotePrefix="0" xfId="0">
      <alignment horizontal="center"/>
    </xf>
    <xf numFmtId="0" fontId="13814" fillId="13819" borderId="13742" pivotButton="0" quotePrefix="0" xfId="0"/>
    <xf numFmtId="0" fontId="13815" fillId="13820" borderId="13743" pivotButton="0" quotePrefix="0" xfId="0"/>
    <xf numFmtId="166" fontId="13816" fillId="13821" borderId="13744" pivotButton="0" quotePrefix="0" xfId="0"/>
    <xf numFmtId="166" fontId="13817" fillId="13822" borderId="13745" pivotButton="0" quotePrefix="0" xfId="0"/>
    <xf numFmtId="168" fontId="13818" fillId="13823" borderId="13746" pivotButton="0" quotePrefix="0" xfId="0"/>
    <xf numFmtId="167" fontId="13819" fillId="13824" borderId="13747" pivotButton="0" quotePrefix="0" xfId="0"/>
    <xf numFmtId="166" fontId="13820" fillId="13825" borderId="13748" pivotButton="0" quotePrefix="0" xfId="0"/>
    <xf numFmtId="0" fontId="13821" fillId="13826" borderId="13749" applyAlignment="1" pivotButton="0" quotePrefix="0" xfId="0">
      <alignment horizontal="center"/>
    </xf>
    <xf numFmtId="0" fontId="13822" fillId="13827" borderId="13750" applyAlignment="1" pivotButton="0" quotePrefix="0" xfId="0">
      <alignment horizontal="center"/>
    </xf>
    <xf numFmtId="0" fontId="13823" fillId="13828" borderId="13751" pivotButton="0" quotePrefix="0" xfId="0"/>
    <xf numFmtId="166" fontId="13824" fillId="13829" borderId="13752" pivotButton="0" quotePrefix="0" xfId="0"/>
    <xf numFmtId="0" fontId="13825" fillId="13830" borderId="13753" pivotButton="0" quotePrefix="0" xfId="0"/>
    <xf numFmtId="0" fontId="13826" fillId="13831" borderId="13754" applyAlignment="1" pivotButton="0" quotePrefix="0" xfId="0">
      <alignment horizontal="center"/>
    </xf>
    <xf numFmtId="14" fontId="13827" fillId="13832" borderId="13755" pivotButton="0" quotePrefix="0" xfId="0"/>
    <xf numFmtId="0" fontId="13828" fillId="13833" borderId="13756" applyAlignment="1" pivotButton="0" quotePrefix="0" xfId="0">
      <alignment horizontal="center"/>
    </xf>
    <xf numFmtId="0" fontId="13829" fillId="13834" borderId="13757" pivotButton="0" quotePrefix="0" xfId="0"/>
    <xf numFmtId="0" fontId="13830" fillId="13835" borderId="13758" pivotButton="0" quotePrefix="0" xfId="0"/>
    <xf numFmtId="166" fontId="13831" fillId="13836" borderId="13759" pivotButton="0" quotePrefix="0" xfId="0"/>
    <xf numFmtId="166" fontId="13832" fillId="13837" borderId="13760" pivotButton="0" quotePrefix="0" xfId="0"/>
    <xf numFmtId="168" fontId="13833" fillId="13838" borderId="13761" pivotButton="0" quotePrefix="0" xfId="0"/>
    <xf numFmtId="167" fontId="13834" fillId="13839" borderId="13762" pivotButton="0" quotePrefix="0" xfId="0"/>
    <xf numFmtId="166" fontId="13835" fillId="13840" borderId="13763" pivotButton="0" quotePrefix="0" xfId="0"/>
    <xf numFmtId="0" fontId="13836" fillId="13841" borderId="13764" applyAlignment="1" pivotButton="0" quotePrefix="0" xfId="0">
      <alignment horizontal="center"/>
    </xf>
    <xf numFmtId="0" fontId="13837" fillId="13842" borderId="13765" applyAlignment="1" pivotButton="0" quotePrefix="0" xfId="0">
      <alignment horizontal="center"/>
    </xf>
    <xf numFmtId="0" fontId="13838" fillId="13843" borderId="13766" pivotButton="0" quotePrefix="0" xfId="0"/>
    <xf numFmtId="166" fontId="13839" fillId="13844" borderId="13767" pivotButton="0" quotePrefix="0" xfId="0"/>
    <xf numFmtId="0" fontId="13840" fillId="13845" borderId="13768" pivotButton="0" quotePrefix="0" xfId="0"/>
    <xf numFmtId="0" fontId="13841" fillId="13846" borderId="13769" applyAlignment="1" pivotButton="0" quotePrefix="0" xfId="0">
      <alignment horizontal="center"/>
    </xf>
    <xf numFmtId="14" fontId="13842" fillId="13847" borderId="13770" pivotButton="0" quotePrefix="0" xfId="0"/>
    <xf numFmtId="0" fontId="13843" fillId="13848" borderId="13771" applyAlignment="1" pivotButton="0" quotePrefix="0" xfId="0">
      <alignment horizontal="center"/>
    </xf>
    <xf numFmtId="0" fontId="13844" fillId="13849" borderId="13772" pivotButton="0" quotePrefix="0" xfId="0"/>
    <xf numFmtId="0" fontId="13845" fillId="13850" borderId="13773" pivotButton="0" quotePrefix="0" xfId="0"/>
    <xf numFmtId="166" fontId="13846" fillId="13851" borderId="13774" pivotButton="0" quotePrefix="0" xfId="0"/>
    <xf numFmtId="166" fontId="13847" fillId="13852" borderId="13775" pivotButton="0" quotePrefix="0" xfId="0"/>
    <xf numFmtId="168" fontId="13848" fillId="13853" borderId="13776" pivotButton="0" quotePrefix="0" xfId="0"/>
    <xf numFmtId="167" fontId="13849" fillId="13854" borderId="13777" pivotButton="0" quotePrefix="0" xfId="0"/>
    <xf numFmtId="166" fontId="13850" fillId="13855" borderId="13778" pivotButton="0" quotePrefix="0" xfId="0"/>
    <xf numFmtId="0" fontId="13851" fillId="13856" borderId="13779" applyAlignment="1" pivotButton="0" quotePrefix="0" xfId="0">
      <alignment horizontal="center"/>
    </xf>
    <xf numFmtId="0" fontId="13852" fillId="13857" borderId="13780" applyAlignment="1" pivotButton="0" quotePrefix="0" xfId="0">
      <alignment horizontal="center"/>
    </xf>
    <xf numFmtId="0" fontId="13853" fillId="13858" borderId="13781" pivotButton="0" quotePrefix="0" xfId="0"/>
    <xf numFmtId="166" fontId="13854" fillId="13859" borderId="13782" pivotButton="0" quotePrefix="0" xfId="0"/>
    <xf numFmtId="0" fontId="13855" fillId="13860" borderId="13783" pivotButton="0" quotePrefix="0" xfId="0"/>
    <xf numFmtId="0" fontId="13856" fillId="13861" borderId="13784" applyAlignment="1" pivotButton="0" quotePrefix="0" xfId="0">
      <alignment horizontal="center"/>
    </xf>
    <xf numFmtId="14" fontId="13857" fillId="13862" borderId="13785" pivotButton="0" quotePrefix="0" xfId="0"/>
    <xf numFmtId="0" fontId="13858" fillId="13863" borderId="13786" applyAlignment="1" pivotButton="0" quotePrefix="0" xfId="0">
      <alignment horizontal="center"/>
    </xf>
    <xf numFmtId="0" fontId="13859" fillId="13864" borderId="13787" pivotButton="0" quotePrefix="0" xfId="0"/>
    <xf numFmtId="0" fontId="13860" fillId="13865" borderId="13788" pivotButton="0" quotePrefix="0" xfId="0"/>
    <xf numFmtId="166" fontId="13861" fillId="13866" borderId="13789" pivotButton="0" quotePrefix="0" xfId="0"/>
    <xf numFmtId="166" fontId="13862" fillId="13867" borderId="13790" pivotButton="0" quotePrefix="0" xfId="0"/>
    <xf numFmtId="168" fontId="13863" fillId="13868" borderId="13791" pivotButton="0" quotePrefix="0" xfId="0"/>
    <xf numFmtId="167" fontId="13864" fillId="13869" borderId="13792" pivotButton="0" quotePrefix="0" xfId="0"/>
    <xf numFmtId="166" fontId="13865" fillId="13870" borderId="13793" pivotButton="0" quotePrefix="0" xfId="0"/>
    <xf numFmtId="0" fontId="13866" fillId="13871" borderId="13794" applyAlignment="1" pivotButton="0" quotePrefix="0" xfId="0">
      <alignment horizontal="center"/>
    </xf>
    <xf numFmtId="0" fontId="13867" fillId="13872" borderId="13795" applyAlignment="1" pivotButton="0" quotePrefix="0" xfId="0">
      <alignment horizontal="center"/>
    </xf>
    <xf numFmtId="0" fontId="13868" fillId="13873" borderId="13796" pivotButton="0" quotePrefix="0" xfId="0"/>
    <xf numFmtId="166" fontId="13869" fillId="13874" borderId="13797" pivotButton="0" quotePrefix="0" xfId="0"/>
    <xf numFmtId="0" fontId="13870" fillId="13875" borderId="13798" pivotButton="0" quotePrefix="0" xfId="0"/>
    <xf numFmtId="0" fontId="13871" fillId="13876" borderId="13799" applyAlignment="1" pivotButton="0" quotePrefix="0" xfId="0">
      <alignment horizontal="center"/>
    </xf>
    <xf numFmtId="14" fontId="13872" fillId="13877" borderId="13800" pivotButton="0" quotePrefix="0" xfId="0"/>
    <xf numFmtId="0" fontId="13873" fillId="13878" borderId="13801" applyAlignment="1" pivotButton="0" quotePrefix="0" xfId="0">
      <alignment horizontal="center"/>
    </xf>
    <xf numFmtId="0" fontId="13874" fillId="13879" borderId="13802" pivotButton="0" quotePrefix="0" xfId="0"/>
    <xf numFmtId="0" fontId="13875" fillId="13880" borderId="13803" pivotButton="0" quotePrefix="0" xfId="0"/>
    <xf numFmtId="166" fontId="13876" fillId="13881" borderId="13804" pivotButton="0" quotePrefix="0" xfId="0"/>
    <xf numFmtId="166" fontId="13877" fillId="13882" borderId="13805" pivotButton="0" quotePrefix="0" xfId="0"/>
    <xf numFmtId="168" fontId="13878" fillId="13883" borderId="13806" pivotButton="0" quotePrefix="0" xfId="0"/>
    <xf numFmtId="167" fontId="13879" fillId="13884" borderId="13807" pivotButton="0" quotePrefix="0" xfId="0"/>
    <xf numFmtId="166" fontId="13880" fillId="13885" borderId="13808" pivotButton="0" quotePrefix="0" xfId="0"/>
    <xf numFmtId="0" fontId="13881" fillId="13886" borderId="13809" applyAlignment="1" pivotButton="0" quotePrefix="0" xfId="0">
      <alignment horizontal="center"/>
    </xf>
    <xf numFmtId="0" fontId="13882" fillId="13887" borderId="13810" applyAlignment="1" pivotButton="0" quotePrefix="0" xfId="0">
      <alignment horizontal="center"/>
    </xf>
    <xf numFmtId="0" fontId="13883" fillId="13888" borderId="13811" pivotButton="0" quotePrefix="0" xfId="0"/>
    <xf numFmtId="166" fontId="13884" fillId="13889" borderId="13812" pivotButton="0" quotePrefix="0" xfId="0"/>
    <xf numFmtId="0" fontId="13885" fillId="13890" borderId="13813" pivotButton="0" quotePrefix="0" xfId="0"/>
    <xf numFmtId="0" fontId="13886" fillId="13891" borderId="13814" applyAlignment="1" pivotButton="0" quotePrefix="0" xfId="0">
      <alignment horizontal="center"/>
    </xf>
    <xf numFmtId="14" fontId="13887" fillId="13892" borderId="13815" pivotButton="0" quotePrefix="0" xfId="0"/>
    <xf numFmtId="0" fontId="13888" fillId="13893" borderId="13816" applyAlignment="1" pivotButton="0" quotePrefix="0" xfId="0">
      <alignment horizontal="center"/>
    </xf>
    <xf numFmtId="0" fontId="13889" fillId="13894" borderId="13817" pivotButton="0" quotePrefix="0" xfId="0"/>
    <xf numFmtId="0" fontId="13890" fillId="13895" borderId="13818" pivotButton="0" quotePrefix="0" xfId="0"/>
    <xf numFmtId="166" fontId="13891" fillId="13896" borderId="13819" pivotButton="0" quotePrefix="0" xfId="0"/>
    <xf numFmtId="166" fontId="13892" fillId="13897" borderId="13820" pivotButton="0" quotePrefix="0" xfId="0"/>
    <xf numFmtId="168" fontId="13893" fillId="13898" borderId="13821" pivotButton="0" quotePrefix="0" xfId="0"/>
    <xf numFmtId="167" fontId="13894" fillId="13899" borderId="13822" pivotButton="0" quotePrefix="0" xfId="0"/>
    <xf numFmtId="166" fontId="13895" fillId="13900" borderId="13823" pivotButton="0" quotePrefix="0" xfId="0"/>
    <xf numFmtId="0" fontId="13896" fillId="13901" borderId="13824" applyAlignment="1" pivotButton="0" quotePrefix="0" xfId="0">
      <alignment horizontal="center"/>
    </xf>
    <xf numFmtId="0" fontId="13897" fillId="13902" borderId="13825" applyAlignment="1" pivotButton="0" quotePrefix="0" xfId="0">
      <alignment horizontal="center"/>
    </xf>
    <xf numFmtId="0" fontId="13898" fillId="13903" borderId="13826" pivotButton="0" quotePrefix="0" xfId="0"/>
    <xf numFmtId="166" fontId="13899" fillId="13904" borderId="13827" pivotButton="0" quotePrefix="0" xfId="0"/>
    <xf numFmtId="0" fontId="13900" fillId="13905" borderId="13828" pivotButton="0" quotePrefix="0" xfId="0"/>
    <xf numFmtId="0" fontId="13901" fillId="13906" borderId="13829" applyAlignment="1" pivotButton="0" quotePrefix="0" xfId="0">
      <alignment horizontal="center"/>
    </xf>
    <xf numFmtId="14" fontId="13902" fillId="13907" borderId="13830" pivotButton="0" quotePrefix="0" xfId="0"/>
    <xf numFmtId="0" fontId="13903" fillId="13908" borderId="13831" applyAlignment="1" pivotButton="0" quotePrefix="0" xfId="0">
      <alignment horizontal="center"/>
    </xf>
    <xf numFmtId="0" fontId="13904" fillId="13909" borderId="13832" pivotButton="0" quotePrefix="0" xfId="0"/>
    <xf numFmtId="0" fontId="13905" fillId="13910" borderId="13833" pivotButton="0" quotePrefix="0" xfId="0"/>
    <xf numFmtId="166" fontId="13906" fillId="13911" borderId="13834" pivotButton="0" quotePrefix="0" xfId="0"/>
    <xf numFmtId="166" fontId="13907" fillId="13912" borderId="13835" pivotButton="0" quotePrefix="0" xfId="0"/>
    <xf numFmtId="168" fontId="13908" fillId="13913" borderId="13836" pivotButton="0" quotePrefix="0" xfId="0"/>
    <xf numFmtId="167" fontId="13909" fillId="13914" borderId="13837" pivotButton="0" quotePrefix="0" xfId="0"/>
    <xf numFmtId="166" fontId="13910" fillId="13915" borderId="13838" pivotButton="0" quotePrefix="0" xfId="0"/>
    <xf numFmtId="0" fontId="13911" fillId="13916" borderId="13839" applyAlignment="1" pivotButton="0" quotePrefix="0" xfId="0">
      <alignment horizontal="center"/>
    </xf>
    <xf numFmtId="0" fontId="13912" fillId="13917" borderId="13840" applyAlignment="1" pivotButton="0" quotePrefix="0" xfId="0">
      <alignment horizontal="center"/>
    </xf>
    <xf numFmtId="0" fontId="13913" fillId="13918" borderId="13841" pivotButton="0" quotePrefix="0" xfId="0"/>
    <xf numFmtId="166" fontId="13914" fillId="13919" borderId="13842" pivotButton="0" quotePrefix="0" xfId="0"/>
    <xf numFmtId="0" fontId="13915" fillId="13920" borderId="13843" pivotButton="0" quotePrefix="0" xfId="0"/>
    <xf numFmtId="0" fontId="13916" fillId="13921" borderId="13844" applyAlignment="1" pivotButton="0" quotePrefix="0" xfId="0">
      <alignment horizontal="center"/>
    </xf>
    <xf numFmtId="14" fontId="13917" fillId="13922" borderId="13845" pivotButton="0" quotePrefix="0" xfId="0"/>
    <xf numFmtId="0" fontId="13918" fillId="13923" borderId="13846" applyAlignment="1" pivotButton="0" quotePrefix="0" xfId="0">
      <alignment horizontal="center"/>
    </xf>
    <xf numFmtId="0" fontId="13919" fillId="13924" borderId="13847" pivotButton="0" quotePrefix="0" xfId="0"/>
    <xf numFmtId="0" fontId="13920" fillId="13925" borderId="13848" pivotButton="0" quotePrefix="0" xfId="0"/>
    <xf numFmtId="166" fontId="13921" fillId="13926" borderId="13849" pivotButton="0" quotePrefix="0" xfId="0"/>
    <xf numFmtId="166" fontId="13922" fillId="13927" borderId="13850" pivotButton="0" quotePrefix="0" xfId="0"/>
    <xf numFmtId="168" fontId="13923" fillId="13928" borderId="13851" pivotButton="0" quotePrefix="0" xfId="0"/>
    <xf numFmtId="167" fontId="13924" fillId="13929" borderId="13852" pivotButton="0" quotePrefix="0" xfId="0"/>
    <xf numFmtId="166" fontId="13925" fillId="13930" borderId="13853" pivotButton="0" quotePrefix="0" xfId="0"/>
    <xf numFmtId="0" fontId="13926" fillId="13931" borderId="13854" applyAlignment="1" pivotButton="0" quotePrefix="0" xfId="0">
      <alignment horizontal="center"/>
    </xf>
    <xf numFmtId="0" fontId="13927" fillId="13932" borderId="13855" applyAlignment="1" pivotButton="0" quotePrefix="0" xfId="0">
      <alignment horizontal="center"/>
    </xf>
    <xf numFmtId="0" fontId="13928" fillId="13933" borderId="13856" pivotButton="0" quotePrefix="0" xfId="0"/>
    <xf numFmtId="166" fontId="13929" fillId="13934" borderId="13857" pivotButton="0" quotePrefix="0" xfId="0"/>
    <xf numFmtId="0" fontId="13930" fillId="13935" borderId="13858" pivotButton="0" quotePrefix="0" xfId="0"/>
    <xf numFmtId="0" fontId="13931" fillId="13936" borderId="13859" applyAlignment="1" pivotButton="0" quotePrefix="0" xfId="0">
      <alignment horizontal="center"/>
    </xf>
    <xf numFmtId="14" fontId="13932" fillId="13937" borderId="13860" pivotButton="0" quotePrefix="0" xfId="0"/>
    <xf numFmtId="0" fontId="13933" fillId="13938" borderId="13861" applyAlignment="1" pivotButton="0" quotePrefix="0" xfId="0">
      <alignment horizontal="center"/>
    </xf>
    <xf numFmtId="0" fontId="13934" fillId="13939" borderId="13862" pivotButton="0" quotePrefix="0" xfId="0"/>
    <xf numFmtId="0" fontId="13935" fillId="13940" borderId="13863" pivotButton="0" quotePrefix="0" xfId="0"/>
    <xf numFmtId="166" fontId="13936" fillId="13941" borderId="13864" pivotButton="0" quotePrefix="0" xfId="0"/>
    <xf numFmtId="166" fontId="13937" fillId="13942" borderId="13865" pivotButton="0" quotePrefix="0" xfId="0"/>
    <xf numFmtId="168" fontId="13938" fillId="13943" borderId="13866" pivotButton="0" quotePrefix="0" xfId="0"/>
    <xf numFmtId="167" fontId="13939" fillId="13944" borderId="13867" pivotButton="0" quotePrefix="0" xfId="0"/>
    <xf numFmtId="166" fontId="13940" fillId="13945" borderId="13868" pivotButton="0" quotePrefix="0" xfId="0"/>
    <xf numFmtId="0" fontId="13941" fillId="13946" borderId="13869" applyAlignment="1" pivotButton="0" quotePrefix="0" xfId="0">
      <alignment horizontal="center"/>
    </xf>
    <xf numFmtId="0" fontId="13942" fillId="13947" borderId="13870" applyAlignment="1" pivotButton="0" quotePrefix="0" xfId="0">
      <alignment horizontal="center"/>
    </xf>
    <xf numFmtId="0" fontId="13943" fillId="13948" borderId="13871" pivotButton="0" quotePrefix="0" xfId="0"/>
    <xf numFmtId="166" fontId="13944" fillId="13949" borderId="13872" pivotButton="0" quotePrefix="0" xfId="0"/>
    <xf numFmtId="0" fontId="13945" fillId="13950" borderId="13873" pivotButton="0" quotePrefix="0" xfId="0"/>
    <xf numFmtId="0" fontId="13946" fillId="13951" borderId="13874" applyAlignment="1" pivotButton="0" quotePrefix="0" xfId="0">
      <alignment horizontal="center"/>
    </xf>
    <xf numFmtId="14" fontId="13947" fillId="13952" borderId="13875" pivotButton="0" quotePrefix="0" xfId="0"/>
    <xf numFmtId="0" fontId="13948" fillId="13953" borderId="13876" applyAlignment="1" pivotButton="0" quotePrefix="0" xfId="0">
      <alignment horizontal="center"/>
    </xf>
    <xf numFmtId="0" fontId="13949" fillId="13954" borderId="13877" pivotButton="0" quotePrefix="0" xfId="0"/>
    <xf numFmtId="0" fontId="13950" fillId="13955" borderId="13878" pivotButton="0" quotePrefix="0" xfId="0"/>
    <xf numFmtId="166" fontId="13951" fillId="13956" borderId="13879" pivotButton="0" quotePrefix="0" xfId="0"/>
    <xf numFmtId="166" fontId="13952" fillId="13957" borderId="13880" pivotButton="0" quotePrefix="0" xfId="0"/>
    <xf numFmtId="168" fontId="13953" fillId="13958" borderId="13881" pivotButton="0" quotePrefix="0" xfId="0"/>
    <xf numFmtId="167" fontId="13954" fillId="13959" borderId="13882" pivotButton="0" quotePrefix="0" xfId="0"/>
    <xf numFmtId="166" fontId="13955" fillId="13960" borderId="13883" pivotButton="0" quotePrefix="0" xfId="0"/>
    <xf numFmtId="0" fontId="13956" fillId="13961" borderId="13884" applyAlignment="1" pivotButton="0" quotePrefix="0" xfId="0">
      <alignment horizontal="center"/>
    </xf>
    <xf numFmtId="0" fontId="13957" fillId="13962" borderId="13885" applyAlignment="1" pivotButton="0" quotePrefix="0" xfId="0">
      <alignment horizontal="center"/>
    </xf>
    <xf numFmtId="0" fontId="13958" fillId="13963" borderId="13886" pivotButton="0" quotePrefix="0" xfId="0"/>
    <xf numFmtId="166" fontId="13959" fillId="13964" borderId="13887" pivotButton="0" quotePrefix="0" xfId="0"/>
    <xf numFmtId="0" fontId="13960" fillId="13965" borderId="13888" pivotButton="0" quotePrefix="0" xfId="0"/>
    <xf numFmtId="0" fontId="13961" fillId="13966" borderId="13889" applyAlignment="1" pivotButton="0" quotePrefix="0" xfId="0">
      <alignment horizontal="center"/>
    </xf>
    <xf numFmtId="14" fontId="13962" fillId="13967" borderId="13890" pivotButton="0" quotePrefix="0" xfId="0"/>
    <xf numFmtId="0" fontId="13963" fillId="13968" borderId="13891" applyAlignment="1" pivotButton="0" quotePrefix="0" xfId="0">
      <alignment horizontal="center"/>
    </xf>
    <xf numFmtId="0" fontId="13964" fillId="13969" borderId="13892" pivotButton="0" quotePrefix="0" xfId="0"/>
    <xf numFmtId="0" fontId="13965" fillId="13970" borderId="13893" pivotButton="0" quotePrefix="0" xfId="0"/>
    <xf numFmtId="166" fontId="13966" fillId="13971" borderId="13894" pivotButton="0" quotePrefix="0" xfId="0"/>
    <xf numFmtId="166" fontId="13967" fillId="13972" borderId="13895" pivotButton="0" quotePrefix="0" xfId="0"/>
    <xf numFmtId="168" fontId="13968" fillId="13973" borderId="13896" pivotButton="0" quotePrefix="0" xfId="0"/>
    <xf numFmtId="167" fontId="13969" fillId="13974" borderId="13897" pivotButton="0" quotePrefix="0" xfId="0"/>
    <xf numFmtId="166" fontId="13970" fillId="13975" borderId="13898" pivotButton="0" quotePrefix="0" xfId="0"/>
    <xf numFmtId="0" fontId="13971" fillId="13976" borderId="13899" applyAlignment="1" pivotButton="0" quotePrefix="0" xfId="0">
      <alignment horizontal="center"/>
    </xf>
    <xf numFmtId="0" fontId="13972" fillId="13977" borderId="13900" applyAlignment="1" pivotButton="0" quotePrefix="0" xfId="0">
      <alignment horizontal="center"/>
    </xf>
    <xf numFmtId="0" fontId="13973" fillId="13978" borderId="13901" pivotButton="0" quotePrefix="0" xfId="0"/>
    <xf numFmtId="166" fontId="13974" fillId="13979" borderId="13902" pivotButton="0" quotePrefix="0" xfId="0"/>
    <xf numFmtId="0" fontId="13975" fillId="13980" borderId="13903" pivotButton="0" quotePrefix="0" xfId="0"/>
    <xf numFmtId="0" fontId="13976" fillId="13981" borderId="13904" applyAlignment="1" pivotButton="0" quotePrefix="0" xfId="0">
      <alignment horizontal="center"/>
    </xf>
    <xf numFmtId="14" fontId="13977" fillId="13982" borderId="13905" pivotButton="0" quotePrefix="0" xfId="0"/>
    <xf numFmtId="0" fontId="13978" fillId="13983" borderId="13906" applyAlignment="1" pivotButton="0" quotePrefix="0" xfId="0">
      <alignment horizontal="center"/>
    </xf>
    <xf numFmtId="0" fontId="13979" fillId="13984" borderId="13907" pivotButton="0" quotePrefix="0" xfId="0"/>
    <xf numFmtId="0" fontId="13980" fillId="13985" borderId="13908" pivotButton="0" quotePrefix="0" xfId="0"/>
    <xf numFmtId="166" fontId="13981" fillId="13986" borderId="13909" pivotButton="0" quotePrefix="0" xfId="0"/>
    <xf numFmtId="166" fontId="13982" fillId="13987" borderId="13910" pivotButton="0" quotePrefix="0" xfId="0"/>
    <xf numFmtId="168" fontId="13983" fillId="13988" borderId="13911" pivotButton="0" quotePrefix="0" xfId="0"/>
    <xf numFmtId="167" fontId="13984" fillId="13989" borderId="13912" pivotButton="0" quotePrefix="0" xfId="0"/>
    <xf numFmtId="166" fontId="13985" fillId="13990" borderId="13913" pivotButton="0" quotePrefix="0" xfId="0"/>
    <xf numFmtId="0" fontId="13986" fillId="13991" borderId="13914" applyAlignment="1" pivotButton="0" quotePrefix="0" xfId="0">
      <alignment horizontal="center"/>
    </xf>
    <xf numFmtId="0" fontId="13987" fillId="13992" borderId="13915" applyAlignment="1" pivotButton="0" quotePrefix="0" xfId="0">
      <alignment horizontal="center"/>
    </xf>
    <xf numFmtId="0" fontId="13988" fillId="13993" borderId="13916" pivotButton="0" quotePrefix="0" xfId="0"/>
    <xf numFmtId="166" fontId="13989" fillId="13994" borderId="13917" pivotButton="0" quotePrefix="0" xfId="0"/>
    <xf numFmtId="0" fontId="13990" fillId="13995" borderId="13918" pivotButton="0" quotePrefix="0" xfId="0"/>
    <xf numFmtId="0" fontId="13991" fillId="13996" borderId="13919" applyAlignment="1" pivotButton="0" quotePrefix="0" xfId="0">
      <alignment horizontal="center"/>
    </xf>
    <xf numFmtId="14" fontId="13992" fillId="13997" borderId="13920" pivotButton="0" quotePrefix="0" xfId="0"/>
    <xf numFmtId="0" fontId="13993" fillId="13998" borderId="13921" applyAlignment="1" pivotButton="0" quotePrefix="0" xfId="0">
      <alignment horizontal="center"/>
    </xf>
    <xf numFmtId="0" fontId="13994" fillId="13999" borderId="13922" pivotButton="0" quotePrefix="0" xfId="0"/>
    <xf numFmtId="0" fontId="13995" fillId="14000" borderId="13923" pivotButton="0" quotePrefix="0" xfId="0"/>
    <xf numFmtId="166" fontId="13996" fillId="14001" borderId="13924" pivotButton="0" quotePrefix="0" xfId="0"/>
    <xf numFmtId="166" fontId="13997" fillId="14002" borderId="13925" pivotButton="0" quotePrefix="0" xfId="0"/>
    <xf numFmtId="168" fontId="13998" fillId="14003" borderId="13926" pivotButton="0" quotePrefix="0" xfId="0"/>
    <xf numFmtId="167" fontId="13999" fillId="14004" borderId="13927" pivotButton="0" quotePrefix="0" xfId="0"/>
    <xf numFmtId="166" fontId="14000" fillId="14005" borderId="13928" pivotButton="0" quotePrefix="0" xfId="0"/>
    <xf numFmtId="0" fontId="14001" fillId="14006" borderId="13929" applyAlignment="1" pivotButton="0" quotePrefix="0" xfId="0">
      <alignment horizontal="center"/>
    </xf>
    <xf numFmtId="0" fontId="14002" fillId="14007" borderId="13930" applyAlignment="1" pivotButton="0" quotePrefix="0" xfId="0">
      <alignment horizontal="center"/>
    </xf>
    <xf numFmtId="0" fontId="14003" fillId="14008" borderId="13931" pivotButton="0" quotePrefix="0" xfId="0"/>
    <xf numFmtId="166" fontId="14004" fillId="14009" borderId="13932" pivotButton="0" quotePrefix="0" xfId="0"/>
    <xf numFmtId="0" fontId="14005" fillId="14010" borderId="13933" pivotButton="0" quotePrefix="0" xfId="0"/>
    <xf numFmtId="0" fontId="14006" fillId="14011" borderId="13934" applyAlignment="1" pivotButton="0" quotePrefix="0" xfId="0">
      <alignment horizontal="center"/>
    </xf>
    <xf numFmtId="14" fontId="14007" fillId="14012" borderId="13935" pivotButton="0" quotePrefix="0" xfId="0"/>
    <xf numFmtId="0" fontId="14008" fillId="14013" borderId="13936" applyAlignment="1" pivotButton="0" quotePrefix="0" xfId="0">
      <alignment horizontal="center"/>
    </xf>
    <xf numFmtId="0" fontId="14009" fillId="14014" borderId="13937" pivotButton="0" quotePrefix="0" xfId="0"/>
    <xf numFmtId="0" fontId="14010" fillId="14015" borderId="13938" pivotButton="0" quotePrefix="0" xfId="0"/>
    <xf numFmtId="166" fontId="14011" fillId="14016" borderId="13939" pivotButton="0" quotePrefix="0" xfId="0"/>
    <xf numFmtId="166" fontId="14012" fillId="14017" borderId="13940" pivotButton="0" quotePrefix="0" xfId="0"/>
    <xf numFmtId="168" fontId="14013" fillId="14018" borderId="13941" pivotButton="0" quotePrefix="0" xfId="0"/>
    <xf numFmtId="167" fontId="14014" fillId="14019" borderId="13942" pivotButton="0" quotePrefix="0" xfId="0"/>
    <xf numFmtId="166" fontId="14015" fillId="14020" borderId="13943" pivotButton="0" quotePrefix="0" xfId="0"/>
    <xf numFmtId="0" fontId="14016" fillId="14021" borderId="13944" applyAlignment="1" pivotButton="0" quotePrefix="0" xfId="0">
      <alignment horizontal="center"/>
    </xf>
    <xf numFmtId="0" fontId="14017" fillId="14022" borderId="13945" applyAlignment="1" pivotButton="0" quotePrefix="0" xfId="0">
      <alignment horizontal="center"/>
    </xf>
    <xf numFmtId="0" fontId="14018" fillId="14023" borderId="13946" pivotButton="0" quotePrefix="0" xfId="0"/>
    <xf numFmtId="166" fontId="14019" fillId="14024" borderId="13947" pivotButton="0" quotePrefix="0" xfId="0"/>
    <xf numFmtId="0" fontId="14020" fillId="14025" borderId="13948" pivotButton="0" quotePrefix="0" xfId="0"/>
    <xf numFmtId="0" fontId="14021" fillId="14026" borderId="13949" applyAlignment="1" pivotButton="0" quotePrefix="0" xfId="0">
      <alignment horizontal="center"/>
    </xf>
    <xf numFmtId="14" fontId="14022" fillId="14027" borderId="13950" pivotButton="0" quotePrefix="0" xfId="0"/>
    <xf numFmtId="0" fontId="14023" fillId="14028" borderId="13951" applyAlignment="1" pivotButton="0" quotePrefix="0" xfId="0">
      <alignment horizontal="center"/>
    </xf>
    <xf numFmtId="0" fontId="14024" fillId="14029" borderId="13952" pivotButton="0" quotePrefix="0" xfId="0"/>
    <xf numFmtId="0" fontId="14025" fillId="14030" borderId="13953" pivotButton="0" quotePrefix="0" xfId="0"/>
    <xf numFmtId="166" fontId="14026" fillId="14031" borderId="13954" pivotButton="0" quotePrefix="0" xfId="0"/>
    <xf numFmtId="166" fontId="14027" fillId="14032" borderId="13955" pivotButton="0" quotePrefix="0" xfId="0"/>
    <xf numFmtId="168" fontId="14028" fillId="14033" borderId="13956" pivotButton="0" quotePrefix="0" xfId="0"/>
    <xf numFmtId="167" fontId="14029" fillId="14034" borderId="13957" pivotButton="0" quotePrefix="0" xfId="0"/>
    <xf numFmtId="166" fontId="14030" fillId="14035" borderId="13958" pivotButton="0" quotePrefix="0" xfId="0"/>
    <xf numFmtId="0" fontId="14031" fillId="14036" borderId="13959" applyAlignment="1" pivotButton="0" quotePrefix="0" xfId="0">
      <alignment horizontal="center"/>
    </xf>
    <xf numFmtId="0" fontId="14032" fillId="14037" borderId="13960" applyAlignment="1" pivotButton="0" quotePrefix="0" xfId="0">
      <alignment horizontal="center"/>
    </xf>
    <xf numFmtId="0" fontId="14033" fillId="14038" borderId="13961" pivotButton="0" quotePrefix="0" xfId="0"/>
    <xf numFmtId="166" fontId="14034" fillId="14039" borderId="13962" pivotButton="0" quotePrefix="0" xfId="0"/>
    <xf numFmtId="0" fontId="14035" fillId="14040" borderId="13963" pivotButton="0" quotePrefix="0" xfId="0"/>
    <xf numFmtId="0" fontId="14036" fillId="14041" borderId="13964" applyAlignment="1" pivotButton="0" quotePrefix="0" xfId="0">
      <alignment horizontal="center"/>
    </xf>
    <xf numFmtId="14" fontId="14037" fillId="14042" borderId="13965" pivotButton="0" quotePrefix="0" xfId="0"/>
    <xf numFmtId="0" fontId="14038" fillId="14043" borderId="13966" applyAlignment="1" pivotButton="0" quotePrefix="0" xfId="0">
      <alignment horizontal="center"/>
    </xf>
    <xf numFmtId="0" fontId="14039" fillId="14044" borderId="13967" pivotButton="0" quotePrefix="0" xfId="0"/>
    <xf numFmtId="0" fontId="14040" fillId="14045" borderId="13968" pivotButton="0" quotePrefix="0" xfId="0"/>
    <xf numFmtId="166" fontId="14041" fillId="14046" borderId="13969" pivotButton="0" quotePrefix="0" xfId="0"/>
    <xf numFmtId="166" fontId="14042" fillId="14047" borderId="13970" pivotButton="0" quotePrefix="0" xfId="0"/>
    <xf numFmtId="168" fontId="14043" fillId="14048" borderId="13971" pivotButton="0" quotePrefix="0" xfId="0"/>
    <xf numFmtId="167" fontId="14044" fillId="14049" borderId="13972" pivotButton="0" quotePrefix="0" xfId="0"/>
    <xf numFmtId="166" fontId="14045" fillId="14050" borderId="13973" pivotButton="0" quotePrefix="0" xfId="0"/>
    <xf numFmtId="0" fontId="14046" fillId="14051" borderId="13974" applyAlignment="1" pivotButton="0" quotePrefix="0" xfId="0">
      <alignment horizontal="center"/>
    </xf>
    <xf numFmtId="0" fontId="14047" fillId="14052" borderId="13975" applyAlignment="1" pivotButton="0" quotePrefix="0" xfId="0">
      <alignment horizontal="center"/>
    </xf>
    <xf numFmtId="0" fontId="14048" fillId="14053" borderId="13976" pivotButton="0" quotePrefix="0" xfId="0"/>
    <xf numFmtId="166" fontId="14049" fillId="14054" borderId="13977" pivotButton="0" quotePrefix="0" xfId="0"/>
    <xf numFmtId="0" fontId="14050" fillId="14055" borderId="13978" pivotButton="0" quotePrefix="0" xfId="0"/>
    <xf numFmtId="0" fontId="14051" fillId="14056" borderId="13979" applyAlignment="1" pivotButton="0" quotePrefix="0" xfId="0">
      <alignment horizontal="center"/>
    </xf>
    <xf numFmtId="14" fontId="14052" fillId="14057" borderId="13980" pivotButton="0" quotePrefix="0" xfId="0"/>
    <xf numFmtId="0" fontId="14053" fillId="14058" borderId="13981" applyAlignment="1" pivotButton="0" quotePrefix="0" xfId="0">
      <alignment horizontal="center"/>
    </xf>
    <xf numFmtId="0" fontId="14054" fillId="14059" borderId="13982" pivotButton="0" quotePrefix="0" xfId="0"/>
    <xf numFmtId="0" fontId="14055" fillId="14060" borderId="13983" pivotButton="0" quotePrefix="0" xfId="0"/>
    <xf numFmtId="166" fontId="14056" fillId="14061" borderId="13984" pivotButton="0" quotePrefix="0" xfId="0"/>
    <xf numFmtId="166" fontId="14057" fillId="14062" borderId="13985" pivotButton="0" quotePrefix="0" xfId="0"/>
    <xf numFmtId="168" fontId="14058" fillId="14063" borderId="13986" pivotButton="0" quotePrefix="0" xfId="0"/>
    <xf numFmtId="167" fontId="14059" fillId="14064" borderId="13987" pivotButton="0" quotePrefix="0" xfId="0"/>
    <xf numFmtId="166" fontId="14060" fillId="14065" borderId="13988" pivotButton="0" quotePrefix="0" xfId="0"/>
    <xf numFmtId="0" fontId="14061" fillId="14066" borderId="13989" applyAlignment="1" pivotButton="0" quotePrefix="0" xfId="0">
      <alignment horizontal="center"/>
    </xf>
    <xf numFmtId="0" fontId="14062" fillId="14067" borderId="13990" applyAlignment="1" pivotButton="0" quotePrefix="0" xfId="0">
      <alignment horizontal="center"/>
    </xf>
    <xf numFmtId="0" fontId="14063" fillId="14068" borderId="13991" pivotButton="0" quotePrefix="0" xfId="0"/>
    <xf numFmtId="166" fontId="14064" fillId="14069" borderId="13992" pivotButton="0" quotePrefix="0" xfId="0"/>
    <xf numFmtId="0" fontId="14065" fillId="14070" borderId="13993" pivotButton="0" quotePrefix="0" xfId="0"/>
    <xf numFmtId="0" fontId="14066" fillId="14071" borderId="13994" applyAlignment="1" pivotButton="0" quotePrefix="0" xfId="0">
      <alignment horizontal="center"/>
    </xf>
    <xf numFmtId="14" fontId="14067" fillId="14072" borderId="13995" pivotButton="0" quotePrefix="0" xfId="0"/>
    <xf numFmtId="0" fontId="14068" fillId="14073" borderId="13996" applyAlignment="1" pivotButton="0" quotePrefix="0" xfId="0">
      <alignment horizontal="center"/>
    </xf>
    <xf numFmtId="0" fontId="14069" fillId="14074" borderId="13997" pivotButton="0" quotePrefix="0" xfId="0"/>
    <xf numFmtId="0" fontId="14070" fillId="14075" borderId="13998" pivotButton="0" quotePrefix="0" xfId="0"/>
    <xf numFmtId="166" fontId="14071" fillId="14076" borderId="13999" pivotButton="0" quotePrefix="0" xfId="0"/>
    <xf numFmtId="166" fontId="14072" fillId="14077" borderId="14000" pivotButton="0" quotePrefix="0" xfId="0"/>
    <xf numFmtId="168" fontId="14073" fillId="14078" borderId="14001" pivotButton="0" quotePrefix="0" xfId="0"/>
    <xf numFmtId="167" fontId="14074" fillId="14079" borderId="14002" pivotButton="0" quotePrefix="0" xfId="0"/>
    <xf numFmtId="166" fontId="14075" fillId="14080" borderId="14003" pivotButton="0" quotePrefix="0" xfId="0"/>
    <xf numFmtId="0" fontId="14076" fillId="14081" borderId="14004" applyAlignment="1" pivotButton="0" quotePrefix="0" xfId="0">
      <alignment horizontal="center"/>
    </xf>
    <xf numFmtId="0" fontId="14077" fillId="14082" borderId="14005" applyAlignment="1" pivotButton="0" quotePrefix="0" xfId="0">
      <alignment horizontal="center"/>
    </xf>
    <xf numFmtId="0" fontId="14078" fillId="14083" borderId="14006" pivotButton="0" quotePrefix="0" xfId="0"/>
    <xf numFmtId="166" fontId="14079" fillId="14084" borderId="14007" pivotButton="0" quotePrefix="0" xfId="0"/>
    <xf numFmtId="0" fontId="14080" fillId="14085" borderId="14008" pivotButton="0" quotePrefix="0" xfId="0"/>
    <xf numFmtId="0" fontId="14081" fillId="14086" borderId="14009" applyAlignment="1" pivotButton="0" quotePrefix="0" xfId="0">
      <alignment horizontal="center"/>
    </xf>
    <xf numFmtId="14" fontId="14082" fillId="14087" borderId="14010" pivotButton="0" quotePrefix="0" xfId="0"/>
    <xf numFmtId="0" fontId="14083" fillId="14088" borderId="14011" applyAlignment="1" pivotButton="0" quotePrefix="0" xfId="0">
      <alignment horizontal="center"/>
    </xf>
    <xf numFmtId="0" fontId="14084" fillId="14089" borderId="14012" pivotButton="0" quotePrefix="0" xfId="0"/>
    <xf numFmtId="0" fontId="14085" fillId="14090" borderId="14013" pivotButton="0" quotePrefix="0" xfId="0"/>
    <xf numFmtId="166" fontId="14086" fillId="14091" borderId="14014" pivotButton="0" quotePrefix="0" xfId="0"/>
    <xf numFmtId="166" fontId="14087" fillId="14092" borderId="14015" pivotButton="0" quotePrefix="0" xfId="0"/>
    <xf numFmtId="168" fontId="14088" fillId="14093" borderId="14016" pivotButton="0" quotePrefix="0" xfId="0"/>
    <xf numFmtId="167" fontId="14089" fillId="14094" borderId="14017" pivotButton="0" quotePrefix="0" xfId="0"/>
    <xf numFmtId="166" fontId="14090" fillId="14095" borderId="14018" pivotButton="0" quotePrefix="0" xfId="0"/>
    <xf numFmtId="0" fontId="14091" fillId="14096" borderId="14019" applyAlignment="1" pivotButton="0" quotePrefix="0" xfId="0">
      <alignment horizontal="center"/>
    </xf>
    <xf numFmtId="0" fontId="14092" fillId="14097" borderId="14020" applyAlignment="1" pivotButton="0" quotePrefix="0" xfId="0">
      <alignment horizontal="center"/>
    </xf>
    <xf numFmtId="0" fontId="14093" fillId="14098" borderId="14021" pivotButton="0" quotePrefix="0" xfId="0"/>
    <xf numFmtId="166" fontId="14094" fillId="14099" borderId="14022" pivotButton="0" quotePrefix="0" xfId="0"/>
    <xf numFmtId="0" fontId="14095" fillId="14100" borderId="14023" pivotButton="0" quotePrefix="0" xfId="0"/>
    <xf numFmtId="0" fontId="14096" fillId="14101" borderId="14024" applyAlignment="1" pivotButton="0" quotePrefix="0" xfId="0">
      <alignment horizontal="center"/>
    </xf>
    <xf numFmtId="14" fontId="14097" fillId="14102" borderId="14025" pivotButton="0" quotePrefix="0" xfId="0"/>
    <xf numFmtId="0" fontId="14098" fillId="14103" borderId="14026" applyAlignment="1" pivotButton="0" quotePrefix="0" xfId="0">
      <alignment horizontal="center"/>
    </xf>
    <xf numFmtId="0" fontId="14099" fillId="14104" borderId="14027" pivotButton="0" quotePrefix="0" xfId="0"/>
    <xf numFmtId="0" fontId="14100" fillId="14105" borderId="14028" pivotButton="0" quotePrefix="0" xfId="0"/>
    <xf numFmtId="166" fontId="14101" fillId="14106" borderId="14029" pivotButton="0" quotePrefix="0" xfId="0"/>
    <xf numFmtId="166" fontId="14102" fillId="14107" borderId="14030" pivotButton="0" quotePrefix="0" xfId="0"/>
    <xf numFmtId="168" fontId="14103" fillId="14108" borderId="14031" pivotButton="0" quotePrefix="0" xfId="0"/>
    <xf numFmtId="167" fontId="14104" fillId="14109" borderId="14032" pivotButton="0" quotePrefix="0" xfId="0"/>
    <xf numFmtId="166" fontId="14105" fillId="14110" borderId="14033" pivotButton="0" quotePrefix="0" xfId="0"/>
    <xf numFmtId="0" fontId="14106" fillId="14111" borderId="14034" applyAlignment="1" pivotButton="0" quotePrefix="0" xfId="0">
      <alignment horizontal="center"/>
    </xf>
    <xf numFmtId="0" fontId="14107" fillId="14112" borderId="14035" applyAlignment="1" pivotButton="0" quotePrefix="0" xfId="0">
      <alignment horizontal="center"/>
    </xf>
    <xf numFmtId="0" fontId="14108" fillId="14113" borderId="14036" pivotButton="0" quotePrefix="0" xfId="0"/>
    <xf numFmtId="166" fontId="14109" fillId="14114" borderId="14037" pivotButton="0" quotePrefix="0" xfId="0"/>
    <xf numFmtId="0" fontId="14110" fillId="14115" borderId="14038" pivotButton="0" quotePrefix="0" xfId="0"/>
    <xf numFmtId="0" fontId="14111" fillId="14116" borderId="14039" applyAlignment="1" pivotButton="0" quotePrefix="0" xfId="0">
      <alignment horizontal="center"/>
    </xf>
    <xf numFmtId="14" fontId="14112" fillId="14117" borderId="14040" pivotButton="0" quotePrefix="0" xfId="0"/>
    <xf numFmtId="0" fontId="14113" fillId="14118" borderId="14041" applyAlignment="1" pivotButton="0" quotePrefix="0" xfId="0">
      <alignment horizontal="center"/>
    </xf>
    <xf numFmtId="0" fontId="14114" fillId="14119" borderId="14042" pivotButton="0" quotePrefix="0" xfId="0"/>
    <xf numFmtId="0" fontId="14115" fillId="14120" borderId="14043" pivotButton="0" quotePrefix="0" xfId="0"/>
    <xf numFmtId="166" fontId="14116" fillId="14121" borderId="14044" pivotButton="0" quotePrefix="0" xfId="0"/>
    <xf numFmtId="166" fontId="14117" fillId="14122" borderId="14045" pivotButton="0" quotePrefix="0" xfId="0"/>
    <xf numFmtId="168" fontId="14118" fillId="14123" borderId="14046" pivotButton="0" quotePrefix="0" xfId="0"/>
    <xf numFmtId="167" fontId="14119" fillId="14124" borderId="14047" pivotButton="0" quotePrefix="0" xfId="0"/>
    <xf numFmtId="166" fontId="14120" fillId="14125" borderId="14048" pivotButton="0" quotePrefix="0" xfId="0"/>
    <xf numFmtId="0" fontId="14121" fillId="14126" borderId="14049" applyAlignment="1" pivotButton="0" quotePrefix="0" xfId="0">
      <alignment horizontal="center"/>
    </xf>
    <xf numFmtId="0" fontId="14122" fillId="14127" borderId="14050" applyAlignment="1" pivotButton="0" quotePrefix="0" xfId="0">
      <alignment horizontal="center"/>
    </xf>
    <xf numFmtId="0" fontId="14123" fillId="14128" borderId="14051" pivotButton="0" quotePrefix="0" xfId="0"/>
    <xf numFmtId="166" fontId="14124" fillId="14129" borderId="14052" pivotButton="0" quotePrefix="0" xfId="0"/>
    <xf numFmtId="0" fontId="14125" fillId="14130" borderId="14053" pivotButton="0" quotePrefix="0" xfId="0"/>
    <xf numFmtId="0" fontId="14126" fillId="14131" borderId="14054" applyAlignment="1" pivotButton="0" quotePrefix="0" xfId="0">
      <alignment horizontal="center"/>
    </xf>
    <xf numFmtId="14" fontId="14127" fillId="14132" borderId="14055" pivotButton="0" quotePrefix="0" xfId="0"/>
    <xf numFmtId="0" fontId="14128" fillId="14133" borderId="14056" applyAlignment="1" pivotButton="0" quotePrefix="0" xfId="0">
      <alignment horizontal="center"/>
    </xf>
    <xf numFmtId="0" fontId="14129" fillId="14134" borderId="14057" pivotButton="0" quotePrefix="0" xfId="0"/>
    <xf numFmtId="0" fontId="14130" fillId="14135" borderId="14058" pivotButton="0" quotePrefix="0" xfId="0"/>
    <xf numFmtId="166" fontId="14131" fillId="14136" borderId="14059" pivotButton="0" quotePrefix="0" xfId="0"/>
    <xf numFmtId="166" fontId="14132" fillId="14137" borderId="14060" pivotButton="0" quotePrefix="0" xfId="0"/>
    <xf numFmtId="168" fontId="14133" fillId="14138" borderId="14061" pivotButton="0" quotePrefix="0" xfId="0"/>
    <xf numFmtId="167" fontId="14134" fillId="14139" borderId="14062" pivotButton="0" quotePrefix="0" xfId="0"/>
    <xf numFmtId="166" fontId="14135" fillId="14140" borderId="14063" pivotButton="0" quotePrefix="0" xfId="0"/>
    <xf numFmtId="0" fontId="14136" fillId="14141" borderId="14064" applyAlignment="1" pivotButton="0" quotePrefix="0" xfId="0">
      <alignment horizontal="center"/>
    </xf>
    <xf numFmtId="0" fontId="14137" fillId="14142" borderId="14065" applyAlignment="1" pivotButton="0" quotePrefix="0" xfId="0">
      <alignment horizontal="center"/>
    </xf>
    <xf numFmtId="0" fontId="14138" fillId="14143" borderId="14066" pivotButton="0" quotePrefix="0" xfId="0"/>
    <xf numFmtId="166" fontId="14139" fillId="14144" borderId="14067" pivotButton="0" quotePrefix="0" xfId="0"/>
    <xf numFmtId="0" fontId="14140" fillId="14145" borderId="14068" pivotButton="0" quotePrefix="0" xfId="0"/>
    <xf numFmtId="0" fontId="14141" fillId="14146" borderId="14069" applyAlignment="1" pivotButton="0" quotePrefix="0" xfId="0">
      <alignment horizontal="center"/>
    </xf>
    <xf numFmtId="14" fontId="14142" fillId="14147" borderId="14070" pivotButton="0" quotePrefix="0" xfId="0"/>
    <xf numFmtId="0" fontId="14143" fillId="14148" borderId="14071" applyAlignment="1" pivotButton="0" quotePrefix="0" xfId="0">
      <alignment horizontal="center"/>
    </xf>
    <xf numFmtId="0" fontId="14144" fillId="14149" borderId="14072" pivotButton="0" quotePrefix="0" xfId="0"/>
    <xf numFmtId="0" fontId="14145" fillId="14150" borderId="14073" pivotButton="0" quotePrefix="0" xfId="0"/>
    <xf numFmtId="166" fontId="14146" fillId="14151" borderId="14074" pivotButton="0" quotePrefix="0" xfId="0"/>
    <xf numFmtId="166" fontId="14147" fillId="14152" borderId="14075" pivotButton="0" quotePrefix="0" xfId="0"/>
    <xf numFmtId="168" fontId="14148" fillId="14153" borderId="14076" pivotButton="0" quotePrefix="0" xfId="0"/>
    <xf numFmtId="167" fontId="14149" fillId="14154" borderId="14077" pivotButton="0" quotePrefix="0" xfId="0"/>
    <xf numFmtId="166" fontId="14150" fillId="14155" borderId="14078" pivotButton="0" quotePrefix="0" xfId="0"/>
    <xf numFmtId="0" fontId="14151" fillId="14156" borderId="14079" applyAlignment="1" pivotButton="0" quotePrefix="0" xfId="0">
      <alignment horizontal="center"/>
    </xf>
    <xf numFmtId="0" fontId="14152" fillId="14157" borderId="14080" applyAlignment="1" pivotButton="0" quotePrefix="0" xfId="0">
      <alignment horizontal="center"/>
    </xf>
    <xf numFmtId="0" fontId="14153" fillId="14158" borderId="14081" pivotButton="0" quotePrefix="0" xfId="0"/>
    <xf numFmtId="166" fontId="14154" fillId="14159" borderId="14082" pivotButton="0" quotePrefix="0" xfId="0"/>
    <xf numFmtId="0" fontId="14155" fillId="14160" borderId="14083" pivotButton="0" quotePrefix="0" xfId="0"/>
    <xf numFmtId="0" fontId="14156" fillId="14161" borderId="14084" applyAlignment="1" pivotButton="0" quotePrefix="0" xfId="0">
      <alignment horizontal="center"/>
    </xf>
    <xf numFmtId="14" fontId="14157" fillId="14162" borderId="14085" pivotButton="0" quotePrefix="0" xfId="0"/>
    <xf numFmtId="0" fontId="14158" fillId="14163" borderId="14086" applyAlignment="1" pivotButton="0" quotePrefix="0" xfId="0">
      <alignment horizontal="center"/>
    </xf>
    <xf numFmtId="0" fontId="14159" fillId="14164" borderId="14087" pivotButton="0" quotePrefix="0" xfId="0"/>
    <xf numFmtId="0" fontId="14160" fillId="14165" borderId="14088" pivotButton="0" quotePrefix="0" xfId="0"/>
    <xf numFmtId="166" fontId="14161" fillId="14166" borderId="14089" pivotButton="0" quotePrefix="0" xfId="0"/>
    <xf numFmtId="166" fontId="14162" fillId="14167" borderId="14090" pivotButton="0" quotePrefix="0" xfId="0"/>
    <xf numFmtId="168" fontId="14163" fillId="14168" borderId="14091" pivotButton="0" quotePrefix="0" xfId="0"/>
    <xf numFmtId="167" fontId="14164" fillId="14169" borderId="14092" pivotButton="0" quotePrefix="0" xfId="0"/>
    <xf numFmtId="166" fontId="14165" fillId="14170" borderId="14093" pivotButton="0" quotePrefix="0" xfId="0"/>
    <xf numFmtId="0" fontId="14166" fillId="14171" borderId="14094" applyAlignment="1" pivotButton="0" quotePrefix="0" xfId="0">
      <alignment horizontal="center"/>
    </xf>
    <xf numFmtId="0" fontId="14167" fillId="14172" borderId="14095" applyAlignment="1" pivotButton="0" quotePrefix="0" xfId="0">
      <alignment horizontal="center"/>
    </xf>
    <xf numFmtId="0" fontId="14168" fillId="14173" borderId="14096" pivotButton="0" quotePrefix="0" xfId="0"/>
    <xf numFmtId="166" fontId="14169" fillId="14174" borderId="14097" pivotButton="0" quotePrefix="0" xfId="0"/>
    <xf numFmtId="0" fontId="14170" fillId="14175" borderId="14098" pivotButton="0" quotePrefix="0" xfId="0"/>
    <xf numFmtId="0" fontId="14171" fillId="14176" borderId="14099" applyAlignment="1" pivotButton="0" quotePrefix="0" xfId="0">
      <alignment horizontal="center"/>
    </xf>
    <xf numFmtId="14" fontId="14172" fillId="14177" borderId="14100" pivotButton="0" quotePrefix="0" xfId="0"/>
    <xf numFmtId="0" fontId="14173" fillId="14178" borderId="14101" applyAlignment="1" pivotButton="0" quotePrefix="0" xfId="0">
      <alignment horizontal="center"/>
    </xf>
    <xf numFmtId="0" fontId="14174" fillId="14179" borderId="14102" pivotButton="0" quotePrefix="0" xfId="0"/>
    <xf numFmtId="0" fontId="14175" fillId="14180" borderId="14103" pivotButton="0" quotePrefix="0" xfId="0"/>
    <xf numFmtId="166" fontId="14176" fillId="14181" borderId="14104" pivotButton="0" quotePrefix="0" xfId="0"/>
    <xf numFmtId="166" fontId="14177" fillId="14182" borderId="14105" pivotButton="0" quotePrefix="0" xfId="0"/>
    <xf numFmtId="168" fontId="14178" fillId="14183" borderId="14106" pivotButton="0" quotePrefix="0" xfId="0"/>
    <xf numFmtId="167" fontId="14179" fillId="14184" borderId="14107" pivotButton="0" quotePrefix="0" xfId="0"/>
    <xf numFmtId="166" fontId="14180" fillId="14185" borderId="14108" pivotButton="0" quotePrefix="0" xfId="0"/>
    <xf numFmtId="0" fontId="14181" fillId="14186" borderId="14109" applyAlignment="1" pivotButton="0" quotePrefix="0" xfId="0">
      <alignment horizontal="center"/>
    </xf>
    <xf numFmtId="0" fontId="14182" fillId="14187" borderId="14110" applyAlignment="1" pivotButton="0" quotePrefix="0" xfId="0">
      <alignment horizontal="center"/>
    </xf>
    <xf numFmtId="0" fontId="14183" fillId="14188" borderId="14111" pivotButton="0" quotePrefix="0" xfId="0"/>
    <xf numFmtId="166" fontId="14184" fillId="14189" borderId="14112" pivotButton="0" quotePrefix="0" xfId="0"/>
    <xf numFmtId="0" fontId="14185" fillId="14190" borderId="14113" pivotButton="0" quotePrefix="0" xfId="0"/>
    <xf numFmtId="0" fontId="14186" fillId="14191" borderId="14114" applyAlignment="1" pivotButton="0" quotePrefix="0" xfId="0">
      <alignment horizontal="center"/>
    </xf>
    <xf numFmtId="14" fontId="14187" fillId="14192" borderId="14115" pivotButton="0" quotePrefix="0" xfId="0"/>
    <xf numFmtId="0" fontId="14188" fillId="14193" borderId="14116" applyAlignment="1" pivotButton="0" quotePrefix="0" xfId="0">
      <alignment horizontal="center"/>
    </xf>
    <xf numFmtId="0" fontId="14189" fillId="14194" borderId="14117" pivotButton="0" quotePrefix="0" xfId="0"/>
    <xf numFmtId="0" fontId="14190" fillId="14195" borderId="14118" pivotButton="0" quotePrefix="0" xfId="0"/>
    <xf numFmtId="166" fontId="14191" fillId="14196" borderId="14119" pivotButton="0" quotePrefix="0" xfId="0"/>
    <xf numFmtId="166" fontId="14192" fillId="14197" borderId="14120" pivotButton="0" quotePrefix="0" xfId="0"/>
    <xf numFmtId="168" fontId="14193" fillId="14198" borderId="14121" pivotButton="0" quotePrefix="0" xfId="0"/>
    <xf numFmtId="167" fontId="14194" fillId="14199" borderId="14122" pivotButton="0" quotePrefix="0" xfId="0"/>
    <xf numFmtId="166" fontId="14195" fillId="14200" borderId="14123" pivotButton="0" quotePrefix="0" xfId="0"/>
    <xf numFmtId="0" fontId="14196" fillId="14201" borderId="14124" applyAlignment="1" pivotButton="0" quotePrefix="0" xfId="0">
      <alignment horizontal="center"/>
    </xf>
    <xf numFmtId="0" fontId="14197" fillId="14202" borderId="14125" applyAlignment="1" pivotButton="0" quotePrefix="0" xfId="0">
      <alignment horizontal="center"/>
    </xf>
    <xf numFmtId="0" fontId="14198" fillId="14203" borderId="14126" pivotButton="0" quotePrefix="0" xfId="0"/>
    <xf numFmtId="166" fontId="14199" fillId="14204" borderId="14127" pivotButton="0" quotePrefix="0" xfId="0"/>
    <xf numFmtId="0" fontId="14200" fillId="14205" borderId="14128" pivotButton="0" quotePrefix="0" xfId="0"/>
    <xf numFmtId="0" fontId="14201" fillId="14206" borderId="14129" applyAlignment="1" pivotButton="0" quotePrefix="0" xfId="0">
      <alignment horizontal="center"/>
    </xf>
    <xf numFmtId="14" fontId="14202" fillId="14207" borderId="14130" pivotButton="0" quotePrefix="0" xfId="0"/>
    <xf numFmtId="0" fontId="14203" fillId="14208" borderId="14131" applyAlignment="1" pivotButton="0" quotePrefix="0" xfId="0">
      <alignment horizontal="center"/>
    </xf>
    <xf numFmtId="0" fontId="14204" fillId="14209" borderId="14132" pivotButton="0" quotePrefix="0" xfId="0"/>
    <xf numFmtId="0" fontId="14205" fillId="14210" borderId="14133" pivotButton="0" quotePrefix="0" xfId="0"/>
    <xf numFmtId="166" fontId="14206" fillId="14211" borderId="14134" pivotButton="0" quotePrefix="0" xfId="0"/>
    <xf numFmtId="166" fontId="14207" fillId="14212" borderId="14135" pivotButton="0" quotePrefix="0" xfId="0"/>
    <xf numFmtId="168" fontId="14208" fillId="14213" borderId="14136" pivotButton="0" quotePrefix="0" xfId="0"/>
    <xf numFmtId="167" fontId="14209" fillId="14214" borderId="14137" pivotButton="0" quotePrefix="0" xfId="0"/>
    <xf numFmtId="166" fontId="14210" fillId="14215" borderId="14138" pivotButton="0" quotePrefix="0" xfId="0"/>
    <xf numFmtId="0" fontId="14211" fillId="14216" borderId="14139" applyAlignment="1" pivotButton="0" quotePrefix="0" xfId="0">
      <alignment horizontal="center"/>
    </xf>
    <xf numFmtId="0" fontId="14212" fillId="14217" borderId="14140" applyAlignment="1" pivotButton="0" quotePrefix="0" xfId="0">
      <alignment horizontal="center"/>
    </xf>
    <xf numFmtId="0" fontId="14213" fillId="14218" borderId="14141" pivotButton="0" quotePrefix="0" xfId="0"/>
    <xf numFmtId="166" fontId="14214" fillId="14219" borderId="14142" pivotButton="0" quotePrefix="0" xfId="0"/>
    <xf numFmtId="0" fontId="14215" fillId="14220" borderId="14143" pivotButton="0" quotePrefix="0" xfId="0"/>
    <xf numFmtId="0" fontId="14216" fillId="14221" borderId="14144" applyAlignment="1" pivotButton="0" quotePrefix="0" xfId="0">
      <alignment horizontal="center"/>
    </xf>
    <xf numFmtId="14" fontId="14217" fillId="14222" borderId="14145" pivotButton="0" quotePrefix="0" xfId="0"/>
    <xf numFmtId="0" fontId="14218" fillId="14223" borderId="14146" applyAlignment="1" pivotButton="0" quotePrefix="0" xfId="0">
      <alignment horizontal="center"/>
    </xf>
    <xf numFmtId="0" fontId="14219" fillId="14224" borderId="14147" pivotButton="0" quotePrefix="0" xfId="0"/>
    <xf numFmtId="0" fontId="14220" fillId="14225" borderId="14148" pivotButton="0" quotePrefix="0" xfId="0"/>
    <xf numFmtId="166" fontId="14221" fillId="14226" borderId="14149" pivotButton="0" quotePrefix="0" xfId="0"/>
    <xf numFmtId="166" fontId="14222" fillId="14227" borderId="14150" pivotButton="0" quotePrefix="0" xfId="0"/>
    <xf numFmtId="168" fontId="14223" fillId="14228" borderId="14151" pivotButton="0" quotePrefix="0" xfId="0"/>
    <xf numFmtId="167" fontId="14224" fillId="14229" borderId="14152" pivotButton="0" quotePrefix="0" xfId="0"/>
    <xf numFmtId="166" fontId="14225" fillId="14230" borderId="14153" pivotButton="0" quotePrefix="0" xfId="0"/>
    <xf numFmtId="0" fontId="14226" fillId="14231" borderId="14154" applyAlignment="1" pivotButton="0" quotePrefix="0" xfId="0">
      <alignment horizontal="center"/>
    </xf>
    <xf numFmtId="0" fontId="14227" fillId="14232" borderId="14155" applyAlignment="1" pivotButton="0" quotePrefix="0" xfId="0">
      <alignment horizontal="center"/>
    </xf>
    <xf numFmtId="0" fontId="14228" fillId="14233" borderId="14156" pivotButton="0" quotePrefix="0" xfId="0"/>
    <xf numFmtId="166" fontId="14229" fillId="14234" borderId="14157" pivotButton="0" quotePrefix="0" xfId="0"/>
    <xf numFmtId="0" fontId="14230" fillId="14235" borderId="14158" pivotButton="0" quotePrefix="0" xfId="0"/>
    <xf numFmtId="0" fontId="14231" fillId="14236" borderId="14159" applyAlignment="1" pivotButton="0" quotePrefix="0" xfId="0">
      <alignment horizontal="center"/>
    </xf>
    <xf numFmtId="14" fontId="14232" fillId="14237" borderId="14160" pivotButton="0" quotePrefix="0" xfId="0"/>
    <xf numFmtId="0" fontId="14233" fillId="14238" borderId="14161" applyAlignment="1" pivotButton="0" quotePrefix="0" xfId="0">
      <alignment horizontal="center"/>
    </xf>
    <xf numFmtId="0" fontId="14234" fillId="14239" borderId="14162" pivotButton="0" quotePrefix="0" xfId="0"/>
    <xf numFmtId="0" fontId="14235" fillId="14240" borderId="14163" pivotButton="0" quotePrefix="0" xfId="0"/>
    <xf numFmtId="166" fontId="14236" fillId="14241" borderId="14164" pivotButton="0" quotePrefix="0" xfId="0"/>
    <xf numFmtId="166" fontId="14237" fillId="14242" borderId="14165" pivotButton="0" quotePrefix="0" xfId="0"/>
    <xf numFmtId="168" fontId="14238" fillId="14243" borderId="14166" pivotButton="0" quotePrefix="0" xfId="0"/>
    <xf numFmtId="167" fontId="14239" fillId="14244" borderId="14167" pivotButton="0" quotePrefix="0" xfId="0"/>
    <xf numFmtId="166" fontId="14240" fillId="14245" borderId="14168" pivotButton="0" quotePrefix="0" xfId="0"/>
    <xf numFmtId="0" fontId="14241" fillId="14246" borderId="14169" applyAlignment="1" pivotButton="0" quotePrefix="0" xfId="0">
      <alignment horizontal="center"/>
    </xf>
    <xf numFmtId="0" fontId="14242" fillId="14247" borderId="14170" applyAlignment="1" pivotButton="0" quotePrefix="0" xfId="0">
      <alignment horizontal="center"/>
    </xf>
    <xf numFmtId="0" fontId="14243" fillId="14248" borderId="14171" pivotButton="0" quotePrefix="0" xfId="0"/>
    <xf numFmtId="166" fontId="14244" fillId="14249" borderId="14172" pivotButton="0" quotePrefix="0" xfId="0"/>
    <xf numFmtId="0" fontId="14245" fillId="14250" borderId="14173" pivotButton="0" quotePrefix="0" xfId="0"/>
    <xf numFmtId="0" fontId="14246" fillId="14251" borderId="14174" applyAlignment="1" pivotButton="0" quotePrefix="0" xfId="0">
      <alignment horizontal="center"/>
    </xf>
    <xf numFmtId="14" fontId="14247" fillId="14252" borderId="14175" pivotButton="0" quotePrefix="0" xfId="0"/>
    <xf numFmtId="0" fontId="14248" fillId="14253" borderId="14176" applyAlignment="1" pivotButton="0" quotePrefix="0" xfId="0">
      <alignment horizontal="center"/>
    </xf>
    <xf numFmtId="0" fontId="14249" fillId="14254" borderId="14177" pivotButton="0" quotePrefix="0" xfId="0"/>
    <xf numFmtId="0" fontId="14250" fillId="14255" borderId="14178" pivotButton="0" quotePrefix="0" xfId="0"/>
    <xf numFmtId="166" fontId="14251" fillId="14256" borderId="14179" pivotButton="0" quotePrefix="0" xfId="0"/>
    <xf numFmtId="166" fontId="14252" fillId="14257" borderId="14180" pivotButton="0" quotePrefix="0" xfId="0"/>
    <xf numFmtId="168" fontId="14253" fillId="14258" borderId="14181" pivotButton="0" quotePrefix="0" xfId="0"/>
    <xf numFmtId="167" fontId="14254" fillId="14259" borderId="14182" pivotButton="0" quotePrefix="0" xfId="0"/>
    <xf numFmtId="166" fontId="14255" fillId="14260" borderId="14183" pivotButton="0" quotePrefix="0" xfId="0"/>
    <xf numFmtId="0" fontId="14256" fillId="14261" borderId="14184" applyAlignment="1" pivotButton="0" quotePrefix="0" xfId="0">
      <alignment horizontal="center"/>
    </xf>
    <xf numFmtId="0" fontId="14257" fillId="14262" borderId="14185" applyAlignment="1" pivotButton="0" quotePrefix="0" xfId="0">
      <alignment horizontal="center"/>
    </xf>
    <xf numFmtId="0" fontId="14258" fillId="14263" borderId="14186" pivotButton="0" quotePrefix="0" xfId="0"/>
    <xf numFmtId="166" fontId="14259" fillId="14264" borderId="14187" pivotButton="0" quotePrefix="0" xfId="0"/>
    <xf numFmtId="0" fontId="14260" fillId="14265" borderId="14188" pivotButton="0" quotePrefix="0" xfId="0"/>
    <xf numFmtId="0" fontId="14261" fillId="14266" borderId="14189" applyAlignment="1" pivotButton="0" quotePrefix="0" xfId="0">
      <alignment horizontal="center"/>
    </xf>
    <xf numFmtId="14" fontId="14262" fillId="14267" borderId="14190" pivotButton="0" quotePrefix="0" xfId="0"/>
    <xf numFmtId="0" fontId="14263" fillId="14268" borderId="14191" applyAlignment="1" pivotButton="0" quotePrefix="0" xfId="0">
      <alignment horizontal="center"/>
    </xf>
    <xf numFmtId="0" fontId="14264" fillId="14269" borderId="14192" pivotButton="0" quotePrefix="0" xfId="0"/>
    <xf numFmtId="0" fontId="14265" fillId="14270" borderId="14193" pivotButton="0" quotePrefix="0" xfId="0"/>
    <xf numFmtId="166" fontId="14266" fillId="14271" borderId="14194" pivotButton="0" quotePrefix="0" xfId="0"/>
    <xf numFmtId="166" fontId="14267" fillId="14272" borderId="14195" pivotButton="0" quotePrefix="0" xfId="0"/>
    <xf numFmtId="168" fontId="14268" fillId="14273" borderId="14196" pivotButton="0" quotePrefix="0" xfId="0"/>
    <xf numFmtId="167" fontId="14269" fillId="14274" borderId="14197" pivotButton="0" quotePrefix="0" xfId="0"/>
    <xf numFmtId="166" fontId="14270" fillId="14275" borderId="14198" pivotButton="0" quotePrefix="0" xfId="0"/>
    <xf numFmtId="0" fontId="14271" fillId="14276" borderId="14199" applyAlignment="1" pivotButton="0" quotePrefix="0" xfId="0">
      <alignment horizontal="center"/>
    </xf>
    <xf numFmtId="0" fontId="14272" fillId="14277" borderId="14200" applyAlignment="1" pivotButton="0" quotePrefix="0" xfId="0">
      <alignment horizontal="center"/>
    </xf>
    <xf numFmtId="0" fontId="14273" fillId="14278" borderId="14201" pivotButton="0" quotePrefix="0" xfId="0"/>
    <xf numFmtId="166" fontId="14274" fillId="14279" borderId="14202" pivotButton="0" quotePrefix="0" xfId="0"/>
    <xf numFmtId="0" fontId="14275" fillId="14280" borderId="14203" pivotButton="0" quotePrefix="0" xfId="0"/>
    <xf numFmtId="0" fontId="14276" fillId="14281" borderId="14204" applyAlignment="1" pivotButton="0" quotePrefix="0" xfId="0">
      <alignment horizontal="center"/>
    </xf>
    <xf numFmtId="14" fontId="14277" fillId="14282" borderId="14205" pivotButton="0" quotePrefix="0" xfId="0"/>
    <xf numFmtId="0" fontId="14278" fillId="14283" borderId="14206" applyAlignment="1" pivotButton="0" quotePrefix="0" xfId="0">
      <alignment horizontal="center"/>
    </xf>
    <xf numFmtId="0" fontId="14279" fillId="14284" borderId="14207" pivotButton="0" quotePrefix="0" xfId="0"/>
    <xf numFmtId="0" fontId="14280" fillId="14285" borderId="14208" pivotButton="0" quotePrefix="0" xfId="0"/>
    <xf numFmtId="166" fontId="14281" fillId="14286" borderId="14209" pivotButton="0" quotePrefix="0" xfId="0"/>
    <xf numFmtId="166" fontId="14282" fillId="14287" borderId="14210" pivotButton="0" quotePrefix="0" xfId="0"/>
    <xf numFmtId="168" fontId="14283" fillId="14288" borderId="14211" pivotButton="0" quotePrefix="0" xfId="0"/>
    <xf numFmtId="167" fontId="14284" fillId="14289" borderId="14212" pivotButton="0" quotePrefix="0" xfId="0"/>
    <xf numFmtId="166" fontId="14285" fillId="14290" borderId="14213" pivotButton="0" quotePrefix="0" xfId="0"/>
    <xf numFmtId="0" fontId="14286" fillId="14291" borderId="14214" applyAlignment="1" pivotButton="0" quotePrefix="0" xfId="0">
      <alignment horizontal="center"/>
    </xf>
    <xf numFmtId="0" fontId="14287" fillId="14292" borderId="14215" applyAlignment="1" pivotButton="0" quotePrefix="0" xfId="0">
      <alignment horizontal="center"/>
    </xf>
    <xf numFmtId="0" fontId="14288" fillId="14293" borderId="14216" pivotButton="0" quotePrefix="0" xfId="0"/>
    <xf numFmtId="166" fontId="14289" fillId="14294" borderId="14217" pivotButton="0" quotePrefix="0" xfId="0"/>
    <xf numFmtId="0" fontId="14290" fillId="14295" borderId="14218" pivotButton="0" quotePrefix="0" xfId="0"/>
    <xf numFmtId="0" fontId="14291" fillId="14296" borderId="14219" applyAlignment="1" pivotButton="0" quotePrefix="0" xfId="0">
      <alignment horizontal="center"/>
    </xf>
    <xf numFmtId="14" fontId="14292" fillId="14297" borderId="14220" pivotButton="0" quotePrefix="0" xfId="0"/>
    <xf numFmtId="0" fontId="14293" fillId="14298" borderId="14221" applyAlignment="1" pivotButton="0" quotePrefix="0" xfId="0">
      <alignment horizontal="center"/>
    </xf>
    <xf numFmtId="0" fontId="14294" fillId="14299" borderId="14222" pivotButton="0" quotePrefix="0" xfId="0"/>
    <xf numFmtId="0" fontId="14295" fillId="14300" borderId="14223" pivotButton="0" quotePrefix="0" xfId="0"/>
    <xf numFmtId="166" fontId="14296" fillId="14301" borderId="14224" pivotButton="0" quotePrefix="0" xfId="0"/>
    <xf numFmtId="166" fontId="14297" fillId="14302" borderId="14225" pivotButton="0" quotePrefix="0" xfId="0"/>
    <xf numFmtId="168" fontId="14298" fillId="14303" borderId="14226" pivotButton="0" quotePrefix="0" xfId="0"/>
    <xf numFmtId="167" fontId="14299" fillId="14304" borderId="14227" pivotButton="0" quotePrefix="0" xfId="0"/>
    <xf numFmtId="166" fontId="14300" fillId="14305" borderId="14228" pivotButton="0" quotePrefix="0" xfId="0"/>
    <xf numFmtId="0" fontId="14301" fillId="14306" borderId="14229" applyAlignment="1" pivotButton="0" quotePrefix="0" xfId="0">
      <alignment horizontal="center"/>
    </xf>
    <xf numFmtId="0" fontId="14302" fillId="14307" borderId="14230" applyAlignment="1" pivotButton="0" quotePrefix="0" xfId="0">
      <alignment horizontal="center"/>
    </xf>
    <xf numFmtId="0" fontId="14303" fillId="14308" borderId="14231" pivotButton="0" quotePrefix="0" xfId="0"/>
    <xf numFmtId="166" fontId="14304" fillId="14309" borderId="14232" pivotButton="0" quotePrefix="0" xfId="0"/>
    <xf numFmtId="0" fontId="14305" fillId="14310" borderId="14233" pivotButton="0" quotePrefix="0" xfId="0"/>
    <xf numFmtId="0" fontId="14306" fillId="14311" borderId="14234" applyAlignment="1" pivotButton="0" quotePrefix="0" xfId="0">
      <alignment horizontal="center"/>
    </xf>
    <xf numFmtId="14" fontId="14307" fillId="14312" borderId="14235" pivotButton="0" quotePrefix="0" xfId="0"/>
    <xf numFmtId="0" fontId="14308" fillId="14313" borderId="14236" applyAlignment="1" pivotButton="0" quotePrefix="0" xfId="0">
      <alignment horizontal="center"/>
    </xf>
    <xf numFmtId="0" fontId="14309" fillId="14314" borderId="14237" pivotButton="0" quotePrefix="0" xfId="0"/>
    <xf numFmtId="0" fontId="14310" fillId="14315" borderId="14238" pivotButton="0" quotePrefix="0" xfId="0"/>
    <xf numFmtId="166" fontId="14311" fillId="14316" borderId="14239" pivotButton="0" quotePrefix="0" xfId="0"/>
    <xf numFmtId="166" fontId="14312" fillId="14317" borderId="14240" pivotButton="0" quotePrefix="0" xfId="0"/>
    <xf numFmtId="168" fontId="14313" fillId="14318" borderId="14241" pivotButton="0" quotePrefix="0" xfId="0"/>
    <xf numFmtId="167" fontId="14314" fillId="14319" borderId="14242" pivotButton="0" quotePrefix="0" xfId="0"/>
    <xf numFmtId="166" fontId="14315" fillId="14320" borderId="14243" pivotButton="0" quotePrefix="0" xfId="0"/>
    <xf numFmtId="0" fontId="14316" fillId="14321" borderId="14244" applyAlignment="1" pivotButton="0" quotePrefix="0" xfId="0">
      <alignment horizontal="center"/>
    </xf>
    <xf numFmtId="0" fontId="14317" fillId="14322" borderId="14245" applyAlignment="1" pivotButton="0" quotePrefix="0" xfId="0">
      <alignment horizontal="center"/>
    </xf>
    <xf numFmtId="0" fontId="14318" fillId="14323" borderId="14246" pivotButton="0" quotePrefix="0" xfId="0"/>
    <xf numFmtId="166" fontId="14319" fillId="14324" borderId="14247" pivotButton="0" quotePrefix="0" xfId="0"/>
    <xf numFmtId="0" fontId="14320" fillId="14325" borderId="14248" pivotButton="0" quotePrefix="0" xfId="0"/>
    <xf numFmtId="0" fontId="14321" fillId="14326" borderId="14249" applyAlignment="1" pivotButton="0" quotePrefix="0" xfId="0">
      <alignment horizontal="center"/>
    </xf>
    <xf numFmtId="14" fontId="14322" fillId="14327" borderId="14250" pivotButton="0" quotePrefix="0" xfId="0"/>
    <xf numFmtId="0" fontId="14323" fillId="14328" borderId="14251" applyAlignment="1" pivotButton="0" quotePrefix="0" xfId="0">
      <alignment horizontal="center"/>
    </xf>
    <xf numFmtId="0" fontId="14324" fillId="14329" borderId="14252" pivotButton="0" quotePrefix="0" xfId="0"/>
    <xf numFmtId="0" fontId="14325" fillId="14330" borderId="14253" pivotButton="0" quotePrefix="0" xfId="0"/>
    <xf numFmtId="166" fontId="14326" fillId="14331" borderId="14254" pivotButton="0" quotePrefix="0" xfId="0"/>
    <xf numFmtId="166" fontId="14327" fillId="14332" borderId="14255" pivotButton="0" quotePrefix="0" xfId="0"/>
    <xf numFmtId="168" fontId="14328" fillId="14333" borderId="14256" pivotButton="0" quotePrefix="0" xfId="0"/>
    <xf numFmtId="167" fontId="14329" fillId="14334" borderId="14257" pivotButton="0" quotePrefix="0" xfId="0"/>
    <xf numFmtId="166" fontId="14330" fillId="14335" borderId="14258" pivotButton="0" quotePrefix="0" xfId="0"/>
    <xf numFmtId="0" fontId="14331" fillId="14336" borderId="14259" applyAlignment="1" pivotButton="0" quotePrefix="0" xfId="0">
      <alignment horizontal="center"/>
    </xf>
    <xf numFmtId="0" fontId="14332" fillId="14337" borderId="14260" applyAlignment="1" pivotButton="0" quotePrefix="0" xfId="0">
      <alignment horizontal="center"/>
    </xf>
    <xf numFmtId="0" fontId="14333" fillId="14338" borderId="14261" pivotButton="0" quotePrefix="0" xfId="0"/>
    <xf numFmtId="166" fontId="14334" fillId="14339" borderId="14262" pivotButton="0" quotePrefix="0" xfId="0"/>
    <xf numFmtId="0" fontId="14335" fillId="14340" borderId="14263" pivotButton="0" quotePrefix="0" xfId="0"/>
    <xf numFmtId="0" fontId="14336" fillId="14341" borderId="14264" applyAlignment="1" pivotButton="0" quotePrefix="0" xfId="0">
      <alignment horizontal="center"/>
    </xf>
    <xf numFmtId="14" fontId="14337" fillId="14342" borderId="14265" pivotButton="0" quotePrefix="0" xfId="0"/>
    <xf numFmtId="0" fontId="14338" fillId="14343" borderId="14266" applyAlignment="1" pivotButton="0" quotePrefix="0" xfId="0">
      <alignment horizontal="center"/>
    </xf>
    <xf numFmtId="0" fontId="14339" fillId="14344" borderId="14267" pivotButton="0" quotePrefix="0" xfId="0"/>
    <xf numFmtId="0" fontId="14340" fillId="14345" borderId="14268" pivotButton="0" quotePrefix="0" xfId="0"/>
    <xf numFmtId="166" fontId="14341" fillId="14346" borderId="14269" pivotButton="0" quotePrefix="0" xfId="0"/>
    <xf numFmtId="166" fontId="14342" fillId="14347" borderId="14270" pivotButton="0" quotePrefix="0" xfId="0"/>
    <xf numFmtId="168" fontId="14343" fillId="14348" borderId="14271" pivotButton="0" quotePrefix="0" xfId="0"/>
    <xf numFmtId="167" fontId="14344" fillId="14349" borderId="14272" pivotButton="0" quotePrefix="0" xfId="0"/>
    <xf numFmtId="166" fontId="14345" fillId="14350" borderId="14273" pivotButton="0" quotePrefix="0" xfId="0"/>
    <xf numFmtId="0" fontId="14346" fillId="14351" borderId="14274" applyAlignment="1" pivotButton="0" quotePrefix="0" xfId="0">
      <alignment horizontal="center"/>
    </xf>
    <xf numFmtId="0" fontId="14347" fillId="14352" borderId="14275" applyAlignment="1" pivotButton="0" quotePrefix="0" xfId="0">
      <alignment horizontal="center"/>
    </xf>
    <xf numFmtId="0" fontId="14348" fillId="14353" borderId="14276" pivotButton="0" quotePrefix="0" xfId="0"/>
    <xf numFmtId="166" fontId="14349" fillId="14354" borderId="14277" pivotButton="0" quotePrefix="0" xfId="0"/>
    <xf numFmtId="0" fontId="14350" fillId="14355" borderId="14278" pivotButton="0" quotePrefix="0" xfId="0"/>
    <xf numFmtId="0" fontId="14351" fillId="14356" borderId="14279" applyAlignment="1" pivotButton="0" quotePrefix="0" xfId="0">
      <alignment horizontal="center"/>
    </xf>
    <xf numFmtId="14" fontId="14352" fillId="14357" borderId="14280" pivotButton="0" quotePrefix="0" xfId="0"/>
    <xf numFmtId="0" fontId="14353" fillId="14358" borderId="14281" applyAlignment="1" pivotButton="0" quotePrefix="0" xfId="0">
      <alignment horizontal="center"/>
    </xf>
    <xf numFmtId="0" fontId="14354" fillId="14359" borderId="14282" pivotButton="0" quotePrefix="0" xfId="0"/>
    <xf numFmtId="0" fontId="14355" fillId="14360" borderId="14283" pivotButton="0" quotePrefix="0" xfId="0"/>
    <xf numFmtId="166" fontId="14356" fillId="14361" borderId="14284" pivotButton="0" quotePrefix="0" xfId="0"/>
    <xf numFmtId="166" fontId="14357" fillId="14362" borderId="14285" pivotButton="0" quotePrefix="0" xfId="0"/>
    <xf numFmtId="168" fontId="14358" fillId="14363" borderId="14286" pivotButton="0" quotePrefix="0" xfId="0"/>
    <xf numFmtId="167" fontId="14359" fillId="14364" borderId="14287" pivotButton="0" quotePrefix="0" xfId="0"/>
    <xf numFmtId="166" fontId="14360" fillId="14365" borderId="14288" pivotButton="0" quotePrefix="0" xfId="0"/>
    <xf numFmtId="0" fontId="14361" fillId="14366" borderId="14289" applyAlignment="1" pivotButton="0" quotePrefix="0" xfId="0">
      <alignment horizontal="center"/>
    </xf>
    <xf numFmtId="0" fontId="14362" fillId="14367" borderId="14290" applyAlignment="1" pivotButton="0" quotePrefix="0" xfId="0">
      <alignment horizontal="center"/>
    </xf>
    <xf numFmtId="0" fontId="14363" fillId="14368" borderId="14291" pivotButton="0" quotePrefix="0" xfId="0"/>
    <xf numFmtId="166" fontId="14364" fillId="14369" borderId="14292" pivotButton="0" quotePrefix="0" xfId="0"/>
    <xf numFmtId="0" fontId="14365" fillId="14370" borderId="14293" pivotButton="0" quotePrefix="0" xfId="0"/>
    <xf numFmtId="0" fontId="14366" fillId="14371" borderId="14294" applyAlignment="1" pivotButton="0" quotePrefix="0" xfId="0">
      <alignment horizontal="center"/>
    </xf>
    <xf numFmtId="14" fontId="14367" fillId="14372" borderId="14295" pivotButton="0" quotePrefix="0" xfId="0"/>
    <xf numFmtId="0" fontId="14368" fillId="14373" borderId="14296" applyAlignment="1" pivotButton="0" quotePrefix="0" xfId="0">
      <alignment horizontal="center"/>
    </xf>
    <xf numFmtId="0" fontId="14369" fillId="14374" borderId="14297" pivotButton="0" quotePrefix="0" xfId="0"/>
    <xf numFmtId="0" fontId="14370" fillId="14375" borderId="14298" pivotButton="0" quotePrefix="0" xfId="0"/>
    <xf numFmtId="166" fontId="14371" fillId="14376" borderId="14299" pivotButton="0" quotePrefix="0" xfId="0"/>
    <xf numFmtId="166" fontId="14372" fillId="14377" borderId="14300" pivotButton="0" quotePrefix="0" xfId="0"/>
    <xf numFmtId="168" fontId="14373" fillId="14378" borderId="14301" pivotButton="0" quotePrefix="0" xfId="0"/>
    <xf numFmtId="167" fontId="14374" fillId="14379" borderId="14302" pivotButton="0" quotePrefix="0" xfId="0"/>
    <xf numFmtId="166" fontId="14375" fillId="14380" borderId="14303" pivotButton="0" quotePrefix="0" xfId="0"/>
    <xf numFmtId="0" fontId="14376" fillId="14381" borderId="14304" applyAlignment="1" pivotButton="0" quotePrefix="0" xfId="0">
      <alignment horizontal="center"/>
    </xf>
    <xf numFmtId="0" fontId="14377" fillId="14382" borderId="14305" applyAlignment="1" pivotButton="0" quotePrefix="0" xfId="0">
      <alignment horizontal="center"/>
    </xf>
    <xf numFmtId="0" fontId="14378" fillId="14383" borderId="14306" pivotButton="0" quotePrefix="0" xfId="0"/>
    <xf numFmtId="166" fontId="14379" fillId="14384" borderId="14307" pivotButton="0" quotePrefix="0" xfId="0"/>
    <xf numFmtId="0" fontId="14380" fillId="14385" borderId="14308" pivotButton="0" quotePrefix="0" xfId="0"/>
    <xf numFmtId="0" fontId="14381" fillId="14386" borderId="14309" applyAlignment="1" pivotButton="0" quotePrefix="0" xfId="0">
      <alignment horizontal="center"/>
    </xf>
    <xf numFmtId="14" fontId="14382" fillId="14387" borderId="14310" pivotButton="0" quotePrefix="0" xfId="0"/>
    <xf numFmtId="0" fontId="14383" fillId="14388" borderId="14311" applyAlignment="1" pivotButton="0" quotePrefix="0" xfId="0">
      <alignment horizontal="center"/>
    </xf>
    <xf numFmtId="0" fontId="14384" fillId="14389" borderId="14312" pivotButton="0" quotePrefix="0" xfId="0"/>
    <xf numFmtId="0" fontId="14385" fillId="14390" borderId="14313" pivotButton="0" quotePrefix="0" xfId="0"/>
    <xf numFmtId="166" fontId="14386" fillId="14391" borderId="14314" pivotButton="0" quotePrefix="0" xfId="0"/>
    <xf numFmtId="166" fontId="14387" fillId="14392" borderId="14315" pivotButton="0" quotePrefix="0" xfId="0"/>
    <xf numFmtId="168" fontId="14388" fillId="14393" borderId="14316" pivotButton="0" quotePrefix="0" xfId="0"/>
    <xf numFmtId="167" fontId="14389" fillId="14394" borderId="14317" pivotButton="0" quotePrefix="0" xfId="0"/>
    <xf numFmtId="166" fontId="14390" fillId="14395" borderId="14318" pivotButton="0" quotePrefix="0" xfId="0"/>
    <xf numFmtId="0" fontId="14391" fillId="14396" borderId="14319" applyAlignment="1" pivotButton="0" quotePrefix="0" xfId="0">
      <alignment horizontal="center"/>
    </xf>
    <xf numFmtId="0" fontId="14392" fillId="14397" borderId="14320" applyAlignment="1" pivotButton="0" quotePrefix="0" xfId="0">
      <alignment horizontal="center"/>
    </xf>
    <xf numFmtId="0" fontId="14393" fillId="14398" borderId="14321" pivotButton="0" quotePrefix="0" xfId="0"/>
    <xf numFmtId="166" fontId="14394" fillId="14399" borderId="14322" pivotButton="0" quotePrefix="0" xfId="0"/>
    <xf numFmtId="0" fontId="14395" fillId="14400" borderId="14323" pivotButton="0" quotePrefix="0" xfId="0"/>
    <xf numFmtId="0" fontId="14396" fillId="14401" borderId="14324" applyAlignment="1" pivotButton="0" quotePrefix="0" xfId="0">
      <alignment horizontal="center"/>
    </xf>
    <xf numFmtId="14" fontId="14397" fillId="14402" borderId="14325" pivotButton="0" quotePrefix="0" xfId="0"/>
    <xf numFmtId="0" fontId="14398" fillId="14403" borderId="14326" applyAlignment="1" pivotButton="0" quotePrefix="0" xfId="0">
      <alignment horizontal="center"/>
    </xf>
    <xf numFmtId="0" fontId="14399" fillId="14404" borderId="14327" pivotButton="0" quotePrefix="0" xfId="0"/>
    <xf numFmtId="0" fontId="14400" fillId="14405" borderId="14328" pivotButton="0" quotePrefix="0" xfId="0"/>
    <xf numFmtId="166" fontId="14401" fillId="14406" borderId="14329" pivotButton="0" quotePrefix="0" xfId="0"/>
    <xf numFmtId="166" fontId="14402" fillId="14407" borderId="14330" pivotButton="0" quotePrefix="0" xfId="0"/>
    <xf numFmtId="168" fontId="14403" fillId="14408" borderId="14331" pivotButton="0" quotePrefix="0" xfId="0"/>
    <xf numFmtId="167" fontId="14404" fillId="14409" borderId="14332" pivotButton="0" quotePrefix="0" xfId="0"/>
    <xf numFmtId="166" fontId="14405" fillId="14410" borderId="14333" pivotButton="0" quotePrefix="0" xfId="0"/>
    <xf numFmtId="0" fontId="14406" fillId="14411" borderId="14334" applyAlignment="1" pivotButton="0" quotePrefix="0" xfId="0">
      <alignment horizontal="center"/>
    </xf>
    <xf numFmtId="0" fontId="14407" fillId="14412" borderId="14335" applyAlignment="1" pivotButton="0" quotePrefix="0" xfId="0">
      <alignment horizontal="center"/>
    </xf>
    <xf numFmtId="0" fontId="14408" fillId="14413" borderId="14336" pivotButton="0" quotePrefix="0" xfId="0"/>
    <xf numFmtId="166" fontId="14409" fillId="14414" borderId="14337" pivotButton="0" quotePrefix="0" xfId="0"/>
    <xf numFmtId="0" fontId="14410" fillId="14415" borderId="14338" pivotButton="0" quotePrefix="0" xfId="0"/>
    <xf numFmtId="0" fontId="14411" fillId="14416" borderId="14339" applyAlignment="1" pivotButton="0" quotePrefix="0" xfId="0">
      <alignment horizontal="center"/>
    </xf>
    <xf numFmtId="14" fontId="14412" fillId="14417" borderId="14340" pivotButton="0" quotePrefix="0" xfId="0"/>
    <xf numFmtId="0" fontId="14413" fillId="14418" borderId="14341" applyAlignment="1" pivotButton="0" quotePrefix="0" xfId="0">
      <alignment horizontal="center"/>
    </xf>
    <xf numFmtId="0" fontId="14414" fillId="14419" borderId="14342" pivotButton="0" quotePrefix="0" xfId="0"/>
    <xf numFmtId="0" fontId="14415" fillId="14420" borderId="14343" pivotButton="0" quotePrefix="0" xfId="0"/>
    <xf numFmtId="166" fontId="14416" fillId="14421" borderId="14344" pivotButton="0" quotePrefix="0" xfId="0"/>
    <xf numFmtId="166" fontId="14417" fillId="14422" borderId="14345" pivotButton="0" quotePrefix="0" xfId="0"/>
    <xf numFmtId="168" fontId="14418" fillId="14423" borderId="14346" pivotButton="0" quotePrefix="0" xfId="0"/>
    <xf numFmtId="167" fontId="14419" fillId="14424" borderId="14347" pivotButton="0" quotePrefix="0" xfId="0"/>
    <xf numFmtId="166" fontId="14420" fillId="14425" borderId="14348" pivotButton="0" quotePrefix="0" xfId="0"/>
    <xf numFmtId="0" fontId="14421" fillId="14426" borderId="14349" applyAlignment="1" pivotButton="0" quotePrefix="0" xfId="0">
      <alignment horizontal="center"/>
    </xf>
    <xf numFmtId="0" fontId="14422" fillId="14427" borderId="14350" applyAlignment="1" pivotButton="0" quotePrefix="0" xfId="0">
      <alignment horizontal="center"/>
    </xf>
    <xf numFmtId="0" fontId="14423" fillId="14428" borderId="14351" pivotButton="0" quotePrefix="0" xfId="0"/>
    <xf numFmtId="166" fontId="14424" fillId="14429" borderId="14352" pivotButton="0" quotePrefix="0" xfId="0"/>
    <xf numFmtId="0" fontId="14425" fillId="14430" borderId="14353" pivotButton="0" quotePrefix="0" xfId="0"/>
    <xf numFmtId="0" fontId="14426" fillId="14431" borderId="14354" applyAlignment="1" pivotButton="0" quotePrefix="0" xfId="0">
      <alignment horizontal="center"/>
    </xf>
    <xf numFmtId="14" fontId="14427" fillId="14432" borderId="14355" pivotButton="0" quotePrefix="0" xfId="0"/>
    <xf numFmtId="0" fontId="14428" fillId="14433" borderId="14356" applyAlignment="1" pivotButton="0" quotePrefix="0" xfId="0">
      <alignment horizontal="center"/>
    </xf>
    <xf numFmtId="0" fontId="14429" fillId="14434" borderId="14357" pivotButton="0" quotePrefix="0" xfId="0"/>
    <xf numFmtId="0" fontId="14430" fillId="14435" borderId="14358" pivotButton="0" quotePrefix="0" xfId="0"/>
    <xf numFmtId="166" fontId="14431" fillId="14436" borderId="14359" pivotButton="0" quotePrefix="0" xfId="0"/>
    <xf numFmtId="166" fontId="14432" fillId="14437" borderId="14360" pivotButton="0" quotePrefix="0" xfId="0"/>
    <xf numFmtId="168" fontId="14433" fillId="14438" borderId="14361" pivotButton="0" quotePrefix="0" xfId="0"/>
    <xf numFmtId="167" fontId="14434" fillId="14439" borderId="14362" pivotButton="0" quotePrefix="0" xfId="0"/>
    <xf numFmtId="166" fontId="14435" fillId="14440" borderId="14363" pivotButton="0" quotePrefix="0" xfId="0"/>
    <xf numFmtId="0" fontId="14436" fillId="14441" borderId="14364" applyAlignment="1" pivotButton="0" quotePrefix="0" xfId="0">
      <alignment horizontal="center"/>
    </xf>
    <xf numFmtId="0" fontId="14437" fillId="14442" borderId="14365" applyAlignment="1" pivotButton="0" quotePrefix="0" xfId="0">
      <alignment horizontal="center"/>
    </xf>
    <xf numFmtId="0" fontId="14438" fillId="14443" borderId="14366" pivotButton="0" quotePrefix="0" xfId="0"/>
    <xf numFmtId="166" fontId="14439" fillId="14444" borderId="14367" pivotButton="0" quotePrefix="0" xfId="0"/>
    <xf numFmtId="0" fontId="14440" fillId="14445" borderId="14368" pivotButton="0" quotePrefix="0" xfId="0"/>
    <xf numFmtId="0" fontId="14441" fillId="14446" borderId="14369" applyAlignment="1" pivotButton="0" quotePrefix="0" xfId="0">
      <alignment horizontal="center"/>
    </xf>
    <xf numFmtId="14" fontId="14442" fillId="14447" borderId="14370" pivotButton="0" quotePrefix="0" xfId="0"/>
    <xf numFmtId="0" fontId="14443" fillId="14448" borderId="14371" applyAlignment="1" pivotButton="0" quotePrefix="0" xfId="0">
      <alignment horizontal="center"/>
    </xf>
    <xf numFmtId="0" fontId="14444" fillId="14449" borderId="14372" pivotButton="0" quotePrefix="0" xfId="0"/>
    <xf numFmtId="0" fontId="14445" fillId="14450" borderId="14373" pivotButton="0" quotePrefix="0" xfId="0"/>
    <xf numFmtId="166" fontId="14446" fillId="14451" borderId="14374" pivotButton="0" quotePrefix="0" xfId="0"/>
    <xf numFmtId="166" fontId="14447" fillId="14452" borderId="14375" pivotButton="0" quotePrefix="0" xfId="0"/>
    <xf numFmtId="168" fontId="14448" fillId="14453" borderId="14376" pivotButton="0" quotePrefix="0" xfId="0"/>
    <xf numFmtId="167" fontId="14449" fillId="14454" borderId="14377" pivotButton="0" quotePrefix="0" xfId="0"/>
    <xf numFmtId="166" fontId="14450" fillId="14455" borderId="14378" pivotButton="0" quotePrefix="0" xfId="0"/>
    <xf numFmtId="0" fontId="14451" fillId="14456" borderId="14379" applyAlignment="1" pivotButton="0" quotePrefix="0" xfId="0">
      <alignment horizontal="center"/>
    </xf>
    <xf numFmtId="0" fontId="14452" fillId="14457" borderId="14380" applyAlignment="1" pivotButton="0" quotePrefix="0" xfId="0">
      <alignment horizontal="center"/>
    </xf>
    <xf numFmtId="0" fontId="14453" fillId="14458" borderId="14381" pivotButton="0" quotePrefix="0" xfId="0"/>
    <xf numFmtId="166" fontId="14454" fillId="14459" borderId="14382" pivotButton="0" quotePrefix="0" xfId="0"/>
    <xf numFmtId="0" fontId="14455" fillId="14460" borderId="14383" pivotButton="0" quotePrefix="0" xfId="0"/>
    <xf numFmtId="0" fontId="14456" fillId="14461" borderId="14384" applyAlignment="1" pivotButton="0" quotePrefix="0" xfId="0">
      <alignment horizontal="center"/>
    </xf>
    <xf numFmtId="14" fontId="14457" fillId="14462" borderId="14385" pivotButton="0" quotePrefix="0" xfId="0"/>
    <xf numFmtId="0" fontId="14458" fillId="14463" borderId="14386" applyAlignment="1" pivotButton="0" quotePrefix="0" xfId="0">
      <alignment horizontal="center"/>
    </xf>
    <xf numFmtId="0" fontId="14459" fillId="14464" borderId="14387" pivotButton="0" quotePrefix="0" xfId="0"/>
    <xf numFmtId="0" fontId="14460" fillId="14465" borderId="14388" pivotButton="0" quotePrefix="0" xfId="0"/>
    <xf numFmtId="166" fontId="14461" fillId="14466" borderId="14389" pivotButton="0" quotePrefix="0" xfId="0"/>
    <xf numFmtId="166" fontId="14462" fillId="14467" borderId="14390" pivotButton="0" quotePrefix="0" xfId="0"/>
    <xf numFmtId="168" fontId="14463" fillId="14468" borderId="14391" pivotButton="0" quotePrefix="0" xfId="0"/>
    <xf numFmtId="167" fontId="14464" fillId="14469" borderId="14392" pivotButton="0" quotePrefix="0" xfId="0"/>
    <xf numFmtId="166" fontId="14465" fillId="14470" borderId="14393" pivotButton="0" quotePrefix="0" xfId="0"/>
    <xf numFmtId="0" fontId="14466" fillId="14471" borderId="14394" applyAlignment="1" pivotButton="0" quotePrefix="0" xfId="0">
      <alignment horizontal="center"/>
    </xf>
    <xf numFmtId="0" fontId="14467" fillId="14472" borderId="14395" applyAlignment="1" pivotButton="0" quotePrefix="0" xfId="0">
      <alignment horizontal="center"/>
    </xf>
    <xf numFmtId="0" fontId="14468" fillId="14473" borderId="14396" pivotButton="0" quotePrefix="0" xfId="0"/>
    <xf numFmtId="166" fontId="14469" fillId="14474" borderId="14397" pivotButton="0" quotePrefix="0" xfId="0"/>
    <xf numFmtId="0" fontId="14470" fillId="14475" borderId="14398" pivotButton="0" quotePrefix="0" xfId="0"/>
    <xf numFmtId="0" fontId="14471" fillId="14476" borderId="14399" applyAlignment="1" pivotButton="0" quotePrefix="0" xfId="0">
      <alignment horizontal="center"/>
    </xf>
    <xf numFmtId="14" fontId="14472" fillId="14477" borderId="14400" pivotButton="0" quotePrefix="0" xfId="0"/>
    <xf numFmtId="0" fontId="14473" fillId="14478" borderId="14401" applyAlignment="1" pivotButton="0" quotePrefix="0" xfId="0">
      <alignment horizontal="center"/>
    </xf>
    <xf numFmtId="0" fontId="14474" fillId="14479" borderId="14402" pivotButton="0" quotePrefix="0" xfId="0"/>
    <xf numFmtId="0" fontId="14475" fillId="14480" borderId="14403" pivotButton="0" quotePrefix="0" xfId="0"/>
    <xf numFmtId="166" fontId="14476" fillId="14481" borderId="14404" pivotButton="0" quotePrefix="0" xfId="0"/>
    <xf numFmtId="166" fontId="14477" fillId="14482" borderId="14405" pivotButton="0" quotePrefix="0" xfId="0"/>
    <xf numFmtId="168" fontId="14478" fillId="14483" borderId="14406" pivotButton="0" quotePrefix="0" xfId="0"/>
    <xf numFmtId="167" fontId="14479" fillId="14484" borderId="14407" pivotButton="0" quotePrefix="0" xfId="0"/>
    <xf numFmtId="166" fontId="14480" fillId="14485" borderId="14408" pivotButton="0" quotePrefix="0" xfId="0"/>
    <xf numFmtId="0" fontId="14481" fillId="14486" borderId="14409" applyAlignment="1" pivotButton="0" quotePrefix="0" xfId="0">
      <alignment horizontal="center"/>
    </xf>
    <xf numFmtId="0" fontId="14482" fillId="14487" borderId="14410" applyAlignment="1" pivotButton="0" quotePrefix="0" xfId="0">
      <alignment horizontal="center"/>
    </xf>
    <xf numFmtId="0" fontId="14483" fillId="14488" borderId="14411" pivotButton="0" quotePrefix="0" xfId="0"/>
    <xf numFmtId="166" fontId="14484" fillId="14489" borderId="14412" pivotButton="0" quotePrefix="0" xfId="0"/>
    <xf numFmtId="0" fontId="14485" fillId="14490" borderId="14413" pivotButton="0" quotePrefix="0" xfId="0"/>
    <xf numFmtId="0" fontId="14486" fillId="14491" borderId="14414" applyAlignment="1" pivotButton="0" quotePrefix="0" xfId="0">
      <alignment horizontal="center"/>
    </xf>
    <xf numFmtId="14" fontId="14487" fillId="14492" borderId="14415" pivotButton="0" quotePrefix="0" xfId="0"/>
    <xf numFmtId="0" fontId="14488" fillId="14493" borderId="14416" applyAlignment="1" pivotButton="0" quotePrefix="0" xfId="0">
      <alignment horizontal="center"/>
    </xf>
    <xf numFmtId="0" fontId="14489" fillId="14494" borderId="14417" pivotButton="0" quotePrefix="0" xfId="0"/>
    <xf numFmtId="0" fontId="14490" fillId="14495" borderId="14418" pivotButton="0" quotePrefix="0" xfId="0"/>
    <xf numFmtId="166" fontId="14491" fillId="14496" borderId="14419" pivotButton="0" quotePrefix="0" xfId="0"/>
    <xf numFmtId="166" fontId="14492" fillId="14497" borderId="14420" pivotButton="0" quotePrefix="0" xfId="0"/>
    <xf numFmtId="168" fontId="14493" fillId="14498" borderId="14421" pivotButton="0" quotePrefix="0" xfId="0"/>
    <xf numFmtId="167" fontId="14494" fillId="14499" borderId="14422" pivotButton="0" quotePrefix="0" xfId="0"/>
    <xf numFmtId="166" fontId="14495" fillId="14500" borderId="14423" pivotButton="0" quotePrefix="0" xfId="0"/>
    <xf numFmtId="0" fontId="14496" fillId="14501" borderId="14424" applyAlignment="1" pivotButton="0" quotePrefix="0" xfId="0">
      <alignment horizontal="center"/>
    </xf>
    <xf numFmtId="0" fontId="14497" fillId="14502" borderId="14425" applyAlignment="1" pivotButton="0" quotePrefix="0" xfId="0">
      <alignment horizontal="center"/>
    </xf>
    <xf numFmtId="0" fontId="14498" fillId="14503" borderId="14426" pivotButton="0" quotePrefix="0" xfId="0"/>
    <xf numFmtId="166" fontId="14499" fillId="14504" borderId="14427" pivotButton="0" quotePrefix="0" xfId="0"/>
    <xf numFmtId="0" fontId="14500" fillId="14505" borderId="14428" pivotButton="0" quotePrefix="0" xfId="0"/>
    <xf numFmtId="0" fontId="14501" fillId="14506" borderId="14429" applyAlignment="1" pivotButton="0" quotePrefix="0" xfId="0">
      <alignment horizontal="center"/>
    </xf>
    <xf numFmtId="14" fontId="14502" fillId="14507" borderId="14430" pivotButton="0" quotePrefix="0" xfId="0"/>
    <xf numFmtId="0" fontId="14503" fillId="14508" borderId="14431" applyAlignment="1" pivotButton="0" quotePrefix="0" xfId="0">
      <alignment horizontal="center"/>
    </xf>
    <xf numFmtId="0" fontId="14504" fillId="14509" borderId="14432" pivotButton="0" quotePrefix="0" xfId="0"/>
    <xf numFmtId="0" fontId="14505" fillId="14510" borderId="14433" pivotButton="0" quotePrefix="0" xfId="0"/>
    <xf numFmtId="166" fontId="14506" fillId="14511" borderId="14434" pivotButton="0" quotePrefix="0" xfId="0"/>
    <xf numFmtId="166" fontId="14507" fillId="14512" borderId="14435" pivotButton="0" quotePrefix="0" xfId="0"/>
    <xf numFmtId="168" fontId="14508" fillId="14513" borderId="14436" pivotButton="0" quotePrefix="0" xfId="0"/>
    <xf numFmtId="167" fontId="14509" fillId="14514" borderId="14437" pivotButton="0" quotePrefix="0" xfId="0"/>
    <xf numFmtId="166" fontId="14510" fillId="14515" borderId="14438" pivotButton="0" quotePrefix="0" xfId="0"/>
    <xf numFmtId="0" fontId="14511" fillId="14516" borderId="14439" applyAlignment="1" pivotButton="0" quotePrefix="0" xfId="0">
      <alignment horizontal="center"/>
    </xf>
    <xf numFmtId="0" fontId="14512" fillId="14517" borderId="14440" applyAlignment="1" pivotButton="0" quotePrefix="0" xfId="0">
      <alignment horizontal="center"/>
    </xf>
    <xf numFmtId="0" fontId="14513" fillId="14518" borderId="14441" pivotButton="0" quotePrefix="0" xfId="0"/>
    <xf numFmtId="166" fontId="14514" fillId="14519" borderId="14442" pivotButton="0" quotePrefix="0" xfId="0"/>
    <xf numFmtId="0" fontId="14515" fillId="14520" borderId="14443" pivotButton="0" quotePrefix="0" xfId="0"/>
    <xf numFmtId="0" fontId="14516" fillId="14521" borderId="14444" applyAlignment="1" pivotButton="0" quotePrefix="0" xfId="0">
      <alignment horizontal="center"/>
    </xf>
    <xf numFmtId="14" fontId="14517" fillId="14522" borderId="14445" pivotButton="0" quotePrefix="0" xfId="0"/>
    <xf numFmtId="0" fontId="14518" fillId="14523" borderId="14446" applyAlignment="1" pivotButton="0" quotePrefix="0" xfId="0">
      <alignment horizontal="center"/>
    </xf>
    <xf numFmtId="0" fontId="14519" fillId="14524" borderId="14447" pivotButton="0" quotePrefix="0" xfId="0"/>
    <xf numFmtId="0" fontId="14520" fillId="14525" borderId="14448" pivotButton="0" quotePrefix="0" xfId="0"/>
    <xf numFmtId="166" fontId="14521" fillId="14526" borderId="14449" pivotButton="0" quotePrefix="0" xfId="0"/>
    <xf numFmtId="166" fontId="14522" fillId="14527" borderId="14450" pivotButton="0" quotePrefix="0" xfId="0"/>
    <xf numFmtId="168" fontId="14523" fillId="14528" borderId="14451" pivotButton="0" quotePrefix="0" xfId="0"/>
    <xf numFmtId="167" fontId="14524" fillId="14529" borderId="14452" pivotButton="0" quotePrefix="0" xfId="0"/>
    <xf numFmtId="166" fontId="14525" fillId="14530" borderId="14453" pivotButton="0" quotePrefix="0" xfId="0"/>
    <xf numFmtId="0" fontId="14526" fillId="14531" borderId="14454" applyAlignment="1" pivotButton="0" quotePrefix="0" xfId="0">
      <alignment horizontal="center"/>
    </xf>
    <xf numFmtId="0" fontId="14527" fillId="14532" borderId="14455" applyAlignment="1" pivotButton="0" quotePrefix="0" xfId="0">
      <alignment horizontal="center"/>
    </xf>
    <xf numFmtId="0" fontId="14528" fillId="14533" borderId="14456" pivotButton="0" quotePrefix="0" xfId="0"/>
    <xf numFmtId="166" fontId="14529" fillId="14534" borderId="14457" pivotButton="0" quotePrefix="0" xfId="0"/>
    <xf numFmtId="0" fontId="14530" fillId="14535" borderId="14458" pivotButton="0" quotePrefix="0" xfId="0"/>
    <xf numFmtId="0" fontId="14531" fillId="14536" borderId="14459" applyAlignment="1" pivotButton="0" quotePrefix="0" xfId="0">
      <alignment horizontal="center"/>
    </xf>
    <xf numFmtId="14" fontId="14532" fillId="14537" borderId="14460" pivotButton="0" quotePrefix="0" xfId="0"/>
    <xf numFmtId="0" fontId="14533" fillId="14538" borderId="14461" applyAlignment="1" pivotButton="0" quotePrefix="0" xfId="0">
      <alignment horizontal="center"/>
    </xf>
    <xf numFmtId="0" fontId="14534" fillId="14539" borderId="14462" pivotButton="0" quotePrefix="0" xfId="0"/>
    <xf numFmtId="0" fontId="14535" fillId="14540" borderId="14463" pivotButton="0" quotePrefix="0" xfId="0"/>
    <xf numFmtId="166" fontId="14536" fillId="14541" borderId="14464" pivotButton="0" quotePrefix="0" xfId="0"/>
    <xf numFmtId="166" fontId="14537" fillId="14542" borderId="14465" pivotButton="0" quotePrefix="0" xfId="0"/>
    <xf numFmtId="168" fontId="14538" fillId="14543" borderId="14466" pivotButton="0" quotePrefix="0" xfId="0"/>
    <xf numFmtId="167" fontId="14539" fillId="14544" borderId="14467" pivotButton="0" quotePrefix="0" xfId="0"/>
    <xf numFmtId="166" fontId="14540" fillId="14545" borderId="14468" pivotButton="0" quotePrefix="0" xfId="0"/>
    <xf numFmtId="0" fontId="14541" fillId="14546" borderId="14469" applyAlignment="1" pivotButton="0" quotePrefix="0" xfId="0">
      <alignment horizontal="center"/>
    </xf>
    <xf numFmtId="0" fontId="14542" fillId="14547" borderId="14470" applyAlignment="1" pivotButton="0" quotePrefix="0" xfId="0">
      <alignment horizontal="center"/>
    </xf>
    <xf numFmtId="0" fontId="14543" fillId="14548" borderId="14471" pivotButton="0" quotePrefix="0" xfId="0"/>
    <xf numFmtId="166" fontId="14544" fillId="14549" borderId="14472" pivotButton="0" quotePrefix="0" xfId="0"/>
    <xf numFmtId="0" fontId="14545" fillId="14550" borderId="14473" pivotButton="0" quotePrefix="0" xfId="0"/>
    <xf numFmtId="0" fontId="14546" fillId="14551" borderId="14474" applyAlignment="1" pivotButton="0" quotePrefix="0" xfId="0">
      <alignment horizontal="center"/>
    </xf>
    <xf numFmtId="14" fontId="14547" fillId="14552" borderId="14475" pivotButton="0" quotePrefix="0" xfId="0"/>
    <xf numFmtId="0" fontId="14548" fillId="14553" borderId="14476" applyAlignment="1" pivotButton="0" quotePrefix="0" xfId="0">
      <alignment horizontal="center"/>
    </xf>
    <xf numFmtId="0" fontId="14549" fillId="14554" borderId="14477" pivotButton="0" quotePrefix="0" xfId="0"/>
    <xf numFmtId="0" fontId="14550" fillId="14555" borderId="14478" pivotButton="0" quotePrefix="0" xfId="0"/>
    <xf numFmtId="166" fontId="14551" fillId="14556" borderId="14479" pivotButton="0" quotePrefix="0" xfId="0"/>
    <xf numFmtId="166" fontId="14552" fillId="14557" borderId="14480" pivotButton="0" quotePrefix="0" xfId="0"/>
    <xf numFmtId="168" fontId="14553" fillId="14558" borderId="14481" pivotButton="0" quotePrefix="0" xfId="0"/>
    <xf numFmtId="167" fontId="14554" fillId="14559" borderId="14482" pivotButton="0" quotePrefix="0" xfId="0"/>
    <xf numFmtId="166" fontId="14555" fillId="14560" borderId="14483" pivotButton="0" quotePrefix="0" xfId="0"/>
    <xf numFmtId="0" fontId="14556" fillId="14561" borderId="14484" applyAlignment="1" pivotButton="0" quotePrefix="0" xfId="0">
      <alignment horizontal="center"/>
    </xf>
    <xf numFmtId="0" fontId="14557" fillId="14562" borderId="14485" applyAlignment="1" pivotButton="0" quotePrefix="0" xfId="0">
      <alignment horizontal="center"/>
    </xf>
    <xf numFmtId="0" fontId="14558" fillId="14563" borderId="14486" pivotButton="0" quotePrefix="0" xfId="0"/>
    <xf numFmtId="166" fontId="14559" fillId="14564" borderId="14487" pivotButton="0" quotePrefix="0" xfId="0"/>
    <xf numFmtId="0" fontId="14560" fillId="14565" borderId="14488" pivotButton="0" quotePrefix="0" xfId="0"/>
    <xf numFmtId="0" fontId="14561" fillId="14566" borderId="14489" applyAlignment="1" pivotButton="0" quotePrefix="0" xfId="0">
      <alignment horizontal="center"/>
    </xf>
    <xf numFmtId="14" fontId="14562" fillId="14567" borderId="14490" pivotButton="0" quotePrefix="0" xfId="0"/>
    <xf numFmtId="0" fontId="14563" fillId="14568" borderId="14491" applyAlignment="1" pivotButton="0" quotePrefix="0" xfId="0">
      <alignment horizontal="center"/>
    </xf>
    <xf numFmtId="0" fontId="14564" fillId="14569" borderId="14492" pivotButton="0" quotePrefix="0" xfId="0"/>
    <xf numFmtId="0" fontId="14565" fillId="14570" borderId="14493" pivotButton="0" quotePrefix="0" xfId="0"/>
    <xf numFmtId="166" fontId="14566" fillId="14571" borderId="14494" pivotButton="0" quotePrefix="0" xfId="0"/>
    <xf numFmtId="166" fontId="14567" fillId="14572" borderId="14495" pivotButton="0" quotePrefix="0" xfId="0"/>
    <xf numFmtId="168" fontId="14568" fillId="14573" borderId="14496" pivotButton="0" quotePrefix="0" xfId="0"/>
    <xf numFmtId="167" fontId="14569" fillId="14574" borderId="14497" pivotButton="0" quotePrefix="0" xfId="0"/>
    <xf numFmtId="166" fontId="14570" fillId="14575" borderId="14498" pivotButton="0" quotePrefix="0" xfId="0"/>
    <xf numFmtId="0" fontId="14571" fillId="14576" borderId="14499" applyAlignment="1" pivotButton="0" quotePrefix="0" xfId="0">
      <alignment horizontal="center"/>
    </xf>
    <xf numFmtId="0" fontId="14572" fillId="14577" borderId="14500" applyAlignment="1" pivotButton="0" quotePrefix="0" xfId="0">
      <alignment horizontal="center"/>
    </xf>
    <xf numFmtId="0" fontId="14573" fillId="14578" borderId="14501" pivotButton="0" quotePrefix="0" xfId="0"/>
    <xf numFmtId="166" fontId="14574" fillId="14579" borderId="14502" pivotButton="0" quotePrefix="0" xfId="0"/>
    <xf numFmtId="0" fontId="14575" fillId="14580" borderId="14503" pivotButton="0" quotePrefix="0" xfId="0"/>
    <xf numFmtId="0" fontId="14576" fillId="14581" borderId="14504" applyAlignment="1" pivotButton="0" quotePrefix="0" xfId="0">
      <alignment horizontal="center"/>
    </xf>
    <xf numFmtId="14" fontId="14577" fillId="14582" borderId="14505" pivotButton="0" quotePrefix="0" xfId="0"/>
    <xf numFmtId="0" fontId="14578" fillId="14583" borderId="14506" applyAlignment="1" pivotButton="0" quotePrefix="0" xfId="0">
      <alignment horizontal="center"/>
    </xf>
    <xf numFmtId="0" fontId="14579" fillId="14584" borderId="14507" pivotButton="0" quotePrefix="0" xfId="0"/>
    <xf numFmtId="0" fontId="14580" fillId="14585" borderId="14508" pivotButton="0" quotePrefix="0" xfId="0"/>
    <xf numFmtId="166" fontId="14581" fillId="14586" borderId="14509" pivotButton="0" quotePrefix="0" xfId="0"/>
    <xf numFmtId="166" fontId="14582" fillId="14587" borderId="14510" pivotButton="0" quotePrefix="0" xfId="0"/>
    <xf numFmtId="168" fontId="14583" fillId="14588" borderId="14511" pivotButton="0" quotePrefix="0" xfId="0"/>
    <xf numFmtId="167" fontId="14584" fillId="14589" borderId="14512" pivotButton="0" quotePrefix="0" xfId="0"/>
    <xf numFmtId="166" fontId="14585" fillId="14590" borderId="14513" pivotButton="0" quotePrefix="0" xfId="0"/>
    <xf numFmtId="0" fontId="14586" fillId="14591" borderId="14514" applyAlignment="1" pivotButton="0" quotePrefix="0" xfId="0">
      <alignment horizontal="center"/>
    </xf>
    <xf numFmtId="0" fontId="14587" fillId="14592" borderId="14515" applyAlignment="1" pivotButton="0" quotePrefix="0" xfId="0">
      <alignment horizontal="center"/>
    </xf>
    <xf numFmtId="0" fontId="14588" fillId="14593" borderId="14516" pivotButton="0" quotePrefix="0" xfId="0"/>
    <xf numFmtId="166" fontId="14589" fillId="14594" borderId="14517" pivotButton="0" quotePrefix="0" xfId="0"/>
    <xf numFmtId="0" fontId="14590" fillId="14595" borderId="14518" pivotButton="0" quotePrefix="0" xfId="0"/>
    <xf numFmtId="0" fontId="14591" fillId="14596" borderId="14519" applyAlignment="1" pivotButton="0" quotePrefix="0" xfId="0">
      <alignment horizontal="center"/>
    </xf>
    <xf numFmtId="14" fontId="14592" fillId="14597" borderId="14520" pivotButton="0" quotePrefix="0" xfId="0"/>
    <xf numFmtId="0" fontId="14593" fillId="14598" borderId="14521" applyAlignment="1" pivotButton="0" quotePrefix="0" xfId="0">
      <alignment horizontal="center"/>
    </xf>
    <xf numFmtId="0" fontId="14594" fillId="14599" borderId="14522" pivotButton="0" quotePrefix="0" xfId="0"/>
    <xf numFmtId="0" fontId="14595" fillId="14600" borderId="14523" pivotButton="0" quotePrefix="0" xfId="0"/>
    <xf numFmtId="166" fontId="14596" fillId="14601" borderId="14524" pivotButton="0" quotePrefix="0" xfId="0"/>
    <xf numFmtId="166" fontId="14597" fillId="14602" borderId="14525" pivotButton="0" quotePrefix="0" xfId="0"/>
    <xf numFmtId="168" fontId="14598" fillId="14603" borderId="14526" pivotButton="0" quotePrefix="0" xfId="0"/>
    <xf numFmtId="167" fontId="14599" fillId="14604" borderId="14527" pivotButton="0" quotePrefix="0" xfId="0"/>
    <xf numFmtId="166" fontId="14600" fillId="14605" borderId="14528" pivotButton="0" quotePrefix="0" xfId="0"/>
    <xf numFmtId="0" fontId="14601" fillId="14606" borderId="14529" applyAlignment="1" pivotButton="0" quotePrefix="0" xfId="0">
      <alignment horizontal="center"/>
    </xf>
    <xf numFmtId="0" fontId="14602" fillId="14607" borderId="14530" applyAlignment="1" pivotButton="0" quotePrefix="0" xfId="0">
      <alignment horizontal="center"/>
    </xf>
    <xf numFmtId="0" fontId="14603" fillId="14608" borderId="14531" pivotButton="0" quotePrefix="0" xfId="0"/>
    <xf numFmtId="166" fontId="14604" fillId="14609" borderId="14532" pivotButton="0" quotePrefix="0" xfId="0"/>
    <xf numFmtId="0" fontId="14605" fillId="14610" borderId="14533" pivotButton="0" quotePrefix="0" xfId="0"/>
    <xf numFmtId="0" fontId="14606" fillId="14611" borderId="14534" applyAlignment="1" pivotButton="0" quotePrefix="0" xfId="0">
      <alignment horizontal="center"/>
    </xf>
    <xf numFmtId="14" fontId="14607" fillId="14612" borderId="14535" pivotButton="0" quotePrefix="0" xfId="0"/>
    <xf numFmtId="0" fontId="14608" fillId="14613" borderId="14536" applyAlignment="1" pivotButton="0" quotePrefix="0" xfId="0">
      <alignment horizontal="center"/>
    </xf>
    <xf numFmtId="0" fontId="14609" fillId="14614" borderId="14537" pivotButton="0" quotePrefix="0" xfId="0"/>
    <xf numFmtId="0" fontId="14610" fillId="14615" borderId="14538" pivotButton="0" quotePrefix="0" xfId="0"/>
    <xf numFmtId="166" fontId="14611" fillId="14616" borderId="14539" pivotButton="0" quotePrefix="0" xfId="0"/>
    <xf numFmtId="166" fontId="14612" fillId="14617" borderId="14540" pivotButton="0" quotePrefix="0" xfId="0"/>
    <xf numFmtId="168" fontId="14613" fillId="14618" borderId="14541" pivotButton="0" quotePrefix="0" xfId="0"/>
    <xf numFmtId="167" fontId="14614" fillId="14619" borderId="14542" pivotButton="0" quotePrefix="0" xfId="0"/>
    <xf numFmtId="166" fontId="14615" fillId="14620" borderId="14543" pivotButton="0" quotePrefix="0" xfId="0"/>
    <xf numFmtId="0" fontId="14616" fillId="14621" borderId="14544" applyAlignment="1" pivotButton="0" quotePrefix="0" xfId="0">
      <alignment horizontal="center"/>
    </xf>
    <xf numFmtId="0" fontId="14617" fillId="14622" borderId="14545" applyAlignment="1" pivotButton="0" quotePrefix="0" xfId="0">
      <alignment horizontal="center"/>
    </xf>
    <xf numFmtId="0" fontId="14618" fillId="14623" borderId="14546" pivotButton="0" quotePrefix="0" xfId="0"/>
    <xf numFmtId="166" fontId="14619" fillId="14624" borderId="14547" pivotButton="0" quotePrefix="0" xfId="0"/>
    <xf numFmtId="0" fontId="14620" fillId="14625" borderId="14548" pivotButton="0" quotePrefix="0" xfId="0"/>
    <xf numFmtId="0" fontId="14621" fillId="14626" borderId="14549" applyAlignment="1" pivotButton="0" quotePrefix="0" xfId="0">
      <alignment horizontal="center"/>
    </xf>
    <xf numFmtId="14" fontId="14622" fillId="14627" borderId="14550" pivotButton="0" quotePrefix="0" xfId="0"/>
    <xf numFmtId="0" fontId="14623" fillId="14628" borderId="14551" applyAlignment="1" pivotButton="0" quotePrefix="0" xfId="0">
      <alignment horizontal="center"/>
    </xf>
    <xf numFmtId="0" fontId="14624" fillId="14629" borderId="14552" pivotButton="0" quotePrefix="0" xfId="0"/>
    <xf numFmtId="0" fontId="14625" fillId="14630" borderId="14553" pivotButton="0" quotePrefix="0" xfId="0"/>
    <xf numFmtId="166" fontId="14626" fillId="14631" borderId="14554" pivotButton="0" quotePrefix="0" xfId="0"/>
    <xf numFmtId="166" fontId="14627" fillId="14632" borderId="14555" pivotButton="0" quotePrefix="0" xfId="0"/>
    <xf numFmtId="168" fontId="14628" fillId="14633" borderId="14556" pivotButton="0" quotePrefix="0" xfId="0"/>
    <xf numFmtId="167" fontId="14629" fillId="14634" borderId="14557" pivotButton="0" quotePrefix="0" xfId="0"/>
    <xf numFmtId="166" fontId="14630" fillId="14635" borderId="14558" pivotButton="0" quotePrefix="0" xfId="0"/>
    <xf numFmtId="0" fontId="14631" fillId="14636" borderId="14559" applyAlignment="1" pivotButton="0" quotePrefix="0" xfId="0">
      <alignment horizontal="center"/>
    </xf>
    <xf numFmtId="0" fontId="14632" fillId="14637" borderId="14560" applyAlignment="1" pivotButton="0" quotePrefix="0" xfId="0">
      <alignment horizontal="center"/>
    </xf>
    <xf numFmtId="0" fontId="14633" fillId="14638" borderId="14561" pivotButton="0" quotePrefix="0" xfId="0"/>
    <xf numFmtId="166" fontId="14634" fillId="14639" borderId="14562" pivotButton="0" quotePrefix="0" xfId="0"/>
    <xf numFmtId="0" fontId="14635" fillId="14640" borderId="14563" pivotButton="0" quotePrefix="0" xfId="0"/>
    <xf numFmtId="0" fontId="14636" fillId="14641" borderId="14564" applyAlignment="1" pivotButton="0" quotePrefix="0" xfId="0">
      <alignment horizontal="center"/>
    </xf>
    <xf numFmtId="14" fontId="14637" fillId="14642" borderId="14565" pivotButton="0" quotePrefix="0" xfId="0"/>
    <xf numFmtId="0" fontId="14638" fillId="14643" borderId="14566" applyAlignment="1" pivotButton="0" quotePrefix="0" xfId="0">
      <alignment horizontal="center"/>
    </xf>
    <xf numFmtId="0" fontId="14639" fillId="14644" borderId="14567" pivotButton="0" quotePrefix="0" xfId="0"/>
    <xf numFmtId="0" fontId="14640" fillId="14645" borderId="14568" pivotButton="0" quotePrefix="0" xfId="0"/>
    <xf numFmtId="166" fontId="14641" fillId="14646" borderId="14569" pivotButton="0" quotePrefix="0" xfId="0"/>
    <xf numFmtId="166" fontId="14642" fillId="14647" borderId="14570" pivotButton="0" quotePrefix="0" xfId="0"/>
    <xf numFmtId="168" fontId="14643" fillId="14648" borderId="14571" pivotButton="0" quotePrefix="0" xfId="0"/>
    <xf numFmtId="167" fontId="14644" fillId="14649" borderId="14572" pivotButton="0" quotePrefix="0" xfId="0"/>
    <xf numFmtId="166" fontId="14645" fillId="14650" borderId="14573" pivotButton="0" quotePrefix="0" xfId="0"/>
    <xf numFmtId="0" fontId="14646" fillId="14651" borderId="14574" applyAlignment="1" pivotButton="0" quotePrefix="0" xfId="0">
      <alignment horizontal="center"/>
    </xf>
    <xf numFmtId="0" fontId="14647" fillId="14652" borderId="14575" applyAlignment="1" pivotButton="0" quotePrefix="0" xfId="0">
      <alignment horizontal="center"/>
    </xf>
    <xf numFmtId="0" fontId="14648" fillId="14653" borderId="14576" pivotButton="0" quotePrefix="0" xfId="0"/>
    <xf numFmtId="166" fontId="14649" fillId="14654" borderId="14577" pivotButton="0" quotePrefix="0" xfId="0"/>
    <xf numFmtId="0" fontId="14650" fillId="14655" borderId="14578" pivotButton="0" quotePrefix="0" xfId="0"/>
    <xf numFmtId="0" fontId="14651" fillId="14656" borderId="14579" applyAlignment="1" pivotButton="0" quotePrefix="0" xfId="0">
      <alignment horizontal="center"/>
    </xf>
    <xf numFmtId="14" fontId="14652" fillId="14657" borderId="14580" pivotButton="0" quotePrefix="0" xfId="0"/>
    <xf numFmtId="0" fontId="14653" fillId="14658" borderId="14581" applyAlignment="1" pivotButton="0" quotePrefix="0" xfId="0">
      <alignment horizontal="center"/>
    </xf>
    <xf numFmtId="0" fontId="14654" fillId="14659" borderId="14582" pivotButton="0" quotePrefix="0" xfId="0"/>
    <xf numFmtId="0" fontId="14655" fillId="14660" borderId="14583" pivotButton="0" quotePrefix="0" xfId="0"/>
    <xf numFmtId="166" fontId="14656" fillId="14661" borderId="14584" pivotButton="0" quotePrefix="0" xfId="0"/>
    <xf numFmtId="166" fontId="14657" fillId="14662" borderId="14585" pivotButton="0" quotePrefix="0" xfId="0"/>
    <xf numFmtId="168" fontId="14658" fillId="14663" borderId="14586" pivotButton="0" quotePrefix="0" xfId="0"/>
    <xf numFmtId="167" fontId="14659" fillId="14664" borderId="14587" pivotButton="0" quotePrefix="0" xfId="0"/>
    <xf numFmtId="166" fontId="14660" fillId="14665" borderId="14588" pivotButton="0" quotePrefix="0" xfId="0"/>
    <xf numFmtId="0" fontId="14661" fillId="14666" borderId="14589" applyAlignment="1" pivotButton="0" quotePrefix="0" xfId="0">
      <alignment horizontal="center"/>
    </xf>
    <xf numFmtId="0" fontId="14662" fillId="14667" borderId="14590" applyAlignment="1" pivotButton="0" quotePrefix="0" xfId="0">
      <alignment horizontal="center"/>
    </xf>
    <xf numFmtId="0" fontId="14663" fillId="14668" borderId="14591" pivotButton="0" quotePrefix="0" xfId="0"/>
    <xf numFmtId="166" fontId="14664" fillId="14669" borderId="14592" pivotButton="0" quotePrefix="0" xfId="0"/>
    <xf numFmtId="0" fontId="14665" fillId="14670" borderId="14593" pivotButton="0" quotePrefix="0" xfId="0"/>
    <xf numFmtId="0" fontId="14666" fillId="14671" borderId="14594" applyAlignment="1" pivotButton="0" quotePrefix="0" xfId="0">
      <alignment horizontal="center"/>
    </xf>
    <xf numFmtId="14" fontId="14667" fillId="14672" borderId="14595" pivotButton="0" quotePrefix="0" xfId="0"/>
    <xf numFmtId="0" fontId="14668" fillId="14673" borderId="14596" applyAlignment="1" pivotButton="0" quotePrefix="0" xfId="0">
      <alignment horizontal="center"/>
    </xf>
    <xf numFmtId="0" fontId="14669" fillId="14674" borderId="14597" pivotButton="0" quotePrefix="0" xfId="0"/>
    <xf numFmtId="0" fontId="14670" fillId="14675" borderId="14598" pivotButton="0" quotePrefix="0" xfId="0"/>
    <xf numFmtId="166" fontId="14671" fillId="14676" borderId="14599" pivotButton="0" quotePrefix="0" xfId="0"/>
    <xf numFmtId="166" fontId="14672" fillId="14677" borderId="14600" pivotButton="0" quotePrefix="0" xfId="0"/>
    <xf numFmtId="168" fontId="14673" fillId="14678" borderId="14601" pivotButton="0" quotePrefix="0" xfId="0"/>
    <xf numFmtId="167" fontId="14674" fillId="14679" borderId="14602" pivotButton="0" quotePrefix="0" xfId="0"/>
    <xf numFmtId="166" fontId="14675" fillId="14680" borderId="14603" pivotButton="0" quotePrefix="0" xfId="0"/>
    <xf numFmtId="0" fontId="14676" fillId="14681" borderId="14604" applyAlignment="1" pivotButton="0" quotePrefix="0" xfId="0">
      <alignment horizontal="center"/>
    </xf>
    <xf numFmtId="0" fontId="14677" fillId="14682" borderId="14605" applyAlignment="1" pivotButton="0" quotePrefix="0" xfId="0">
      <alignment horizontal="center"/>
    </xf>
    <xf numFmtId="0" fontId="14678" fillId="14683" borderId="14606" pivotButton="0" quotePrefix="0" xfId="0"/>
    <xf numFmtId="166" fontId="14679" fillId="14684" borderId="14607" pivotButton="0" quotePrefix="0" xfId="0"/>
    <xf numFmtId="0" fontId="14680" fillId="14685" borderId="14608" pivotButton="0" quotePrefix="0" xfId="0"/>
    <xf numFmtId="0" fontId="14681" fillId="14686" borderId="14609" applyAlignment="1" pivotButton="0" quotePrefix="0" xfId="0">
      <alignment horizontal="center"/>
    </xf>
    <xf numFmtId="14" fontId="14682" fillId="14687" borderId="14610" pivotButton="0" quotePrefix="0" xfId="0"/>
    <xf numFmtId="0" fontId="14683" fillId="14688" borderId="14611" applyAlignment="1" pivotButton="0" quotePrefix="0" xfId="0">
      <alignment horizontal="center"/>
    </xf>
    <xf numFmtId="0" fontId="14684" fillId="14689" borderId="14612" pivotButton="0" quotePrefix="0" xfId="0"/>
    <xf numFmtId="0" fontId="14685" fillId="14690" borderId="14613" pivotButton="0" quotePrefix="0" xfId="0"/>
    <xf numFmtId="166" fontId="14686" fillId="14691" borderId="14614" pivotButton="0" quotePrefix="0" xfId="0"/>
    <xf numFmtId="166" fontId="14687" fillId="14692" borderId="14615" pivotButton="0" quotePrefix="0" xfId="0"/>
    <xf numFmtId="168" fontId="14688" fillId="14693" borderId="14616" pivotButton="0" quotePrefix="0" xfId="0"/>
    <xf numFmtId="167" fontId="14689" fillId="14694" borderId="14617" pivotButton="0" quotePrefix="0" xfId="0"/>
    <xf numFmtId="166" fontId="14690" fillId="14695" borderId="14618" pivotButton="0" quotePrefix="0" xfId="0"/>
    <xf numFmtId="0" fontId="14691" fillId="14696" borderId="14619" applyAlignment="1" pivotButton="0" quotePrefix="0" xfId="0">
      <alignment horizontal="center"/>
    </xf>
    <xf numFmtId="0" fontId="14692" fillId="14697" borderId="14620" applyAlignment="1" pivotButton="0" quotePrefix="0" xfId="0">
      <alignment horizontal="center"/>
    </xf>
    <xf numFmtId="0" fontId="14693" fillId="14698" borderId="14621" pivotButton="0" quotePrefix="0" xfId="0"/>
    <xf numFmtId="166" fontId="14694" fillId="14699" borderId="14622" pivotButton="0" quotePrefix="0" xfId="0"/>
    <xf numFmtId="0" fontId="14695" fillId="14700" borderId="14623" pivotButton="0" quotePrefix="0" xfId="0"/>
    <xf numFmtId="0" fontId="14696" fillId="14701" borderId="14624" applyAlignment="1" pivotButton="0" quotePrefix="0" xfId="0">
      <alignment horizontal="center"/>
    </xf>
    <xf numFmtId="14" fontId="14697" fillId="14702" borderId="14625" pivotButton="0" quotePrefix="0" xfId="0"/>
    <xf numFmtId="0" fontId="14698" fillId="14703" borderId="14626" applyAlignment="1" pivotButton="0" quotePrefix="0" xfId="0">
      <alignment horizontal="center"/>
    </xf>
    <xf numFmtId="0" fontId="14699" fillId="14704" borderId="14627" pivotButton="0" quotePrefix="0" xfId="0"/>
    <xf numFmtId="0" fontId="14700" fillId="14705" borderId="14628" pivotButton="0" quotePrefix="0" xfId="0"/>
    <xf numFmtId="166" fontId="14701" fillId="14706" borderId="14629" pivotButton="0" quotePrefix="0" xfId="0"/>
    <xf numFmtId="166" fontId="14702" fillId="14707" borderId="14630" pivotButton="0" quotePrefix="0" xfId="0"/>
    <xf numFmtId="168" fontId="14703" fillId="14708" borderId="14631" pivotButton="0" quotePrefix="0" xfId="0"/>
    <xf numFmtId="167" fontId="14704" fillId="14709" borderId="14632" pivotButton="0" quotePrefix="0" xfId="0"/>
    <xf numFmtId="166" fontId="14705" fillId="14710" borderId="14633" pivotButton="0" quotePrefix="0" xfId="0"/>
    <xf numFmtId="0" fontId="14706" fillId="14711" borderId="14634" applyAlignment="1" pivotButton="0" quotePrefix="0" xfId="0">
      <alignment horizontal="center"/>
    </xf>
    <xf numFmtId="0" fontId="14707" fillId="14712" borderId="14635" applyAlignment="1" pivotButton="0" quotePrefix="0" xfId="0">
      <alignment horizontal="center"/>
    </xf>
    <xf numFmtId="0" fontId="14708" fillId="14713" borderId="14636" pivotButton="0" quotePrefix="0" xfId="0"/>
    <xf numFmtId="166" fontId="14709" fillId="14714" borderId="14637" pivotButton="0" quotePrefix="0" xfId="0"/>
    <xf numFmtId="0" fontId="14710" fillId="14715" borderId="14638" pivotButton="0" quotePrefix="0" xfId="0"/>
    <xf numFmtId="0" fontId="14711" fillId="14716" borderId="14639" applyAlignment="1" pivotButton="0" quotePrefix="0" xfId="0">
      <alignment horizontal="center"/>
    </xf>
    <xf numFmtId="14" fontId="14712" fillId="14717" borderId="14640" pivotButton="0" quotePrefix="0" xfId="0"/>
    <xf numFmtId="0" fontId="14713" fillId="14718" borderId="14641" applyAlignment="1" pivotButton="0" quotePrefix="0" xfId="0">
      <alignment horizontal="center"/>
    </xf>
    <xf numFmtId="0" fontId="14714" fillId="14719" borderId="14642" pivotButton="0" quotePrefix="0" xfId="0"/>
    <xf numFmtId="0" fontId="14715" fillId="14720" borderId="14643" pivotButton="0" quotePrefix="0" xfId="0"/>
    <xf numFmtId="166" fontId="14716" fillId="14721" borderId="14644" pivotButton="0" quotePrefix="0" xfId="0"/>
    <xf numFmtId="166" fontId="14717" fillId="14722" borderId="14645" pivotButton="0" quotePrefix="0" xfId="0"/>
    <xf numFmtId="168" fontId="14718" fillId="14723" borderId="14646" pivotButton="0" quotePrefix="0" xfId="0"/>
    <xf numFmtId="167" fontId="14719" fillId="14724" borderId="14647" pivotButton="0" quotePrefix="0" xfId="0"/>
    <xf numFmtId="166" fontId="14720" fillId="14725" borderId="14648" pivotButton="0" quotePrefix="0" xfId="0"/>
    <xf numFmtId="0" fontId="14721" fillId="14726" borderId="14649" applyAlignment="1" pivotButton="0" quotePrefix="0" xfId="0">
      <alignment horizontal="center"/>
    </xf>
    <xf numFmtId="0" fontId="14722" fillId="14727" borderId="14650" applyAlignment="1" pivotButton="0" quotePrefix="0" xfId="0">
      <alignment horizontal="center"/>
    </xf>
    <xf numFmtId="0" fontId="14723" fillId="14728" borderId="14651" pivotButton="0" quotePrefix="0" xfId="0"/>
    <xf numFmtId="166" fontId="14724" fillId="14729" borderId="14652" pivotButton="0" quotePrefix="0" xfId="0"/>
    <xf numFmtId="0" fontId="14725" fillId="14730" borderId="14653" pivotButton="0" quotePrefix="0" xfId="0"/>
    <xf numFmtId="0" fontId="14726" fillId="14731" borderId="14654" applyAlignment="1" pivotButton="0" quotePrefix="0" xfId="0">
      <alignment horizontal="center"/>
    </xf>
    <xf numFmtId="14" fontId="14727" fillId="14732" borderId="14655" pivotButton="0" quotePrefix="0" xfId="0"/>
    <xf numFmtId="0" fontId="14728" fillId="14733" borderId="14656" applyAlignment="1" pivotButton="0" quotePrefix="0" xfId="0">
      <alignment horizontal="center"/>
    </xf>
    <xf numFmtId="0" fontId="14729" fillId="14734" borderId="14657" pivotButton="0" quotePrefix="0" xfId="0"/>
    <xf numFmtId="0" fontId="14730" fillId="14735" borderId="14658" pivotButton="0" quotePrefix="0" xfId="0"/>
    <xf numFmtId="166" fontId="14731" fillId="14736" borderId="14659" pivotButton="0" quotePrefix="0" xfId="0"/>
    <xf numFmtId="166" fontId="14732" fillId="14737" borderId="14660" pivotButton="0" quotePrefix="0" xfId="0"/>
    <xf numFmtId="168" fontId="14733" fillId="14738" borderId="14661" pivotButton="0" quotePrefix="0" xfId="0"/>
    <xf numFmtId="167" fontId="14734" fillId="14739" borderId="14662" pivotButton="0" quotePrefix="0" xfId="0"/>
    <xf numFmtId="166" fontId="14735" fillId="14740" borderId="14663" pivotButton="0" quotePrefix="0" xfId="0"/>
    <xf numFmtId="0" fontId="14736" fillId="14741" borderId="14664" applyAlignment="1" pivotButton="0" quotePrefix="0" xfId="0">
      <alignment horizontal="center"/>
    </xf>
    <xf numFmtId="0" fontId="14737" fillId="14742" borderId="14665" applyAlignment="1" pivotButton="0" quotePrefix="0" xfId="0">
      <alignment horizontal="center"/>
    </xf>
    <xf numFmtId="0" fontId="14738" fillId="14743" borderId="14666" pivotButton="0" quotePrefix="0" xfId="0"/>
    <xf numFmtId="166" fontId="14739" fillId="14744" borderId="14667" pivotButton="0" quotePrefix="0" xfId="0"/>
    <xf numFmtId="0" fontId="14740" fillId="14745" borderId="14668" pivotButton="0" quotePrefix="0" xfId="0"/>
    <xf numFmtId="0" fontId="14741" fillId="14746" borderId="14669" applyAlignment="1" pivotButton="0" quotePrefix="0" xfId="0">
      <alignment horizontal="center"/>
    </xf>
    <xf numFmtId="14" fontId="14742" fillId="14747" borderId="14670" pivotButton="0" quotePrefix="0" xfId="0"/>
    <xf numFmtId="0" fontId="14743" fillId="14748" borderId="14671" applyAlignment="1" pivotButton="0" quotePrefix="0" xfId="0">
      <alignment horizontal="center"/>
    </xf>
    <xf numFmtId="0" fontId="14744" fillId="14749" borderId="14672" pivotButton="0" quotePrefix="0" xfId="0"/>
    <xf numFmtId="0" fontId="14745" fillId="14750" borderId="14673" pivotButton="0" quotePrefix="0" xfId="0"/>
    <xf numFmtId="166" fontId="14746" fillId="14751" borderId="14674" pivotButton="0" quotePrefix="0" xfId="0"/>
    <xf numFmtId="166" fontId="14747" fillId="14752" borderId="14675" pivotButton="0" quotePrefix="0" xfId="0"/>
    <xf numFmtId="168" fontId="14748" fillId="14753" borderId="14676" pivotButton="0" quotePrefix="0" xfId="0"/>
    <xf numFmtId="167" fontId="14749" fillId="14754" borderId="14677" pivotButton="0" quotePrefix="0" xfId="0"/>
    <xf numFmtId="166" fontId="14750" fillId="14755" borderId="14678" pivotButton="0" quotePrefix="0" xfId="0"/>
    <xf numFmtId="0" fontId="14751" fillId="14756" borderId="14679" applyAlignment="1" pivotButton="0" quotePrefix="0" xfId="0">
      <alignment horizontal="center"/>
    </xf>
    <xf numFmtId="0" fontId="14752" fillId="14757" borderId="14680" applyAlignment="1" pivotButton="0" quotePrefix="0" xfId="0">
      <alignment horizontal="center"/>
    </xf>
    <xf numFmtId="0" fontId="14753" fillId="14758" borderId="14681" pivotButton="0" quotePrefix="0" xfId="0"/>
    <xf numFmtId="166" fontId="14754" fillId="14759" borderId="14682" pivotButton="0" quotePrefix="0" xfId="0"/>
    <xf numFmtId="0" fontId="14755" fillId="14760" borderId="14683" pivotButton="0" quotePrefix="0" xfId="0"/>
    <xf numFmtId="0" fontId="14756" fillId="14761" borderId="14684" applyAlignment="1" pivotButton="0" quotePrefix="0" xfId="0">
      <alignment horizontal="center"/>
    </xf>
    <xf numFmtId="14" fontId="14757" fillId="14762" borderId="14685" pivotButton="0" quotePrefix="0" xfId="0"/>
    <xf numFmtId="0" fontId="14758" fillId="14763" borderId="14686" applyAlignment="1" pivotButton="0" quotePrefix="0" xfId="0">
      <alignment horizontal="center"/>
    </xf>
    <xf numFmtId="0" fontId="14759" fillId="14764" borderId="14687" pivotButton="0" quotePrefix="0" xfId="0"/>
    <xf numFmtId="0" fontId="14760" fillId="14765" borderId="14688" pivotButton="0" quotePrefix="0" xfId="0"/>
    <xf numFmtId="166" fontId="14761" fillId="14766" borderId="14689" pivotButton="0" quotePrefix="0" xfId="0"/>
    <xf numFmtId="166" fontId="14762" fillId="14767" borderId="14690" pivotButton="0" quotePrefix="0" xfId="0"/>
    <xf numFmtId="168" fontId="14763" fillId="14768" borderId="14691" pivotButton="0" quotePrefix="0" xfId="0"/>
    <xf numFmtId="167" fontId="14764" fillId="14769" borderId="14692" pivotButton="0" quotePrefix="0" xfId="0"/>
    <xf numFmtId="166" fontId="14765" fillId="14770" borderId="14693" pivotButton="0" quotePrefix="0" xfId="0"/>
    <xf numFmtId="0" fontId="14766" fillId="14771" borderId="14694" applyAlignment="1" pivotButton="0" quotePrefix="0" xfId="0">
      <alignment horizontal="center"/>
    </xf>
    <xf numFmtId="0" fontId="14767" fillId="14772" borderId="14695" applyAlignment="1" pivotButton="0" quotePrefix="0" xfId="0">
      <alignment horizontal="center"/>
    </xf>
    <xf numFmtId="0" fontId="14768" fillId="14773" borderId="14696" pivotButton="0" quotePrefix="0" xfId="0"/>
    <xf numFmtId="166" fontId="14769" fillId="14774" borderId="14697" pivotButton="0" quotePrefix="0" xfId="0"/>
    <xf numFmtId="0" fontId="14770" fillId="14775" borderId="14698" pivotButton="0" quotePrefix="0" xfId="0"/>
    <xf numFmtId="0" fontId="14771" fillId="14776" borderId="14699" applyAlignment="1" pivotButton="0" quotePrefix="0" xfId="0">
      <alignment horizontal="center"/>
    </xf>
    <xf numFmtId="14" fontId="14772" fillId="14777" borderId="14700" pivotButton="0" quotePrefix="0" xfId="0"/>
    <xf numFmtId="0" fontId="14773" fillId="14778" borderId="14701" applyAlignment="1" pivotButton="0" quotePrefix="0" xfId="0">
      <alignment horizontal="center"/>
    </xf>
    <xf numFmtId="0" fontId="14774" fillId="14779" borderId="14702" pivotButton="0" quotePrefix="0" xfId="0"/>
    <xf numFmtId="0" fontId="14775" fillId="14780" borderId="14703" pivotButton="0" quotePrefix="0" xfId="0"/>
    <xf numFmtId="166" fontId="14776" fillId="14781" borderId="14704" pivotButton="0" quotePrefix="0" xfId="0"/>
    <xf numFmtId="166" fontId="14777" fillId="14782" borderId="14705" pivotButton="0" quotePrefix="0" xfId="0"/>
    <xf numFmtId="168" fontId="14778" fillId="14783" borderId="14706" pivotButton="0" quotePrefix="0" xfId="0"/>
    <xf numFmtId="167" fontId="14779" fillId="14784" borderId="14707" pivotButton="0" quotePrefix="0" xfId="0"/>
    <xf numFmtId="166" fontId="14780" fillId="14785" borderId="14708" pivotButton="0" quotePrefix="0" xfId="0"/>
    <xf numFmtId="0" fontId="14781" fillId="14786" borderId="14709" applyAlignment="1" pivotButton="0" quotePrefix="0" xfId="0">
      <alignment horizontal="center"/>
    </xf>
    <xf numFmtId="0" fontId="14782" fillId="14787" borderId="14710" applyAlignment="1" pivotButton="0" quotePrefix="0" xfId="0">
      <alignment horizontal="center"/>
    </xf>
    <xf numFmtId="0" fontId="14783" fillId="14788" borderId="14711" pivotButton="0" quotePrefix="0" xfId="0"/>
    <xf numFmtId="166" fontId="14784" fillId="14789" borderId="14712" pivotButton="0" quotePrefix="0" xfId="0"/>
    <xf numFmtId="0" fontId="14785" fillId="14790" borderId="14713" pivotButton="0" quotePrefix="0" xfId="0"/>
    <xf numFmtId="0" fontId="14786" fillId="14791" borderId="14714" applyAlignment="1" pivotButton="0" quotePrefix="0" xfId="0">
      <alignment horizontal="center"/>
    </xf>
    <xf numFmtId="14" fontId="14787" fillId="14792" borderId="14715" pivotButton="0" quotePrefix="0" xfId="0"/>
    <xf numFmtId="0" fontId="14788" fillId="14793" borderId="14716" applyAlignment="1" pivotButton="0" quotePrefix="0" xfId="0">
      <alignment horizontal="center"/>
    </xf>
    <xf numFmtId="0" fontId="14789" fillId="14794" borderId="14717" pivotButton="0" quotePrefix="0" xfId="0"/>
    <xf numFmtId="0" fontId="14790" fillId="14795" borderId="14718" pivotButton="0" quotePrefix="0" xfId="0"/>
    <xf numFmtId="166" fontId="14791" fillId="14796" borderId="14719" pivotButton="0" quotePrefix="0" xfId="0"/>
    <xf numFmtId="166" fontId="14792" fillId="14797" borderId="14720" pivotButton="0" quotePrefix="0" xfId="0"/>
    <xf numFmtId="168" fontId="14793" fillId="14798" borderId="14721" pivotButton="0" quotePrefix="0" xfId="0"/>
    <xf numFmtId="167" fontId="14794" fillId="14799" borderId="14722" pivotButton="0" quotePrefix="0" xfId="0"/>
    <xf numFmtId="166" fontId="14795" fillId="14800" borderId="14723" pivotButton="0" quotePrefix="0" xfId="0"/>
    <xf numFmtId="0" fontId="14796" fillId="14801" borderId="14724" applyAlignment="1" pivotButton="0" quotePrefix="0" xfId="0">
      <alignment horizontal="center"/>
    </xf>
    <xf numFmtId="0" fontId="14797" fillId="14802" borderId="14725" applyAlignment="1" pivotButton="0" quotePrefix="0" xfId="0">
      <alignment horizontal="center"/>
    </xf>
    <xf numFmtId="0" fontId="14798" fillId="14803" borderId="14726" pivotButton="0" quotePrefix="0" xfId="0"/>
    <xf numFmtId="166" fontId="14799" fillId="14804" borderId="14727" pivotButton="0" quotePrefix="0" xfId="0"/>
    <xf numFmtId="0" fontId="14800" fillId="14805" borderId="14728" pivotButton="0" quotePrefix="0" xfId="0"/>
    <xf numFmtId="0" fontId="14801" fillId="14806" borderId="14729" applyAlignment="1" pivotButton="0" quotePrefix="0" xfId="0">
      <alignment horizontal="center"/>
    </xf>
    <xf numFmtId="14" fontId="14802" fillId="14807" borderId="14730" pivotButton="0" quotePrefix="0" xfId="0"/>
    <xf numFmtId="0" fontId="14803" fillId="14808" borderId="14731" applyAlignment="1" pivotButton="0" quotePrefix="0" xfId="0">
      <alignment horizontal="center"/>
    </xf>
    <xf numFmtId="0" fontId="14804" fillId="14809" borderId="14732" pivotButton="0" quotePrefix="0" xfId="0"/>
    <xf numFmtId="0" fontId="14805" fillId="14810" borderId="14733" pivotButton="0" quotePrefix="0" xfId="0"/>
    <xf numFmtId="166" fontId="14806" fillId="14811" borderId="14734" pivotButton="0" quotePrefix="0" xfId="0"/>
    <xf numFmtId="166" fontId="14807" fillId="14812" borderId="14735" pivotButton="0" quotePrefix="0" xfId="0"/>
    <xf numFmtId="168" fontId="14808" fillId="14813" borderId="14736" pivotButton="0" quotePrefix="0" xfId="0"/>
    <xf numFmtId="167" fontId="14809" fillId="14814" borderId="14737" pivotButton="0" quotePrefix="0" xfId="0"/>
    <xf numFmtId="166" fontId="14810" fillId="14815" borderId="14738" pivotButton="0" quotePrefix="0" xfId="0"/>
    <xf numFmtId="0" fontId="14811" fillId="14816" borderId="14739" applyAlignment="1" pivotButton="0" quotePrefix="0" xfId="0">
      <alignment horizontal="center"/>
    </xf>
    <xf numFmtId="0" fontId="14812" fillId="14817" borderId="14740" applyAlignment="1" pivotButton="0" quotePrefix="0" xfId="0">
      <alignment horizontal="center"/>
    </xf>
    <xf numFmtId="0" fontId="14813" fillId="14818" borderId="14741" pivotButton="0" quotePrefix="0" xfId="0"/>
    <xf numFmtId="166" fontId="14814" fillId="14819" borderId="14742" pivotButton="0" quotePrefix="0" xfId="0"/>
    <xf numFmtId="0" fontId="14815" fillId="14820" borderId="14743" pivotButton="0" quotePrefix="0" xfId="0"/>
    <xf numFmtId="0" fontId="14816" fillId="14821" borderId="14744" applyAlignment="1" pivotButton="0" quotePrefix="0" xfId="0">
      <alignment horizontal="center"/>
    </xf>
    <xf numFmtId="14" fontId="14817" fillId="14822" borderId="14745" pivotButton="0" quotePrefix="0" xfId="0"/>
    <xf numFmtId="0" fontId="14818" fillId="14823" borderId="14746" applyAlignment="1" pivotButton="0" quotePrefix="0" xfId="0">
      <alignment horizontal="center"/>
    </xf>
    <xf numFmtId="0" fontId="14819" fillId="14824" borderId="14747" pivotButton="0" quotePrefix="0" xfId="0"/>
    <xf numFmtId="0" fontId="14820" fillId="14825" borderId="14748" pivotButton="0" quotePrefix="0" xfId="0"/>
    <xf numFmtId="166" fontId="14821" fillId="14826" borderId="14749" pivotButton="0" quotePrefix="0" xfId="0"/>
    <xf numFmtId="166" fontId="14822" fillId="14827" borderId="14750" pivotButton="0" quotePrefix="0" xfId="0"/>
    <xf numFmtId="168" fontId="14823" fillId="14828" borderId="14751" pivotButton="0" quotePrefix="0" xfId="0"/>
    <xf numFmtId="167" fontId="14824" fillId="14829" borderId="14752" pivotButton="0" quotePrefix="0" xfId="0"/>
    <xf numFmtId="166" fontId="14825" fillId="14830" borderId="14753" pivotButton="0" quotePrefix="0" xfId="0"/>
    <xf numFmtId="0" fontId="14826" fillId="14831" borderId="14754" applyAlignment="1" pivotButton="0" quotePrefix="0" xfId="0">
      <alignment horizontal="center"/>
    </xf>
    <xf numFmtId="0" fontId="14827" fillId="14832" borderId="14755" applyAlignment="1" pivotButton="0" quotePrefix="0" xfId="0">
      <alignment horizontal="center"/>
    </xf>
    <xf numFmtId="0" fontId="14828" fillId="14833" borderId="14756" pivotButton="0" quotePrefix="0" xfId="0"/>
    <xf numFmtId="166" fontId="14829" fillId="14834" borderId="14757" pivotButton="0" quotePrefix="0" xfId="0"/>
    <xf numFmtId="0" fontId="14830" fillId="14835" borderId="14758" pivotButton="0" quotePrefix="0" xfId="0"/>
    <xf numFmtId="0" fontId="14831" fillId="14836" borderId="14759" applyAlignment="1" pivotButton="0" quotePrefix="0" xfId="0">
      <alignment horizontal="center"/>
    </xf>
    <xf numFmtId="14" fontId="14832" fillId="14837" borderId="14760" pivotButton="0" quotePrefix="0" xfId="0"/>
    <xf numFmtId="0" fontId="14833" fillId="14838" borderId="14761" applyAlignment="1" pivotButton="0" quotePrefix="0" xfId="0">
      <alignment horizontal="center"/>
    </xf>
    <xf numFmtId="0" fontId="14834" fillId="14839" borderId="14762" pivotButton="0" quotePrefix="0" xfId="0"/>
    <xf numFmtId="0" fontId="14835" fillId="14840" borderId="14763" pivotButton="0" quotePrefix="0" xfId="0"/>
    <xf numFmtId="166" fontId="14836" fillId="14841" borderId="14764" pivotButton="0" quotePrefix="0" xfId="0"/>
    <xf numFmtId="166" fontId="14837" fillId="14842" borderId="14765" pivotButton="0" quotePrefix="0" xfId="0"/>
    <xf numFmtId="168" fontId="14838" fillId="14843" borderId="14766" pivotButton="0" quotePrefix="0" xfId="0"/>
    <xf numFmtId="167" fontId="14839" fillId="14844" borderId="14767" pivotButton="0" quotePrefix="0" xfId="0"/>
    <xf numFmtId="166" fontId="14840" fillId="14845" borderId="14768" pivotButton="0" quotePrefix="0" xfId="0"/>
    <xf numFmtId="0" fontId="14841" fillId="14846" borderId="14769" applyAlignment="1" pivotButton="0" quotePrefix="0" xfId="0">
      <alignment horizontal="center"/>
    </xf>
    <xf numFmtId="0" fontId="14842" fillId="14847" borderId="14770" applyAlignment="1" pivotButton="0" quotePrefix="0" xfId="0">
      <alignment horizontal="center"/>
    </xf>
    <xf numFmtId="0" fontId="14843" fillId="14848" borderId="14771" pivotButton="0" quotePrefix="0" xfId="0"/>
    <xf numFmtId="166" fontId="14844" fillId="14849" borderId="14772" pivotButton="0" quotePrefix="0" xfId="0"/>
    <xf numFmtId="0" fontId="14845" fillId="14850" borderId="14773" pivotButton="0" quotePrefix="0" xfId="0"/>
    <xf numFmtId="0" fontId="14847" fillId="14852" borderId="14774" applyAlignment="1" pivotButton="0" quotePrefix="0" xfId="0">
      <alignment wrapText="1"/>
    </xf>
    <xf numFmtId="0" fontId="14848" fillId="14853" borderId="14775" applyAlignment="1" pivotButton="0" quotePrefix="0" xfId="0">
      <alignment wrapText="1"/>
    </xf>
    <xf numFmtId="0" fontId="14849" fillId="14854" borderId="14776" applyAlignment="1" pivotButton="0" quotePrefix="0" xfId="0">
      <alignment wrapText="1"/>
    </xf>
    <xf numFmtId="0" fontId="14850" fillId="14855" borderId="14777" applyAlignment="1" pivotButton="0" quotePrefix="0" xfId="0">
      <alignment wrapText="1"/>
    </xf>
    <xf numFmtId="0" fontId="14851" fillId="14856" borderId="14778" applyAlignment="1" pivotButton="0" quotePrefix="0" xfId="0">
      <alignment wrapText="1"/>
    </xf>
    <xf numFmtId="0" fontId="14852" fillId="14857" borderId="14779" applyAlignment="1" pivotButton="0" quotePrefix="0" xfId="0">
      <alignment wrapText="1"/>
    </xf>
    <xf numFmtId="0" fontId="14853" fillId="14858" borderId="14780" applyAlignment="1" pivotButton="0" quotePrefix="0" xfId="0">
      <alignment wrapText="1"/>
    </xf>
    <xf numFmtId="0" fontId="14854" fillId="14859" borderId="14781" applyAlignment="1" pivotButton="0" quotePrefix="0" xfId="0">
      <alignment wrapText="1"/>
    </xf>
    <xf numFmtId="0" fontId="14855" fillId="14860" borderId="14782" applyAlignment="1" pivotButton="0" quotePrefix="0" xfId="0">
      <alignment wrapText="1"/>
    </xf>
    <xf numFmtId="0" fontId="14856" fillId="14861" borderId="14783" applyAlignment="1" pivotButton="0" quotePrefix="0" xfId="0">
      <alignment wrapText="1"/>
    </xf>
    <xf numFmtId="0" fontId="14857" fillId="14862" borderId="14784" applyAlignment="1" pivotButton="0" quotePrefix="0" xfId="0">
      <alignment horizontal="center"/>
    </xf>
    <xf numFmtId="0" fontId="14858" fillId="14863" borderId="14785" pivotButton="0" quotePrefix="0" xfId="0"/>
    <xf numFmtId="0" fontId="14859" fillId="14864" borderId="14786" pivotButton="0" quotePrefix="0" xfId="0"/>
    <xf numFmtId="0" fontId="14860" fillId="14865" borderId="14787" pivotButton="0" quotePrefix="0" xfId="0"/>
    <xf numFmtId="3" fontId="14861" fillId="14866" borderId="14788" pivotButton="0" quotePrefix="0" xfId="0"/>
    <xf numFmtId="3" fontId="14862" fillId="14867" borderId="14789" pivotButton="0" quotePrefix="0" xfId="0"/>
    <xf numFmtId="14" fontId="14863" fillId="14868" borderId="14790" pivotButton="0" quotePrefix="0" xfId="0"/>
    <xf numFmtId="4" fontId="14864" fillId="14869" borderId="14791" pivotButton="0" quotePrefix="0" xfId="0"/>
    <xf numFmtId="4" fontId="14865" fillId="14870" borderId="14792" pivotButton="0" quotePrefix="0" xfId="0"/>
    <xf numFmtId="0" fontId="14866" fillId="14871" borderId="14793" pivotButton="0" quotePrefix="0" xfId="0"/>
    <xf numFmtId="0" fontId="14867" fillId="14872" borderId="14794" applyAlignment="1" pivotButton="0" quotePrefix="0" xfId="0">
      <alignment horizontal="center"/>
    </xf>
    <xf numFmtId="0" fontId="14868" fillId="14873" borderId="14795" pivotButton="0" quotePrefix="0" xfId="0"/>
    <xf numFmtId="0" fontId="14869" fillId="14874" borderId="14796" pivotButton="0" quotePrefix="0" xfId="0"/>
    <xf numFmtId="0" fontId="14870" fillId="14875" borderId="14797" pivotButton="0" quotePrefix="0" xfId="0"/>
    <xf numFmtId="3" fontId="14871" fillId="14876" borderId="14798" pivotButton="0" quotePrefix="0" xfId="0"/>
    <xf numFmtId="3" fontId="14872" fillId="14877" borderId="14799" pivotButton="0" quotePrefix="0" xfId="0"/>
    <xf numFmtId="14" fontId="14873" fillId="14878" borderId="14800" pivotButton="0" quotePrefix="0" xfId="0"/>
    <xf numFmtId="4" fontId="14874" fillId="14879" borderId="14801" pivotButton="0" quotePrefix="0" xfId="0"/>
    <xf numFmtId="4" fontId="14875" fillId="14880" borderId="14802" pivotButton="0" quotePrefix="0" xfId="0"/>
    <xf numFmtId="0" fontId="14876" fillId="14881" borderId="14803" pivotButton="0" quotePrefix="0" xfId="0"/>
    <xf numFmtId="0" fontId="14877" fillId="14882" borderId="14804" applyAlignment="1" pivotButton="0" quotePrefix="0" xfId="0">
      <alignment horizontal="center"/>
    </xf>
    <xf numFmtId="0" fontId="14878" fillId="14883" borderId="14805" pivotButton="0" quotePrefix="0" xfId="0"/>
    <xf numFmtId="0" fontId="14879" fillId="14884" borderId="14806" pivotButton="0" quotePrefix="0" xfId="0"/>
    <xf numFmtId="0" fontId="14880" fillId="14885" borderId="14807" pivotButton="0" quotePrefix="0" xfId="0"/>
    <xf numFmtId="3" fontId="14881" fillId="14886" borderId="14808" pivotButton="0" quotePrefix="0" xfId="0"/>
    <xf numFmtId="3" fontId="14882" fillId="14887" borderId="14809" pivotButton="0" quotePrefix="0" xfId="0"/>
    <xf numFmtId="14" fontId="14883" fillId="14888" borderId="14810" pivotButton="0" quotePrefix="0" xfId="0"/>
    <xf numFmtId="4" fontId="14884" fillId="14889" borderId="14811" pivotButton="0" quotePrefix="0" xfId="0"/>
    <xf numFmtId="4" fontId="14885" fillId="14890" borderId="14812" pivotButton="0" quotePrefix="0" xfId="0"/>
    <xf numFmtId="0" fontId="14886" fillId="14891" borderId="14813" pivotButton="0" quotePrefix="0" xfId="0"/>
    <xf numFmtId="0" fontId="14887" fillId="14892" borderId="14814" applyAlignment="1" pivotButton="0" quotePrefix="0" xfId="0">
      <alignment horizontal="center"/>
    </xf>
    <xf numFmtId="0" fontId="14888" fillId="14893" borderId="14815" pivotButton="0" quotePrefix="0" xfId="0"/>
    <xf numFmtId="0" fontId="14889" fillId="14894" borderId="14816" pivotButton="0" quotePrefix="0" xfId="0"/>
    <xf numFmtId="0" fontId="14890" fillId="14895" borderId="14817" pivotButton="0" quotePrefix="0" xfId="0"/>
    <xf numFmtId="3" fontId="14891" fillId="14896" borderId="14818" pivotButton="0" quotePrefix="0" xfId="0"/>
    <xf numFmtId="3" fontId="14892" fillId="14897" borderId="14819" pivotButton="0" quotePrefix="0" xfId="0"/>
    <xf numFmtId="14" fontId="14893" fillId="14898" borderId="14820" pivotButton="0" quotePrefix="0" xfId="0"/>
    <xf numFmtId="4" fontId="14894" fillId="14899" borderId="14821" pivotButton="0" quotePrefix="0" xfId="0"/>
    <xf numFmtId="4" fontId="14895" fillId="14900" borderId="14822" pivotButton="0" quotePrefix="0" xfId="0"/>
    <xf numFmtId="0" fontId="14896" fillId="14901" borderId="14823" pivotButton="0" quotePrefix="0" xfId="0"/>
    <xf numFmtId="0" fontId="14897" fillId="14902" borderId="14824" applyAlignment="1" pivotButton="0" quotePrefix="0" xfId="0">
      <alignment horizontal="center"/>
    </xf>
    <xf numFmtId="0" fontId="14898" fillId="14903" borderId="14825" pivotButton="0" quotePrefix="0" xfId="0"/>
    <xf numFmtId="0" fontId="14899" fillId="14904" borderId="14826" pivotButton="0" quotePrefix="0" xfId="0"/>
    <xf numFmtId="0" fontId="14900" fillId="14905" borderId="14827" pivotButton="0" quotePrefix="0" xfId="0"/>
    <xf numFmtId="3" fontId="14901" fillId="14906" borderId="14828" pivotButton="0" quotePrefix="0" xfId="0"/>
    <xf numFmtId="3" fontId="14902" fillId="14907" borderId="14829" pivotButton="0" quotePrefix="0" xfId="0"/>
    <xf numFmtId="14" fontId="14903" fillId="14908" borderId="14830" pivotButton="0" quotePrefix="0" xfId="0"/>
    <xf numFmtId="4" fontId="14904" fillId="14909" borderId="14831" pivotButton="0" quotePrefix="0" xfId="0"/>
    <xf numFmtId="4" fontId="14905" fillId="14910" borderId="14832" pivotButton="0" quotePrefix="0" xfId="0"/>
    <xf numFmtId="0" fontId="14906" fillId="14911" borderId="14833" pivotButton="0" quotePrefix="0" xfId="0"/>
    <xf numFmtId="0" fontId="14907" fillId="14912" borderId="14834" pivotButton="0" quotePrefix="0" xfId="0"/>
    <xf numFmtId="3" fontId="14908" fillId="14913" borderId="14835" pivotButton="0" quotePrefix="0" xfId="0"/>
    <xf numFmtId="0" fontId="15532" fillId="15538" borderId="15403" applyAlignment="1" pivotButton="0" quotePrefix="0" xfId="0">
      <alignment horizontal="center" wrapText="1"/>
    </xf>
    <xf numFmtId="0" fontId="15533" fillId="15539" borderId="15404" applyAlignment="1" pivotButton="0" quotePrefix="0" xfId="0">
      <alignment horizontal="center" wrapText="1"/>
    </xf>
    <xf numFmtId="0" fontId="15534" fillId="15540" borderId="15405" applyAlignment="1" pivotButton="0" quotePrefix="0" xfId="0">
      <alignment horizontal="center" wrapText="1"/>
    </xf>
    <xf numFmtId="0" fontId="15535" fillId="15541" borderId="15406" applyAlignment="1" pivotButton="0" quotePrefix="0" xfId="0">
      <alignment horizontal="center" wrapText="1"/>
    </xf>
    <xf numFmtId="0" fontId="15536" fillId="15542" borderId="15407" applyAlignment="1" pivotButton="0" quotePrefix="0" xfId="0">
      <alignment horizontal="center" wrapText="1"/>
    </xf>
    <xf numFmtId="166" fontId="15537" fillId="15543" borderId="15408" pivotButton="0" quotePrefix="0" xfId="0"/>
    <xf numFmtId="166" fontId="15538" fillId="15544" borderId="15409" pivotButton="0" quotePrefix="0" xfId="0"/>
    <xf numFmtId="166" fontId="15539" fillId="15545" borderId="15410" pivotButton="0" quotePrefix="0" xfId="0"/>
    <xf numFmtId="166" fontId="15540" fillId="15546" borderId="15411" pivotButton="0" quotePrefix="0" xfId="0"/>
    <xf numFmtId="166" fontId="15541" fillId="15547" borderId="15412" pivotButton="0" quotePrefix="0" xfId="0"/>
    <xf numFmtId="166" fontId="15542" fillId="15548" borderId="15413" pivotButton="0" quotePrefix="0" xfId="0"/>
    <xf numFmtId="166" fontId="15543" fillId="15549" borderId="15414" pivotButton="0" quotePrefix="0" xfId="0"/>
    <xf numFmtId="166" fontId="15544" fillId="15550" borderId="15415" pivotButton="0" quotePrefix="0" xfId="0"/>
    <xf numFmtId="166" fontId="15545" fillId="15551" borderId="15416" pivotButton="0" quotePrefix="0" xfId="0"/>
    <xf numFmtId="166" fontId="15546" fillId="15552" borderId="15417" pivotButton="0" quotePrefix="0" xfId="0"/>
    <xf numFmtId="166" fontId="15547" fillId="15553" borderId="15418" pivotButton="0" quotePrefix="0" xfId="0"/>
    <xf numFmtId="166" fontId="15548" fillId="15554" borderId="15419" pivotButton="0" quotePrefix="0" xfId="0"/>
    <xf numFmtId="166" fontId="15549" fillId="15555" borderId="15420" pivotButton="0" quotePrefix="0" xfId="0"/>
    <xf numFmtId="166" fontId="15550" fillId="15556" borderId="15421" pivotButton="0" quotePrefix="0" xfId="0"/>
    <xf numFmtId="166" fontId="15551" fillId="15557" borderId="15422" pivotButton="0" quotePrefix="0" xfId="0"/>
    <xf numFmtId="166" fontId="15552" fillId="15558" borderId="15423" pivotButton="0" quotePrefix="0" xfId="0"/>
    <xf numFmtId="166" fontId="15553" fillId="15559" borderId="15424" pivotButton="0" quotePrefix="0" xfId="0"/>
    <xf numFmtId="166" fontId="15554" fillId="15560" borderId="15425" pivotButton="0" quotePrefix="0" xfId="0"/>
    <xf numFmtId="166" fontId="15555" fillId="15561" borderId="15426" pivotButton="0" quotePrefix="0" xfId="0"/>
    <xf numFmtId="166" fontId="15556" fillId="15562" borderId="15427" pivotButton="0" quotePrefix="0" xfId="0"/>
    <xf numFmtId="166" fontId="15557" fillId="15563" borderId="15428" pivotButton="0" quotePrefix="0" xfId="0"/>
    <xf numFmtId="166" fontId="15558" fillId="15564" borderId="15429" pivotButton="0" quotePrefix="0" xfId="0"/>
    <xf numFmtId="166" fontId="15559" fillId="15565" borderId="15430" pivotButton="0" quotePrefix="0" xfId="0"/>
    <xf numFmtId="166" fontId="15560" fillId="15566" borderId="15431" pivotButton="0" quotePrefix="0" xfId="0"/>
    <xf numFmtId="166" fontId="15561" fillId="15567" borderId="15432" pivotButton="0" quotePrefix="0" xfId="0"/>
    <xf numFmtId="166" fontId="15562" fillId="15568" borderId="15433" pivotButton="0" quotePrefix="0" xfId="0"/>
    <xf numFmtId="166" fontId="15563" fillId="15569" borderId="15434" pivotButton="0" quotePrefix="0" xfId="0"/>
    <xf numFmtId="166" fontId="15564" fillId="15570" borderId="15435" pivotButton="0" quotePrefix="0" xfId="0"/>
    <xf numFmtId="166" fontId="15565" fillId="15571" borderId="15436" pivotButton="0" quotePrefix="0" xfId="0"/>
    <xf numFmtId="166" fontId="15566" fillId="15572" borderId="15437" pivotButton="0" quotePrefix="0" xfId="0"/>
    <xf numFmtId="166" fontId="15567" fillId="15573" borderId="15438" pivotButton="0" quotePrefix="0" xfId="0"/>
    <xf numFmtId="166" fontId="15568" fillId="15574" borderId="15439" pivotButton="0" quotePrefix="0" xfId="0"/>
    <xf numFmtId="166" fontId="15569" fillId="15575" borderId="15440" pivotButton="0" quotePrefix="0" xfId="0"/>
    <xf numFmtId="166" fontId="15570" fillId="15576" borderId="15441" pivotButton="0" quotePrefix="0" xfId="0"/>
    <xf numFmtId="166" fontId="15571" fillId="15577" borderId="15442" pivotButton="0" quotePrefix="0" xfId="0"/>
    <xf numFmtId="166" fontId="15572" fillId="15578" borderId="15443" pivotButton="0" quotePrefix="0" xfId="0"/>
    <xf numFmtId="166" fontId="15573" fillId="15579" borderId="15444" pivotButton="0" quotePrefix="0" xfId="0"/>
    <xf numFmtId="166" fontId="15574" fillId="15580" borderId="15445" pivotButton="0" quotePrefix="0" xfId="0"/>
    <xf numFmtId="0" fontId="15575" fillId="15581" borderId="15446" applyAlignment="1" pivotButton="0" quotePrefix="0" xfId="0">
      <alignment horizontal="center"/>
    </xf>
    <xf numFmtId="0" fontId="15576" fillId="15582" borderId="15447" pivotButton="0" quotePrefix="0" xfId="0"/>
    <xf numFmtId="4" fontId="15577" fillId="15583" borderId="15448" pivotButton="0" quotePrefix="0" xfId="0"/>
    <xf numFmtId="166" fontId="15578" fillId="15584" borderId="15449" pivotButton="0" quotePrefix="0" xfId="0"/>
    <xf numFmtId="4" fontId="15579" fillId="15585" borderId="15450" pivotButton="0" quotePrefix="0" xfId="0"/>
    <xf numFmtId="167" fontId="15580" fillId="15586" borderId="15451" pivotButton="0" quotePrefix="0" xfId="0"/>
    <xf numFmtId="166" fontId="15581" fillId="15587" borderId="15452" pivotButton="0" quotePrefix="0" xfId="0"/>
    <xf numFmtId="4" fontId="15582" fillId="15588" borderId="15453" pivotButton="0" quotePrefix="0" xfId="0"/>
    <xf numFmtId="166" fontId="15583" fillId="15589" borderId="15454" pivotButton="0" quotePrefix="0" xfId="0"/>
    <xf numFmtId="0" fontId="15584" fillId="15590" borderId="15455" applyAlignment="1" pivotButton="0" quotePrefix="0" xfId="0">
      <alignment horizontal="center"/>
    </xf>
    <xf numFmtId="0" fontId="15585" fillId="15591" borderId="15456" pivotButton="0" quotePrefix="0" xfId="0"/>
    <xf numFmtId="4" fontId="15586" fillId="15592" borderId="15457" pivotButton="0" quotePrefix="0" xfId="0"/>
    <xf numFmtId="166" fontId="15587" fillId="15593" borderId="15458" pivotButton="0" quotePrefix="0" xfId="0"/>
    <xf numFmtId="4" fontId="15588" fillId="15594" borderId="15459" pivotButton="0" quotePrefix="0" xfId="0"/>
    <xf numFmtId="167" fontId="15589" fillId="15595" borderId="15460" pivotButton="0" quotePrefix="0" xfId="0"/>
    <xf numFmtId="166" fontId="15590" fillId="15596" borderId="15461" pivotButton="0" quotePrefix="0" xfId="0"/>
    <xf numFmtId="4" fontId="15591" fillId="15597" borderId="15462" pivotButton="0" quotePrefix="0" xfId="0"/>
    <xf numFmtId="166" fontId="15592" fillId="15598" borderId="15463" pivotButton="0" quotePrefix="0" xfId="0"/>
    <xf numFmtId="0" fontId="15593" fillId="15599" borderId="15464" applyAlignment="1" pivotButton="0" quotePrefix="0" xfId="0">
      <alignment horizontal="center"/>
    </xf>
    <xf numFmtId="0" fontId="15594" fillId="15600" borderId="15465" pivotButton="0" quotePrefix="0" xfId="0"/>
    <xf numFmtId="4" fontId="15595" fillId="15601" borderId="15466" pivotButton="0" quotePrefix="0" xfId="0"/>
    <xf numFmtId="166" fontId="15596" fillId="15602" borderId="15467" pivotButton="0" quotePrefix="0" xfId="0"/>
    <xf numFmtId="4" fontId="15597" fillId="15603" borderId="15468" pivotButton="0" quotePrefix="0" xfId="0"/>
    <xf numFmtId="167" fontId="15598" fillId="15604" borderId="15469" pivotButton="0" quotePrefix="0" xfId="0"/>
    <xf numFmtId="166" fontId="15599" fillId="15605" borderId="15470" pivotButton="0" quotePrefix="0" xfId="0"/>
    <xf numFmtId="4" fontId="15600" fillId="15606" borderId="15471" pivotButton="0" quotePrefix="0" xfId="0"/>
    <xf numFmtId="166" fontId="15601" fillId="15607" borderId="15472" pivotButton="0" quotePrefix="0" xfId="0"/>
    <xf numFmtId="0" fontId="15602" fillId="15608" borderId="15473" applyAlignment="1" pivotButton="0" quotePrefix="0" xfId="0">
      <alignment horizontal="center"/>
    </xf>
    <xf numFmtId="0" fontId="15603" fillId="15609" borderId="15474" pivotButton="0" quotePrefix="0" xfId="0"/>
    <xf numFmtId="4" fontId="15604" fillId="15610" borderId="15475" pivotButton="0" quotePrefix="0" xfId="0"/>
    <xf numFmtId="166" fontId="15605" fillId="15611" borderId="15476" pivotButton="0" quotePrefix="0" xfId="0"/>
    <xf numFmtId="4" fontId="15606" fillId="15612" borderId="15477" pivotButton="0" quotePrefix="0" xfId="0"/>
    <xf numFmtId="167" fontId="15607" fillId="15613" borderId="15478" pivotButton="0" quotePrefix="0" xfId="0"/>
    <xf numFmtId="166" fontId="15608" fillId="15614" borderId="15479" pivotButton="0" quotePrefix="0" xfId="0"/>
    <xf numFmtId="4" fontId="15609" fillId="15615" borderId="15480" pivotButton="0" quotePrefix="0" xfId="0"/>
    <xf numFmtId="166" fontId="15610" fillId="15616" borderId="15481" pivotButton="0" quotePrefix="0" xfId="0"/>
    <xf numFmtId="0" fontId="15611" fillId="15617" borderId="15482" applyAlignment="1" pivotButton="0" quotePrefix="0" xfId="0">
      <alignment horizontal="center"/>
    </xf>
    <xf numFmtId="0" fontId="15612" fillId="15618" borderId="15483" pivotButton="0" quotePrefix="0" xfId="0"/>
    <xf numFmtId="4" fontId="15613" fillId="15619" borderId="15484" pivotButton="0" quotePrefix="0" xfId="0"/>
    <xf numFmtId="166" fontId="15614" fillId="15620" borderId="15485" pivotButton="0" quotePrefix="0" xfId="0"/>
    <xf numFmtId="4" fontId="15615" fillId="15621" borderId="15486" pivotButton="0" quotePrefix="0" xfId="0"/>
    <xf numFmtId="167" fontId="15616" fillId="15622" borderId="15487" pivotButton="0" quotePrefix="0" xfId="0"/>
    <xf numFmtId="166" fontId="15617" fillId="15623" borderId="15488" pivotButton="0" quotePrefix="0" xfId="0"/>
    <xf numFmtId="4" fontId="15618" fillId="15624" borderId="15489" pivotButton="0" quotePrefix="0" xfId="0"/>
    <xf numFmtId="166" fontId="15619" fillId="15625" borderId="15490" pivotButton="0" quotePrefix="0" xfId="0"/>
    <xf numFmtId="0" fontId="15620" fillId="15626" borderId="15491" applyAlignment="1" pivotButton="0" quotePrefix="0" xfId="0">
      <alignment horizontal="center"/>
    </xf>
    <xf numFmtId="0" fontId="15621" fillId="15627" borderId="15492" pivotButton="0" quotePrefix="0" xfId="0"/>
    <xf numFmtId="4" fontId="15622" fillId="15628" borderId="15493" pivotButton="0" quotePrefix="0" xfId="0"/>
    <xf numFmtId="166" fontId="15623" fillId="15629" borderId="15494" pivotButton="0" quotePrefix="0" xfId="0"/>
    <xf numFmtId="4" fontId="15624" fillId="15630" borderId="15495" pivotButton="0" quotePrefix="0" xfId="0"/>
    <xf numFmtId="167" fontId="15625" fillId="15631" borderId="15496" pivotButton="0" quotePrefix="0" xfId="0"/>
    <xf numFmtId="166" fontId="15626" fillId="15632" borderId="15497" pivotButton="0" quotePrefix="0" xfId="0"/>
    <xf numFmtId="4" fontId="15627" fillId="15633" borderId="15498" pivotButton="0" quotePrefix="0" xfId="0"/>
    <xf numFmtId="166" fontId="15628" fillId="15634" borderId="15499" pivotButton="0" quotePrefix="0" xfId="0"/>
    <xf numFmtId="0" fontId="15629" fillId="15635" borderId="15500" applyAlignment="1" pivotButton="0" quotePrefix="0" xfId="0">
      <alignment horizontal="center"/>
    </xf>
    <xf numFmtId="0" fontId="15630" fillId="15636" borderId="15501" pivotButton="0" quotePrefix="0" xfId="0"/>
    <xf numFmtId="4" fontId="15631" fillId="15637" borderId="15502" pivotButton="0" quotePrefix="0" xfId="0"/>
    <xf numFmtId="166" fontId="15632" fillId="15638" borderId="15503" pivotButton="0" quotePrefix="0" xfId="0"/>
    <xf numFmtId="4" fontId="15633" fillId="15639" borderId="15504" pivotButton="0" quotePrefix="0" xfId="0"/>
    <xf numFmtId="167" fontId="15634" fillId="15640" borderId="15505" pivotButton="0" quotePrefix="0" xfId="0"/>
    <xf numFmtId="166" fontId="15635" fillId="15641" borderId="15506" pivotButton="0" quotePrefix="0" xfId="0"/>
    <xf numFmtId="4" fontId="15636" fillId="15642" borderId="15507" pivotButton="0" quotePrefix="0" xfId="0"/>
    <xf numFmtId="166" fontId="15637" fillId="15643" borderId="15508" pivotButton="0" quotePrefix="0" xfId="0"/>
    <xf numFmtId="0" fontId="15638" fillId="15644" borderId="15509" applyAlignment="1" pivotButton="0" quotePrefix="0" xfId="0">
      <alignment horizontal="center"/>
    </xf>
    <xf numFmtId="0" fontId="15639" fillId="15645" borderId="15510" pivotButton="0" quotePrefix="0" xfId="0"/>
    <xf numFmtId="4" fontId="15640" fillId="15646" borderId="15511" pivotButton="0" quotePrefix="0" xfId="0"/>
    <xf numFmtId="166" fontId="15641" fillId="15647" borderId="15512" pivotButton="0" quotePrefix="0" xfId="0"/>
    <xf numFmtId="4" fontId="15642" fillId="15648" borderId="15513" pivotButton="0" quotePrefix="0" xfId="0"/>
    <xf numFmtId="167" fontId="15643" fillId="15649" borderId="15514" pivotButton="0" quotePrefix="0" xfId="0"/>
    <xf numFmtId="166" fontId="15644" fillId="15650" borderId="15515" pivotButton="0" quotePrefix="0" xfId="0"/>
    <xf numFmtId="4" fontId="15645" fillId="15651" borderId="15516" pivotButton="0" quotePrefix="0" xfId="0"/>
    <xf numFmtId="166" fontId="15646" fillId="15652" borderId="15517" pivotButton="0" quotePrefix="0" xfId="0"/>
    <xf numFmtId="0" fontId="15647" fillId="15653" borderId="15518" applyAlignment="1" pivotButton="0" quotePrefix="0" xfId="0">
      <alignment horizontal="center"/>
    </xf>
    <xf numFmtId="0" fontId="15648" fillId="15654" borderId="15519" pivotButton="0" quotePrefix="0" xfId="0"/>
    <xf numFmtId="4" fontId="15649" fillId="15655" borderId="15520" pivotButton="0" quotePrefix="0" xfId="0"/>
    <xf numFmtId="166" fontId="15650" fillId="15656" borderId="15521" pivotButton="0" quotePrefix="0" xfId="0"/>
    <xf numFmtId="4" fontId="15651" fillId="15657" borderId="15522" pivotButton="0" quotePrefix="0" xfId="0"/>
    <xf numFmtId="167" fontId="15652" fillId="15658" borderId="15523" pivotButton="0" quotePrefix="0" xfId="0"/>
    <xf numFmtId="166" fontId="15653" fillId="15659" borderId="15524" pivotButton="0" quotePrefix="0" xfId="0"/>
    <xf numFmtId="4" fontId="15654" fillId="15660" borderId="15525" pivotButton="0" quotePrefix="0" xfId="0"/>
    <xf numFmtId="166" fontId="15655" fillId="15661" borderId="15526" pivotButton="0" quotePrefix="0" xfId="0"/>
    <xf numFmtId="0" fontId="15656" fillId="15662" borderId="15527" applyAlignment="1" pivotButton="0" quotePrefix="0" xfId="0">
      <alignment horizontal="center"/>
    </xf>
    <xf numFmtId="0" fontId="15657" fillId="15663" borderId="15528" pivotButton="0" quotePrefix="0" xfId="0"/>
    <xf numFmtId="4" fontId="15658" fillId="15664" borderId="15529" pivotButton="0" quotePrefix="0" xfId="0"/>
    <xf numFmtId="166" fontId="15659" fillId="15665" borderId="15530" pivotButton="0" quotePrefix="0" xfId="0"/>
    <xf numFmtId="4" fontId="15660" fillId="15666" borderId="15531" pivotButton="0" quotePrefix="0" xfId="0"/>
    <xf numFmtId="167" fontId="15661" fillId="15667" borderId="15532" pivotButton="0" quotePrefix="0" xfId="0"/>
    <xf numFmtId="166" fontId="15662" fillId="15668" borderId="15533" pivotButton="0" quotePrefix="0" xfId="0"/>
    <xf numFmtId="4" fontId="15663" fillId="15669" borderId="15534" pivotButton="0" quotePrefix="0" xfId="0"/>
    <xf numFmtId="166" fontId="15664" fillId="15670" borderId="15535" pivotButton="0" quotePrefix="0" xfId="0"/>
    <xf numFmtId="0" fontId="15665" fillId="15671" borderId="15536" applyAlignment="1" pivotButton="0" quotePrefix="0" xfId="0">
      <alignment horizontal="center"/>
    </xf>
    <xf numFmtId="0" fontId="15666" fillId="15672" borderId="15537" pivotButton="0" quotePrefix="0" xfId="0"/>
    <xf numFmtId="4" fontId="15667" fillId="15673" borderId="15538" pivotButton="0" quotePrefix="0" xfId="0"/>
    <xf numFmtId="166" fontId="15668" fillId="15674" borderId="15539" pivotButton="0" quotePrefix="0" xfId="0"/>
    <xf numFmtId="4" fontId="15669" fillId="15675" borderId="15540" pivotButton="0" quotePrefix="0" xfId="0"/>
    <xf numFmtId="167" fontId="15670" fillId="15676" borderId="15541" pivotButton="0" quotePrefix="0" xfId="0"/>
    <xf numFmtId="166" fontId="15671" fillId="15677" borderId="15542" pivotButton="0" quotePrefix="0" xfId="0"/>
    <xf numFmtId="4" fontId="15672" fillId="15678" borderId="15543" pivotButton="0" quotePrefix="0" xfId="0"/>
    <xf numFmtId="166" fontId="15673" fillId="15679" borderId="15544" pivotButton="0" quotePrefix="0" xfId="0"/>
    <xf numFmtId="0" fontId="15674" fillId="15680" borderId="15545" applyAlignment="1" pivotButton="0" quotePrefix="0" xfId="0">
      <alignment horizontal="center"/>
    </xf>
    <xf numFmtId="0" fontId="15675" fillId="15681" borderId="15546" pivotButton="0" quotePrefix="0" xfId="0"/>
    <xf numFmtId="4" fontId="15676" fillId="15682" borderId="15547" pivotButton="0" quotePrefix="0" xfId="0"/>
    <xf numFmtId="166" fontId="15677" fillId="15683" borderId="15548" pivotButton="0" quotePrefix="0" xfId="0"/>
    <xf numFmtId="4" fontId="15678" fillId="15684" borderId="15549" pivotButton="0" quotePrefix="0" xfId="0"/>
    <xf numFmtId="167" fontId="15679" fillId="15685" borderId="15550" pivotButton="0" quotePrefix="0" xfId="0"/>
    <xf numFmtId="166" fontId="15680" fillId="15686" borderId="15551" pivotButton="0" quotePrefix="0" xfId="0"/>
    <xf numFmtId="4" fontId="15681" fillId="15687" borderId="15552" pivotButton="0" quotePrefix="0" xfId="0"/>
    <xf numFmtId="166" fontId="15682" fillId="15688" borderId="15553" pivotButton="0" quotePrefix="0" xfId="0"/>
    <xf numFmtId="0" fontId="15683" fillId="15689" borderId="15554" applyAlignment="1" pivotButton="0" quotePrefix="0" xfId="0">
      <alignment horizontal="center"/>
    </xf>
    <xf numFmtId="0" fontId="15684" fillId="15690" borderId="15555" pivotButton="0" quotePrefix="0" xfId="0"/>
    <xf numFmtId="4" fontId="15685" fillId="15691" borderId="15556" pivotButton="0" quotePrefix="0" xfId="0"/>
    <xf numFmtId="166" fontId="15686" fillId="15692" borderId="15557" pivotButton="0" quotePrefix="0" xfId="0"/>
    <xf numFmtId="4" fontId="15687" fillId="15693" borderId="15558" pivotButton="0" quotePrefix="0" xfId="0"/>
    <xf numFmtId="167" fontId="15688" fillId="15694" borderId="15559" pivotButton="0" quotePrefix="0" xfId="0"/>
    <xf numFmtId="166" fontId="15689" fillId="15695" borderId="15560" pivotButton="0" quotePrefix="0" xfId="0"/>
    <xf numFmtId="4" fontId="15690" fillId="15696" borderId="15561" pivotButton="0" quotePrefix="0" xfId="0"/>
    <xf numFmtId="166" fontId="15691" fillId="15697" borderId="15562" pivotButton="0" quotePrefix="0" xfId="0"/>
    <xf numFmtId="0" fontId="15692" fillId="15698" borderId="15563" applyAlignment="1" pivotButton="0" quotePrefix="0" xfId="0">
      <alignment horizontal="center"/>
    </xf>
    <xf numFmtId="0" fontId="15693" fillId="15699" borderId="15564" pivotButton="0" quotePrefix="0" xfId="0"/>
    <xf numFmtId="4" fontId="15694" fillId="15700" borderId="15565" pivotButton="0" quotePrefix="0" xfId="0"/>
    <xf numFmtId="166" fontId="15695" fillId="15701" borderId="15566" pivotButton="0" quotePrefix="0" xfId="0"/>
    <xf numFmtId="4" fontId="15696" fillId="15702" borderId="15567" pivotButton="0" quotePrefix="0" xfId="0"/>
    <xf numFmtId="167" fontId="15697" fillId="15703" borderId="15568" pivotButton="0" quotePrefix="0" xfId="0"/>
    <xf numFmtId="166" fontId="15698" fillId="15704" borderId="15569" pivotButton="0" quotePrefix="0" xfId="0"/>
    <xf numFmtId="4" fontId="15699" fillId="15705" borderId="15570" pivotButton="0" quotePrefix="0" xfId="0"/>
    <xf numFmtId="166" fontId="15700" fillId="15706" borderId="15571" pivotButton="0" quotePrefix="0" xfId="0"/>
    <xf numFmtId="0" fontId="15701" fillId="15707" borderId="15572" applyAlignment="1" pivotButton="0" quotePrefix="0" xfId="0">
      <alignment horizontal="center"/>
    </xf>
    <xf numFmtId="0" fontId="15702" fillId="15708" borderId="15573" pivotButton="0" quotePrefix="0" xfId="0"/>
    <xf numFmtId="4" fontId="15703" fillId="15709" borderId="15574" pivotButton="0" quotePrefix="0" xfId="0"/>
    <xf numFmtId="166" fontId="15704" fillId="15710" borderId="15575" pivotButton="0" quotePrefix="0" xfId="0"/>
    <xf numFmtId="4" fontId="15705" fillId="15711" borderId="15576" pivotButton="0" quotePrefix="0" xfId="0"/>
    <xf numFmtId="167" fontId="15706" fillId="15712" borderId="15577" pivotButton="0" quotePrefix="0" xfId="0"/>
    <xf numFmtId="166" fontId="15707" fillId="15713" borderId="15578" pivotButton="0" quotePrefix="0" xfId="0"/>
    <xf numFmtId="4" fontId="15708" fillId="15714" borderId="15579" pivotButton="0" quotePrefix="0" xfId="0"/>
    <xf numFmtId="166" fontId="15709" fillId="15715" borderId="15580" pivotButton="0" quotePrefix="0" xfId="0"/>
    <xf numFmtId="0" fontId="15710" fillId="15716" borderId="15581" applyAlignment="1" pivotButton="0" quotePrefix="0" xfId="0">
      <alignment horizontal="center"/>
    </xf>
    <xf numFmtId="0" fontId="15711" fillId="15717" borderId="15582" pivotButton="0" quotePrefix="0" xfId="0"/>
    <xf numFmtId="4" fontId="15712" fillId="15718" borderId="15583" pivotButton="0" quotePrefix="0" xfId="0"/>
    <xf numFmtId="166" fontId="15713" fillId="15719" borderId="15584" pivotButton="0" quotePrefix="0" xfId="0"/>
    <xf numFmtId="4" fontId="15714" fillId="15720" borderId="15585" pivotButton="0" quotePrefix="0" xfId="0"/>
    <xf numFmtId="167" fontId="15715" fillId="15721" borderId="15586" pivotButton="0" quotePrefix="0" xfId="0"/>
    <xf numFmtId="166" fontId="15716" fillId="15722" borderId="15587" pivotButton="0" quotePrefix="0" xfId="0"/>
    <xf numFmtId="4" fontId="15717" fillId="15723" borderId="15588" pivotButton="0" quotePrefix="0" xfId="0"/>
    <xf numFmtId="166" fontId="15718" fillId="15724" borderId="15589" pivotButton="0" quotePrefix="0" xfId="0"/>
    <xf numFmtId="0" fontId="15719" fillId="15725" borderId="15590" applyAlignment="1" pivotButton="0" quotePrefix="0" xfId="0">
      <alignment horizontal="center"/>
    </xf>
    <xf numFmtId="0" fontId="15720" fillId="15726" borderId="15591" pivotButton="0" quotePrefix="0" xfId="0"/>
    <xf numFmtId="4" fontId="15721" fillId="15727" borderId="15592" pivotButton="0" quotePrefix="0" xfId="0"/>
    <xf numFmtId="166" fontId="15722" fillId="15728" borderId="15593" pivotButton="0" quotePrefix="0" xfId="0"/>
    <xf numFmtId="4" fontId="15723" fillId="15729" borderId="15594" pivotButton="0" quotePrefix="0" xfId="0"/>
    <xf numFmtId="167" fontId="15724" fillId="15730" borderId="15595" pivotButton="0" quotePrefix="0" xfId="0"/>
    <xf numFmtId="166" fontId="15725" fillId="15731" borderId="15596" pivotButton="0" quotePrefix="0" xfId="0"/>
    <xf numFmtId="4" fontId="15726" fillId="15732" borderId="15597" pivotButton="0" quotePrefix="0" xfId="0"/>
    <xf numFmtId="166" fontId="15727" fillId="15733" borderId="15598" pivotButton="0" quotePrefix="0" xfId="0"/>
    <xf numFmtId="0" fontId="15728" fillId="15734" borderId="15599" applyAlignment="1" pivotButton="0" quotePrefix="0" xfId="0">
      <alignment horizontal="center"/>
    </xf>
    <xf numFmtId="0" fontId="15729" fillId="15735" borderId="15600" pivotButton="0" quotePrefix="0" xfId="0"/>
    <xf numFmtId="4" fontId="15730" fillId="15736" borderId="15601" pivotButton="0" quotePrefix="0" xfId="0"/>
    <xf numFmtId="166" fontId="15731" fillId="15737" borderId="15602" pivotButton="0" quotePrefix="0" xfId="0"/>
    <xf numFmtId="4" fontId="15732" fillId="15738" borderId="15603" pivotButton="0" quotePrefix="0" xfId="0"/>
    <xf numFmtId="167" fontId="15733" fillId="15739" borderId="15604" pivotButton="0" quotePrefix="0" xfId="0"/>
    <xf numFmtId="166" fontId="15734" fillId="15740" borderId="15605" pivotButton="0" quotePrefix="0" xfId="0"/>
    <xf numFmtId="4" fontId="15735" fillId="15741" borderId="15606" pivotButton="0" quotePrefix="0" xfId="0"/>
    <xf numFmtId="166" fontId="15736" fillId="15742" borderId="15607" pivotButton="0" quotePrefix="0" xfId="0"/>
    <xf numFmtId="0" fontId="15737" fillId="15743" borderId="15608" applyAlignment="1" pivotButton="0" quotePrefix="0" xfId="0">
      <alignment horizontal="center"/>
    </xf>
    <xf numFmtId="0" fontId="15738" fillId="15744" borderId="15609" pivotButton="0" quotePrefix="0" xfId="0"/>
    <xf numFmtId="4" fontId="15739" fillId="15745" borderId="15610" pivotButton="0" quotePrefix="0" xfId="0"/>
    <xf numFmtId="166" fontId="15740" fillId="15746" borderId="15611" pivotButton="0" quotePrefix="0" xfId="0"/>
    <xf numFmtId="4" fontId="15741" fillId="15747" borderId="15612" pivotButton="0" quotePrefix="0" xfId="0"/>
    <xf numFmtId="167" fontId="15742" fillId="15748" borderId="15613" pivotButton="0" quotePrefix="0" xfId="0"/>
    <xf numFmtId="166" fontId="15743" fillId="15749" borderId="15614" pivotButton="0" quotePrefix="0" xfId="0"/>
    <xf numFmtId="4" fontId="15744" fillId="15750" borderId="15615" pivotButton="0" quotePrefix="0" xfId="0"/>
    <xf numFmtId="166" fontId="15745" fillId="15751" borderId="15616" pivotButton="0" quotePrefix="0" xfId="0"/>
    <xf numFmtId="0" fontId="15746" fillId="15752" borderId="15617" applyAlignment="1" pivotButton="0" quotePrefix="0" xfId="0">
      <alignment horizontal="center"/>
    </xf>
    <xf numFmtId="0" fontId="15747" fillId="15753" borderId="15618" pivotButton="0" quotePrefix="0" xfId="0"/>
    <xf numFmtId="4" fontId="15748" fillId="15754" borderId="15619" pivotButton="0" quotePrefix="0" xfId="0"/>
    <xf numFmtId="166" fontId="15749" fillId="15755" borderId="15620" pivotButton="0" quotePrefix="0" xfId="0"/>
    <xf numFmtId="4" fontId="15750" fillId="15756" borderId="15621" pivotButton="0" quotePrefix="0" xfId="0"/>
    <xf numFmtId="167" fontId="15751" fillId="15757" borderId="15622" pivotButton="0" quotePrefix="0" xfId="0"/>
    <xf numFmtId="166" fontId="15752" fillId="15758" borderId="15623" pivotButton="0" quotePrefix="0" xfId="0"/>
    <xf numFmtId="4" fontId="15753" fillId="15759" borderId="15624" pivotButton="0" quotePrefix="0" xfId="0"/>
    <xf numFmtId="166" fontId="15754" fillId="15760" borderId="15625" pivotButton="0" quotePrefix="0" xfId="0"/>
    <xf numFmtId="0" fontId="15755" fillId="15761" borderId="15626" applyAlignment="1" pivotButton="0" quotePrefix="0" xfId="0">
      <alignment horizontal="center"/>
    </xf>
    <xf numFmtId="0" fontId="15756" fillId="15762" borderId="15627" pivotButton="0" quotePrefix="0" xfId="0"/>
    <xf numFmtId="4" fontId="15757" fillId="15763" borderId="15628" pivotButton="0" quotePrefix="0" xfId="0"/>
    <xf numFmtId="166" fontId="15758" fillId="15764" borderId="15629" pivotButton="0" quotePrefix="0" xfId="0"/>
    <xf numFmtId="4" fontId="15759" fillId="15765" borderId="15630" pivotButton="0" quotePrefix="0" xfId="0"/>
    <xf numFmtId="167" fontId="15760" fillId="15766" borderId="15631" pivotButton="0" quotePrefix="0" xfId="0"/>
    <xf numFmtId="166" fontId="15761" fillId="15767" borderId="15632" pivotButton="0" quotePrefix="0" xfId="0"/>
    <xf numFmtId="4" fontId="15762" fillId="15768" borderId="15633" pivotButton="0" quotePrefix="0" xfId="0"/>
    <xf numFmtId="166" fontId="15763" fillId="15769" borderId="15634" pivotButton="0" quotePrefix="0" xfId="0"/>
    <xf numFmtId="0" fontId="15764" fillId="15770" borderId="15635" applyAlignment="1" pivotButton="0" quotePrefix="0" xfId="0">
      <alignment horizontal="center"/>
    </xf>
    <xf numFmtId="0" fontId="15765" fillId="15771" borderId="15636" pivotButton="0" quotePrefix="0" xfId="0"/>
    <xf numFmtId="4" fontId="15766" fillId="15772" borderId="15637" pivotButton="0" quotePrefix="0" xfId="0"/>
    <xf numFmtId="166" fontId="15767" fillId="15773" borderId="15638" pivotButton="0" quotePrefix="0" xfId="0"/>
    <xf numFmtId="4" fontId="15768" fillId="15774" borderId="15639" pivotButton="0" quotePrefix="0" xfId="0"/>
    <xf numFmtId="167" fontId="15769" fillId="15775" borderId="15640" pivotButton="0" quotePrefix="0" xfId="0"/>
    <xf numFmtId="166" fontId="15770" fillId="15776" borderId="15641" pivotButton="0" quotePrefix="0" xfId="0"/>
    <xf numFmtId="4" fontId="15771" fillId="15777" borderId="15642" pivotButton="0" quotePrefix="0" xfId="0"/>
    <xf numFmtId="166" fontId="15772" fillId="15778" borderId="15643" pivotButton="0" quotePrefix="0" xfId="0"/>
    <xf numFmtId="0" fontId="15773" fillId="15779" borderId="15644" pivotButton="0" quotePrefix="0" xfId="0"/>
    <xf numFmtId="0" fontId="15774" fillId="15780" borderId="15645" pivotButton="0" quotePrefix="0" xfId="0"/>
    <xf numFmtId="4" fontId="15775" fillId="15781" borderId="15646" pivotButton="0" quotePrefix="0" xfId="0"/>
    <xf numFmtId="166" fontId="15776" fillId="15782" borderId="15647" pivotButton="0" quotePrefix="0" xfId="0"/>
    <xf numFmtId="4" fontId="15777" fillId="15783" borderId="15648" pivotButton="0" quotePrefix="0" xfId="0"/>
    <xf numFmtId="166" fontId="15778" fillId="15784" borderId="15649" pivotButton="0" quotePrefix="0" xfId="0"/>
    <xf numFmtId="4" fontId="15779" fillId="15785" borderId="15650" pivotButton="0" quotePrefix="0" xfId="0"/>
    <xf numFmtId="166" fontId="15780" fillId="15786" borderId="15651" pivotButton="0" quotePrefix="0" xfId="0"/>
    <xf numFmtId="0" fontId="15781" fillId="15787" borderId="15652" pivotButton="0" quotePrefix="0" xfId="0"/>
    <xf numFmtId="0" fontId="15783" fillId="15789" borderId="15653" applyAlignment="1" pivotButton="0" quotePrefix="0" xfId="0">
      <alignment horizontal="center" wrapText="1"/>
    </xf>
    <xf numFmtId="0" fontId="15784" fillId="15790" borderId="15654" applyAlignment="1" pivotButton="0" quotePrefix="0" xfId="0">
      <alignment horizontal="center" wrapText="1"/>
    </xf>
    <xf numFmtId="0" fontId="15785" fillId="15791" borderId="15655" applyAlignment="1" pivotButton="0" quotePrefix="0" xfId="0">
      <alignment horizontal="center" wrapText="1"/>
    </xf>
    <xf numFmtId="0" fontId="15786" fillId="15792" borderId="15656" applyAlignment="1" pivotButton="0" quotePrefix="0" xfId="0">
      <alignment horizontal="center" wrapText="1"/>
    </xf>
    <xf numFmtId="0" fontId="15787" fillId="15793" borderId="15657" applyAlignment="1" pivotButton="0" quotePrefix="0" xfId="0">
      <alignment horizontal="center" wrapText="1"/>
    </xf>
    <xf numFmtId="0" fontId="15788" fillId="15794" borderId="15658" applyAlignment="1" pivotButton="0" quotePrefix="0" xfId="0">
      <alignment horizontal="center" wrapText="1"/>
    </xf>
    <xf numFmtId="0" fontId="15789" fillId="15795" borderId="15659" applyAlignment="1" pivotButton="0" quotePrefix="0" xfId="0">
      <alignment horizontal="center" wrapText="1"/>
    </xf>
    <xf numFmtId="0" fontId="15790" fillId="15796" borderId="15660" applyAlignment="1" pivotButton="0" quotePrefix="0" xfId="0">
      <alignment horizontal="center" wrapText="1"/>
    </xf>
    <xf numFmtId="0" fontId="15791" fillId="15797" borderId="15661" applyAlignment="1" pivotButton="0" quotePrefix="0" xfId="0">
      <alignment horizontal="center"/>
    </xf>
    <xf numFmtId="0" fontId="15792" fillId="15798" borderId="15662" pivotButton="0" quotePrefix="0" xfId="0"/>
    <xf numFmtId="166" fontId="15793" fillId="15799" borderId="15663" pivotButton="0" quotePrefix="0" xfId="0"/>
    <xf numFmtId="4" fontId="15794" fillId="15800" borderId="15664" pivotButton="0" quotePrefix="0" xfId="0"/>
    <xf numFmtId="167" fontId="15795" fillId="15801" borderId="15665" pivotButton="0" quotePrefix="0" xfId="0"/>
    <xf numFmtId="166" fontId="15796" fillId="15802" borderId="15666" pivotButton="0" quotePrefix="0" xfId="0"/>
    <xf numFmtId="166" fontId="15797" fillId="15803" borderId="15667" pivotButton="0" quotePrefix="0" xfId="0"/>
    <xf numFmtId="0" fontId="15798" fillId="15804" borderId="15668" pivotButton="0" quotePrefix="0" xfId="0"/>
    <xf numFmtId="0" fontId="15799" fillId="15805" borderId="15669" applyAlignment="1" pivotButton="0" quotePrefix="0" xfId="0">
      <alignment horizontal="center"/>
    </xf>
    <xf numFmtId="0" fontId="15800" fillId="15806" borderId="15670" pivotButton="0" quotePrefix="0" xfId="0"/>
    <xf numFmtId="166" fontId="15801" fillId="15807" borderId="15671" pivotButton="0" quotePrefix="0" xfId="0"/>
    <xf numFmtId="4" fontId="15802" fillId="15808" borderId="15672" pivotButton="0" quotePrefix="0" xfId="0"/>
    <xf numFmtId="167" fontId="15803" fillId="15809" borderId="15673" pivotButton="0" quotePrefix="0" xfId="0"/>
    <xf numFmtId="166" fontId="15804" fillId="15810" borderId="15674" pivotButton="0" quotePrefix="0" xfId="0"/>
    <xf numFmtId="166" fontId="15805" fillId="15811" borderId="15675" pivotButton="0" quotePrefix="0" xfId="0"/>
    <xf numFmtId="0" fontId="15806" fillId="15812" borderId="15676" pivotButton="0" quotePrefix="0" xfId="0"/>
    <xf numFmtId="0" fontId="15807" fillId="15813" borderId="15677" applyAlignment="1" pivotButton="0" quotePrefix="0" xfId="0">
      <alignment horizontal="center"/>
    </xf>
    <xf numFmtId="0" fontId="15808" fillId="15814" borderId="15678" pivotButton="0" quotePrefix="0" xfId="0"/>
    <xf numFmtId="166" fontId="15809" fillId="15815" borderId="15679" pivotButton="0" quotePrefix="0" xfId="0"/>
    <xf numFmtId="4" fontId="15810" fillId="15816" borderId="15680" pivotButton="0" quotePrefix="0" xfId="0"/>
    <xf numFmtId="167" fontId="15811" fillId="15817" borderId="15681" pivotButton="0" quotePrefix="0" xfId="0"/>
    <xf numFmtId="166" fontId="15812" fillId="15818" borderId="15682" pivotButton="0" quotePrefix="0" xfId="0"/>
    <xf numFmtId="166" fontId="15813" fillId="15819" borderId="15683" pivotButton="0" quotePrefix="0" xfId="0"/>
    <xf numFmtId="0" fontId="15814" fillId="15820" borderId="15684" pivotButton="0" quotePrefix="0" xfId="0"/>
    <xf numFmtId="0" fontId="15815" fillId="15821" borderId="15685" applyAlignment="1" pivotButton="0" quotePrefix="0" xfId="0">
      <alignment horizontal="center"/>
    </xf>
    <xf numFmtId="0" fontId="15816" fillId="15822" borderId="15686" pivotButton="0" quotePrefix="0" xfId="0"/>
    <xf numFmtId="166" fontId="15817" fillId="15823" borderId="15687" pivotButton="0" quotePrefix="0" xfId="0"/>
    <xf numFmtId="4" fontId="15818" fillId="15824" borderId="15688" pivotButton="0" quotePrefix="0" xfId="0"/>
    <xf numFmtId="167" fontId="15819" fillId="15825" borderId="15689" pivotButton="0" quotePrefix="0" xfId="0"/>
    <xf numFmtId="166" fontId="15820" fillId="15826" borderId="15690" pivotButton="0" quotePrefix="0" xfId="0"/>
    <xf numFmtId="166" fontId="15821" fillId="15827" borderId="15691" pivotButton="0" quotePrefix="0" xfId="0"/>
    <xf numFmtId="0" fontId="15822" fillId="15828" borderId="15692" pivotButton="0" quotePrefix="0" xfId="0"/>
    <xf numFmtId="0" fontId="15823" fillId="15829" borderId="15693" applyAlignment="1" pivotButton="0" quotePrefix="0" xfId="0">
      <alignment horizontal="center"/>
    </xf>
    <xf numFmtId="0" fontId="15824" fillId="15830" borderId="15694" pivotButton="0" quotePrefix="0" xfId="0"/>
    <xf numFmtId="166" fontId="15825" fillId="15831" borderId="15695" pivotButton="0" quotePrefix="0" xfId="0"/>
    <xf numFmtId="4" fontId="15826" fillId="15832" borderId="15696" pivotButton="0" quotePrefix="0" xfId="0"/>
    <xf numFmtId="167" fontId="15827" fillId="15833" borderId="15697" pivotButton="0" quotePrefix="0" xfId="0"/>
    <xf numFmtId="166" fontId="15828" fillId="15834" borderId="15698" pivotButton="0" quotePrefix="0" xfId="0"/>
    <xf numFmtId="166" fontId="15829" fillId="15835" borderId="15699" pivotButton="0" quotePrefix="0" xfId="0"/>
    <xf numFmtId="0" fontId="15830" fillId="15836" borderId="15700" pivotButton="0" quotePrefix="0" xfId="0"/>
    <xf numFmtId="0" fontId="15831" fillId="15837" borderId="15701" applyAlignment="1" pivotButton="0" quotePrefix="0" xfId="0">
      <alignment horizontal="center"/>
    </xf>
    <xf numFmtId="0" fontId="15832" fillId="15838" borderId="15702" pivotButton="0" quotePrefix="0" xfId="0"/>
    <xf numFmtId="166" fontId="15833" fillId="15839" borderId="15703" pivotButton="0" quotePrefix="0" xfId="0"/>
    <xf numFmtId="4" fontId="15834" fillId="15840" borderId="15704" pivotButton="0" quotePrefix="0" xfId="0"/>
    <xf numFmtId="167" fontId="15835" fillId="15841" borderId="15705" pivotButton="0" quotePrefix="0" xfId="0"/>
    <xf numFmtId="166" fontId="15836" fillId="15842" borderId="15706" pivotButton="0" quotePrefix="0" xfId="0"/>
    <xf numFmtId="166" fontId="15837" fillId="15843" borderId="15707" pivotButton="0" quotePrefix="0" xfId="0"/>
    <xf numFmtId="0" fontId="15838" fillId="15844" borderId="15708" pivotButton="0" quotePrefix="0" xfId="0"/>
    <xf numFmtId="0" fontId="15839" fillId="15845" borderId="15709" applyAlignment="1" pivotButton="0" quotePrefix="0" xfId="0">
      <alignment horizontal="center"/>
    </xf>
    <xf numFmtId="0" fontId="15840" fillId="15846" borderId="15710" pivotButton="0" quotePrefix="0" xfId="0"/>
    <xf numFmtId="166" fontId="15841" fillId="15847" borderId="15711" pivotButton="0" quotePrefix="0" xfId="0"/>
    <xf numFmtId="4" fontId="15842" fillId="15848" borderId="15712" pivotButton="0" quotePrefix="0" xfId="0"/>
    <xf numFmtId="167" fontId="15843" fillId="15849" borderId="15713" pivotButton="0" quotePrefix="0" xfId="0"/>
    <xf numFmtId="166" fontId="15844" fillId="15850" borderId="15714" pivotButton="0" quotePrefix="0" xfId="0"/>
    <xf numFmtId="166" fontId="15845" fillId="15851" borderId="15715" pivotButton="0" quotePrefix="0" xfId="0"/>
    <xf numFmtId="0" fontId="15846" fillId="15852" borderId="15716" pivotButton="0" quotePrefix="0" xfId="0"/>
    <xf numFmtId="0" fontId="15847" fillId="15853" borderId="15717" applyAlignment="1" pivotButton="0" quotePrefix="0" xfId="0">
      <alignment horizontal="center"/>
    </xf>
    <xf numFmtId="0" fontId="15848" fillId="15854" borderId="15718" pivotButton="0" quotePrefix="0" xfId="0"/>
    <xf numFmtId="166" fontId="15849" fillId="15855" borderId="15719" pivotButton="0" quotePrefix="0" xfId="0"/>
    <xf numFmtId="4" fontId="15850" fillId="15856" borderId="15720" pivotButton="0" quotePrefix="0" xfId="0"/>
    <xf numFmtId="167" fontId="15851" fillId="15857" borderId="15721" pivotButton="0" quotePrefix="0" xfId="0"/>
    <xf numFmtId="166" fontId="15852" fillId="15858" borderId="15722" pivotButton="0" quotePrefix="0" xfId="0"/>
    <xf numFmtId="166" fontId="15853" fillId="15859" borderId="15723" pivotButton="0" quotePrefix="0" xfId="0"/>
    <xf numFmtId="0" fontId="15854" fillId="15860" borderId="15724" pivotButton="0" quotePrefix="0" xfId="0"/>
    <xf numFmtId="0" fontId="15855" fillId="15861" borderId="15725" applyAlignment="1" pivotButton="0" quotePrefix="0" xfId="0">
      <alignment horizontal="center"/>
    </xf>
    <xf numFmtId="0" fontId="15856" fillId="15862" borderId="15726" pivotButton="0" quotePrefix="0" xfId="0"/>
    <xf numFmtId="166" fontId="15857" fillId="15863" borderId="15727" pivotButton="0" quotePrefix="0" xfId="0"/>
    <xf numFmtId="4" fontId="15858" fillId="15864" borderId="15728" pivotButton="0" quotePrefix="0" xfId="0"/>
    <xf numFmtId="167" fontId="15859" fillId="15865" borderId="15729" pivotButton="0" quotePrefix="0" xfId="0"/>
    <xf numFmtId="166" fontId="15860" fillId="15866" borderId="15730" pivotButton="0" quotePrefix="0" xfId="0"/>
    <xf numFmtId="166" fontId="15861" fillId="15867" borderId="15731" pivotButton="0" quotePrefix="0" xfId="0"/>
    <xf numFmtId="0" fontId="15862" fillId="15868" borderId="15732" pivotButton="0" quotePrefix="0" xfId="0"/>
    <xf numFmtId="0" fontId="15863" fillId="15869" borderId="15733" applyAlignment="1" pivotButton="0" quotePrefix="0" xfId="0">
      <alignment horizontal="center"/>
    </xf>
    <xf numFmtId="0" fontId="15864" fillId="15870" borderId="15734" pivotButton="0" quotePrefix="0" xfId="0"/>
    <xf numFmtId="166" fontId="15865" fillId="15871" borderId="15735" pivotButton="0" quotePrefix="0" xfId="0"/>
    <xf numFmtId="4" fontId="15866" fillId="15872" borderId="15736" pivotButton="0" quotePrefix="0" xfId="0"/>
    <xf numFmtId="167" fontId="15867" fillId="15873" borderId="15737" pivotButton="0" quotePrefix="0" xfId="0"/>
    <xf numFmtId="166" fontId="15868" fillId="15874" borderId="15738" pivotButton="0" quotePrefix="0" xfId="0"/>
    <xf numFmtId="166" fontId="15869" fillId="15875" borderId="15739" pivotButton="0" quotePrefix="0" xfId="0"/>
    <xf numFmtId="0" fontId="15870" fillId="15876" borderId="15740" pivotButton="0" quotePrefix="0" xfId="0"/>
    <xf numFmtId="0" fontId="15871" fillId="15877" borderId="15741" applyAlignment="1" pivotButton="0" quotePrefix="0" xfId="0">
      <alignment horizontal="center"/>
    </xf>
    <xf numFmtId="0" fontId="15872" fillId="15878" borderId="15742" pivotButton="0" quotePrefix="0" xfId="0"/>
    <xf numFmtId="166" fontId="15873" fillId="15879" borderId="15743" pivotButton="0" quotePrefix="0" xfId="0"/>
    <xf numFmtId="4" fontId="15874" fillId="15880" borderId="15744" pivotButton="0" quotePrefix="0" xfId="0"/>
    <xf numFmtId="167" fontId="15875" fillId="15881" borderId="15745" pivotButton="0" quotePrefix="0" xfId="0"/>
    <xf numFmtId="166" fontId="15876" fillId="15882" borderId="15746" pivotButton="0" quotePrefix="0" xfId="0"/>
    <xf numFmtId="166" fontId="15877" fillId="15883" borderId="15747" pivotButton="0" quotePrefix="0" xfId="0"/>
    <xf numFmtId="0" fontId="15878" fillId="15884" borderId="15748" pivotButton="0" quotePrefix="0" xfId="0"/>
    <xf numFmtId="0" fontId="15879" fillId="15885" borderId="15749" applyAlignment="1" pivotButton="0" quotePrefix="0" xfId="0">
      <alignment horizontal="center"/>
    </xf>
    <xf numFmtId="0" fontId="15880" fillId="15886" borderId="15750" pivotButton="0" quotePrefix="0" xfId="0"/>
    <xf numFmtId="166" fontId="15881" fillId="15887" borderId="15751" pivotButton="0" quotePrefix="0" xfId="0"/>
    <xf numFmtId="4" fontId="15882" fillId="15888" borderId="15752" pivotButton="0" quotePrefix="0" xfId="0"/>
    <xf numFmtId="167" fontId="15883" fillId="15889" borderId="15753" pivotButton="0" quotePrefix="0" xfId="0"/>
    <xf numFmtId="166" fontId="15884" fillId="15890" borderId="15754" pivotButton="0" quotePrefix="0" xfId="0"/>
    <xf numFmtId="166" fontId="15885" fillId="15891" borderId="15755" pivotButton="0" quotePrefix="0" xfId="0"/>
    <xf numFmtId="0" fontId="15886" fillId="15892" borderId="15756" pivotButton="0" quotePrefix="0" xfId="0"/>
    <xf numFmtId="0" fontId="15887" fillId="15893" borderId="15757" applyAlignment="1" pivotButton="0" quotePrefix="0" xfId="0">
      <alignment horizontal="center"/>
    </xf>
    <xf numFmtId="0" fontId="15888" fillId="15894" borderId="15758" pivotButton="0" quotePrefix="0" xfId="0"/>
    <xf numFmtId="166" fontId="15889" fillId="15895" borderId="15759" pivotButton="0" quotePrefix="0" xfId="0"/>
    <xf numFmtId="4" fontId="15890" fillId="15896" borderId="15760" pivotButton="0" quotePrefix="0" xfId="0"/>
    <xf numFmtId="167" fontId="15891" fillId="15897" borderId="15761" pivotButton="0" quotePrefix="0" xfId="0"/>
    <xf numFmtId="166" fontId="15892" fillId="15898" borderId="15762" pivotButton="0" quotePrefix="0" xfId="0"/>
    <xf numFmtId="166" fontId="15893" fillId="15899" borderId="15763" pivotButton="0" quotePrefix="0" xfId="0"/>
    <xf numFmtId="0" fontId="15894" fillId="15900" borderId="15764" pivotButton="0" quotePrefix="0" xfId="0"/>
    <xf numFmtId="0" fontId="15895" fillId="15901" borderId="15765" applyAlignment="1" pivotButton="0" quotePrefix="0" xfId="0">
      <alignment horizontal="center"/>
    </xf>
    <xf numFmtId="0" fontId="15896" fillId="15902" borderId="15766" pivotButton="0" quotePrefix="0" xfId="0"/>
    <xf numFmtId="166" fontId="15897" fillId="15903" borderId="15767" pivotButton="0" quotePrefix="0" xfId="0"/>
    <xf numFmtId="4" fontId="15898" fillId="15904" borderId="15768" pivotButton="0" quotePrefix="0" xfId="0"/>
    <xf numFmtId="167" fontId="15899" fillId="15905" borderId="15769" pivotButton="0" quotePrefix="0" xfId="0"/>
    <xf numFmtId="166" fontId="15900" fillId="15906" borderId="15770" pivotButton="0" quotePrefix="0" xfId="0"/>
    <xf numFmtId="166" fontId="15901" fillId="15907" borderId="15771" pivotButton="0" quotePrefix="0" xfId="0"/>
    <xf numFmtId="0" fontId="15902" fillId="15908" borderId="15772" pivotButton="0" quotePrefix="0" xfId="0"/>
    <xf numFmtId="0" fontId="15903" fillId="15909" borderId="15773" applyAlignment="1" pivotButton="0" quotePrefix="0" xfId="0">
      <alignment horizontal="center"/>
    </xf>
    <xf numFmtId="0" fontId="15904" fillId="15910" borderId="15774" pivotButton="0" quotePrefix="0" xfId="0"/>
    <xf numFmtId="166" fontId="15905" fillId="15911" borderId="15775" pivotButton="0" quotePrefix="0" xfId="0"/>
    <xf numFmtId="4" fontId="15906" fillId="15912" borderId="15776" pivotButton="0" quotePrefix="0" xfId="0"/>
    <xf numFmtId="167" fontId="15907" fillId="15913" borderId="15777" pivotButton="0" quotePrefix="0" xfId="0"/>
    <xf numFmtId="166" fontId="15908" fillId="15914" borderId="15778" pivotButton="0" quotePrefix="0" xfId="0"/>
    <xf numFmtId="166" fontId="15909" fillId="15915" borderId="15779" pivotButton="0" quotePrefix="0" xfId="0"/>
    <xf numFmtId="0" fontId="15910" fillId="15916" borderId="15780" pivotButton="0" quotePrefix="0" xfId="0"/>
    <xf numFmtId="0" fontId="15911" fillId="15917" borderId="15781" applyAlignment="1" pivotButton="0" quotePrefix="0" xfId="0">
      <alignment horizontal="center"/>
    </xf>
    <xf numFmtId="0" fontId="15912" fillId="15918" borderId="15782" pivotButton="0" quotePrefix="0" xfId="0"/>
    <xf numFmtId="166" fontId="15913" fillId="15919" borderId="15783" pivotButton="0" quotePrefix="0" xfId="0"/>
    <xf numFmtId="4" fontId="15914" fillId="15920" borderId="15784" pivotButton="0" quotePrefix="0" xfId="0"/>
    <xf numFmtId="167" fontId="15915" fillId="15921" borderId="15785" pivotButton="0" quotePrefix="0" xfId="0"/>
    <xf numFmtId="166" fontId="15916" fillId="15922" borderId="15786" pivotButton="0" quotePrefix="0" xfId="0"/>
    <xf numFmtId="166" fontId="15917" fillId="15923" borderId="15787" pivotButton="0" quotePrefix="0" xfId="0"/>
    <xf numFmtId="0" fontId="15918" fillId="15924" borderId="15788" pivotButton="0" quotePrefix="0" xfId="0"/>
    <xf numFmtId="0" fontId="15919" fillId="15925" borderId="15789" applyAlignment="1" pivotButton="0" quotePrefix="0" xfId="0">
      <alignment horizontal="center"/>
    </xf>
    <xf numFmtId="0" fontId="15920" fillId="15926" borderId="15790" pivotButton="0" quotePrefix="0" xfId="0"/>
    <xf numFmtId="166" fontId="15921" fillId="15927" borderId="15791" pivotButton="0" quotePrefix="0" xfId="0"/>
    <xf numFmtId="4" fontId="15922" fillId="15928" borderId="15792" pivotButton="0" quotePrefix="0" xfId="0"/>
    <xf numFmtId="167" fontId="15923" fillId="15929" borderId="15793" pivotButton="0" quotePrefix="0" xfId="0"/>
    <xf numFmtId="166" fontId="15924" fillId="15930" borderId="15794" pivotButton="0" quotePrefix="0" xfId="0"/>
    <xf numFmtId="166" fontId="15925" fillId="15931" borderId="15795" pivotButton="0" quotePrefix="0" xfId="0"/>
    <xf numFmtId="0" fontId="15926" fillId="15932" borderId="15796" pivotButton="0" quotePrefix="0" xfId="0"/>
    <xf numFmtId="0" fontId="15927" fillId="15933" borderId="15797" applyAlignment="1" pivotButton="0" quotePrefix="0" xfId="0">
      <alignment horizontal="center"/>
    </xf>
    <xf numFmtId="0" fontId="15928" fillId="15934" borderId="15798" pivotButton="0" quotePrefix="0" xfId="0"/>
    <xf numFmtId="166" fontId="15929" fillId="15935" borderId="15799" pivotButton="0" quotePrefix="0" xfId="0"/>
    <xf numFmtId="4" fontId="15930" fillId="15936" borderId="15800" pivotButton="0" quotePrefix="0" xfId="0"/>
    <xf numFmtId="167" fontId="15931" fillId="15937" borderId="15801" pivotButton="0" quotePrefix="0" xfId="0"/>
    <xf numFmtId="166" fontId="15932" fillId="15938" borderId="15802" pivotButton="0" quotePrefix="0" xfId="0"/>
    <xf numFmtId="166" fontId="15933" fillId="15939" borderId="15803" pivotButton="0" quotePrefix="0" xfId="0"/>
    <xf numFmtId="0" fontId="15934" fillId="15940" borderId="15804" pivotButton="0" quotePrefix="0" xfId="0"/>
    <xf numFmtId="0" fontId="15935" fillId="15941" borderId="15805" applyAlignment="1" pivotButton="0" quotePrefix="0" xfId="0">
      <alignment horizontal="center"/>
    </xf>
    <xf numFmtId="0" fontId="15936" fillId="15942" borderId="15806" pivotButton="0" quotePrefix="0" xfId="0"/>
    <xf numFmtId="166" fontId="15937" fillId="15943" borderId="15807" pivotButton="0" quotePrefix="0" xfId="0"/>
    <xf numFmtId="4" fontId="15938" fillId="15944" borderId="15808" pivotButton="0" quotePrefix="0" xfId="0"/>
    <xf numFmtId="167" fontId="15939" fillId="15945" borderId="15809" pivotButton="0" quotePrefix="0" xfId="0"/>
    <xf numFmtId="166" fontId="15940" fillId="15946" borderId="15810" pivotButton="0" quotePrefix="0" xfId="0"/>
    <xf numFmtId="166" fontId="15941" fillId="15947" borderId="15811" pivotButton="0" quotePrefix="0" xfId="0"/>
    <xf numFmtId="0" fontId="15942" fillId="15948" borderId="15812" pivotButton="0" quotePrefix="0" xfId="0"/>
    <xf numFmtId="0" fontId="15943" fillId="15949" borderId="15813" applyAlignment="1" pivotButton="0" quotePrefix="0" xfId="0">
      <alignment horizontal="center"/>
    </xf>
    <xf numFmtId="0" fontId="15944" fillId="15950" borderId="15814" pivotButton="0" quotePrefix="0" xfId="0"/>
    <xf numFmtId="166" fontId="15945" fillId="15951" borderId="15815" pivotButton="0" quotePrefix="0" xfId="0"/>
    <xf numFmtId="4" fontId="15946" fillId="15952" borderId="15816" pivotButton="0" quotePrefix="0" xfId="0"/>
    <xf numFmtId="167" fontId="15947" fillId="15953" borderId="15817" pivotButton="0" quotePrefix="0" xfId="0"/>
    <xf numFmtId="166" fontId="15948" fillId="15954" borderId="15818" pivotButton="0" quotePrefix="0" xfId="0"/>
    <xf numFmtId="166" fontId="15949" fillId="15955" borderId="15819" pivotButton="0" quotePrefix="0" xfId="0"/>
    <xf numFmtId="0" fontId="15950" fillId="15956" borderId="15820" pivotButton="0" quotePrefix="0" xfId="0"/>
    <xf numFmtId="0" fontId="15951" fillId="15957" borderId="15821" applyAlignment="1" pivotButton="0" quotePrefix="0" xfId="0">
      <alignment horizontal="center"/>
    </xf>
    <xf numFmtId="0" fontId="15952" fillId="15958" borderId="15822" pivotButton="0" quotePrefix="0" xfId="0"/>
    <xf numFmtId="166" fontId="15953" fillId="15959" borderId="15823" pivotButton="0" quotePrefix="0" xfId="0"/>
    <xf numFmtId="4" fontId="15954" fillId="15960" borderId="15824" pivotButton="0" quotePrefix="0" xfId="0"/>
    <xf numFmtId="167" fontId="15955" fillId="15961" borderId="15825" pivotButton="0" quotePrefix="0" xfId="0"/>
    <xf numFmtId="166" fontId="15956" fillId="15962" borderId="15826" pivotButton="0" quotePrefix="0" xfId="0"/>
    <xf numFmtId="166" fontId="15957" fillId="15963" borderId="15827" pivotButton="0" quotePrefix="0" xfId="0"/>
    <xf numFmtId="0" fontId="15958" fillId="15964" borderId="15828" pivotButton="0" quotePrefix="0" xfId="0"/>
    <xf numFmtId="0" fontId="15959" fillId="15965" borderId="15829" applyAlignment="1" pivotButton="0" quotePrefix="0" xfId="0">
      <alignment horizontal="center"/>
    </xf>
    <xf numFmtId="0" fontId="15960" fillId="15966" borderId="15830" pivotButton="0" quotePrefix="0" xfId="0"/>
    <xf numFmtId="166" fontId="15961" fillId="15967" borderId="15831" pivotButton="0" quotePrefix="0" xfId="0"/>
    <xf numFmtId="4" fontId="15962" fillId="15968" borderId="15832" pivotButton="0" quotePrefix="0" xfId="0"/>
    <xf numFmtId="167" fontId="15963" fillId="15969" borderId="15833" pivotButton="0" quotePrefix="0" xfId="0"/>
    <xf numFmtId="166" fontId="15964" fillId="15970" borderId="15834" pivotButton="0" quotePrefix="0" xfId="0"/>
    <xf numFmtId="166" fontId="15965" fillId="15971" borderId="15835" pivotButton="0" quotePrefix="0" xfId="0"/>
    <xf numFmtId="0" fontId="15966" fillId="15972" borderId="15836" pivotButton="0" quotePrefix="0" xfId="0"/>
    <xf numFmtId="0" fontId="15967" fillId="15973" borderId="15837" applyAlignment="1" pivotButton="0" quotePrefix="0" xfId="0">
      <alignment horizontal="center"/>
    </xf>
    <xf numFmtId="0" fontId="15968" fillId="15974" borderId="15838" pivotButton="0" quotePrefix="0" xfId="0"/>
    <xf numFmtId="166" fontId="15969" fillId="15975" borderId="15839" pivotButton="0" quotePrefix="0" xfId="0"/>
    <xf numFmtId="4" fontId="15970" fillId="15976" borderId="15840" pivotButton="0" quotePrefix="0" xfId="0"/>
    <xf numFmtId="167" fontId="15971" fillId="15977" borderId="15841" pivotButton="0" quotePrefix="0" xfId="0"/>
    <xf numFmtId="166" fontId="15972" fillId="15978" borderId="15842" pivotButton="0" quotePrefix="0" xfId="0"/>
    <xf numFmtId="166" fontId="15973" fillId="15979" borderId="15843" pivotButton="0" quotePrefix="0" xfId="0"/>
    <xf numFmtId="0" fontId="15974" fillId="15980" borderId="15844" pivotButton="0" quotePrefix="0" xfId="0"/>
    <xf numFmtId="0" fontId="15975" fillId="15981" borderId="15845" applyAlignment="1" pivotButton="0" quotePrefix="0" xfId="0">
      <alignment horizontal="center"/>
    </xf>
    <xf numFmtId="0" fontId="15976" fillId="15982" borderId="15846" pivotButton="0" quotePrefix="0" xfId="0"/>
    <xf numFmtId="166" fontId="15977" fillId="15983" borderId="15847" pivotButton="0" quotePrefix="0" xfId="0"/>
    <xf numFmtId="4" fontId="15978" fillId="15984" borderId="15848" pivotButton="0" quotePrefix="0" xfId="0"/>
    <xf numFmtId="167" fontId="15979" fillId="15985" borderId="15849" pivotButton="0" quotePrefix="0" xfId="0"/>
    <xf numFmtId="166" fontId="15980" fillId="15986" borderId="15850" pivotButton="0" quotePrefix="0" xfId="0"/>
    <xf numFmtId="166" fontId="15981" fillId="15987" borderId="15851" pivotButton="0" quotePrefix="0" xfId="0"/>
    <xf numFmtId="0" fontId="15982" fillId="15988" borderId="15852" pivotButton="0" quotePrefix="0" xfId="0"/>
    <xf numFmtId="0" fontId="15983" fillId="15989" borderId="15853" applyAlignment="1" pivotButton="0" quotePrefix="0" xfId="0">
      <alignment horizontal="center"/>
    </xf>
    <xf numFmtId="0" fontId="15984" fillId="15990" borderId="15854" pivotButton="0" quotePrefix="0" xfId="0"/>
    <xf numFmtId="166" fontId="15985" fillId="15991" borderId="15855" pivotButton="0" quotePrefix="0" xfId="0"/>
    <xf numFmtId="4" fontId="15986" fillId="15992" borderId="15856" pivotButton="0" quotePrefix="0" xfId="0"/>
    <xf numFmtId="167" fontId="15987" fillId="15993" borderId="15857" pivotButton="0" quotePrefix="0" xfId="0"/>
    <xf numFmtId="166" fontId="15988" fillId="15994" borderId="15858" pivotButton="0" quotePrefix="0" xfId="0"/>
    <xf numFmtId="166" fontId="15989" fillId="15995" borderId="15859" pivotButton="0" quotePrefix="0" xfId="0"/>
    <xf numFmtId="0" fontId="15990" fillId="15996" borderId="15860" pivotButton="0" quotePrefix="0" xfId="0"/>
    <xf numFmtId="0" fontId="15991" fillId="15997" borderId="15861" applyAlignment="1" pivotButton="0" quotePrefix="0" xfId="0">
      <alignment horizontal="center"/>
    </xf>
    <xf numFmtId="0" fontId="15992" fillId="15998" borderId="15862" pivotButton="0" quotePrefix="0" xfId="0"/>
    <xf numFmtId="166" fontId="15993" fillId="15999" borderId="15863" pivotButton="0" quotePrefix="0" xfId="0"/>
    <xf numFmtId="4" fontId="15994" fillId="16000" borderId="15864" pivotButton="0" quotePrefix="0" xfId="0"/>
    <xf numFmtId="167" fontId="15995" fillId="16001" borderId="15865" pivotButton="0" quotePrefix="0" xfId="0"/>
    <xf numFmtId="166" fontId="15996" fillId="16002" borderId="15866" pivotButton="0" quotePrefix="0" xfId="0"/>
    <xf numFmtId="166" fontId="15997" fillId="16003" borderId="15867" pivotButton="0" quotePrefix="0" xfId="0"/>
    <xf numFmtId="0" fontId="15998" fillId="16004" borderId="15868" pivotButton="0" quotePrefix="0" xfId="0"/>
    <xf numFmtId="0" fontId="15999" fillId="16005" borderId="15869" applyAlignment="1" pivotButton="0" quotePrefix="0" xfId="0">
      <alignment horizontal="center"/>
    </xf>
    <xf numFmtId="0" fontId="16000" fillId="16006" borderId="15870" pivotButton="0" quotePrefix="0" xfId="0"/>
    <xf numFmtId="166" fontId="16001" fillId="16007" borderId="15871" pivotButton="0" quotePrefix="0" xfId="0"/>
    <xf numFmtId="4" fontId="16002" fillId="16008" borderId="15872" pivotButton="0" quotePrefix="0" xfId="0"/>
    <xf numFmtId="167" fontId="16003" fillId="16009" borderId="15873" pivotButton="0" quotePrefix="0" xfId="0"/>
    <xf numFmtId="166" fontId="16004" fillId="16010" borderId="15874" pivotButton="0" quotePrefix="0" xfId="0"/>
    <xf numFmtId="166" fontId="16005" fillId="16011" borderId="15875" pivotButton="0" quotePrefix="0" xfId="0"/>
    <xf numFmtId="0" fontId="16006" fillId="16012" borderId="15876" pivotButton="0" quotePrefix="0" xfId="0"/>
    <xf numFmtId="0" fontId="16007" fillId="16013" borderId="15877" applyAlignment="1" pivotButton="0" quotePrefix="0" xfId="0">
      <alignment horizontal="center"/>
    </xf>
    <xf numFmtId="0" fontId="16008" fillId="16014" borderId="15878" pivotButton="0" quotePrefix="0" xfId="0"/>
    <xf numFmtId="166" fontId="16009" fillId="16015" borderId="15879" pivotButton="0" quotePrefix="0" xfId="0"/>
    <xf numFmtId="4" fontId="16010" fillId="16016" borderId="15880" pivotButton="0" quotePrefix="0" xfId="0"/>
    <xf numFmtId="167" fontId="16011" fillId="16017" borderId="15881" pivotButton="0" quotePrefix="0" xfId="0"/>
    <xf numFmtId="166" fontId="16012" fillId="16018" borderId="15882" pivotButton="0" quotePrefix="0" xfId="0"/>
    <xf numFmtId="166" fontId="16013" fillId="16019" borderId="15883" pivotButton="0" quotePrefix="0" xfId="0"/>
    <xf numFmtId="0" fontId="16014" fillId="16020" borderId="15884" pivotButton="0" quotePrefix="0" xfId="0"/>
    <xf numFmtId="0" fontId="16015" fillId="16021" borderId="15885" applyAlignment="1" pivotButton="0" quotePrefix="0" xfId="0">
      <alignment horizontal="center"/>
    </xf>
    <xf numFmtId="0" fontId="16016" fillId="16022" borderId="15886" pivotButton="0" quotePrefix="0" xfId="0"/>
    <xf numFmtId="166" fontId="16017" fillId="16023" borderId="15887" pivotButton="0" quotePrefix="0" xfId="0"/>
    <xf numFmtId="4" fontId="16018" fillId="16024" borderId="15888" pivotButton="0" quotePrefix="0" xfId="0"/>
    <xf numFmtId="167" fontId="16019" fillId="16025" borderId="15889" pivotButton="0" quotePrefix="0" xfId="0"/>
    <xf numFmtId="166" fontId="16020" fillId="16026" borderId="15890" pivotButton="0" quotePrefix="0" xfId="0"/>
    <xf numFmtId="166" fontId="16021" fillId="16027" borderId="15891" pivotButton="0" quotePrefix="0" xfId="0"/>
    <xf numFmtId="0" fontId="16022" fillId="16028" borderId="15892" pivotButton="0" quotePrefix="0" xfId="0"/>
    <xf numFmtId="0" fontId="16023" fillId="16029" borderId="15893" applyAlignment="1" pivotButton="0" quotePrefix="0" xfId="0">
      <alignment horizontal="center"/>
    </xf>
    <xf numFmtId="0" fontId="16024" fillId="16030" borderId="15894" pivotButton="0" quotePrefix="0" xfId="0"/>
    <xf numFmtId="166" fontId="16025" fillId="16031" borderId="15895" pivotButton="0" quotePrefix="0" xfId="0"/>
    <xf numFmtId="4" fontId="16026" fillId="16032" borderId="15896" pivotButton="0" quotePrefix="0" xfId="0"/>
    <xf numFmtId="167" fontId="16027" fillId="16033" borderId="15897" pivotButton="0" quotePrefix="0" xfId="0"/>
    <xf numFmtId="166" fontId="16028" fillId="16034" borderId="15898" pivotButton="0" quotePrefix="0" xfId="0"/>
    <xf numFmtId="166" fontId="16029" fillId="16035" borderId="15899" pivotButton="0" quotePrefix="0" xfId="0"/>
    <xf numFmtId="0" fontId="16030" fillId="16036" borderId="15900" pivotButton="0" quotePrefix="0" xfId="0"/>
    <xf numFmtId="0" fontId="16031" fillId="16037" borderId="15901" applyAlignment="1" pivotButton="0" quotePrefix="0" xfId="0">
      <alignment horizontal="center"/>
    </xf>
    <xf numFmtId="0" fontId="16032" fillId="16038" borderId="15902" pivotButton="0" quotePrefix="0" xfId="0"/>
    <xf numFmtId="166" fontId="16033" fillId="16039" borderId="15903" pivotButton="0" quotePrefix="0" xfId="0"/>
    <xf numFmtId="4" fontId="16034" fillId="16040" borderId="15904" pivotButton="0" quotePrefix="0" xfId="0"/>
    <xf numFmtId="167" fontId="16035" fillId="16041" borderId="15905" pivotButton="0" quotePrefix="0" xfId="0"/>
    <xf numFmtId="166" fontId="16036" fillId="16042" borderId="15906" pivotButton="0" quotePrefix="0" xfId="0"/>
    <xf numFmtId="166" fontId="16037" fillId="16043" borderId="15907" pivotButton="0" quotePrefix="0" xfId="0"/>
    <xf numFmtId="0" fontId="16038" fillId="16044" borderId="15908" pivotButton="0" quotePrefix="0" xfId="0"/>
    <xf numFmtId="0" fontId="16039" fillId="16045" borderId="15909" applyAlignment="1" pivotButton="0" quotePrefix="0" xfId="0">
      <alignment horizontal="center"/>
    </xf>
    <xf numFmtId="0" fontId="16040" fillId="16046" borderId="15910" pivotButton="0" quotePrefix="0" xfId="0"/>
    <xf numFmtId="166" fontId="16041" fillId="16047" borderId="15911" pivotButton="0" quotePrefix="0" xfId="0"/>
    <xf numFmtId="4" fontId="16042" fillId="16048" borderId="15912" pivotButton="0" quotePrefix="0" xfId="0"/>
    <xf numFmtId="167" fontId="16043" fillId="16049" borderId="15913" pivotButton="0" quotePrefix="0" xfId="0"/>
    <xf numFmtId="166" fontId="16044" fillId="16050" borderId="15914" pivotButton="0" quotePrefix="0" xfId="0"/>
    <xf numFmtId="166" fontId="16045" fillId="16051" borderId="15915" pivotButton="0" quotePrefix="0" xfId="0"/>
    <xf numFmtId="0" fontId="16046" fillId="16052" borderId="15916" pivotButton="0" quotePrefix="0" xfId="0"/>
    <xf numFmtId="0" fontId="16047" fillId="16053" borderId="15917" applyAlignment="1" pivotButton="0" quotePrefix="0" xfId="0">
      <alignment horizontal="center"/>
    </xf>
    <xf numFmtId="0" fontId="16048" fillId="16054" borderId="15918" pivotButton="0" quotePrefix="0" xfId="0"/>
    <xf numFmtId="166" fontId="16049" fillId="16055" borderId="15919" pivotButton="0" quotePrefix="0" xfId="0"/>
    <xf numFmtId="4" fontId="16050" fillId="16056" borderId="15920" pivotButton="0" quotePrefix="0" xfId="0"/>
    <xf numFmtId="167" fontId="16051" fillId="16057" borderId="15921" pivotButton="0" quotePrefix="0" xfId="0"/>
    <xf numFmtId="166" fontId="16052" fillId="16058" borderId="15922" pivotButton="0" quotePrefix="0" xfId="0"/>
    <xf numFmtId="166" fontId="16053" fillId="16059" borderId="15923" pivotButton="0" quotePrefix="0" xfId="0"/>
    <xf numFmtId="0" fontId="16054" fillId="16060" borderId="15924" pivotButton="0" quotePrefix="0" xfId="0"/>
    <xf numFmtId="0" fontId="16055" fillId="16061" borderId="15925" applyAlignment="1" pivotButton="0" quotePrefix="0" xfId="0">
      <alignment horizontal="center"/>
    </xf>
    <xf numFmtId="0" fontId="16056" fillId="16062" borderId="15926" pivotButton="0" quotePrefix="0" xfId="0"/>
    <xf numFmtId="166" fontId="16057" fillId="16063" borderId="15927" pivotButton="0" quotePrefix="0" xfId="0"/>
    <xf numFmtId="4" fontId="16058" fillId="16064" borderId="15928" pivotButton="0" quotePrefix="0" xfId="0"/>
    <xf numFmtId="167" fontId="16059" fillId="16065" borderId="15929" pivotButton="0" quotePrefix="0" xfId="0"/>
    <xf numFmtId="166" fontId="16060" fillId="16066" borderId="15930" pivotButton="0" quotePrefix="0" xfId="0"/>
    <xf numFmtId="166" fontId="16061" fillId="16067" borderId="15931" pivotButton="0" quotePrefix="0" xfId="0"/>
    <xf numFmtId="0" fontId="16062" fillId="16068" borderId="15932" pivotButton="0" quotePrefix="0" xfId="0"/>
    <xf numFmtId="0" fontId="16063" fillId="16069" borderId="15933" applyAlignment="1" pivotButton="0" quotePrefix="0" xfId="0">
      <alignment horizontal="center"/>
    </xf>
    <xf numFmtId="0" fontId="16064" fillId="16070" borderId="15934" pivotButton="0" quotePrefix="0" xfId="0"/>
    <xf numFmtId="166" fontId="16065" fillId="16071" borderId="15935" pivotButton="0" quotePrefix="0" xfId="0"/>
    <xf numFmtId="4" fontId="16066" fillId="16072" borderId="15936" pivotButton="0" quotePrefix="0" xfId="0"/>
    <xf numFmtId="167" fontId="16067" fillId="16073" borderId="15937" pivotButton="0" quotePrefix="0" xfId="0"/>
    <xf numFmtId="166" fontId="16068" fillId="16074" borderId="15938" pivotButton="0" quotePrefix="0" xfId="0"/>
    <xf numFmtId="166" fontId="16069" fillId="16075" borderId="15939" pivotButton="0" quotePrefix="0" xfId="0"/>
    <xf numFmtId="0" fontId="16070" fillId="16076" borderId="15940" pivotButton="0" quotePrefix="0" xfId="0"/>
    <xf numFmtId="0" fontId="16071" fillId="16077" borderId="15941" applyAlignment="1" pivotButton="0" quotePrefix="0" xfId="0">
      <alignment horizontal="center"/>
    </xf>
    <xf numFmtId="0" fontId="16072" fillId="16078" borderId="15942" pivotButton="0" quotePrefix="0" xfId="0"/>
    <xf numFmtId="166" fontId="16073" fillId="16079" borderId="15943" pivotButton="0" quotePrefix="0" xfId="0"/>
    <xf numFmtId="4" fontId="16074" fillId="16080" borderId="15944" pivotButton="0" quotePrefix="0" xfId="0"/>
    <xf numFmtId="167" fontId="16075" fillId="16081" borderId="15945" pivotButton="0" quotePrefix="0" xfId="0"/>
    <xf numFmtId="166" fontId="16076" fillId="16082" borderId="15946" pivotButton="0" quotePrefix="0" xfId="0"/>
    <xf numFmtId="166" fontId="16077" fillId="16083" borderId="15947" pivotButton="0" quotePrefix="0" xfId="0"/>
    <xf numFmtId="0" fontId="16078" fillId="16084" borderId="15948" pivotButton="0" quotePrefix="0" xfId="0"/>
    <xf numFmtId="0" fontId="16079" fillId="16085" borderId="15949" applyAlignment="1" pivotButton="0" quotePrefix="0" xfId="0">
      <alignment horizontal="center"/>
    </xf>
    <xf numFmtId="0" fontId="16080" fillId="16086" borderId="15950" pivotButton="0" quotePrefix="0" xfId="0"/>
    <xf numFmtId="166" fontId="16081" fillId="16087" borderId="15951" pivotButton="0" quotePrefix="0" xfId="0"/>
    <xf numFmtId="4" fontId="16082" fillId="16088" borderId="15952" pivotButton="0" quotePrefix="0" xfId="0"/>
    <xf numFmtId="167" fontId="16083" fillId="16089" borderId="15953" pivotButton="0" quotePrefix="0" xfId="0"/>
    <xf numFmtId="166" fontId="16084" fillId="16090" borderId="15954" pivotButton="0" quotePrefix="0" xfId="0"/>
    <xf numFmtId="166" fontId="16085" fillId="16091" borderId="15955" pivotButton="0" quotePrefix="0" xfId="0"/>
    <xf numFmtId="0" fontId="16086" fillId="16092" borderId="15956" pivotButton="0" quotePrefix="0" xfId="0"/>
    <xf numFmtId="0" fontId="16087" fillId="16093" borderId="15957" applyAlignment="1" pivotButton="0" quotePrefix="0" xfId="0">
      <alignment horizontal="center"/>
    </xf>
    <xf numFmtId="0" fontId="16088" fillId="16094" borderId="15958" pivotButton="0" quotePrefix="0" xfId="0"/>
    <xf numFmtId="166" fontId="16089" fillId="16095" borderId="15959" pivotButton="0" quotePrefix="0" xfId="0"/>
    <xf numFmtId="4" fontId="16090" fillId="16096" borderId="15960" pivotButton="0" quotePrefix="0" xfId="0"/>
    <xf numFmtId="167" fontId="16091" fillId="16097" borderId="15961" pivotButton="0" quotePrefix="0" xfId="0"/>
    <xf numFmtId="166" fontId="16092" fillId="16098" borderId="15962" pivotButton="0" quotePrefix="0" xfId="0"/>
    <xf numFmtId="166" fontId="16093" fillId="16099" borderId="15963" pivotButton="0" quotePrefix="0" xfId="0"/>
    <xf numFmtId="0" fontId="16094" fillId="16100" borderId="15964" pivotButton="0" quotePrefix="0" xfId="0"/>
    <xf numFmtId="0" fontId="16095" fillId="16101" borderId="15965" applyAlignment="1" pivotButton="0" quotePrefix="0" xfId="0">
      <alignment horizontal="center"/>
    </xf>
    <xf numFmtId="0" fontId="16096" fillId="16102" borderId="15966" pivotButton="0" quotePrefix="0" xfId="0"/>
    <xf numFmtId="166" fontId="16097" fillId="16103" borderId="15967" pivotButton="0" quotePrefix="0" xfId="0"/>
    <xf numFmtId="4" fontId="16098" fillId="16104" borderId="15968" pivotButton="0" quotePrefix="0" xfId="0"/>
    <xf numFmtId="167" fontId="16099" fillId="16105" borderId="15969" pivotButton="0" quotePrefix="0" xfId="0"/>
    <xf numFmtId="166" fontId="16100" fillId="16106" borderId="15970" pivotButton="0" quotePrefix="0" xfId="0"/>
    <xf numFmtId="166" fontId="16101" fillId="16107" borderId="15971" pivotButton="0" quotePrefix="0" xfId="0"/>
    <xf numFmtId="0" fontId="16102" fillId="16108" borderId="15972" pivotButton="0" quotePrefix="0" xfId="0"/>
    <xf numFmtId="0" fontId="16103" fillId="16109" borderId="15973" applyAlignment="1" pivotButton="0" quotePrefix="0" xfId="0">
      <alignment horizontal="center"/>
    </xf>
    <xf numFmtId="0" fontId="16104" fillId="16110" borderId="15974" pivotButton="0" quotePrefix="0" xfId="0"/>
    <xf numFmtId="166" fontId="16105" fillId="16111" borderId="15975" pivotButton="0" quotePrefix="0" xfId="0"/>
    <xf numFmtId="4" fontId="16106" fillId="16112" borderId="15976" pivotButton="0" quotePrefix="0" xfId="0"/>
    <xf numFmtId="167" fontId="16107" fillId="16113" borderId="15977" pivotButton="0" quotePrefix="0" xfId="0"/>
    <xf numFmtId="166" fontId="16108" fillId="16114" borderId="15978" pivotButton="0" quotePrefix="0" xfId="0"/>
    <xf numFmtId="166" fontId="16109" fillId="16115" borderId="15979" pivotButton="0" quotePrefix="0" xfId="0"/>
    <xf numFmtId="0" fontId="16110" fillId="16116" borderId="15980" pivotButton="0" quotePrefix="0" xfId="0"/>
    <xf numFmtId="0" fontId="16111" fillId="16117" borderId="15981" applyAlignment="1" pivotButton="0" quotePrefix="0" xfId="0">
      <alignment horizontal="center"/>
    </xf>
    <xf numFmtId="0" fontId="16112" fillId="16118" borderId="15982" pivotButton="0" quotePrefix="0" xfId="0"/>
    <xf numFmtId="166" fontId="16113" fillId="16119" borderId="15983" pivotButton="0" quotePrefix="0" xfId="0"/>
    <xf numFmtId="4" fontId="16114" fillId="16120" borderId="15984" pivotButton="0" quotePrefix="0" xfId="0"/>
    <xf numFmtId="167" fontId="16115" fillId="16121" borderId="15985" pivotButton="0" quotePrefix="0" xfId="0"/>
    <xf numFmtId="166" fontId="16116" fillId="16122" borderId="15986" pivotButton="0" quotePrefix="0" xfId="0"/>
    <xf numFmtId="166" fontId="16117" fillId="16123" borderId="15987" pivotButton="0" quotePrefix="0" xfId="0"/>
    <xf numFmtId="0" fontId="16118" fillId="16124" borderId="15988" pivotButton="0" quotePrefix="0" xfId="0"/>
    <xf numFmtId="0" fontId="16119" fillId="16125" borderId="15989" applyAlignment="1" pivotButton="0" quotePrefix="0" xfId="0">
      <alignment horizontal="center"/>
    </xf>
    <xf numFmtId="0" fontId="16120" fillId="16126" borderId="15990" pivotButton="0" quotePrefix="0" xfId="0"/>
    <xf numFmtId="166" fontId="16121" fillId="16127" borderId="15991" pivotButton="0" quotePrefix="0" xfId="0"/>
    <xf numFmtId="4" fontId="16122" fillId="16128" borderId="15992" pivotButton="0" quotePrefix="0" xfId="0"/>
    <xf numFmtId="167" fontId="16123" fillId="16129" borderId="15993" pivotButton="0" quotePrefix="0" xfId="0"/>
    <xf numFmtId="166" fontId="16124" fillId="16130" borderId="15994" pivotButton="0" quotePrefix="0" xfId="0"/>
    <xf numFmtId="166" fontId="16125" fillId="16131" borderId="15995" pivotButton="0" quotePrefix="0" xfId="0"/>
    <xf numFmtId="0" fontId="16126" fillId="16132" borderId="15996" pivotButton="0" quotePrefix="0" xfId="0"/>
    <xf numFmtId="0" fontId="16127" fillId="16133" borderId="15997" applyAlignment="1" pivotButton="0" quotePrefix="0" xfId="0">
      <alignment horizontal="center"/>
    </xf>
    <xf numFmtId="0" fontId="16128" fillId="16134" borderId="15998" pivotButton="0" quotePrefix="0" xfId="0"/>
    <xf numFmtId="166" fontId="16129" fillId="16135" borderId="15999" pivotButton="0" quotePrefix="0" xfId="0"/>
    <xf numFmtId="4" fontId="16130" fillId="16136" borderId="16000" pivotButton="0" quotePrefix="0" xfId="0"/>
    <xf numFmtId="167" fontId="16131" fillId="16137" borderId="16001" pivotButton="0" quotePrefix="0" xfId="0"/>
    <xf numFmtId="166" fontId="16132" fillId="16138" borderId="16002" pivotButton="0" quotePrefix="0" xfId="0"/>
    <xf numFmtId="166" fontId="16133" fillId="16139" borderId="16003" pivotButton="0" quotePrefix="0" xfId="0"/>
    <xf numFmtId="0" fontId="16134" fillId="16140" borderId="16004" pivotButton="0" quotePrefix="0" xfId="0"/>
    <xf numFmtId="0" fontId="16135" fillId="16141" borderId="16005" applyAlignment="1" pivotButton="0" quotePrefix="0" xfId="0">
      <alignment horizontal="center"/>
    </xf>
    <xf numFmtId="0" fontId="16136" fillId="16142" borderId="16006" pivotButton="0" quotePrefix="0" xfId="0"/>
    <xf numFmtId="166" fontId="16137" fillId="16143" borderId="16007" pivotButton="0" quotePrefix="0" xfId="0"/>
    <xf numFmtId="4" fontId="16138" fillId="16144" borderId="16008" pivotButton="0" quotePrefix="0" xfId="0"/>
    <xf numFmtId="167" fontId="16139" fillId="16145" borderId="16009" pivotButton="0" quotePrefix="0" xfId="0"/>
    <xf numFmtId="166" fontId="16140" fillId="16146" borderId="16010" pivotButton="0" quotePrefix="0" xfId="0"/>
    <xf numFmtId="166" fontId="16141" fillId="16147" borderId="16011" pivotButton="0" quotePrefix="0" xfId="0"/>
    <xf numFmtId="0" fontId="16142" fillId="16148" borderId="16012" pivotButton="0" quotePrefix="0" xfId="0"/>
    <xf numFmtId="0" fontId="16143" fillId="16149" borderId="16013" applyAlignment="1" pivotButton="0" quotePrefix="0" xfId="0">
      <alignment horizontal="center"/>
    </xf>
    <xf numFmtId="0" fontId="16144" fillId="16150" borderId="16014" pivotButton="0" quotePrefix="0" xfId="0"/>
    <xf numFmtId="166" fontId="16145" fillId="16151" borderId="16015" pivotButton="0" quotePrefix="0" xfId="0"/>
    <xf numFmtId="4" fontId="16146" fillId="16152" borderId="16016" pivotButton="0" quotePrefix="0" xfId="0"/>
    <xf numFmtId="167" fontId="16147" fillId="16153" borderId="16017" pivotButton="0" quotePrefix="0" xfId="0"/>
    <xf numFmtId="166" fontId="16148" fillId="16154" borderId="16018" pivotButton="0" quotePrefix="0" xfId="0"/>
    <xf numFmtId="166" fontId="16149" fillId="16155" borderId="16019" pivotButton="0" quotePrefix="0" xfId="0"/>
    <xf numFmtId="0" fontId="16150" fillId="16156" borderId="16020" pivotButton="0" quotePrefix="0" xfId="0"/>
    <xf numFmtId="0" fontId="16151" fillId="16157" borderId="16021" applyAlignment="1" pivotButton="0" quotePrefix="0" xfId="0">
      <alignment horizontal="center"/>
    </xf>
    <xf numFmtId="0" fontId="16152" fillId="16158" borderId="16022" pivotButton="0" quotePrefix="0" xfId="0"/>
    <xf numFmtId="166" fontId="16153" fillId="16159" borderId="16023" pivotButton="0" quotePrefix="0" xfId="0"/>
    <xf numFmtId="4" fontId="16154" fillId="16160" borderId="16024" pivotButton="0" quotePrefix="0" xfId="0"/>
    <xf numFmtId="167" fontId="16155" fillId="16161" borderId="16025" pivotButton="0" quotePrefix="0" xfId="0"/>
    <xf numFmtId="166" fontId="16156" fillId="16162" borderId="16026" pivotButton="0" quotePrefix="0" xfId="0"/>
    <xf numFmtId="166" fontId="16157" fillId="16163" borderId="16027" pivotButton="0" quotePrefix="0" xfId="0"/>
    <xf numFmtId="0" fontId="16158" fillId="16164" borderId="16028" pivotButton="0" quotePrefix="0" xfId="0"/>
    <xf numFmtId="0" fontId="16159" fillId="16165" borderId="16029" applyAlignment="1" pivotButton="0" quotePrefix="0" xfId="0">
      <alignment horizontal="center"/>
    </xf>
    <xf numFmtId="0" fontId="16160" fillId="16166" borderId="16030" pivotButton="0" quotePrefix="0" xfId="0"/>
    <xf numFmtId="166" fontId="16161" fillId="16167" borderId="16031" pivotButton="0" quotePrefix="0" xfId="0"/>
    <xf numFmtId="4" fontId="16162" fillId="16168" borderId="16032" pivotButton="0" quotePrefix="0" xfId="0"/>
    <xf numFmtId="167" fontId="16163" fillId="16169" borderId="16033" pivotButton="0" quotePrefix="0" xfId="0"/>
    <xf numFmtId="166" fontId="16164" fillId="16170" borderId="16034" pivotButton="0" quotePrefix="0" xfId="0"/>
    <xf numFmtId="166" fontId="16165" fillId="16171" borderId="16035" pivotButton="0" quotePrefix="0" xfId="0"/>
    <xf numFmtId="0" fontId="16166" fillId="16172" borderId="16036" pivotButton="0" quotePrefix="0" xfId="0"/>
    <xf numFmtId="0" fontId="16167" fillId="16173" borderId="16037" applyAlignment="1" pivotButton="0" quotePrefix="0" xfId="0">
      <alignment horizontal="center"/>
    </xf>
    <xf numFmtId="0" fontId="16168" fillId="16174" borderId="16038" pivotButton="0" quotePrefix="0" xfId="0"/>
    <xf numFmtId="166" fontId="16169" fillId="16175" borderId="16039" pivotButton="0" quotePrefix="0" xfId="0"/>
    <xf numFmtId="4" fontId="16170" fillId="16176" borderId="16040" pivotButton="0" quotePrefix="0" xfId="0"/>
    <xf numFmtId="167" fontId="16171" fillId="16177" borderId="16041" pivotButton="0" quotePrefix="0" xfId="0"/>
    <xf numFmtId="166" fontId="16172" fillId="16178" borderId="16042" pivotButton="0" quotePrefix="0" xfId="0"/>
    <xf numFmtId="166" fontId="16173" fillId="16179" borderId="16043" pivotButton="0" quotePrefix="0" xfId="0"/>
    <xf numFmtId="0" fontId="16174" fillId="16180" borderId="16044" pivotButton="0" quotePrefix="0" xfId="0"/>
    <xf numFmtId="0" fontId="16175" fillId="16181" borderId="16045" applyAlignment="1" pivotButton="0" quotePrefix="0" xfId="0">
      <alignment horizontal="center"/>
    </xf>
    <xf numFmtId="0" fontId="16176" fillId="16182" borderId="16046" pivotButton="0" quotePrefix="0" xfId="0"/>
    <xf numFmtId="166" fontId="16177" fillId="16183" borderId="16047" pivotButton="0" quotePrefix="0" xfId="0"/>
    <xf numFmtId="4" fontId="16178" fillId="16184" borderId="16048" pivotButton="0" quotePrefix="0" xfId="0"/>
    <xf numFmtId="167" fontId="16179" fillId="16185" borderId="16049" pivotButton="0" quotePrefix="0" xfId="0"/>
    <xf numFmtId="166" fontId="16180" fillId="16186" borderId="16050" pivotButton="0" quotePrefix="0" xfId="0"/>
    <xf numFmtId="166" fontId="16181" fillId="16187" borderId="16051" pivotButton="0" quotePrefix="0" xfId="0"/>
    <xf numFmtId="0" fontId="16182" fillId="16188" borderId="16052" pivotButton="0" quotePrefix="0" xfId="0"/>
    <xf numFmtId="0" fontId="16183" fillId="16189" borderId="16053" applyAlignment="1" pivotButton="0" quotePrefix="0" xfId="0">
      <alignment horizontal="center"/>
    </xf>
    <xf numFmtId="0" fontId="16184" fillId="16190" borderId="16054" pivotButton="0" quotePrefix="0" xfId="0"/>
    <xf numFmtId="166" fontId="16185" fillId="16191" borderId="16055" pivotButton="0" quotePrefix="0" xfId="0"/>
    <xf numFmtId="4" fontId="16186" fillId="16192" borderId="16056" pivotButton="0" quotePrefix="0" xfId="0"/>
    <xf numFmtId="167" fontId="16187" fillId="16193" borderId="16057" pivotButton="0" quotePrefix="0" xfId="0"/>
    <xf numFmtId="166" fontId="16188" fillId="16194" borderId="16058" pivotButton="0" quotePrefix="0" xfId="0"/>
    <xf numFmtId="166" fontId="16189" fillId="16195" borderId="16059" pivotButton="0" quotePrefix="0" xfId="0"/>
    <xf numFmtId="0" fontId="16190" fillId="16196" borderId="16060" pivotButton="0" quotePrefix="0" xfId="0"/>
    <xf numFmtId="0" fontId="16191" fillId="16197" borderId="16061" applyAlignment="1" pivotButton="0" quotePrefix="0" xfId="0">
      <alignment horizontal="center"/>
    </xf>
    <xf numFmtId="0" fontId="16192" fillId="16198" borderId="16062" pivotButton="0" quotePrefix="0" xfId="0"/>
    <xf numFmtId="166" fontId="16193" fillId="16199" borderId="16063" pivotButton="0" quotePrefix="0" xfId="0"/>
    <xf numFmtId="4" fontId="16194" fillId="16200" borderId="16064" pivotButton="0" quotePrefix="0" xfId="0"/>
    <xf numFmtId="167" fontId="16195" fillId="16201" borderId="16065" pivotButton="0" quotePrefix="0" xfId="0"/>
    <xf numFmtId="166" fontId="16196" fillId="16202" borderId="16066" pivotButton="0" quotePrefix="0" xfId="0"/>
    <xf numFmtId="166" fontId="16197" fillId="16203" borderId="16067" pivotButton="0" quotePrefix="0" xfId="0"/>
    <xf numFmtId="0" fontId="16198" fillId="16204" borderId="16068" pivotButton="0" quotePrefix="0" xfId="0"/>
    <xf numFmtId="0" fontId="16199" fillId="16205" borderId="16069" applyAlignment="1" pivotButton="0" quotePrefix="0" xfId="0">
      <alignment horizontal="center"/>
    </xf>
    <xf numFmtId="0" fontId="16200" fillId="16206" borderId="16070" pivotButton="0" quotePrefix="0" xfId="0"/>
    <xf numFmtId="166" fontId="16201" fillId="16207" borderId="16071" pivotButton="0" quotePrefix="0" xfId="0"/>
    <xf numFmtId="4" fontId="16202" fillId="16208" borderId="16072" pivotButton="0" quotePrefix="0" xfId="0"/>
    <xf numFmtId="167" fontId="16203" fillId="16209" borderId="16073" pivotButton="0" quotePrefix="0" xfId="0"/>
    <xf numFmtId="166" fontId="16204" fillId="16210" borderId="16074" pivotButton="0" quotePrefix="0" xfId="0"/>
    <xf numFmtId="166" fontId="16205" fillId="16211" borderId="16075" pivotButton="0" quotePrefix="0" xfId="0"/>
    <xf numFmtId="0" fontId="16206" fillId="16212" borderId="16076" pivotButton="0" quotePrefix="0" xfId="0"/>
    <xf numFmtId="0" fontId="16207" fillId="16213" borderId="16077" applyAlignment="1" pivotButton="0" quotePrefix="0" xfId="0">
      <alignment horizontal="center"/>
    </xf>
    <xf numFmtId="0" fontId="16208" fillId="16214" borderId="16078" pivotButton="0" quotePrefix="0" xfId="0"/>
    <xf numFmtId="166" fontId="16209" fillId="16215" borderId="16079" pivotButton="0" quotePrefix="0" xfId="0"/>
    <xf numFmtId="4" fontId="16210" fillId="16216" borderId="16080" pivotButton="0" quotePrefix="0" xfId="0"/>
    <xf numFmtId="167" fontId="16211" fillId="16217" borderId="16081" pivotButton="0" quotePrefix="0" xfId="0"/>
    <xf numFmtId="166" fontId="16212" fillId="16218" borderId="16082" pivotButton="0" quotePrefix="0" xfId="0"/>
    <xf numFmtId="166" fontId="16213" fillId="16219" borderId="16083" pivotButton="0" quotePrefix="0" xfId="0"/>
    <xf numFmtId="0" fontId="16214" fillId="16220" borderId="16084" pivotButton="0" quotePrefix="0" xfId="0"/>
    <xf numFmtId="0" fontId="16215" fillId="16221" borderId="16085" applyAlignment="1" pivotButton="0" quotePrefix="0" xfId="0">
      <alignment horizontal="center"/>
    </xf>
    <xf numFmtId="0" fontId="16216" fillId="16222" borderId="16086" pivotButton="0" quotePrefix="0" xfId="0"/>
    <xf numFmtId="166" fontId="16217" fillId="16223" borderId="16087" pivotButton="0" quotePrefix="0" xfId="0"/>
    <xf numFmtId="4" fontId="16218" fillId="16224" borderId="16088" pivotButton="0" quotePrefix="0" xfId="0"/>
    <xf numFmtId="167" fontId="16219" fillId="16225" borderId="16089" pivotButton="0" quotePrefix="0" xfId="0"/>
    <xf numFmtId="166" fontId="16220" fillId="16226" borderId="16090" pivotButton="0" quotePrefix="0" xfId="0"/>
    <xf numFmtId="166" fontId="16221" fillId="16227" borderId="16091" pivotButton="0" quotePrefix="0" xfId="0"/>
    <xf numFmtId="0" fontId="16222" fillId="16228" borderId="16092" pivotButton="0" quotePrefix="0" xfId="0"/>
    <xf numFmtId="0" fontId="16223" fillId="16229" borderId="16093" applyAlignment="1" pivotButton="0" quotePrefix="0" xfId="0">
      <alignment horizontal="center"/>
    </xf>
    <xf numFmtId="0" fontId="16224" fillId="16230" borderId="16094" pivotButton="0" quotePrefix="0" xfId="0"/>
    <xf numFmtId="166" fontId="16225" fillId="16231" borderId="16095" pivotButton="0" quotePrefix="0" xfId="0"/>
    <xf numFmtId="4" fontId="16226" fillId="16232" borderId="16096" pivotButton="0" quotePrefix="0" xfId="0"/>
    <xf numFmtId="167" fontId="16227" fillId="16233" borderId="16097" pivotButton="0" quotePrefix="0" xfId="0"/>
    <xf numFmtId="166" fontId="16228" fillId="16234" borderId="16098" pivotButton="0" quotePrefix="0" xfId="0"/>
    <xf numFmtId="166" fontId="16229" fillId="16235" borderId="16099" pivotButton="0" quotePrefix="0" xfId="0"/>
    <xf numFmtId="0" fontId="16230" fillId="16236" borderId="16100" pivotButton="0" quotePrefix="0" xfId="0"/>
    <xf numFmtId="0" fontId="16231" fillId="16237" borderId="16101" applyAlignment="1" pivotButton="0" quotePrefix="0" xfId="0">
      <alignment horizontal="center"/>
    </xf>
    <xf numFmtId="0" fontId="16232" fillId="16238" borderId="16102" pivotButton="0" quotePrefix="0" xfId="0"/>
    <xf numFmtId="166" fontId="16233" fillId="16239" borderId="16103" pivotButton="0" quotePrefix="0" xfId="0"/>
    <xf numFmtId="4" fontId="16234" fillId="16240" borderId="16104" pivotButton="0" quotePrefix="0" xfId="0"/>
    <xf numFmtId="167" fontId="16235" fillId="16241" borderId="16105" pivotButton="0" quotePrefix="0" xfId="0"/>
    <xf numFmtId="166" fontId="16236" fillId="16242" borderId="16106" pivotButton="0" quotePrefix="0" xfId="0"/>
    <xf numFmtId="166" fontId="16237" fillId="16243" borderId="16107" pivotButton="0" quotePrefix="0" xfId="0"/>
    <xf numFmtId="0" fontId="16238" fillId="16244" borderId="16108" pivotButton="0" quotePrefix="0" xfId="0"/>
    <xf numFmtId="0" fontId="16239" fillId="16245" borderId="16109" applyAlignment="1" pivotButton="0" quotePrefix="0" xfId="0">
      <alignment horizontal="center"/>
    </xf>
    <xf numFmtId="0" fontId="16240" fillId="16246" borderId="16110" pivotButton="0" quotePrefix="0" xfId="0"/>
    <xf numFmtId="166" fontId="16241" fillId="16247" borderId="16111" pivotButton="0" quotePrefix="0" xfId="0"/>
    <xf numFmtId="4" fontId="16242" fillId="16248" borderId="16112" pivotButton="0" quotePrefix="0" xfId="0"/>
    <xf numFmtId="167" fontId="16243" fillId="16249" borderId="16113" pivotButton="0" quotePrefix="0" xfId="0"/>
    <xf numFmtId="166" fontId="16244" fillId="16250" borderId="16114" pivotButton="0" quotePrefix="0" xfId="0"/>
    <xf numFmtId="166" fontId="16245" fillId="16251" borderId="16115" pivotButton="0" quotePrefix="0" xfId="0"/>
    <xf numFmtId="0" fontId="16246" fillId="16252" borderId="16116" pivotButton="0" quotePrefix="0" xfId="0"/>
    <xf numFmtId="0" fontId="16247" fillId="16253" borderId="16117" applyAlignment="1" pivotButton="0" quotePrefix="0" xfId="0">
      <alignment horizontal="center"/>
    </xf>
    <xf numFmtId="0" fontId="16248" fillId="16254" borderId="16118" pivotButton="0" quotePrefix="0" xfId="0"/>
    <xf numFmtId="166" fontId="16249" fillId="16255" borderId="16119" pivotButton="0" quotePrefix="0" xfId="0"/>
    <xf numFmtId="4" fontId="16250" fillId="16256" borderId="16120" pivotButton="0" quotePrefix="0" xfId="0"/>
    <xf numFmtId="167" fontId="16251" fillId="16257" borderId="16121" pivotButton="0" quotePrefix="0" xfId="0"/>
    <xf numFmtId="166" fontId="16252" fillId="16258" borderId="16122" pivotButton="0" quotePrefix="0" xfId="0"/>
    <xf numFmtId="166" fontId="16253" fillId="16259" borderId="16123" pivotButton="0" quotePrefix="0" xfId="0"/>
    <xf numFmtId="0" fontId="16254" fillId="16260" borderId="16124" pivotButton="0" quotePrefix="0" xfId="0"/>
    <xf numFmtId="0" fontId="16255" fillId="16261" borderId="16125" applyAlignment="1" pivotButton="0" quotePrefix="0" xfId="0">
      <alignment horizontal="center"/>
    </xf>
    <xf numFmtId="0" fontId="16256" fillId="16262" borderId="16126" pivotButton="0" quotePrefix="0" xfId="0"/>
    <xf numFmtId="166" fontId="16257" fillId="16263" borderId="16127" pivotButton="0" quotePrefix="0" xfId="0"/>
    <xf numFmtId="4" fontId="16258" fillId="16264" borderId="16128" pivotButton="0" quotePrefix="0" xfId="0"/>
    <xf numFmtId="167" fontId="16259" fillId="16265" borderId="16129" pivotButton="0" quotePrefix="0" xfId="0"/>
    <xf numFmtId="166" fontId="16260" fillId="16266" borderId="16130" pivotButton="0" quotePrefix="0" xfId="0"/>
    <xf numFmtId="166" fontId="16261" fillId="16267" borderId="16131" pivotButton="0" quotePrefix="0" xfId="0"/>
    <xf numFmtId="0" fontId="16262" fillId="16268" borderId="16132" pivotButton="0" quotePrefix="0" xfId="0"/>
    <xf numFmtId="0" fontId="16263" fillId="16269" borderId="16133" applyAlignment="1" pivotButton="0" quotePrefix="0" xfId="0">
      <alignment horizontal="center"/>
    </xf>
    <xf numFmtId="0" fontId="16264" fillId="16270" borderId="16134" pivotButton="0" quotePrefix="0" xfId="0"/>
    <xf numFmtId="166" fontId="16265" fillId="16271" borderId="16135" pivotButton="0" quotePrefix="0" xfId="0"/>
    <xf numFmtId="4" fontId="16266" fillId="16272" borderId="16136" pivotButton="0" quotePrefix="0" xfId="0"/>
    <xf numFmtId="167" fontId="16267" fillId="16273" borderId="16137" pivotButton="0" quotePrefix="0" xfId="0"/>
    <xf numFmtId="166" fontId="16268" fillId="16274" borderId="16138" pivotButton="0" quotePrefix="0" xfId="0"/>
    <xf numFmtId="166" fontId="16269" fillId="16275" borderId="16139" pivotButton="0" quotePrefix="0" xfId="0"/>
    <xf numFmtId="0" fontId="16270" fillId="16276" borderId="16140" pivotButton="0" quotePrefix="0" xfId="0"/>
    <xf numFmtId="0" fontId="16271" fillId="16277" borderId="16141" pivotButton="0" quotePrefix="0" xfId="0"/>
    <xf numFmtId="0" fontId="16272" fillId="16278" borderId="16142" pivotButton="0" quotePrefix="0" xfId="0"/>
    <xf numFmtId="166" fontId="16273" fillId="16279" borderId="16143" pivotButton="0" quotePrefix="0" xfId="0"/>
    <xf numFmtId="4" fontId="16274" fillId="16280" borderId="16144" pivotButton="0" quotePrefix="0" xfId="0"/>
    <xf numFmtId="0" fontId="16275" fillId="16281" borderId="16145" pivotButton="0" quotePrefix="0" xfId="0"/>
    <xf numFmtId="166" fontId="16276" fillId="16282" borderId="16146" pivotButton="0" quotePrefix="0" xfId="0"/>
    <xf numFmtId="166" fontId="16277" fillId="16283" borderId="16147" pivotButton="0" quotePrefix="0" xfId="0"/>
    <xf numFmtId="0" fontId="16278" fillId="16284" borderId="16148" pivotButton="0" quotePrefix="0" xfId="0"/>
    <xf numFmtId="0" fontId="16281" fillId="16287" borderId="16149" applyAlignment="1" pivotButton="0" quotePrefix="0" xfId="0">
      <alignment horizontal="center" vertical="center" wrapText="1"/>
    </xf>
    <xf numFmtId="0" fontId="16282" fillId="16288" borderId="16150" applyAlignment="1" pivotButton="0" quotePrefix="0" xfId="0">
      <alignment horizontal="center" vertical="center" wrapText="1"/>
    </xf>
    <xf numFmtId="0" fontId="16283" fillId="16289" borderId="16151" applyAlignment="1" pivotButton="0" quotePrefix="0" xfId="0">
      <alignment horizontal="center" vertical="center" wrapText="1"/>
    </xf>
    <xf numFmtId="0" fontId="16284" fillId="16290" borderId="16152" applyAlignment="1" pivotButton="0" quotePrefix="0" xfId="0">
      <alignment horizontal="center" vertical="center" wrapText="1"/>
    </xf>
    <xf numFmtId="0" fontId="16285" fillId="16291" borderId="16153" pivotButton="0" quotePrefix="0" xfId="0"/>
    <xf numFmtId="0" fontId="16289" fillId="16295" borderId="16154" applyAlignment="1" pivotButton="0" quotePrefix="0" xfId="0">
      <alignment horizontal="center" vertical="center"/>
    </xf>
    <xf numFmtId="0" fontId="16290" fillId="16296" borderId="16155" pivotButton="0" quotePrefix="0" xfId="0"/>
    <xf numFmtId="0" fontId="16291" fillId="16297" borderId="16156" applyAlignment="1" pivotButton="0" quotePrefix="0" xfId="0">
      <alignment horizontal="center" wrapText="1"/>
    </xf>
    <xf numFmtId="14" fontId="16292" fillId="16298" borderId="16157" applyAlignment="1" pivotButton="0" quotePrefix="0" xfId="0">
      <alignment horizontal="center" vertical="center" wrapText="1"/>
    </xf>
    <xf numFmtId="4" fontId="16293" fillId="16299" borderId="16158" applyAlignment="1" pivotButton="0" quotePrefix="0" xfId="0">
      <alignment horizontal="center" vertical="center" wrapText="1"/>
    </xf>
    <xf numFmtId="4" fontId="16294" fillId="16300" borderId="16159" applyAlignment="1" pivotButton="0" quotePrefix="0" xfId="0">
      <alignment horizontal="center" vertical="center" wrapText="1"/>
    </xf>
    <xf numFmtId="4" fontId="16295" fillId="16301" borderId="16160" applyAlignment="1" pivotButton="0" quotePrefix="0" xfId="0">
      <alignment horizontal="center" vertical="center" wrapText="1"/>
    </xf>
    <xf numFmtId="4" fontId="16296" fillId="16302" borderId="16161" applyAlignment="1" pivotButton="0" quotePrefix="0" xfId="0">
      <alignment horizontal="center" vertical="center" wrapText="1"/>
    </xf>
    <xf numFmtId="4" fontId="16297" fillId="16303" borderId="16162" applyAlignment="1" pivotButton="0" quotePrefix="0" xfId="0">
      <alignment horizontal="center" vertical="center" wrapText="1"/>
    </xf>
    <xf numFmtId="4" fontId="16298" fillId="16304" borderId="16163" applyAlignment="1" pivotButton="0" quotePrefix="0" xfId="0">
      <alignment horizontal="center" vertical="center" wrapText="1"/>
    </xf>
    <xf numFmtId="2" fontId="16299" fillId="16305" borderId="16164" applyAlignment="1" pivotButton="0" quotePrefix="0" xfId="0">
      <alignment horizontal="center" vertical="center" wrapText="1"/>
    </xf>
    <xf numFmtId="2" fontId="16300" fillId="16306" borderId="16165" applyAlignment="1" pivotButton="0" quotePrefix="0" xfId="0">
      <alignment horizontal="center" vertical="center" wrapText="1"/>
    </xf>
    <xf numFmtId="0" fontId="16301" fillId="16307" borderId="16166" applyAlignment="1" pivotButton="0" quotePrefix="0" xfId="0">
      <alignment horizontal="center" vertical="center"/>
    </xf>
    <xf numFmtId="0" fontId="16302" fillId="16308" borderId="16167" pivotButton="0" quotePrefix="0" xfId="0"/>
    <xf numFmtId="0" fontId="16303" fillId="16309" borderId="16168" pivotButton="0" quotePrefix="0" xfId="0"/>
    <xf numFmtId="14" fontId="16304" fillId="16310" borderId="16169" applyAlignment="1" pivotButton="0" quotePrefix="0" xfId="0">
      <alignment horizontal="center" vertical="center"/>
    </xf>
    <xf numFmtId="4" fontId="16305" fillId="16311" borderId="16170" applyAlignment="1" pivotButton="0" quotePrefix="0" xfId="0">
      <alignment horizontal="center" vertical="center"/>
    </xf>
    <xf numFmtId="4" fontId="16306" fillId="16312" borderId="16171" applyAlignment="1" pivotButton="0" quotePrefix="0" xfId="0">
      <alignment horizontal="center" vertical="center"/>
    </xf>
    <xf numFmtId="4" fontId="16307" fillId="16313" borderId="16172" applyAlignment="1" pivotButton="0" quotePrefix="0" xfId="0">
      <alignment horizontal="center" vertical="center"/>
    </xf>
    <xf numFmtId="4" fontId="16308" fillId="16314" borderId="16173" applyAlignment="1" pivotButton="0" quotePrefix="0" xfId="0">
      <alignment horizontal="center" vertical="center"/>
    </xf>
    <xf numFmtId="4" fontId="16309" fillId="16315" borderId="16174" applyAlignment="1" pivotButton="0" quotePrefix="0" xfId="0">
      <alignment horizontal="center" vertical="center"/>
    </xf>
    <xf numFmtId="4" fontId="16310" fillId="16316" borderId="16175" applyAlignment="1" pivotButton="0" quotePrefix="0" xfId="0">
      <alignment horizontal="center" vertical="center"/>
    </xf>
    <xf numFmtId="4" fontId="16311" fillId="16317" borderId="16176" applyAlignment="1" pivotButton="0" quotePrefix="0" xfId="0">
      <alignment horizontal="right" vertical="center"/>
    </xf>
    <xf numFmtId="4" fontId="16312" fillId="16318" borderId="16177" applyAlignment="1" pivotButton="0" quotePrefix="0" xfId="0">
      <alignment horizontal="right" vertical="center"/>
    </xf>
    <xf numFmtId="0" fontId="16313" fillId="16319" borderId="16178" applyAlignment="1" pivotButton="0" quotePrefix="0" xfId="0">
      <alignment horizontal="center" vertical="center"/>
    </xf>
    <xf numFmtId="0" fontId="16314" fillId="16320" borderId="16179" pivotButton="0" quotePrefix="0" xfId="0"/>
    <xf numFmtId="0" fontId="16315" fillId="16321" borderId="16180" pivotButton="0" quotePrefix="0" xfId="0"/>
    <xf numFmtId="14" fontId="16316" fillId="16322" borderId="16181" applyAlignment="1" pivotButton="0" quotePrefix="0" xfId="0">
      <alignment horizontal="center" vertical="center"/>
    </xf>
    <xf numFmtId="4" fontId="16317" fillId="16323" borderId="16182" applyAlignment="1" pivotButton="0" quotePrefix="0" xfId="0">
      <alignment horizontal="center" vertical="center"/>
    </xf>
    <xf numFmtId="4" fontId="16318" fillId="16324" borderId="16183" applyAlignment="1" pivotButton="0" quotePrefix="0" xfId="0">
      <alignment horizontal="center" vertical="center"/>
    </xf>
    <xf numFmtId="4" fontId="16319" fillId="16325" borderId="16184" applyAlignment="1" pivotButton="0" quotePrefix="0" xfId="0">
      <alignment horizontal="center" vertical="center"/>
    </xf>
    <xf numFmtId="4" fontId="16320" fillId="16326" borderId="16185" applyAlignment="1" pivotButton="0" quotePrefix="0" xfId="0">
      <alignment horizontal="center" vertical="center"/>
    </xf>
    <xf numFmtId="4" fontId="16321" fillId="16327" borderId="16186" applyAlignment="1" pivotButton="0" quotePrefix="0" xfId="0">
      <alignment horizontal="center" vertical="center"/>
    </xf>
    <xf numFmtId="4" fontId="16322" fillId="16328" borderId="16187" applyAlignment="1" pivotButton="0" quotePrefix="0" xfId="0">
      <alignment horizontal="center" vertical="center"/>
    </xf>
    <xf numFmtId="4" fontId="16323" fillId="16329" borderId="16188" applyAlignment="1" pivotButton="0" quotePrefix="0" xfId="0">
      <alignment horizontal="right" vertical="center"/>
    </xf>
    <xf numFmtId="4" fontId="16324" fillId="16330" borderId="16189" applyAlignment="1" pivotButton="0" quotePrefix="0" xfId="0">
      <alignment horizontal="right" vertical="center"/>
    </xf>
    <xf numFmtId="0" fontId="16325" fillId="16331" borderId="16190" applyAlignment="1" pivotButton="0" quotePrefix="0" xfId="0">
      <alignment horizontal="center" vertical="center"/>
    </xf>
    <xf numFmtId="0" fontId="16326" fillId="16332" borderId="16191" pivotButton="0" quotePrefix="0" xfId="0"/>
    <xf numFmtId="0" fontId="16327" fillId="16333" borderId="16192" pivotButton="0" quotePrefix="0" xfId="0"/>
    <xf numFmtId="14" fontId="16328" fillId="16334" borderId="16193" applyAlignment="1" pivotButton="0" quotePrefix="0" xfId="0">
      <alignment horizontal="center" vertical="center"/>
    </xf>
    <xf numFmtId="4" fontId="16329" fillId="16335" borderId="16194" applyAlignment="1" pivotButton="0" quotePrefix="0" xfId="0">
      <alignment horizontal="center" vertical="center"/>
    </xf>
    <xf numFmtId="4" fontId="16330" fillId="16336" borderId="16195" applyAlignment="1" pivotButton="0" quotePrefix="0" xfId="0">
      <alignment horizontal="center" vertical="center"/>
    </xf>
    <xf numFmtId="4" fontId="16331" fillId="16337" borderId="16196" applyAlignment="1" pivotButton="0" quotePrefix="0" xfId="0">
      <alignment horizontal="center" vertical="center"/>
    </xf>
    <xf numFmtId="4" fontId="16332" fillId="16338" borderId="16197" applyAlignment="1" pivotButton="0" quotePrefix="0" xfId="0">
      <alignment horizontal="center" vertical="center"/>
    </xf>
    <xf numFmtId="4" fontId="16333" fillId="16339" borderId="16198" applyAlignment="1" pivotButton="0" quotePrefix="0" xfId="0">
      <alignment horizontal="center" vertical="center"/>
    </xf>
    <xf numFmtId="4" fontId="16334" fillId="16340" borderId="16199" applyAlignment="1" pivotButton="0" quotePrefix="0" xfId="0">
      <alignment horizontal="center" vertical="center"/>
    </xf>
    <xf numFmtId="4" fontId="16335" fillId="16341" borderId="16200" applyAlignment="1" pivotButton="0" quotePrefix="0" xfId="0">
      <alignment horizontal="right" vertical="center"/>
    </xf>
    <xf numFmtId="4" fontId="16336" fillId="16342" borderId="16201" applyAlignment="1" pivotButton="0" quotePrefix="0" xfId="0">
      <alignment horizontal="right" vertical="center"/>
    </xf>
    <xf numFmtId="0" fontId="16337" fillId="16343" borderId="16202" applyAlignment="1" pivotButton="0" quotePrefix="0" xfId="0">
      <alignment horizontal="center" vertical="center"/>
    </xf>
    <xf numFmtId="0" fontId="16338" fillId="16344" borderId="16203" pivotButton="0" quotePrefix="0" xfId="0"/>
    <xf numFmtId="0" fontId="16339" fillId="16345" borderId="16204" pivotButton="0" quotePrefix="0" xfId="0"/>
    <xf numFmtId="14" fontId="16340" fillId="16346" borderId="16205" applyAlignment="1" pivotButton="0" quotePrefix="0" xfId="0">
      <alignment horizontal="center" vertical="center"/>
    </xf>
    <xf numFmtId="4" fontId="16341" fillId="16347" borderId="16206" applyAlignment="1" pivotButton="0" quotePrefix="0" xfId="0">
      <alignment horizontal="center" vertical="center"/>
    </xf>
    <xf numFmtId="4" fontId="16342" fillId="16348" borderId="16207" applyAlignment="1" pivotButton="0" quotePrefix="0" xfId="0">
      <alignment horizontal="center" vertical="center"/>
    </xf>
    <xf numFmtId="4" fontId="16343" fillId="16349" borderId="16208" applyAlignment="1" pivotButton="0" quotePrefix="0" xfId="0">
      <alignment horizontal="center" vertical="center"/>
    </xf>
    <xf numFmtId="4" fontId="16344" fillId="16350" borderId="16209" applyAlignment="1" pivotButton="0" quotePrefix="0" xfId="0">
      <alignment horizontal="center" vertical="center"/>
    </xf>
    <xf numFmtId="4" fontId="16345" fillId="16351" borderId="16210" applyAlignment="1" pivotButton="0" quotePrefix="0" xfId="0">
      <alignment horizontal="center" vertical="center"/>
    </xf>
    <xf numFmtId="4" fontId="16346" fillId="16352" borderId="16211" applyAlignment="1" pivotButton="0" quotePrefix="0" xfId="0">
      <alignment horizontal="center" vertical="center"/>
    </xf>
    <xf numFmtId="4" fontId="16347" fillId="16353" borderId="16212" applyAlignment="1" pivotButton="0" quotePrefix="0" xfId="0">
      <alignment horizontal="right" vertical="center"/>
    </xf>
    <xf numFmtId="4" fontId="16348" fillId="16354" borderId="16213" applyAlignment="1" pivotButton="0" quotePrefix="0" xfId="0">
      <alignment horizontal="right" vertical="center"/>
    </xf>
    <xf numFmtId="0" fontId="16349" fillId="16355" borderId="16214" applyAlignment="1" pivotButton="0" quotePrefix="0" xfId="0">
      <alignment horizontal="center" vertical="center"/>
    </xf>
    <xf numFmtId="0" fontId="16350" fillId="16356" borderId="16215" pivotButton="0" quotePrefix="0" xfId="0"/>
    <xf numFmtId="0" fontId="16351" fillId="16357" borderId="16216" pivotButton="0" quotePrefix="0" xfId="0"/>
    <xf numFmtId="14" fontId="16352" fillId="16358" borderId="16217" applyAlignment="1" pivotButton="0" quotePrefix="0" xfId="0">
      <alignment horizontal="center" vertical="center"/>
    </xf>
    <xf numFmtId="4" fontId="16353" fillId="16359" borderId="16218" applyAlignment="1" pivotButton="0" quotePrefix="0" xfId="0">
      <alignment horizontal="center" vertical="center"/>
    </xf>
    <xf numFmtId="4" fontId="16354" fillId="16360" borderId="16219" applyAlignment="1" pivotButton="0" quotePrefix="0" xfId="0">
      <alignment horizontal="center" vertical="center"/>
    </xf>
    <xf numFmtId="4" fontId="16355" fillId="16361" borderId="16220" applyAlignment="1" pivotButton="0" quotePrefix="0" xfId="0">
      <alignment horizontal="center" vertical="center"/>
    </xf>
    <xf numFmtId="4" fontId="16356" fillId="16362" borderId="16221" applyAlignment="1" pivotButton="0" quotePrefix="0" xfId="0">
      <alignment horizontal="center" vertical="center"/>
    </xf>
    <xf numFmtId="4" fontId="16357" fillId="16363" borderId="16222" applyAlignment="1" pivotButton="0" quotePrefix="0" xfId="0">
      <alignment horizontal="center" vertical="center"/>
    </xf>
    <xf numFmtId="4" fontId="16358" fillId="16364" borderId="16223" applyAlignment="1" pivotButton="0" quotePrefix="0" xfId="0">
      <alignment horizontal="center" vertical="center"/>
    </xf>
    <xf numFmtId="4" fontId="16359" fillId="16365" borderId="16224" applyAlignment="1" pivotButton="0" quotePrefix="0" xfId="0">
      <alignment horizontal="right" vertical="center"/>
    </xf>
    <xf numFmtId="4" fontId="16360" fillId="16366" borderId="16225" applyAlignment="1" pivotButton="0" quotePrefix="0" xfId="0">
      <alignment horizontal="right" vertical="center"/>
    </xf>
    <xf numFmtId="0" fontId="16361" fillId="16367" borderId="16226" applyAlignment="1" pivotButton="0" quotePrefix="0" xfId="0">
      <alignment horizontal="center" vertical="center"/>
    </xf>
    <xf numFmtId="0" fontId="16362" fillId="16368" borderId="16227" pivotButton="0" quotePrefix="0" xfId="0"/>
    <xf numFmtId="0" fontId="16363" fillId="16369" borderId="16228" pivotButton="0" quotePrefix="0" xfId="0"/>
    <xf numFmtId="14" fontId="16364" fillId="16370" borderId="16229" applyAlignment="1" pivotButton="0" quotePrefix="0" xfId="0">
      <alignment horizontal="center" vertical="center"/>
    </xf>
    <xf numFmtId="4" fontId="16365" fillId="16371" borderId="16230" applyAlignment="1" pivotButton="0" quotePrefix="0" xfId="0">
      <alignment horizontal="center" vertical="center"/>
    </xf>
    <xf numFmtId="4" fontId="16366" fillId="16372" borderId="16231" applyAlignment="1" pivotButton="0" quotePrefix="0" xfId="0">
      <alignment horizontal="center" vertical="center"/>
    </xf>
    <xf numFmtId="4" fontId="16367" fillId="16373" borderId="16232" applyAlignment="1" pivotButton="0" quotePrefix="0" xfId="0">
      <alignment horizontal="center" vertical="center"/>
    </xf>
    <xf numFmtId="4" fontId="16368" fillId="16374" borderId="16233" applyAlignment="1" pivotButton="0" quotePrefix="0" xfId="0">
      <alignment horizontal="center" vertical="center"/>
    </xf>
    <xf numFmtId="4" fontId="16369" fillId="16375" borderId="16234" applyAlignment="1" pivotButton="0" quotePrefix="0" xfId="0">
      <alignment horizontal="center" vertical="center"/>
    </xf>
    <xf numFmtId="4" fontId="16370" fillId="16376" borderId="16235" applyAlignment="1" pivotButton="0" quotePrefix="0" xfId="0">
      <alignment horizontal="center" vertical="center"/>
    </xf>
    <xf numFmtId="4" fontId="16371" fillId="16377" borderId="16236" applyAlignment="1" pivotButton="0" quotePrefix="0" xfId="0">
      <alignment horizontal="right" vertical="center"/>
    </xf>
    <xf numFmtId="4" fontId="16372" fillId="16378" borderId="16237" applyAlignment="1" pivotButton="0" quotePrefix="0" xfId="0">
      <alignment horizontal="right" vertical="center"/>
    </xf>
    <xf numFmtId="0" fontId="16373" fillId="16379" borderId="16238" applyAlignment="1" pivotButton="0" quotePrefix="0" xfId="0">
      <alignment horizontal="center" vertical="center"/>
    </xf>
    <xf numFmtId="0" fontId="16374" fillId="16380" borderId="16239" pivotButton="0" quotePrefix="0" xfId="0"/>
    <xf numFmtId="0" fontId="16375" fillId="16381" borderId="16240" pivotButton="0" quotePrefix="0" xfId="0"/>
    <xf numFmtId="14" fontId="16376" fillId="16382" borderId="16241" applyAlignment="1" pivotButton="0" quotePrefix="0" xfId="0">
      <alignment horizontal="center" vertical="center"/>
    </xf>
    <xf numFmtId="4" fontId="16377" fillId="16383" borderId="16242" applyAlignment="1" pivotButton="0" quotePrefix="0" xfId="0">
      <alignment horizontal="center" vertical="center"/>
    </xf>
    <xf numFmtId="4" fontId="16378" fillId="16384" borderId="16243" applyAlignment="1" pivotButton="0" quotePrefix="0" xfId="0">
      <alignment horizontal="center" vertical="center"/>
    </xf>
    <xf numFmtId="4" fontId="16379" fillId="16385" borderId="16244" applyAlignment="1" pivotButton="0" quotePrefix="0" xfId="0">
      <alignment horizontal="center" vertical="center"/>
    </xf>
    <xf numFmtId="4" fontId="16380" fillId="16386" borderId="16245" applyAlignment="1" pivotButton="0" quotePrefix="0" xfId="0">
      <alignment horizontal="center" vertical="center"/>
    </xf>
    <xf numFmtId="4" fontId="16381" fillId="16387" borderId="16246" applyAlignment="1" pivotButton="0" quotePrefix="0" xfId="0">
      <alignment horizontal="center" vertical="center"/>
    </xf>
    <xf numFmtId="4" fontId="16382" fillId="16388" borderId="16247" applyAlignment="1" pivotButton="0" quotePrefix="0" xfId="0">
      <alignment horizontal="center" vertical="center"/>
    </xf>
    <xf numFmtId="4" fontId="16383" fillId="16389" borderId="16248" applyAlignment="1" pivotButton="0" quotePrefix="0" xfId="0">
      <alignment horizontal="right" vertical="center"/>
    </xf>
    <xf numFmtId="4" fontId="16384" fillId="16390" borderId="16249" applyAlignment="1" pivotButton="0" quotePrefix="0" xfId="0">
      <alignment horizontal="right" vertical="center"/>
    </xf>
    <xf numFmtId="0" fontId="16385" fillId="16391" borderId="16250" applyAlignment="1" pivotButton="0" quotePrefix="0" xfId="0">
      <alignment horizontal="center" vertical="center"/>
    </xf>
    <xf numFmtId="0" fontId="16386" fillId="16392" borderId="16251" pivotButton="0" quotePrefix="0" xfId="0"/>
    <xf numFmtId="0" fontId="16387" fillId="16393" borderId="16252" pivotButton="0" quotePrefix="0" xfId="0"/>
    <xf numFmtId="0" fontId="16388" fillId="16394" borderId="16253" applyAlignment="1" pivotButton="0" quotePrefix="0" xfId="0">
      <alignment horizontal="center" vertical="center"/>
    </xf>
    <xf numFmtId="3" fontId="16389" fillId="16395" borderId="16254" applyAlignment="1" pivotButton="0" quotePrefix="0" xfId="0">
      <alignment horizontal="center" vertical="center"/>
    </xf>
    <xf numFmtId="4" fontId="16390" fillId="16396" borderId="16255" applyAlignment="1" pivotButton="0" quotePrefix="0" xfId="0">
      <alignment horizontal="center" vertical="center"/>
    </xf>
    <xf numFmtId="4" fontId="16391" fillId="16397" borderId="16256" applyAlignment="1" pivotButton="0" quotePrefix="0" xfId="0">
      <alignment horizontal="center" vertical="center"/>
    </xf>
    <xf numFmtId="164" fontId="16392" fillId="16398" borderId="16257" applyAlignment="1" pivotButton="0" quotePrefix="0" xfId="0">
      <alignment horizontal="center" vertical="center"/>
    </xf>
    <xf numFmtId="164" fontId="16393" fillId="16399" borderId="16258" applyAlignment="1" pivotButton="0" quotePrefix="0" xfId="0">
      <alignment horizontal="center" vertical="center"/>
    </xf>
    <xf numFmtId="4" fontId="16394" fillId="16400" borderId="16259" applyAlignment="1" pivotButton="0" quotePrefix="0" xfId="0">
      <alignment horizontal="center" vertical="center"/>
    </xf>
    <xf numFmtId="4" fontId="16395" fillId="16401" borderId="16260" applyAlignment="1" pivotButton="0" quotePrefix="0" xfId="0">
      <alignment horizontal="right" vertical="center"/>
    </xf>
    <xf numFmtId="2" fontId="16396" fillId="16402" borderId="16261" applyAlignment="1" pivotButton="0" quotePrefix="0" xfId="0">
      <alignment horizontal="right" vertical="center"/>
    </xf>
    <xf numFmtId="0" fontId="16397" fillId="16403" borderId="16262" applyAlignment="1" pivotButton="0" quotePrefix="0" xfId="0">
      <alignment horizontal="center" vertical="center"/>
    </xf>
    <xf numFmtId="0" fontId="16398" fillId="16404" borderId="16263" pivotButton="0" quotePrefix="0" xfId="0"/>
    <xf numFmtId="0" fontId="16401" fillId="16407" borderId="16264" applyAlignment="1" pivotButton="0" quotePrefix="0" xfId="0">
      <alignment horizontal="center" wrapText="1"/>
    </xf>
    <xf numFmtId="4" fontId="16402" fillId="16408" borderId="16265" pivotButton="0" quotePrefix="0" xfId="0"/>
    <xf numFmtId="4" fontId="16403" fillId="16409" borderId="16266" pivotButton="0" quotePrefix="0" xfId="0"/>
    <xf numFmtId="4" fontId="16404" fillId="16410" borderId="16267" pivotButton="0" quotePrefix="0" xfId="0"/>
    <xf numFmtId="167" fontId="16405" fillId="16411" borderId="16268" pivotButton="0" quotePrefix="0" xfId="0"/>
    <xf numFmtId="166" fontId="16406" fillId="16412" borderId="16269" pivotButton="0" quotePrefix="0" xfId="0"/>
    <xf numFmtId="166" fontId="16407" fillId="16413" borderId="16270" pivotButton="0" quotePrefix="0" xfId="0"/>
    <xf numFmtId="0" fontId="16408" fillId="16414" borderId="16271" applyAlignment="1" pivotButton="0" quotePrefix="0" xfId="0">
      <alignment horizontal="center"/>
    </xf>
    <xf numFmtId="4" fontId="16409" fillId="16415" borderId="16272" pivotButton="0" quotePrefix="0" xfId="0"/>
    <xf numFmtId="4" fontId="16410" fillId="16416" borderId="16273" pivotButton="0" quotePrefix="0" xfId="0"/>
    <xf numFmtId="166" fontId="16411" fillId="16417" borderId="16274" pivotButton="0" quotePrefix="0" xfId="0"/>
    <xf numFmtId="4" fontId="16412" fillId="16418" borderId="16275" pivotButton="0" quotePrefix="0" xfId="0"/>
    <xf numFmtId="167" fontId="16413" fillId="16419" borderId="16276" pivotButton="0" quotePrefix="0" xfId="0"/>
    <xf numFmtId="166" fontId="16414" fillId="16420" borderId="16277" pivotButton="0" quotePrefix="0" xfId="0"/>
    <xf numFmtId="4" fontId="16415" fillId="16421" borderId="16278" pivotButton="0" quotePrefix="0" xfId="0"/>
    <xf numFmtId="166" fontId="16416" fillId="16422" borderId="16279" pivotButton="0" quotePrefix="0" xfId="0"/>
    <xf numFmtId="0" fontId="16417" fillId="16423" borderId="16280" applyAlignment="1" pivotButton="0" quotePrefix="0" xfId="0">
      <alignment horizontal="center"/>
    </xf>
    <xf numFmtId="0" fontId="16418" fillId="16424" borderId="16281" pivotButton="0" quotePrefix="0" xfId="0"/>
    <xf numFmtId="166" fontId="16419" fillId="16425" borderId="16282" pivotButton="0" quotePrefix="0" xfId="0"/>
    <xf numFmtId="4" fontId="16420" fillId="16426" borderId="16283" pivotButton="0" quotePrefix="0" xfId="0"/>
    <xf numFmtId="167" fontId="16421" fillId="16427" borderId="16284" pivotButton="0" quotePrefix="0" xfId="0"/>
    <xf numFmtId="166" fontId="16422" fillId="16428" borderId="16285" pivotButton="0" quotePrefix="0" xfId="0"/>
    <xf numFmtId="166" fontId="16423" fillId="16429" borderId="16286" pivotButton="0" quotePrefix="0" xfId="0"/>
    <xf numFmtId="4" fontId="16424" fillId="16430" borderId="16287" pivotButton="0" quotePrefix="0" xfId="0"/>
    <xf numFmtId="0" fontId="16427" fillId="16433" borderId="16288" applyAlignment="1" pivotButton="0" quotePrefix="0" xfId="0">
      <alignment horizontal="center"/>
    </xf>
    <xf numFmtId="167" fontId="16429" fillId="16435" borderId="16289" applyAlignment="1" pivotButton="0" quotePrefix="0" xfId="0">
      <alignment horizontal="center"/>
    </xf>
    <xf numFmtId="0" fontId="16430" fillId="16436" borderId="16290" pivotButton="0" quotePrefix="0" xfId="0"/>
    <xf numFmtId="0" fontId="16432" fillId="16438" borderId="16291" applyAlignment="1" pivotButton="0" quotePrefix="0" xfId="0">
      <alignment horizontal="center" wrapText="1"/>
    </xf>
    <xf numFmtId="0" fontId="16433" fillId="16439" borderId="16292" applyAlignment="1" pivotButton="0" quotePrefix="0" xfId="0">
      <alignment horizontal="center" wrapText="1"/>
    </xf>
    <xf numFmtId="0" fontId="16434" fillId="16440" borderId="16293" applyAlignment="1" pivotButton="0" quotePrefix="0" xfId="0">
      <alignment horizontal="center" wrapText="1"/>
    </xf>
    <xf numFmtId="0" fontId="16435" fillId="16441" borderId="16294" applyAlignment="1" pivotButton="0" quotePrefix="0" xfId="0">
      <alignment horizontal="center" wrapText="1"/>
    </xf>
    <xf numFmtId="0" fontId="16436" fillId="16442" borderId="16295" applyAlignment="1" pivotButton="0" quotePrefix="0" xfId="0">
      <alignment horizontal="center" wrapText="1"/>
    </xf>
    <xf numFmtId="0" fontId="16437" fillId="16443" borderId="16296" applyAlignment="1" pivotButton="0" quotePrefix="0" xfId="0">
      <alignment horizontal="center" wrapText="1"/>
    </xf>
    <xf numFmtId="0" fontId="16438" fillId="16444" borderId="16297" applyAlignment="1" pivotButton="0" quotePrefix="0" xfId="0">
      <alignment horizontal="center"/>
    </xf>
    <xf numFmtId="166" fontId="16439" fillId="16445" borderId="16298" pivotButton="0" quotePrefix="0" xfId="0"/>
    <xf numFmtId="166" fontId="16440" fillId="16446" borderId="16299" pivotButton="0" quotePrefix="0" xfId="0"/>
    <xf numFmtId="166" fontId="16441" fillId="16447" borderId="16300" pivotButton="0" quotePrefix="0" xfId="0"/>
    <xf numFmtId="4" fontId="16442" fillId="16448" borderId="16301" pivotButton="0" quotePrefix="0" xfId="0"/>
    <xf numFmtId="4" fontId="16443" fillId="16449" borderId="16302" pivotButton="0" quotePrefix="0" xfId="0"/>
    <xf numFmtId="0" fontId="16444" fillId="16450" borderId="16303" applyAlignment="1" pivotButton="0" quotePrefix="0" xfId="0">
      <alignment horizontal="center"/>
    </xf>
    <xf numFmtId="166" fontId="16445" fillId="16451" borderId="16304" pivotButton="0" quotePrefix="0" xfId="0"/>
    <xf numFmtId="166" fontId="16446" fillId="16452" borderId="16305" pivotButton="0" quotePrefix="0" xfId="0"/>
    <xf numFmtId="166" fontId="16447" fillId="16453" borderId="16306" pivotButton="0" quotePrefix="0" xfId="0"/>
    <xf numFmtId="4" fontId="16448" fillId="16454" borderId="16307" pivotButton="0" quotePrefix="0" xfId="0"/>
    <xf numFmtId="4" fontId="16449" fillId="16455" borderId="16308" pivotButton="0" quotePrefix="0" xfId="0"/>
    <xf numFmtId="0" fontId="16450" fillId="16456" borderId="16309" applyAlignment="1" pivotButton="0" quotePrefix="0" xfId="0">
      <alignment horizontal="center"/>
    </xf>
    <xf numFmtId="166" fontId="16451" fillId="16457" borderId="16310" pivotButton="0" quotePrefix="0" xfId="0"/>
    <xf numFmtId="166" fontId="16452" fillId="16458" borderId="16311" pivotButton="0" quotePrefix="0" xfId="0"/>
    <xf numFmtId="166" fontId="16453" fillId="16459" borderId="16312" pivotButton="0" quotePrefix="0" xfId="0"/>
    <xf numFmtId="4" fontId="16454" fillId="16460" borderId="16313" pivotButton="0" quotePrefix="0" xfId="0"/>
    <xf numFmtId="4" fontId="16455" fillId="16461" borderId="16314" pivotButton="0" quotePrefix="0" xfId="0"/>
    <xf numFmtId="0" fontId="16456" fillId="16462" borderId="16315" applyAlignment="1" pivotButton="0" quotePrefix="0" xfId="0">
      <alignment horizontal="center"/>
    </xf>
    <xf numFmtId="166" fontId="16457" fillId="16463" borderId="16316" pivotButton="0" quotePrefix="0" xfId="0"/>
    <xf numFmtId="166" fontId="16458" fillId="16464" borderId="16317" pivotButton="0" quotePrefix="0" xfId="0"/>
    <xf numFmtId="166" fontId="16459" fillId="16465" borderId="16318" pivotButton="0" quotePrefix="0" xfId="0"/>
    <xf numFmtId="4" fontId="16460" fillId="16466" borderId="16319" pivotButton="0" quotePrefix="0" xfId="0"/>
    <xf numFmtId="4" fontId="16461" fillId="16467" borderId="16320" pivotButton="0" quotePrefix="0" xfId="0"/>
    <xf numFmtId="0" fontId="16462" fillId="16468" borderId="16321" applyAlignment="1" pivotButton="0" quotePrefix="0" xfId="0">
      <alignment horizontal="center"/>
    </xf>
    <xf numFmtId="166" fontId="16463" fillId="16469" borderId="16322" pivotButton="0" quotePrefix="0" xfId="0"/>
    <xf numFmtId="166" fontId="16464" fillId="16470" borderId="16323" pivotButton="0" quotePrefix="0" xfId="0"/>
    <xf numFmtId="166" fontId="16465" fillId="16471" borderId="16324" pivotButton="0" quotePrefix="0" xfId="0"/>
    <xf numFmtId="4" fontId="16466" fillId="16472" borderId="16325" pivotButton="0" quotePrefix="0" xfId="0"/>
    <xf numFmtId="4" fontId="16467" fillId="16473" borderId="16326" pivotButton="0" quotePrefix="0" xfId="0"/>
    <xf numFmtId="0" fontId="16468" fillId="16474" borderId="16327" applyAlignment="1" pivotButton="0" quotePrefix="0" xfId="0">
      <alignment horizontal="center"/>
    </xf>
    <xf numFmtId="166" fontId="16469" fillId="16475" borderId="16328" pivotButton="0" quotePrefix="0" xfId="0"/>
    <xf numFmtId="166" fontId="16470" fillId="16476" borderId="16329" pivotButton="0" quotePrefix="0" xfId="0"/>
    <xf numFmtId="166" fontId="16471" fillId="16477" borderId="16330" pivotButton="0" quotePrefix="0" xfId="0"/>
    <xf numFmtId="4" fontId="16472" fillId="16478" borderId="16331" pivotButton="0" quotePrefix="0" xfId="0"/>
    <xf numFmtId="4" fontId="16473" fillId="16479" borderId="16332" pivotButton="0" quotePrefix="0" xfId="0"/>
    <xf numFmtId="0" fontId="16474" fillId="16480" borderId="16333" pivotButton="0" quotePrefix="0" xfId="0"/>
    <xf numFmtId="166" fontId="16475" fillId="16481" borderId="16334" pivotButton="0" quotePrefix="0" xfId="0"/>
    <xf numFmtId="166" fontId="16476" fillId="16482" borderId="16335" pivotButton="0" quotePrefix="0" xfId="0"/>
    <xf numFmtId="166" fontId="16477" fillId="16483" borderId="16336" pivotButton="0" quotePrefix="0" xfId="0"/>
    <xf numFmtId="4" fontId="16478" fillId="16484" borderId="16337" pivotButton="0" quotePrefix="0" xfId="0"/>
    <xf numFmtId="4" fontId="16479" fillId="16485" borderId="16338" pivotButton="0" quotePrefix="0" xfId="0"/>
    <xf numFmtId="166" fontId="16496" fillId="16502" borderId="16354" applyAlignment="1" pivotButton="0" quotePrefix="0" xfId="0">
      <alignment horizontal="center" wrapText="1"/>
    </xf>
    <xf numFmtId="0" fontId="16497" fillId="16503" borderId="16355" pivotButton="0" quotePrefix="0" xfId="0"/>
    <xf numFmtId="166" fontId="16498" fillId="16504" borderId="16356" pivotButton="0" quotePrefix="0" xfId="0"/>
    <xf numFmtId="166" fontId="16499" fillId="16505" borderId="16357" pivotButton="0" quotePrefix="0" xfId="0"/>
    <xf numFmtId="166" fontId="16500" fillId="16506" borderId="16358" pivotButton="0" quotePrefix="0" xfId="0"/>
    <xf numFmtId="166" fontId="16501" fillId="16507" borderId="16359" pivotButton="0" quotePrefix="0" xfId="0"/>
    <xf numFmtId="166" fontId="16502" fillId="16508" borderId="16360" pivotButton="0" quotePrefix="0" xfId="0"/>
    <xf numFmtId="166" fontId="16503" fillId="16509" borderId="16361" pivotButton="0" quotePrefix="0" xfId="0"/>
    <xf numFmtId="166" fontId="16504" fillId="16510" borderId="16362" pivotButton="0" quotePrefix="0" xfId="0"/>
    <xf numFmtId="0" fontId="16505" fillId="16511" borderId="16363" pivotButton="0" quotePrefix="0" xfId="0"/>
    <xf numFmtId="166" fontId="16506" fillId="16512" borderId="16364" pivotButton="0" quotePrefix="0" xfId="0"/>
    <xf numFmtId="166" fontId="16507" fillId="16513" borderId="16365" pivotButton="0" quotePrefix="0" xfId="0"/>
    <xf numFmtId="166" fontId="16508" fillId="16514" borderId="16366" pivotButton="0" quotePrefix="0" xfId="0"/>
    <xf numFmtId="166" fontId="16509" fillId="16515" borderId="16367" pivotButton="0" quotePrefix="0" xfId="0"/>
    <xf numFmtId="166" fontId="16510" fillId="16516" borderId="16368" pivotButton="0" quotePrefix="0" xfId="0"/>
    <xf numFmtId="166" fontId="16511" fillId="16517" borderId="16369" pivotButton="0" quotePrefix="0" xfId="0"/>
    <xf numFmtId="166" fontId="16512" fillId="16518" borderId="16370" pivotButton="0" quotePrefix="0" xfId="0"/>
    <xf numFmtId="0" fontId="16513" fillId="16519" borderId="16371" pivotButton="0" quotePrefix="0" xfId="0"/>
    <xf numFmtId="166" fontId="16514" fillId="16520" borderId="16372" pivotButton="0" quotePrefix="0" xfId="0"/>
    <xf numFmtId="166" fontId="16515" fillId="16521" borderId="16373" pivotButton="0" quotePrefix="0" xfId="0"/>
    <xf numFmtId="166" fontId="16516" fillId="16522" borderId="16374" pivotButton="0" quotePrefix="0" xfId="0"/>
    <xf numFmtId="166" fontId="16517" fillId="16523" borderId="16375" pivotButton="0" quotePrefix="0" xfId="0"/>
    <xf numFmtId="166" fontId="16518" fillId="16524" borderId="16376" pivotButton="0" quotePrefix="0" xfId="0"/>
    <xf numFmtId="166" fontId="16519" fillId="16525" borderId="16377" pivotButton="0" quotePrefix="0" xfId="0"/>
    <xf numFmtId="0" fontId="16521" fillId="16527" borderId="16378" applyAlignment="1" pivotButton="0" quotePrefix="0" xfId="0">
      <alignment horizontal="center" wrapText="1"/>
    </xf>
    <xf numFmtId="4" fontId="16522" fillId="16528" borderId="16379" applyAlignment="1" pivotButton="0" quotePrefix="0" xfId="0">
      <alignment horizontal="center" wrapText="1"/>
    </xf>
    <xf numFmtId="4" fontId="16523" fillId="16529" borderId="16380" applyAlignment="1" pivotButton="0" quotePrefix="0" xfId="0">
      <alignment horizontal="center" wrapText="1"/>
    </xf>
    <xf numFmtId="4" fontId="16524" fillId="16530" borderId="16381" applyAlignment="1" pivotButton="0" quotePrefix="0" xfId="0">
      <alignment horizontal="center" wrapText="1"/>
    </xf>
    <xf numFmtId="4" fontId="16525" fillId="16531" borderId="16382" applyAlignment="1" pivotButton="0" quotePrefix="0" xfId="0">
      <alignment horizontal="center" wrapText="1"/>
    </xf>
    <xf numFmtId="4" fontId="16526" fillId="16532" borderId="16383" applyAlignment="1" pivotButton="0" quotePrefix="0" xfId="0">
      <alignment horizontal="center" wrapText="1"/>
    </xf>
    <xf numFmtId="4" fontId="16527" fillId="16533" borderId="16384" applyAlignment="1" pivotButton="0" quotePrefix="0" xfId="0">
      <alignment horizontal="center" wrapText="1"/>
    </xf>
    <xf numFmtId="4" fontId="16528" fillId="16534" borderId="16385" applyAlignment="1" pivotButton="0" quotePrefix="0" xfId="0">
      <alignment horizontal="center" wrapText="1"/>
    </xf>
    <xf numFmtId="0" fontId="16529" fillId="16535" borderId="16386" pivotButton="0" quotePrefix="0" xfId="0"/>
    <xf numFmtId="4" fontId="16530" fillId="16536" borderId="16387" pivotButton="0" quotePrefix="0" xfId="0"/>
    <xf numFmtId="4" fontId="16531" fillId="16537" borderId="16388" pivotButton="0" quotePrefix="0" xfId="0"/>
    <xf numFmtId="4" fontId="16532" fillId="16538" borderId="16389" pivotButton="0" quotePrefix="0" xfId="0"/>
    <xf numFmtId="4" fontId="16533" fillId="16539" borderId="16390" pivotButton="0" quotePrefix="0" xfId="0"/>
    <xf numFmtId="4" fontId="16534" fillId="16540" borderId="16391" pivotButton="0" quotePrefix="0" xfId="0"/>
    <xf numFmtId="4" fontId="16535" fillId="16541" borderId="16392" pivotButton="0" quotePrefix="0" xfId="0"/>
    <xf numFmtId="4" fontId="16536" fillId="16542" borderId="16393" pivotButton="0" quotePrefix="0" xfId="0"/>
    <xf numFmtId="0" fontId="16537" fillId="16543" borderId="16394" pivotButton="0" quotePrefix="0" xfId="0"/>
    <xf numFmtId="4" fontId="16538" fillId="16544" borderId="16395" pivotButton="0" quotePrefix="0" xfId="0"/>
    <xf numFmtId="4" fontId="16539" fillId="16545" borderId="16396" pivotButton="0" quotePrefix="0" xfId="0"/>
    <xf numFmtId="4" fontId="16540" fillId="16546" borderId="16397" pivotButton="0" quotePrefix="0" xfId="0"/>
    <xf numFmtId="4" fontId="16541" fillId="16547" borderId="16398" pivotButton="0" quotePrefix="0" xfId="0"/>
    <xf numFmtId="4" fontId="16542" fillId="16548" borderId="16399" pivotButton="0" quotePrefix="0" xfId="0"/>
    <xf numFmtId="4" fontId="16543" fillId="16549" borderId="16400" pivotButton="0" quotePrefix="0" xfId="0"/>
    <xf numFmtId="4" fontId="16544" fillId="16550" borderId="16401" pivotButton="0" quotePrefix="0" xfId="0"/>
    <xf numFmtId="0" fontId="16545" fillId="16551" borderId="16402" pivotButton="0" quotePrefix="0" xfId="0"/>
    <xf numFmtId="4" fontId="16546" fillId="16552" borderId="16403" pivotButton="0" quotePrefix="0" xfId="0"/>
    <xf numFmtId="4" fontId="16547" fillId="16553" borderId="16404" pivotButton="0" quotePrefix="0" xfId="0"/>
    <xf numFmtId="4" fontId="16548" fillId="16554" borderId="16405" pivotButton="0" quotePrefix="0" xfId="0"/>
    <xf numFmtId="4" fontId="16549" fillId="16555" borderId="16406" pivotButton="0" quotePrefix="0" xfId="0"/>
    <xf numFmtId="4" fontId="16550" fillId="16556" borderId="16407" pivotButton="0" quotePrefix="0" xfId="0"/>
    <xf numFmtId="4" fontId="16551" fillId="16557" borderId="16408" pivotButton="0" quotePrefix="0" xfId="0"/>
    <xf numFmtId="4" fontId="16552" fillId="16558" borderId="16409" pivotButton="0" quotePrefix="0" xfId="0"/>
    <xf numFmtId="0" fontId="16553" fillId="16559" borderId="16410" pivotButton="0" quotePrefix="0" xfId="0"/>
    <xf numFmtId="4" fontId="16554" fillId="16560" borderId="16411" pivotButton="0" quotePrefix="0" xfId="0"/>
    <xf numFmtId="4" fontId="16555" fillId="16561" borderId="16412" pivotButton="0" quotePrefix="0" xfId="0"/>
    <xf numFmtId="4" fontId="16556" fillId="16562" borderId="16413" pivotButton="0" quotePrefix="0" xfId="0"/>
    <xf numFmtId="4" fontId="16557" fillId="16563" borderId="16414" pivotButton="0" quotePrefix="0" xfId="0"/>
    <xf numFmtId="4" fontId="16558" fillId="16564" borderId="16415" pivotButton="0" quotePrefix="0" xfId="0"/>
    <xf numFmtId="4" fontId="16559" fillId="16565" borderId="16416" pivotButton="0" quotePrefix="0" xfId="0"/>
    <xf numFmtId="4" fontId="16560" fillId="16566" borderId="16417" pivotButton="0" quotePrefix="0" xfId="0"/>
    <xf numFmtId="166" fontId="16564" fillId="16570" borderId="16418" applyAlignment="1" pivotButton="0" quotePrefix="0" xfId="0">
      <alignment horizontal="center"/>
    </xf>
    <xf numFmtId="0" fontId="16565" fillId="16571" borderId="16419" applyAlignment="1" pivotButton="0" quotePrefix="0" xfId="0">
      <alignment horizontal="center" wrapText="1"/>
    </xf>
    <xf numFmtId="166" fontId="16566" fillId="16572" borderId="16420" applyAlignment="1" pivotButton="0" quotePrefix="0" xfId="0">
      <alignment horizontal="center" wrapText="1"/>
    </xf>
    <xf numFmtId="166" fontId="16567" fillId="16573" borderId="16421" applyAlignment="1" pivotButton="0" quotePrefix="0" xfId="0">
      <alignment horizontal="center" wrapText="1"/>
    </xf>
    <xf numFmtId="166" fontId="16568" fillId="16574" borderId="16422" applyAlignment="1" pivotButton="0" quotePrefix="0" xfId="0">
      <alignment horizontal="center" wrapText="1"/>
    </xf>
    <xf numFmtId="4" fontId="16569" fillId="16575" borderId="16423" applyAlignment="1" pivotButton="0" quotePrefix="0" xfId="0">
      <alignment horizontal="center" wrapText="1"/>
    </xf>
    <xf numFmtId="4" fontId="16570" fillId="16576" borderId="16424" applyAlignment="1" pivotButton="0" quotePrefix="0" xfId="0">
      <alignment horizontal="center" wrapText="1"/>
    </xf>
    <xf numFmtId="4" fontId="16571" fillId="16577" borderId="16425" applyAlignment="1" pivotButton="0" quotePrefix="0" xfId="0">
      <alignment horizontal="center" wrapText="1"/>
    </xf>
    <xf numFmtId="167" fontId="16572" fillId="16578" borderId="16426" applyAlignment="1" pivotButton="0" quotePrefix="0" xfId="0">
      <alignment horizontal="center" wrapText="1"/>
    </xf>
    <xf numFmtId="166" fontId="16573" fillId="16579" borderId="16427" applyAlignment="1" pivotButton="0" quotePrefix="0" xfId="0">
      <alignment horizontal="center" wrapText="1"/>
    </xf>
    <xf numFmtId="166" fontId="16574" fillId="16580" borderId="16428" applyAlignment="1" pivotButton="0" quotePrefix="0" xfId="0">
      <alignment horizontal="center" wrapText="1"/>
    </xf>
    <xf numFmtId="0" fontId="16575" fillId="16581" borderId="16429" pivotButton="0" quotePrefix="0" xfId="0"/>
    <xf numFmtId="166" fontId="16576" fillId="16582" borderId="16430" pivotButton="0" quotePrefix="0" xfId="0"/>
    <xf numFmtId="166" fontId="16577" fillId="16583" borderId="16431" pivotButton="0" quotePrefix="0" xfId="0"/>
    <xf numFmtId="166" fontId="16578" fillId="16584" borderId="16432" pivotButton="0" quotePrefix="0" xfId="0"/>
    <xf numFmtId="4" fontId="16579" fillId="16585" borderId="16433" pivotButton="0" quotePrefix="0" xfId="0"/>
    <xf numFmtId="4" fontId="16580" fillId="16586" borderId="16434" pivotButton="0" quotePrefix="0" xfId="0"/>
    <xf numFmtId="4" fontId="16581" fillId="16587" borderId="16435" pivotButton="0" quotePrefix="0" xfId="0"/>
    <xf numFmtId="167" fontId="16582" fillId="16588" borderId="16436" pivotButton="0" quotePrefix="0" xfId="0"/>
    <xf numFmtId="166" fontId="16583" fillId="16589" borderId="16437" pivotButton="0" quotePrefix="0" xfId="0"/>
    <xf numFmtId="166" fontId="16584" fillId="16590" borderId="16438" pivotButton="0" quotePrefix="0" xfId="0"/>
    <xf numFmtId="0" fontId="16585" fillId="16591" borderId="16439" pivotButton="0" quotePrefix="0" xfId="0"/>
    <xf numFmtId="166" fontId="16586" fillId="16592" borderId="16440" pivotButton="0" quotePrefix="0" xfId="0"/>
    <xf numFmtId="166" fontId="16587" fillId="16593" borderId="16441" pivotButton="0" quotePrefix="0" xfId="0"/>
    <xf numFmtId="166" fontId="16588" fillId="16594" borderId="16442" pivotButton="0" quotePrefix="0" xfId="0"/>
    <xf numFmtId="4" fontId="16589" fillId="16595" borderId="16443" pivotButton="0" quotePrefix="0" xfId="0"/>
    <xf numFmtId="4" fontId="16590" fillId="16596" borderId="16444" pivotButton="0" quotePrefix="0" xfId="0"/>
    <xf numFmtId="4" fontId="16591" fillId="16597" borderId="16445" pivotButton="0" quotePrefix="0" xfId="0"/>
    <xf numFmtId="167" fontId="16592" fillId="16598" borderId="16446" pivotButton="0" quotePrefix="0" xfId="0"/>
    <xf numFmtId="166" fontId="16593" fillId="16599" borderId="16447" pivotButton="0" quotePrefix="0" xfId="0"/>
    <xf numFmtId="166" fontId="16594" fillId="16600" borderId="16448" pivotButton="0" quotePrefix="0" xfId="0"/>
    <xf numFmtId="0" fontId="16595" fillId="16601" borderId="16449" pivotButton="0" quotePrefix="0" xfId="0"/>
    <xf numFmtId="166" fontId="16596" fillId="16602" borderId="16450" pivotButton="0" quotePrefix="0" xfId="0"/>
    <xf numFmtId="166" fontId="16597" fillId="16603" borderId="16451" pivotButton="0" quotePrefix="0" xfId="0"/>
    <xf numFmtId="166" fontId="16598" fillId="16604" borderId="16452" pivotButton="0" quotePrefix="0" xfId="0"/>
    <xf numFmtId="4" fontId="16599" fillId="16605" borderId="16453" pivotButton="0" quotePrefix="0" xfId="0"/>
    <xf numFmtId="4" fontId="16600" fillId="16606" borderId="16454" pivotButton="0" quotePrefix="0" xfId="0"/>
    <xf numFmtId="4" fontId="16601" fillId="16607" borderId="16455" pivotButton="0" quotePrefix="0" xfId="0"/>
    <xf numFmtId="167" fontId="16602" fillId="16608" borderId="16456" pivotButton="0" quotePrefix="0" xfId="0"/>
    <xf numFmtId="166" fontId="16603" fillId="16609" borderId="16457" pivotButton="0" quotePrefix="0" xfId="0"/>
    <xf numFmtId="166" fontId="16604" fillId="16610" borderId="16458" pivotButton="0" quotePrefix="0" xfId="0"/>
    <xf numFmtId="166" fontId="16606" fillId="16612" borderId="16459" pivotButton="0" quotePrefix="0" xfId="0"/>
    <xf numFmtId="0" fontId="16607" fillId="16613" borderId="16460" applyAlignment="1" pivotButton="0" quotePrefix="0" xfId="0">
      <alignment horizontal="center" wrapText="1"/>
    </xf>
    <xf numFmtId="166" fontId="16608" fillId="16614" borderId="16461" applyAlignment="1" pivotButton="0" quotePrefix="0" xfId="0">
      <alignment horizontal="center" wrapText="1"/>
    </xf>
    <xf numFmtId="166" fontId="16609" fillId="16615" borderId="16462" applyAlignment="1" pivotButton="0" quotePrefix="0" xfId="0">
      <alignment horizontal="center" wrapText="1"/>
    </xf>
    <xf numFmtId="166" fontId="16610" fillId="16616" borderId="16463" applyAlignment="1" pivotButton="0" quotePrefix="0" xfId="0">
      <alignment horizontal="center" wrapText="1"/>
    </xf>
    <xf numFmtId="4" fontId="16611" fillId="16617" borderId="16464" applyAlignment="1" pivotButton="0" quotePrefix="0" xfId="0">
      <alignment horizontal="center" wrapText="1"/>
    </xf>
    <xf numFmtId="4" fontId="16612" fillId="16618" borderId="16465" applyAlignment="1" pivotButton="0" quotePrefix="0" xfId="0">
      <alignment horizontal="center" wrapText="1"/>
    </xf>
    <xf numFmtId="4" fontId="16613" fillId="16619" borderId="16466" applyAlignment="1" pivotButton="0" quotePrefix="0" xfId="0">
      <alignment horizontal="center" wrapText="1"/>
    </xf>
    <xf numFmtId="4" fontId="16614" fillId="16620" borderId="16467" applyAlignment="1" pivotButton="0" quotePrefix="0" xfId="0">
      <alignment horizontal="center" wrapText="1"/>
    </xf>
    <xf numFmtId="166" fontId="16615" fillId="16621" borderId="16468" applyAlignment="1" pivotButton="0" quotePrefix="0" xfId="0">
      <alignment horizontal="center" wrapText="1"/>
    </xf>
    <xf numFmtId="166" fontId="16616" fillId="16622" borderId="16469" pivotButton="0" quotePrefix="0" xfId="0"/>
    <xf numFmtId="0" fontId="16618" fillId="16624" borderId="16470" applyAlignment="1" pivotButton="0" quotePrefix="0" xfId="0">
      <alignment horizontal="center" wrapText="1"/>
    </xf>
    <xf numFmtId="0" fontId="16619" fillId="16625" borderId="16471" applyAlignment="1" pivotButton="0" quotePrefix="0" xfId="0">
      <alignment horizontal="center" wrapText="1"/>
    </xf>
    <xf numFmtId="4" fontId="16620" fillId="16626" borderId="16472" applyAlignment="1" pivotButton="0" quotePrefix="0" xfId="0">
      <alignment horizontal="center" wrapText="1"/>
    </xf>
    <xf numFmtId="166" fontId="16621" fillId="16627" borderId="16473" applyAlignment="1" pivotButton="0" quotePrefix="0" xfId="0">
      <alignment horizontal="center" wrapText="1"/>
    </xf>
    <xf numFmtId="4" fontId="16622" fillId="16628" borderId="16474" applyAlignment="1" pivotButton="0" quotePrefix="0" xfId="0">
      <alignment horizontal="center" wrapText="1"/>
    </xf>
    <xf numFmtId="167" fontId="16623" fillId="16629" borderId="16475" applyAlignment="1" pivotButton="0" quotePrefix="0" xfId="0">
      <alignment horizontal="center" wrapText="1"/>
    </xf>
    <xf numFmtId="166" fontId="16624" fillId="16630" borderId="16476" applyAlignment="1" pivotButton="0" quotePrefix="0" xfId="0">
      <alignment horizontal="center" wrapText="1"/>
    </xf>
    <xf numFmtId="4" fontId="16625" fillId="16631" borderId="16477" applyAlignment="1" pivotButton="0" quotePrefix="0" xfId="0">
      <alignment horizontal="center" wrapText="1"/>
    </xf>
    <xf numFmtId="166" fontId="16626" fillId="16632" borderId="16478" applyAlignment="1" pivotButton="0" quotePrefix="0" xfId="0">
      <alignment horizontal="center" wrapText="1"/>
    </xf>
    <xf numFmtId="166" fontId="16629" fillId="16635" borderId="16479" applyAlignment="1" pivotButton="0" quotePrefix="0" xfId="0">
      <alignment horizontal="center"/>
    </xf>
    <xf numFmtId="4" fontId="16630" fillId="16636" borderId="16480" pivotButton="0" quotePrefix="0" xfId="0"/>
    <xf numFmtId="167" fontId="16631" fillId="16637" borderId="16481" pivotButton="0" quotePrefix="0" xfId="0"/>
    <xf numFmtId="166" fontId="16632" fillId="16638" borderId="16482" pivotButton="0" quotePrefix="0" xfId="0"/>
    <xf numFmtId="4" fontId="16633" fillId="16639" borderId="16483" pivotButton="0" quotePrefix="0" xfId="0"/>
    <xf numFmtId="166" fontId="16634" fillId="16640" borderId="16484" pivotButton="0" quotePrefix="0" xfId="0"/>
    <xf numFmtId="0" fontId="16635" fillId="16641" borderId="16485" applyAlignment="1" pivotButton="0" quotePrefix="0" xfId="0">
      <alignment horizontal="center" wrapText="1"/>
    </xf>
    <xf numFmtId="0" fontId="16636" fillId="16642" borderId="16486" applyAlignment="1" pivotButton="0" quotePrefix="0" xfId="0">
      <alignment horizontal="center" wrapText="1"/>
    </xf>
    <xf numFmtId="4" fontId="16637" fillId="16643" borderId="16487" applyAlignment="1" pivotButton="0" quotePrefix="0" xfId="0">
      <alignment horizontal="center" wrapText="1"/>
    </xf>
    <xf numFmtId="166" fontId="16638" fillId="16644" borderId="16488" applyAlignment="1" pivotButton="0" quotePrefix="0" xfId="0">
      <alignment horizontal="center" wrapText="1"/>
    </xf>
    <xf numFmtId="4" fontId="16639" fillId="16645" borderId="16489" applyAlignment="1" pivotButton="0" quotePrefix="0" xfId="0">
      <alignment horizontal="center" wrapText="1"/>
    </xf>
    <xf numFmtId="167" fontId="16640" fillId="16646" borderId="16490" applyAlignment="1" pivotButton="0" quotePrefix="0" xfId="0">
      <alignment horizontal="center" wrapText="1"/>
    </xf>
    <xf numFmtId="166" fontId="16641" fillId="16647" borderId="16491" applyAlignment="1" pivotButton="0" quotePrefix="0" xfId="0">
      <alignment horizontal="center" wrapText="1"/>
    </xf>
    <xf numFmtId="4" fontId="16642" fillId="16648" borderId="16492" applyAlignment="1" pivotButton="0" quotePrefix="0" xfId="0">
      <alignment horizontal="center" wrapText="1"/>
    </xf>
    <xf numFmtId="166" fontId="16643" fillId="16649" borderId="16493" applyAlignment="1" pivotButton="0" quotePrefix="0" xfId="0">
      <alignment horizontal="center" wrapText="1"/>
    </xf>
    <xf numFmtId="0" fontId="16644" fillId="16650" borderId="16494" applyAlignment="1" pivotButton="0" quotePrefix="0" xfId="0">
      <alignment horizontal="center"/>
    </xf>
    <xf numFmtId="166" fontId="16645" fillId="16651" borderId="16495" pivotButton="0" quotePrefix="0" xfId="0"/>
    <xf numFmtId="4" fontId="16646" fillId="16652" borderId="16496" pivotButton="0" quotePrefix="0" xfId="0"/>
    <xf numFmtId="166" fontId="16647" fillId="16653" borderId="16497" pivotButton="0" quotePrefix="0" xfId="0"/>
    <xf numFmtId="4" fontId="16648" fillId="16654" borderId="16498" pivotButton="0" quotePrefix="0" xfId="0"/>
    <xf numFmtId="167" fontId="16649" fillId="16655" borderId="16499" pivotButton="0" quotePrefix="0" xfId="0"/>
    <xf numFmtId="166" fontId="16650" fillId="16656" borderId="16500" pivotButton="0" quotePrefix="0" xfId="0"/>
    <xf numFmtId="4" fontId="16651" fillId="16657" borderId="16501" pivotButton="0" quotePrefix="0" xfId="0"/>
    <xf numFmtId="166" fontId="16652" fillId="16658" borderId="16502" pivotButton="0" quotePrefix="0" xfId="0"/>
    <xf numFmtId="0" fontId="16653" fillId="16659" borderId="16503" applyAlignment="1" pivotButton="0" quotePrefix="0" xfId="0">
      <alignment horizontal="center"/>
    </xf>
    <xf numFmtId="166" fontId="16654" fillId="16660" borderId="16504" pivotButton="0" quotePrefix="0" xfId="0"/>
    <xf numFmtId="4" fontId="16655" fillId="16661" borderId="16505" pivotButton="0" quotePrefix="0" xfId="0"/>
    <xf numFmtId="166" fontId="16656" fillId="16662" borderId="16506" pivotButton="0" quotePrefix="0" xfId="0"/>
    <xf numFmtId="4" fontId="16657" fillId="16663" borderId="16507" pivotButton="0" quotePrefix="0" xfId="0"/>
    <xf numFmtId="167" fontId="16658" fillId="16664" borderId="16508" pivotButton="0" quotePrefix="0" xfId="0"/>
    <xf numFmtId="166" fontId="16659" fillId="16665" borderId="16509" pivotButton="0" quotePrefix="0" xfId="0"/>
    <xf numFmtId="4" fontId="16660" fillId="16666" borderId="16510" pivotButton="0" quotePrefix="0" xfId="0"/>
    <xf numFmtId="166" fontId="16661" fillId="16667" borderId="16511" pivotButton="0" quotePrefix="0" xfId="0"/>
    <xf numFmtId="0" fontId="16662" fillId="16668" borderId="16512" applyAlignment="1" pivotButton="0" quotePrefix="0" xfId="0">
      <alignment horizontal="center"/>
    </xf>
    <xf numFmtId="166" fontId="16663" fillId="16669" borderId="16513" pivotButton="0" quotePrefix="0" xfId="0"/>
    <xf numFmtId="4" fontId="16664" fillId="16670" borderId="16514" pivotButton="0" quotePrefix="0" xfId="0"/>
    <xf numFmtId="166" fontId="16665" fillId="16671" borderId="16515" pivotButton="0" quotePrefix="0" xfId="0"/>
    <xf numFmtId="4" fontId="16666" fillId="16672" borderId="16516" pivotButton="0" quotePrefix="0" xfId="0"/>
    <xf numFmtId="167" fontId="16667" fillId="16673" borderId="16517" pivotButton="0" quotePrefix="0" xfId="0"/>
    <xf numFmtId="166" fontId="16668" fillId="16674" borderId="16518" pivotButton="0" quotePrefix="0" xfId="0"/>
    <xf numFmtId="4" fontId="16669" fillId="16675" borderId="16519" pivotButton="0" quotePrefix="0" xfId="0"/>
    <xf numFmtId="166" fontId="16670" fillId="16676" borderId="16520" pivotButton="0" quotePrefix="0" xfId="0"/>
    <xf numFmtId="0" fontId="16671" fillId="16677" borderId="16521" applyAlignment="1" pivotButton="0" quotePrefix="0" xfId="0">
      <alignment horizontal="center"/>
    </xf>
    <xf numFmtId="166" fontId="16672" fillId="16678" borderId="16522" pivotButton="0" quotePrefix="0" xfId="0"/>
    <xf numFmtId="4" fontId="16673" fillId="16679" borderId="16523" pivotButton="0" quotePrefix="0" xfId="0"/>
    <xf numFmtId="166" fontId="16674" fillId="16680" borderId="16524" pivotButton="0" quotePrefix="0" xfId="0"/>
    <xf numFmtId="4" fontId="16675" fillId="16681" borderId="16525" pivotButton="0" quotePrefix="0" xfId="0"/>
    <xf numFmtId="167" fontId="16676" fillId="16682" borderId="16526" pivotButton="0" quotePrefix="0" xfId="0"/>
    <xf numFmtId="166" fontId="16677" fillId="16683" borderId="16527" pivotButton="0" quotePrefix="0" xfId="0"/>
    <xf numFmtId="4" fontId="16678" fillId="16684" borderId="16528" pivotButton="0" quotePrefix="0" xfId="0"/>
    <xf numFmtId="166" fontId="16679" fillId="16685" borderId="16529" pivotButton="0" quotePrefix="0" xfId="0"/>
    <xf numFmtId="0" fontId="16680" fillId="16686" borderId="16530" applyAlignment="1" pivotButton="0" quotePrefix="0" xfId="0">
      <alignment horizontal="center"/>
    </xf>
    <xf numFmtId="166" fontId="16681" fillId="16687" borderId="16531" pivotButton="0" quotePrefix="0" xfId="0"/>
    <xf numFmtId="4" fontId="16682" fillId="16688" borderId="16532" pivotButton="0" quotePrefix="0" xfId="0"/>
    <xf numFmtId="166" fontId="16683" fillId="16689" borderId="16533" pivotButton="0" quotePrefix="0" xfId="0"/>
    <xf numFmtId="4" fontId="16684" fillId="16690" borderId="16534" pivotButton="0" quotePrefix="0" xfId="0"/>
    <xf numFmtId="167" fontId="16685" fillId="16691" borderId="16535" pivotButton="0" quotePrefix="0" xfId="0"/>
    <xf numFmtId="166" fontId="16686" fillId="16692" borderId="16536" pivotButton="0" quotePrefix="0" xfId="0"/>
    <xf numFmtId="4" fontId="16687" fillId="16693" borderId="16537" pivotButton="0" quotePrefix="0" xfId="0"/>
    <xf numFmtId="166" fontId="16688" fillId="16694" borderId="16538" pivotButton="0" quotePrefix="0" xfId="0"/>
    <xf numFmtId="0" fontId="16689" fillId="16695" borderId="16539" applyAlignment="1" pivotButton="0" quotePrefix="0" xfId="0">
      <alignment horizontal="center"/>
    </xf>
    <xf numFmtId="166" fontId="16690" fillId="16696" borderId="16540" pivotButton="0" quotePrefix="0" xfId="0"/>
    <xf numFmtId="4" fontId="16691" fillId="16697" borderId="16541" pivotButton="0" quotePrefix="0" xfId="0"/>
    <xf numFmtId="166" fontId="16692" fillId="16698" borderId="16542" pivotButton="0" quotePrefix="0" xfId="0"/>
    <xf numFmtId="4" fontId="16693" fillId="16699" borderId="16543" pivotButton="0" quotePrefix="0" xfId="0"/>
    <xf numFmtId="167" fontId="16694" fillId="16700" borderId="16544" pivotButton="0" quotePrefix="0" xfId="0"/>
    <xf numFmtId="166" fontId="16695" fillId="16701" borderId="16545" pivotButton="0" quotePrefix="0" xfId="0"/>
    <xf numFmtId="4" fontId="16696" fillId="16702" borderId="16546" pivotButton="0" quotePrefix="0" xfId="0"/>
    <xf numFmtId="166" fontId="16697" fillId="16703" borderId="16547" pivotButton="0" quotePrefix="0" xfId="0"/>
    <xf numFmtId="0" fontId="16698" fillId="16704" borderId="16548" applyAlignment="1" pivotButton="0" quotePrefix="0" xfId="0">
      <alignment horizontal="center"/>
    </xf>
    <xf numFmtId="166" fontId="16699" fillId="16705" borderId="16549" pivotButton="0" quotePrefix="0" xfId="0"/>
    <xf numFmtId="4" fontId="16700" fillId="16706" borderId="16550" pivotButton="0" quotePrefix="0" xfId="0"/>
    <xf numFmtId="166" fontId="16701" fillId="16707" borderId="16551" pivotButton="0" quotePrefix="0" xfId="0"/>
    <xf numFmtId="4" fontId="16702" fillId="16708" borderId="16552" pivotButton="0" quotePrefix="0" xfId="0"/>
    <xf numFmtId="167" fontId="16703" fillId="16709" borderId="16553" pivotButton="0" quotePrefix="0" xfId="0"/>
    <xf numFmtId="166" fontId="16704" fillId="16710" borderId="16554" pivotButton="0" quotePrefix="0" xfId="0"/>
    <xf numFmtId="4" fontId="16705" fillId="16711" borderId="16555" pivotButton="0" quotePrefix="0" xfId="0"/>
    <xf numFmtId="166" fontId="16706" fillId="16712" borderId="16556" pivotButton="0" quotePrefix="0" xfId="0"/>
    <xf numFmtId="0" fontId="16707" fillId="16713" borderId="16557" applyAlignment="1" pivotButton="0" quotePrefix="0" xfId="0">
      <alignment horizontal="center"/>
    </xf>
    <xf numFmtId="166" fontId="16708" fillId="16714" borderId="16558" pivotButton="0" quotePrefix="0" xfId="0"/>
    <xf numFmtId="4" fontId="16709" fillId="16715" borderId="16559" pivotButton="0" quotePrefix="0" xfId="0"/>
    <xf numFmtId="166" fontId="16710" fillId="16716" borderId="16560" pivotButton="0" quotePrefix="0" xfId="0"/>
    <xf numFmtId="4" fontId="16711" fillId="16717" borderId="16561" pivotButton="0" quotePrefix="0" xfId="0"/>
    <xf numFmtId="167" fontId="16712" fillId="16718" borderId="16562" pivotButton="0" quotePrefix="0" xfId="0"/>
    <xf numFmtId="166" fontId="16713" fillId="16719" borderId="16563" pivotButton="0" quotePrefix="0" xfId="0"/>
    <xf numFmtId="4" fontId="16714" fillId="16720" borderId="16564" pivotButton="0" quotePrefix="0" xfId="0"/>
    <xf numFmtId="166" fontId="16715" fillId="16721" borderId="16565" pivotButton="0" quotePrefix="0" xfId="0"/>
    <xf numFmtId="0" fontId="16716" fillId="16722" borderId="16566" applyAlignment="1" pivotButton="0" quotePrefix="0" xfId="0">
      <alignment horizontal="center"/>
    </xf>
    <xf numFmtId="4" fontId="16717" fillId="16723" borderId="16567" pivotButton="0" quotePrefix="0" xfId="0"/>
    <xf numFmtId="4" fontId="16718" fillId="16724" borderId="16568" pivotButton="0" quotePrefix="0" xfId="0"/>
    <xf numFmtId="166" fontId="16719" fillId="16725" borderId="16569" pivotButton="0" quotePrefix="0" xfId="0"/>
    <xf numFmtId="4" fontId="16720" fillId="16726" borderId="16570" pivotButton="0" quotePrefix="0" xfId="0"/>
    <xf numFmtId="167" fontId="16721" fillId="16727" borderId="16571" pivotButton="0" quotePrefix="0" xfId="0"/>
    <xf numFmtId="166" fontId="16722" fillId="16728" borderId="16572" pivotButton="0" quotePrefix="0" xfId="0"/>
    <xf numFmtId="4" fontId="16723" fillId="16729" borderId="16573" pivotButton="0" quotePrefix="0" xfId="0"/>
    <xf numFmtId="166" fontId="16724" fillId="16730" borderId="16574" pivotButton="0" quotePrefix="0" xfId="0"/>
    <xf numFmtId="0" fontId="16725" fillId="16731" borderId="16575" applyAlignment="1" pivotButton="0" quotePrefix="0" xfId="0">
      <alignment horizontal="center"/>
    </xf>
    <xf numFmtId="0" fontId="16726" fillId="16732" borderId="16576" pivotButton="0" quotePrefix="0" xfId="0"/>
    <xf numFmtId="4" fontId="16727" fillId="16733" borderId="16577" pivotButton="0" quotePrefix="0" xfId="0"/>
    <xf numFmtId="166" fontId="16728" fillId="16734" borderId="16578" pivotButton="0" quotePrefix="0" xfId="0"/>
    <xf numFmtId="4" fontId="16729" fillId="16735" borderId="16579" pivotButton="0" quotePrefix="0" xfId="0"/>
    <xf numFmtId="167" fontId="16730" fillId="16736" borderId="16580" pivotButton="0" quotePrefix="0" xfId="0"/>
    <xf numFmtId="166" fontId="16731" fillId="16737" borderId="16581" pivotButton="0" quotePrefix="0" xfId="0"/>
    <xf numFmtId="4" fontId="16732" fillId="16738" borderId="16582" pivotButton="0" quotePrefix="0" xfId="0"/>
    <xf numFmtId="166" fontId="16733" fillId="16739" borderId="16583" pivotButton="0" quotePrefix="0" xfId="0"/>
    <xf numFmtId="0" fontId="16734" fillId="16740" borderId="16584" applyAlignment="1" pivotButton="0" quotePrefix="0" xfId="0">
      <alignment horizontal="center"/>
    </xf>
    <xf numFmtId="0" fontId="16735" fillId="16741" borderId="16585" pivotButton="0" quotePrefix="0" xfId="0"/>
    <xf numFmtId="4" fontId="16736" fillId="16742" borderId="16586" pivotButton="0" quotePrefix="0" xfId="0"/>
    <xf numFmtId="166" fontId="16737" fillId="16743" borderId="16587" pivotButton="0" quotePrefix="0" xfId="0"/>
    <xf numFmtId="4" fontId="16738" fillId="16744" borderId="16588" pivotButton="0" quotePrefix="0" xfId="0"/>
    <xf numFmtId="167" fontId="16739" fillId="16745" borderId="16589" pivotButton="0" quotePrefix="0" xfId="0"/>
    <xf numFmtId="166" fontId="16740" fillId="16746" borderId="16590" pivotButton="0" quotePrefix="0" xfId="0"/>
    <xf numFmtId="4" fontId="16741" fillId="16747" borderId="16591" pivotButton="0" quotePrefix="0" xfId="0"/>
    <xf numFmtId="166" fontId="16742" fillId="16748" borderId="16592" pivotButton="0" quotePrefix="0" xfId="0"/>
    <xf numFmtId="0" fontId="16744" fillId="16750" borderId="16593" applyAlignment="1" pivotButton="0" quotePrefix="0" xfId="0">
      <alignment horizontal="center" wrapText="1"/>
    </xf>
    <xf numFmtId="0" fontId="16745" fillId="16751" borderId="16594" applyAlignment="1" pivotButton="0" quotePrefix="0" xfId="0">
      <alignment horizontal="center" wrapText="1"/>
    </xf>
    <xf numFmtId="4" fontId="16746" fillId="16752" borderId="16595" applyAlignment="1" pivotButton="0" quotePrefix="0" xfId="0">
      <alignment horizontal="center" wrapText="1"/>
    </xf>
    <xf numFmtId="166" fontId="16747" fillId="16753" borderId="16596" applyAlignment="1" pivotButton="0" quotePrefix="0" xfId="0">
      <alignment horizontal="center" wrapText="1"/>
    </xf>
    <xf numFmtId="4" fontId="16748" fillId="16754" borderId="16597" applyAlignment="1" pivotButton="0" quotePrefix="0" xfId="0">
      <alignment horizontal="center" wrapText="1"/>
    </xf>
    <xf numFmtId="167" fontId="16749" fillId="16755" borderId="16598" applyAlignment="1" pivotButton="0" quotePrefix="0" xfId="0">
      <alignment horizontal="center" wrapText="1"/>
    </xf>
    <xf numFmtId="166" fontId="16750" fillId="16756" borderId="16599" applyAlignment="1" pivotButton="0" quotePrefix="0" xfId="0">
      <alignment horizontal="center" wrapText="1"/>
    </xf>
    <xf numFmtId="4" fontId="16751" fillId="16757" borderId="16600" applyAlignment="1" pivotButton="0" quotePrefix="0" xfId="0">
      <alignment horizontal="center" wrapText="1"/>
    </xf>
    <xf numFmtId="166" fontId="16752" fillId="16758" borderId="16601" applyAlignment="1" pivotButton="0" quotePrefix="0" xfId="0">
      <alignment horizontal="center" wrapText="1"/>
    </xf>
    <xf numFmtId="0" fontId="16753" fillId="16759" borderId="16602" applyAlignment="1" pivotButton="0" quotePrefix="0" xfId="0">
      <alignment horizontal="center"/>
    </xf>
    <xf numFmtId="0" fontId="16754" fillId="16760" borderId="16603" pivotButton="0" quotePrefix="0" xfId="0"/>
    <xf numFmtId="4" fontId="16755" fillId="16761" borderId="16604" pivotButton="0" quotePrefix="0" xfId="0"/>
    <xf numFmtId="166" fontId="16756" fillId="16762" borderId="16605" pivotButton="0" quotePrefix="0" xfId="0"/>
    <xf numFmtId="4" fontId="16757" fillId="16763" borderId="16606" pivotButton="0" quotePrefix="0" xfId="0"/>
    <xf numFmtId="167" fontId="16758" fillId="16764" borderId="16607" pivotButton="0" quotePrefix="0" xfId="0"/>
    <xf numFmtId="166" fontId="16759" fillId="16765" borderId="16608" pivotButton="0" quotePrefix="0" xfId="0"/>
    <xf numFmtId="4" fontId="16760" fillId="16766" borderId="16609" pivotButton="0" quotePrefix="0" xfId="0"/>
    <xf numFmtId="166" fontId="16761" fillId="16767" borderId="16610" pivotButton="0" quotePrefix="0" xfId="0"/>
    <xf numFmtId="166" fontId="16763" fillId="16769" borderId="16611" pivotButton="0" quotePrefix="0" xfId="0"/>
    <xf numFmtId="0" fontId="16764" fillId="16770" borderId="16612" applyAlignment="1" pivotButton="0" quotePrefix="0" xfId="0">
      <alignment horizontal="center" wrapText="1"/>
    </xf>
    <xf numFmtId="0" fontId="16765" fillId="16771" borderId="16613" applyAlignment="1" pivotButton="0" quotePrefix="0" xfId="0">
      <alignment horizontal="center" wrapText="1"/>
    </xf>
    <xf numFmtId="4" fontId="16766" fillId="16772" borderId="16614" applyAlignment="1" pivotButton="0" quotePrefix="0" xfId="0">
      <alignment horizontal="center" wrapText="1"/>
    </xf>
    <xf numFmtId="166" fontId="16767" fillId="16773" borderId="16615" applyAlignment="1" pivotButton="0" quotePrefix="0" xfId="0">
      <alignment horizontal="center" wrapText="1"/>
    </xf>
    <xf numFmtId="4" fontId="16768" fillId="16774" borderId="16616" applyAlignment="1" pivotButton="0" quotePrefix="0" xfId="0">
      <alignment horizontal="center" wrapText="1"/>
    </xf>
    <xf numFmtId="167" fontId="16769" fillId="16775" borderId="16617" applyAlignment="1" pivotButton="0" quotePrefix="0" xfId="0">
      <alignment horizontal="center" wrapText="1"/>
    </xf>
    <xf numFmtId="166" fontId="16770" fillId="16776" borderId="16618" applyAlignment="1" pivotButton="0" quotePrefix="0" xfId="0">
      <alignment horizontal="center" wrapText="1"/>
    </xf>
    <xf numFmtId="4" fontId="16771" fillId="16777" borderId="16619" applyAlignment="1" pivotButton="0" quotePrefix="0" xfId="0">
      <alignment horizontal="center" wrapText="1"/>
    </xf>
    <xf numFmtId="166" fontId="16772" fillId="16778" borderId="16620" pivotButton="0" quotePrefix="0" xfId="0"/>
    <xf numFmtId="0" fontId="16773" fillId="16779" borderId="16621" applyAlignment="1" pivotButton="0" quotePrefix="0" xfId="0">
      <alignment horizontal="center"/>
    </xf>
    <xf numFmtId="0" fontId="16774" fillId="16780" borderId="16622" pivotButton="0" quotePrefix="0" xfId="0"/>
    <xf numFmtId="4" fontId="16775" fillId="16781" borderId="16623" pivotButton="0" quotePrefix="0" xfId="0"/>
    <xf numFmtId="166" fontId="16776" fillId="16782" borderId="16624" pivotButton="0" quotePrefix="0" xfId="0"/>
    <xf numFmtId="4" fontId="16777" fillId="16783" borderId="16625" pivotButton="0" quotePrefix="0" xfId="0"/>
    <xf numFmtId="167" fontId="16778" fillId="16784" borderId="16626" pivotButton="0" quotePrefix="0" xfId="0"/>
    <xf numFmtId="166" fontId="16779" fillId="16785" borderId="16627" pivotButton="0" quotePrefix="0" xfId="0"/>
    <xf numFmtId="4" fontId="16780" fillId="16786" borderId="16628" pivotButton="0" quotePrefix="0" xfId="0"/>
    <xf numFmtId="166" fontId="16781" fillId="16787" borderId="16629" pivotButton="0" quotePrefix="0" xfId="0"/>
    <xf numFmtId="0" fontId="16782" fillId="16788" borderId="16630" applyAlignment="1" pivotButton="0" quotePrefix="0" xfId="0">
      <alignment horizontal="center"/>
    </xf>
    <xf numFmtId="0" fontId="16783" fillId="16789" borderId="16631" pivotButton="0" quotePrefix="0" xfId="0"/>
    <xf numFmtId="4" fontId="16784" fillId="16790" borderId="16632" pivotButton="0" quotePrefix="0" xfId="0"/>
    <xf numFmtId="166" fontId="16785" fillId="16791" borderId="16633" pivotButton="0" quotePrefix="0" xfId="0"/>
    <xf numFmtId="4" fontId="16786" fillId="16792" borderId="16634" pivotButton="0" quotePrefix="0" xfId="0"/>
    <xf numFmtId="167" fontId="16787" fillId="16793" borderId="16635" pivotButton="0" quotePrefix="0" xfId="0"/>
    <xf numFmtId="166" fontId="16788" fillId="16794" borderId="16636" pivotButton="0" quotePrefix="0" xfId="0"/>
    <xf numFmtId="4" fontId="16789" fillId="16795" borderId="16637" pivotButton="0" quotePrefix="0" xfId="0"/>
    <xf numFmtId="166" fontId="16790" fillId="16796" borderId="16638" pivotButton="0" quotePrefix="0" xfId="0"/>
    <xf numFmtId="0" fontId="16791" fillId="16797" borderId="16639" applyAlignment="1" pivotButton="0" quotePrefix="0" xfId="0">
      <alignment horizontal="center"/>
    </xf>
    <xf numFmtId="0" fontId="16792" fillId="16798" borderId="16640" pivotButton="0" quotePrefix="0" xfId="0"/>
    <xf numFmtId="4" fontId="16793" fillId="16799" borderId="16641" pivotButton="0" quotePrefix="0" xfId="0"/>
    <xf numFmtId="166" fontId="16794" fillId="16800" borderId="16642" pivotButton="0" quotePrefix="0" xfId="0"/>
    <xf numFmtId="4" fontId="16795" fillId="16801" borderId="16643" pivotButton="0" quotePrefix="0" xfId="0"/>
    <xf numFmtId="167" fontId="16796" fillId="16802" borderId="16644" pivotButton="0" quotePrefix="0" xfId="0"/>
    <xf numFmtId="166" fontId="16797" fillId="16803" borderId="16645" pivotButton="0" quotePrefix="0" xfId="0"/>
    <xf numFmtId="4" fontId="16798" fillId="16804" borderId="16646" pivotButton="0" quotePrefix="0" xfId="0"/>
    <xf numFmtId="166" fontId="16799" fillId="16805" borderId="16647" pivotButton="0" quotePrefix="0" xfId="0"/>
    <xf numFmtId="0" fontId="16800" fillId="16806" borderId="16648" applyAlignment="1" pivotButton="0" quotePrefix="0" xfId="0">
      <alignment horizontal="center"/>
    </xf>
    <xf numFmtId="0" fontId="16801" fillId="16807" borderId="16649" pivotButton="0" quotePrefix="0" xfId="0"/>
    <xf numFmtId="4" fontId="16802" fillId="16808" borderId="16650" pivotButton="0" quotePrefix="0" xfId="0"/>
    <xf numFmtId="166" fontId="16803" fillId="16809" borderId="16651" pivotButton="0" quotePrefix="0" xfId="0"/>
    <xf numFmtId="4" fontId="16804" fillId="16810" borderId="16652" pivotButton="0" quotePrefix="0" xfId="0"/>
    <xf numFmtId="167" fontId="16805" fillId="16811" borderId="16653" pivotButton="0" quotePrefix="0" xfId="0"/>
    <xf numFmtId="166" fontId="16806" fillId="16812" borderId="16654" pivotButton="0" quotePrefix="0" xfId="0"/>
    <xf numFmtId="4" fontId="16807" fillId="16813" borderId="16655" pivotButton="0" quotePrefix="0" xfId="0"/>
    <xf numFmtId="166" fontId="16808" fillId="16814" borderId="16656" pivotButton="0" quotePrefix="0" xfId="0"/>
    <xf numFmtId="0" fontId="16809" fillId="16815" borderId="16657" applyAlignment="1" pivotButton="0" quotePrefix="0" xfId="0">
      <alignment horizontal="center"/>
    </xf>
    <xf numFmtId="0" fontId="16810" fillId="16816" borderId="16658" pivotButton="0" quotePrefix="0" xfId="0"/>
    <xf numFmtId="4" fontId="16811" fillId="16817" borderId="16659" pivotButton="0" quotePrefix="0" xfId="0"/>
    <xf numFmtId="166" fontId="16812" fillId="16818" borderId="16660" pivotButton="0" quotePrefix="0" xfId="0"/>
    <xf numFmtId="4" fontId="16813" fillId="16819" borderId="16661" pivotButton="0" quotePrefix="0" xfId="0"/>
    <xf numFmtId="167" fontId="16814" fillId="16820" borderId="16662" pivotButton="0" quotePrefix="0" xfId="0"/>
    <xf numFmtId="166" fontId="16815" fillId="16821" borderId="16663" pivotButton="0" quotePrefix="0" xfId="0"/>
    <xf numFmtId="4" fontId="16816" fillId="16822" borderId="16664" pivotButton="0" quotePrefix="0" xfId="0"/>
    <xf numFmtId="166" fontId="16817" fillId="16823" borderId="16665" pivotButton="0" quotePrefix="0" xfId="0"/>
    <xf numFmtId="0" fontId="16818" fillId="16824" borderId="16666" applyAlignment="1" pivotButton="0" quotePrefix="0" xfId="0">
      <alignment horizontal="center"/>
    </xf>
    <xf numFmtId="0" fontId="16819" fillId="16825" borderId="16667" pivotButton="0" quotePrefix="0" xfId="0"/>
    <xf numFmtId="4" fontId="16820" fillId="16826" borderId="16668" pivotButton="0" quotePrefix="0" xfId="0"/>
    <xf numFmtId="166" fontId="16821" fillId="16827" borderId="16669" pivotButton="0" quotePrefix="0" xfId="0"/>
    <xf numFmtId="4" fontId="16822" fillId="16828" borderId="16670" pivotButton="0" quotePrefix="0" xfId="0"/>
    <xf numFmtId="166" fontId="16823" fillId="16829" borderId="16671" pivotButton="0" quotePrefix="0" xfId="0"/>
    <xf numFmtId="4" fontId="16824" fillId="16830" borderId="16672" pivotButton="0" quotePrefix="0" xfId="0"/>
    <xf numFmtId="166" fontId="16825" fillId="16831" borderId="16673" pivotButton="0" quotePrefix="0" xfId="0"/>
    <xf numFmtId="166" fontId="16826" fillId="16832" borderId="16674" pivotButton="0" quotePrefix="0" xfId="0"/>
    <xf numFmtId="0" fontId="16828" fillId="16834" borderId="16675" applyAlignment="1" pivotButton="0" quotePrefix="0" xfId="0">
      <alignment horizontal="center" wrapText="1"/>
    </xf>
    <xf numFmtId="0" fontId="16829" fillId="16835" borderId="16676" applyAlignment="1" pivotButton="0" quotePrefix="0" xfId="0">
      <alignment horizontal="center" wrapText="1"/>
    </xf>
    <xf numFmtId="166" fontId="16830" fillId="16836" borderId="16677" applyAlignment="1" pivotButton="0" quotePrefix="0" xfId="0">
      <alignment horizontal="center" wrapText="1"/>
    </xf>
    <xf numFmtId="4" fontId="16831" fillId="16837" borderId="16678" applyAlignment="1" pivotButton="0" quotePrefix="0" xfId="0">
      <alignment horizontal="center" wrapText="1"/>
    </xf>
    <xf numFmtId="167" fontId="16832" fillId="16838" borderId="16679" applyAlignment="1" pivotButton="0" quotePrefix="0" xfId="0">
      <alignment horizontal="center" wrapText="1"/>
    </xf>
    <xf numFmtId="166" fontId="16833" fillId="16839" borderId="16680" applyAlignment="1" pivotButton="0" quotePrefix="0" xfId="0">
      <alignment horizontal="center" wrapText="1"/>
    </xf>
    <xf numFmtId="166" fontId="16834" fillId="16840" borderId="16681" applyAlignment="1" pivotButton="0" quotePrefix="0" xfId="0">
      <alignment horizontal="center" wrapText="1"/>
    </xf>
    <xf numFmtId="4" fontId="16835" fillId="16841" borderId="16682" applyAlignment="1" pivotButton="0" quotePrefix="0" xfId="0">
      <alignment horizontal="center" wrapText="1"/>
    </xf>
    <xf numFmtId="0" fontId="16836" fillId="16842" borderId="16683" applyAlignment="1" pivotButton="0" quotePrefix="0" xfId="0">
      <alignment horizontal="center"/>
    </xf>
    <xf numFmtId="0" fontId="16837" fillId="16843" borderId="16684" pivotButton="0" quotePrefix="0" xfId="0"/>
    <xf numFmtId="166" fontId="16838" fillId="16844" borderId="16685" pivotButton="0" quotePrefix="0" xfId="0"/>
    <xf numFmtId="4" fontId="16839" fillId="16845" borderId="16686" pivotButton="0" quotePrefix="0" xfId="0"/>
    <xf numFmtId="167" fontId="16840" fillId="16846" borderId="16687" pivotButton="0" quotePrefix="0" xfId="0"/>
    <xf numFmtId="166" fontId="16841" fillId="16847" borderId="16688" pivotButton="0" quotePrefix="0" xfId="0"/>
    <xf numFmtId="166" fontId="16842" fillId="16848" borderId="16689" pivotButton="0" quotePrefix="0" xfId="0"/>
    <xf numFmtId="4" fontId="16843" fillId="16849" borderId="16690" pivotButton="0" quotePrefix="0" xfId="0"/>
    <xf numFmtId="0" fontId="16844" fillId="16850" borderId="16691" applyAlignment="1" pivotButton="0" quotePrefix="0" xfId="0">
      <alignment horizontal="center"/>
    </xf>
    <xf numFmtId="0" fontId="16845" fillId="16851" borderId="16692" pivotButton="0" quotePrefix="0" xfId="0"/>
    <xf numFmtId="166" fontId="16846" fillId="16852" borderId="16693" pivotButton="0" quotePrefix="0" xfId="0"/>
    <xf numFmtId="4" fontId="16847" fillId="16853" borderId="16694" pivotButton="0" quotePrefix="0" xfId="0"/>
    <xf numFmtId="167" fontId="16848" fillId="16854" borderId="16695" pivotButton="0" quotePrefix="0" xfId="0"/>
    <xf numFmtId="166" fontId="16849" fillId="16855" borderId="16696" pivotButton="0" quotePrefix="0" xfId="0"/>
    <xf numFmtId="166" fontId="16850" fillId="16856" borderId="16697" pivotButton="0" quotePrefix="0" xfId="0"/>
    <xf numFmtId="4" fontId="16851" fillId="16857" borderId="16698" pivotButton="0" quotePrefix="0" xfId="0"/>
    <xf numFmtId="0" fontId="16852" fillId="16858" borderId="16699" applyAlignment="1" pivotButton="0" quotePrefix="0" xfId="0">
      <alignment horizontal="center"/>
    </xf>
    <xf numFmtId="0" fontId="16853" fillId="16859" borderId="16700" pivotButton="0" quotePrefix="0" xfId="0"/>
    <xf numFmtId="166" fontId="16854" fillId="16860" borderId="16701" pivotButton="0" quotePrefix="0" xfId="0"/>
    <xf numFmtId="4" fontId="16855" fillId="16861" borderId="16702" pivotButton="0" quotePrefix="0" xfId="0"/>
    <xf numFmtId="167" fontId="16856" fillId="16862" borderId="16703" pivotButton="0" quotePrefix="0" xfId="0"/>
    <xf numFmtId="166" fontId="16857" fillId="16863" borderId="16704" pivotButton="0" quotePrefix="0" xfId="0"/>
    <xf numFmtId="166" fontId="16858" fillId="16864" borderId="16705" pivotButton="0" quotePrefix="0" xfId="0"/>
    <xf numFmtId="4" fontId="16859" fillId="16865" borderId="16706" pivotButton="0" quotePrefix="0" xfId="0"/>
    <xf numFmtId="0" fontId="16860" fillId="16866" borderId="16707" applyAlignment="1" pivotButton="0" quotePrefix="0" xfId="0">
      <alignment horizontal="center"/>
    </xf>
    <xf numFmtId="0" fontId="16861" fillId="16867" borderId="16708" pivotButton="0" quotePrefix="0" xfId="0"/>
    <xf numFmtId="166" fontId="16862" fillId="16868" borderId="16709" pivotButton="0" quotePrefix="0" xfId="0"/>
    <xf numFmtId="4" fontId="16863" fillId="16869" borderId="16710" pivotButton="0" quotePrefix="0" xfId="0"/>
    <xf numFmtId="167" fontId="16864" fillId="16870" borderId="16711" pivotButton="0" quotePrefix="0" xfId="0"/>
    <xf numFmtId="166" fontId="16865" fillId="16871" borderId="16712" pivotButton="0" quotePrefix="0" xfId="0"/>
    <xf numFmtId="166" fontId="16866" fillId="16872" borderId="16713" pivotButton="0" quotePrefix="0" xfId="0"/>
    <xf numFmtId="4" fontId="16867" fillId="16873" borderId="16714" pivotButton="0" quotePrefix="0" xfId="0"/>
    <xf numFmtId="0" fontId="16868" fillId="16874" borderId="16715" applyAlignment="1" pivotButton="0" quotePrefix="0" xfId="0">
      <alignment horizontal="center"/>
    </xf>
    <xf numFmtId="0" fontId="16869" fillId="16875" borderId="16716" pivotButton="0" quotePrefix="0" xfId="0"/>
    <xf numFmtId="166" fontId="16870" fillId="16876" borderId="16717" pivotButton="0" quotePrefix="0" xfId="0"/>
    <xf numFmtId="4" fontId="16871" fillId="16877" borderId="16718" pivotButton="0" quotePrefix="0" xfId="0"/>
    <xf numFmtId="167" fontId="16872" fillId="16878" borderId="16719" pivotButton="0" quotePrefix="0" xfId="0"/>
    <xf numFmtId="166" fontId="16873" fillId="16879" borderId="16720" pivotButton="0" quotePrefix="0" xfId="0"/>
    <xf numFmtId="166" fontId="16874" fillId="16880" borderId="16721" pivotButton="0" quotePrefix="0" xfId="0"/>
    <xf numFmtId="4" fontId="16875" fillId="16881" borderId="16722" pivotButton="0" quotePrefix="0" xfId="0"/>
    <xf numFmtId="0" fontId="16876" fillId="16882" borderId="16723" applyAlignment="1" pivotButton="0" quotePrefix="0" xfId="0">
      <alignment horizontal="center"/>
    </xf>
    <xf numFmtId="0" fontId="16877" fillId="16883" borderId="16724" pivotButton="0" quotePrefix="0" xfId="0"/>
    <xf numFmtId="166" fontId="16878" fillId="16884" borderId="16725" pivotButton="0" quotePrefix="0" xfId="0"/>
    <xf numFmtId="4" fontId="16879" fillId="16885" borderId="16726" pivotButton="0" quotePrefix="0" xfId="0"/>
    <xf numFmtId="167" fontId="16880" fillId="16886" borderId="16727" pivotButton="0" quotePrefix="0" xfId="0"/>
    <xf numFmtId="166" fontId="16881" fillId="16887" borderId="16728" pivotButton="0" quotePrefix="0" xfId="0"/>
    <xf numFmtId="166" fontId="16882" fillId="16888" borderId="16729" pivotButton="0" quotePrefix="0" xfId="0"/>
    <xf numFmtId="4" fontId="16883" fillId="16889" borderId="16730" pivotButton="0" quotePrefix="0" xfId="0"/>
    <xf numFmtId="0" fontId="16884" fillId="16890" borderId="16731" applyAlignment="1" pivotButton="0" quotePrefix="0" xfId="0">
      <alignment horizontal="center"/>
    </xf>
    <xf numFmtId="0" fontId="16885" fillId="16891" borderId="16732" pivotButton="0" quotePrefix="0" xfId="0"/>
    <xf numFmtId="166" fontId="16886" fillId="16892" borderId="16733" pivotButton="0" quotePrefix="0" xfId="0"/>
    <xf numFmtId="4" fontId="16887" fillId="16893" borderId="16734" pivotButton="0" quotePrefix="0" xfId="0"/>
    <xf numFmtId="167" fontId="16888" fillId="16894" borderId="16735" pivotButton="0" quotePrefix="0" xfId="0"/>
    <xf numFmtId="166" fontId="16889" fillId="16895" borderId="16736" pivotButton="0" quotePrefix="0" xfId="0"/>
    <xf numFmtId="166" fontId="16890" fillId="16896" borderId="16737" pivotButton="0" quotePrefix="0" xfId="0"/>
    <xf numFmtId="4" fontId="16891" fillId="16897" borderId="16738" pivotButton="0" quotePrefix="0" xfId="0"/>
    <xf numFmtId="0" fontId="16892" fillId="16898" borderId="16739" applyAlignment="1" pivotButton="0" quotePrefix="0" xfId="0">
      <alignment horizontal="center"/>
    </xf>
    <xf numFmtId="0" fontId="16893" fillId="16899" borderId="16740" pivotButton="0" quotePrefix="0" xfId="0"/>
    <xf numFmtId="166" fontId="16894" fillId="16900" borderId="16741" pivotButton="0" quotePrefix="0" xfId="0"/>
    <xf numFmtId="4" fontId="16895" fillId="16901" borderId="16742" pivotButton="0" quotePrefix="0" xfId="0"/>
    <xf numFmtId="167" fontId="16896" fillId="16902" borderId="16743" pivotButton="0" quotePrefix="0" xfId="0"/>
    <xf numFmtId="166" fontId="16897" fillId="16903" borderId="16744" pivotButton="0" quotePrefix="0" xfId="0"/>
    <xf numFmtId="166" fontId="16898" fillId="16904" borderId="16745" pivotButton="0" quotePrefix="0" xfId="0"/>
    <xf numFmtId="4" fontId="16899" fillId="16905" borderId="16746" pivotButton="0" quotePrefix="0" xfId="0"/>
    <xf numFmtId="0" fontId="16900" fillId="16906" borderId="16747" applyAlignment="1" pivotButton="0" quotePrefix="0" xfId="0">
      <alignment horizontal="center"/>
    </xf>
    <xf numFmtId="0" fontId="16901" fillId="16907" borderId="16748" pivotButton="0" quotePrefix="0" xfId="0"/>
    <xf numFmtId="166" fontId="16902" fillId="16908" borderId="16749" pivotButton="0" quotePrefix="0" xfId="0"/>
    <xf numFmtId="4" fontId="16903" fillId="16909" borderId="16750" pivotButton="0" quotePrefix="0" xfId="0"/>
    <xf numFmtId="167" fontId="16904" fillId="16910" borderId="16751" pivotButton="0" quotePrefix="0" xfId="0"/>
    <xf numFmtId="166" fontId="16905" fillId="16911" borderId="16752" pivotButton="0" quotePrefix="0" xfId="0"/>
    <xf numFmtId="166" fontId="16906" fillId="16912" borderId="16753" pivotButton="0" quotePrefix="0" xfId="0"/>
    <xf numFmtId="4" fontId="16907" fillId="16913" borderId="16754" pivotButton="0" quotePrefix="0" xfId="0"/>
    <xf numFmtId="0" fontId="16908" fillId="16914" borderId="16755" applyAlignment="1" pivotButton="0" quotePrefix="0" xfId="0">
      <alignment horizontal="center"/>
    </xf>
    <xf numFmtId="0" fontId="16909" fillId="16915" borderId="16756" pivotButton="0" quotePrefix="0" xfId="0"/>
    <xf numFmtId="166" fontId="16910" fillId="16916" borderId="16757" pivotButton="0" quotePrefix="0" xfId="0"/>
    <xf numFmtId="4" fontId="16911" fillId="16917" borderId="16758" pivotButton="0" quotePrefix="0" xfId="0"/>
    <xf numFmtId="167" fontId="16912" fillId="16918" borderId="16759" pivotButton="0" quotePrefix="0" xfId="0"/>
    <xf numFmtId="166" fontId="16913" fillId="16919" borderId="16760" pivotButton="0" quotePrefix="0" xfId="0"/>
    <xf numFmtId="166" fontId="16914" fillId="16920" borderId="16761" pivotButton="0" quotePrefix="0" xfId="0"/>
    <xf numFmtId="4" fontId="16915" fillId="16921" borderId="16762" pivotButton="0" quotePrefix="0" xfId="0"/>
    <xf numFmtId="0" fontId="16917" fillId="16923" borderId="16763" applyAlignment="1" pivotButton="0" quotePrefix="0" xfId="0">
      <alignment horizontal="center"/>
    </xf>
    <xf numFmtId="0" fontId="16918" fillId="16924" borderId="16764" pivotButton="0" quotePrefix="0" xfId="0"/>
    <xf numFmtId="166" fontId="16919" fillId="16925" borderId="16765" pivotButton="0" quotePrefix="0" xfId="0"/>
    <xf numFmtId="4" fontId="16920" fillId="16926" borderId="16766" pivotButton="0" quotePrefix="0" xfId="0"/>
    <xf numFmtId="167" fontId="16921" fillId="16927" borderId="16767" pivotButton="0" quotePrefix="0" xfId="0"/>
    <xf numFmtId="166" fontId="16922" fillId="16928" borderId="16768" pivotButton="0" quotePrefix="0" xfId="0"/>
    <xf numFmtId="166" fontId="16923" fillId="16929" borderId="16769" pivotButton="0" quotePrefix="0" xfId="0"/>
    <xf numFmtId="4" fontId="16924" fillId="16930" borderId="16770" pivotButton="0" quotePrefix="0" xfId="0"/>
    <xf numFmtId="0" fontId="16925" fillId="16931" borderId="16771" applyAlignment="1" pivotButton="0" quotePrefix="0" xfId="0">
      <alignment horizontal="center"/>
    </xf>
    <xf numFmtId="0" fontId="16926" fillId="16932" borderId="16772" pivotButton="0" quotePrefix="0" xfId="0"/>
    <xf numFmtId="166" fontId="16927" fillId="16933" borderId="16773" pivotButton="0" quotePrefix="0" xfId="0"/>
    <xf numFmtId="4" fontId="16928" fillId="16934" borderId="16774" pivotButton="0" quotePrefix="0" xfId="0"/>
    <xf numFmtId="167" fontId="16929" fillId="16935" borderId="16775" pivotButton="0" quotePrefix="0" xfId="0"/>
    <xf numFmtId="166" fontId="16930" fillId="16936" borderId="16776" pivotButton="0" quotePrefix="0" xfId="0"/>
    <xf numFmtId="166" fontId="16931" fillId="16937" borderId="16777" pivotButton="0" quotePrefix="0" xfId="0"/>
    <xf numFmtId="4" fontId="16932" fillId="16938" borderId="16778" pivotButton="0" quotePrefix="0" xfId="0"/>
    <xf numFmtId="0" fontId="16933" fillId="16939" borderId="16779" applyAlignment="1" pivotButton="0" quotePrefix="0" xfId="0">
      <alignment horizontal="center"/>
    </xf>
    <xf numFmtId="0" fontId="16934" fillId="16940" borderId="16780" pivotButton="0" quotePrefix="0" xfId="0"/>
    <xf numFmtId="166" fontId="16935" fillId="16941" borderId="16781" pivotButton="0" quotePrefix="0" xfId="0"/>
    <xf numFmtId="4" fontId="16936" fillId="16942" borderId="16782" pivotButton="0" quotePrefix="0" xfId="0"/>
    <xf numFmtId="167" fontId="16937" fillId="16943" borderId="16783" pivotButton="0" quotePrefix="0" xfId="0"/>
    <xf numFmtId="166" fontId="16938" fillId="16944" borderId="16784" pivotButton="0" quotePrefix="0" xfId="0"/>
    <xf numFmtId="166" fontId="16939" fillId="16945" borderId="16785" pivotButton="0" quotePrefix="0" xfId="0"/>
    <xf numFmtId="4" fontId="16940" fillId="16946" borderId="16786" pivotButton="0" quotePrefix="0" xfId="0"/>
    <xf numFmtId="0" fontId="16941" fillId="16947" borderId="16787" applyAlignment="1" pivotButton="0" quotePrefix="0" xfId="0">
      <alignment horizontal="center"/>
    </xf>
    <xf numFmtId="0" fontId="16942" fillId="16948" borderId="16788" pivotButton="0" quotePrefix="0" xfId="0"/>
    <xf numFmtId="166" fontId="16943" fillId="16949" borderId="16789" pivotButton="0" quotePrefix="0" xfId="0"/>
    <xf numFmtId="4" fontId="16944" fillId="16950" borderId="16790" pivotButton="0" quotePrefix="0" xfId="0"/>
    <xf numFmtId="167" fontId="16945" fillId="16951" borderId="16791" pivotButton="0" quotePrefix="0" xfId="0"/>
    <xf numFmtId="166" fontId="16946" fillId="16952" borderId="16792" pivotButton="0" quotePrefix="0" xfId="0"/>
    <xf numFmtId="166" fontId="16947" fillId="16953" borderId="16793" pivotButton="0" quotePrefix="0" xfId="0"/>
    <xf numFmtId="4" fontId="16948" fillId="16954" borderId="16794" pivotButton="0" quotePrefix="0" xfId="0"/>
    <xf numFmtId="0" fontId="16949" fillId="16955" borderId="16795" applyAlignment="1" pivotButton="0" quotePrefix="0" xfId="0">
      <alignment horizontal="center"/>
    </xf>
    <xf numFmtId="0" fontId="16950" fillId="16956" borderId="16796" pivotButton="0" quotePrefix="0" xfId="0"/>
    <xf numFmtId="166" fontId="16951" fillId="16957" borderId="16797" pivotButton="0" quotePrefix="0" xfId="0"/>
    <xf numFmtId="4" fontId="16952" fillId="16958" borderId="16798" pivotButton="0" quotePrefix="0" xfId="0"/>
    <xf numFmtId="167" fontId="16953" fillId="16959" borderId="16799" pivotButton="0" quotePrefix="0" xfId="0"/>
    <xf numFmtId="166" fontId="16954" fillId="16960" borderId="16800" pivotButton="0" quotePrefix="0" xfId="0"/>
    <xf numFmtId="166" fontId="16955" fillId="16961" borderId="16801" pivotButton="0" quotePrefix="0" xfId="0"/>
    <xf numFmtId="4" fontId="16956" fillId="16962" borderId="16802" pivotButton="0" quotePrefix="0" xfId="0"/>
    <xf numFmtId="0" fontId="16957" fillId="16963" borderId="16803" applyAlignment="1" pivotButton="0" quotePrefix="0" xfId="0">
      <alignment horizontal="center"/>
    </xf>
    <xf numFmtId="0" fontId="16958" fillId="16964" borderId="16804" pivotButton="0" quotePrefix="0" xfId="0"/>
    <xf numFmtId="166" fontId="16959" fillId="16965" borderId="16805" pivotButton="0" quotePrefix="0" xfId="0"/>
    <xf numFmtId="4" fontId="16960" fillId="16966" borderId="16806" pivotButton="0" quotePrefix="0" xfId="0"/>
    <xf numFmtId="167" fontId="16961" fillId="16967" borderId="16807" pivotButton="0" quotePrefix="0" xfId="0"/>
    <xf numFmtId="166" fontId="16962" fillId="16968" borderId="16808" pivotButton="0" quotePrefix="0" xfId="0"/>
    <xf numFmtId="166" fontId="16963" fillId="16969" borderId="16809" pivotButton="0" quotePrefix="0" xfId="0"/>
    <xf numFmtId="4" fontId="16964" fillId="16970" borderId="16810" pivotButton="0" quotePrefix="0" xfId="0"/>
    <xf numFmtId="0" fontId="16965" fillId="16971" borderId="16811" applyAlignment="1" pivotButton="0" quotePrefix="0" xfId="0">
      <alignment horizontal="center"/>
    </xf>
    <xf numFmtId="0" fontId="16966" fillId="16972" borderId="16812" pivotButton="0" quotePrefix="0" xfId="0"/>
    <xf numFmtId="166" fontId="16967" fillId="16973" borderId="16813" pivotButton="0" quotePrefix="0" xfId="0"/>
    <xf numFmtId="4" fontId="16968" fillId="16974" borderId="16814" pivotButton="0" quotePrefix="0" xfId="0"/>
    <xf numFmtId="167" fontId="16969" fillId="16975" borderId="16815" pivotButton="0" quotePrefix="0" xfId="0"/>
    <xf numFmtId="166" fontId="16970" fillId="16976" borderId="16816" pivotButton="0" quotePrefix="0" xfId="0"/>
    <xf numFmtId="166" fontId="16971" fillId="16977" borderId="16817" pivotButton="0" quotePrefix="0" xfId="0"/>
    <xf numFmtId="4" fontId="16972" fillId="16978" borderId="16818" pivotButton="0" quotePrefix="0" xfId="0"/>
    <xf numFmtId="0" fontId="16973" fillId="16979" borderId="16819" applyAlignment="1" pivotButton="0" quotePrefix="0" xfId="0">
      <alignment horizontal="center"/>
    </xf>
    <xf numFmtId="0" fontId="16974" fillId="16980" borderId="16820" pivotButton="0" quotePrefix="0" xfId="0"/>
    <xf numFmtId="166" fontId="16975" fillId="16981" borderId="16821" pivotButton="0" quotePrefix="0" xfId="0"/>
    <xf numFmtId="4" fontId="16976" fillId="16982" borderId="16822" pivotButton="0" quotePrefix="0" xfId="0"/>
    <xf numFmtId="167" fontId="16977" fillId="16983" borderId="16823" pivotButton="0" quotePrefix="0" xfId="0"/>
    <xf numFmtId="166" fontId="16978" fillId="16984" borderId="16824" pivotButton="0" quotePrefix="0" xfId="0"/>
    <xf numFmtId="166" fontId="16979" fillId="16985" borderId="16825" pivotButton="0" quotePrefix="0" xfId="0"/>
    <xf numFmtId="4" fontId="16980" fillId="16986" borderId="16826" pivotButton="0" quotePrefix="0" xfId="0"/>
    <xf numFmtId="0" fontId="16981" fillId="16987" borderId="16827" applyAlignment="1" pivotButton="0" quotePrefix="0" xfId="0">
      <alignment horizontal="center"/>
    </xf>
    <xf numFmtId="0" fontId="16982" fillId="16988" borderId="16828" pivotButton="0" quotePrefix="0" xfId="0"/>
    <xf numFmtId="166" fontId="16983" fillId="16989" borderId="16829" pivotButton="0" quotePrefix="0" xfId="0"/>
    <xf numFmtId="4" fontId="16984" fillId="16990" borderId="16830" pivotButton="0" quotePrefix="0" xfId="0"/>
    <xf numFmtId="167" fontId="16985" fillId="16991" borderId="16831" pivotButton="0" quotePrefix="0" xfId="0"/>
    <xf numFmtId="166" fontId="16986" fillId="16992" borderId="16832" pivotButton="0" quotePrefix="0" xfId="0"/>
    <xf numFmtId="166" fontId="16987" fillId="16993" borderId="16833" pivotButton="0" quotePrefix="0" xfId="0"/>
    <xf numFmtId="4" fontId="16988" fillId="16994" borderId="16834" pivotButton="0" quotePrefix="0" xfId="0"/>
    <xf numFmtId="0" fontId="16989" fillId="16995" borderId="16835" applyAlignment="1" pivotButton="0" quotePrefix="0" xfId="0">
      <alignment horizontal="center"/>
    </xf>
    <xf numFmtId="0" fontId="16990" fillId="16996" borderId="16836" pivotButton="0" quotePrefix="0" xfId="0"/>
    <xf numFmtId="166" fontId="16991" fillId="16997" borderId="16837" pivotButton="0" quotePrefix="0" xfId="0"/>
    <xf numFmtId="4" fontId="16992" fillId="16998" borderId="16838" pivotButton="0" quotePrefix="0" xfId="0"/>
    <xf numFmtId="167" fontId="16993" fillId="16999" borderId="16839" pivotButton="0" quotePrefix="0" xfId="0"/>
    <xf numFmtId="166" fontId="16994" fillId="17000" borderId="16840" pivotButton="0" quotePrefix="0" xfId="0"/>
    <xf numFmtId="166" fontId="16995" fillId="17001" borderId="16841" pivotButton="0" quotePrefix="0" xfId="0"/>
    <xf numFmtId="4" fontId="16996" fillId="17002" borderId="16842" pivotButton="0" quotePrefix="0" xfId="0"/>
    <xf numFmtId="0" fontId="16997" fillId="17003" borderId="16843" applyAlignment="1" pivotButton="0" quotePrefix="0" xfId="0">
      <alignment horizontal="center"/>
    </xf>
    <xf numFmtId="0" fontId="16998" fillId="17004" borderId="16844" pivotButton="0" quotePrefix="0" xfId="0"/>
    <xf numFmtId="166" fontId="16999" fillId="17005" borderId="16845" pivotButton="0" quotePrefix="0" xfId="0"/>
    <xf numFmtId="4" fontId="17000" fillId="17006" borderId="16846" pivotButton="0" quotePrefix="0" xfId="0"/>
    <xf numFmtId="167" fontId="17001" fillId="17007" borderId="16847" pivotButton="0" quotePrefix="0" xfId="0"/>
    <xf numFmtId="166" fontId="17002" fillId="17008" borderId="16848" pivotButton="0" quotePrefix="0" xfId="0"/>
    <xf numFmtId="166" fontId="17003" fillId="17009" borderId="16849" pivotButton="0" quotePrefix="0" xfId="0"/>
    <xf numFmtId="4" fontId="17004" fillId="17010" borderId="16850" pivotButton="0" quotePrefix="0" xfId="0"/>
    <xf numFmtId="0" fontId="17005" fillId="17011" borderId="16851" applyAlignment="1" pivotButton="0" quotePrefix="0" xfId="0">
      <alignment horizontal="center"/>
    </xf>
    <xf numFmtId="0" fontId="17006" fillId="17012" borderId="16852" pivotButton="0" quotePrefix="0" xfId="0"/>
    <xf numFmtId="166" fontId="17007" fillId="17013" borderId="16853" pivotButton="0" quotePrefix="0" xfId="0"/>
    <xf numFmtId="4" fontId="17008" fillId="17014" borderId="16854" pivotButton="0" quotePrefix="0" xfId="0"/>
    <xf numFmtId="167" fontId="17009" fillId="17015" borderId="16855" pivotButton="0" quotePrefix="0" xfId="0"/>
    <xf numFmtId="166" fontId="17010" fillId="17016" borderId="16856" pivotButton="0" quotePrefix="0" xfId="0"/>
    <xf numFmtId="166" fontId="17011" fillId="17017" borderId="16857" pivotButton="0" quotePrefix="0" xfId="0"/>
    <xf numFmtId="4" fontId="17012" fillId="17018" borderId="16858" pivotButton="0" quotePrefix="0" xfId="0"/>
    <xf numFmtId="0" fontId="17013" fillId="17019" borderId="16859" applyAlignment="1" pivotButton="0" quotePrefix="0" xfId="0">
      <alignment horizontal="center"/>
    </xf>
    <xf numFmtId="0" fontId="17014" fillId="17020" borderId="16860" pivotButton="0" quotePrefix="0" xfId="0"/>
    <xf numFmtId="166" fontId="17015" fillId="17021" borderId="16861" pivotButton="0" quotePrefix="0" xfId="0"/>
    <xf numFmtId="4" fontId="17016" fillId="17022" borderId="16862" pivotButton="0" quotePrefix="0" xfId="0"/>
    <xf numFmtId="167" fontId="17017" fillId="17023" borderId="16863" pivotButton="0" quotePrefix="0" xfId="0"/>
    <xf numFmtId="166" fontId="17018" fillId="17024" borderId="16864" pivotButton="0" quotePrefix="0" xfId="0"/>
    <xf numFmtId="166" fontId="17019" fillId="17025" borderId="16865" pivotButton="0" quotePrefix="0" xfId="0"/>
    <xf numFmtId="4" fontId="17020" fillId="17026" borderId="16866" pivotButton="0" quotePrefix="0" xfId="0"/>
    <xf numFmtId="0" fontId="17021" fillId="17027" borderId="16867" applyAlignment="1" pivotButton="0" quotePrefix="0" xfId="0">
      <alignment horizontal="center"/>
    </xf>
    <xf numFmtId="0" fontId="17022" fillId="17028" borderId="16868" pivotButton="0" quotePrefix="0" xfId="0"/>
    <xf numFmtId="166" fontId="17023" fillId="17029" borderId="16869" pivotButton="0" quotePrefix="0" xfId="0"/>
    <xf numFmtId="4" fontId="17024" fillId="17030" borderId="16870" pivotButton="0" quotePrefix="0" xfId="0"/>
    <xf numFmtId="166" fontId="17025" fillId="17031" borderId="16871" pivotButton="0" quotePrefix="0" xfId="0"/>
    <xf numFmtId="166" fontId="17026" fillId="17032" borderId="16872" pivotButton="0" quotePrefix="0" xfId="0"/>
    <xf numFmtId="4" fontId="17027" fillId="17033" borderId="16873" pivotButton="0" quotePrefix="0" xfId="0"/>
    <xf numFmtId="4" fontId="17028" fillId="17034" borderId="16874" pivotButton="0" quotePrefix="0" xfId="0"/>
    <xf numFmtId="0" fontId="17031" fillId="17037" borderId="16875" pivotButton="0" quotePrefix="0" xfId="0"/>
    <xf numFmtId="0" fontId="17032" fillId="17038" borderId="16876" applyAlignment="1" pivotButton="0" quotePrefix="0" xfId="0">
      <alignment horizontal="center"/>
    </xf>
    <xf numFmtId="0" fontId="17033" fillId="17039" borderId="16877" pivotButton="0" quotePrefix="0" xfId="0"/>
    <xf numFmtId="166" fontId="17034" fillId="17040" borderId="16878" applyAlignment="1" pivotButton="0" quotePrefix="0" xfId="0">
      <alignment horizontal="center"/>
    </xf>
    <xf numFmtId="0" fontId="17036" fillId="17042" borderId="16879" pivotButton="0" quotePrefix="0" xfId="0"/>
    <xf numFmtId="0" fontId="17037" fillId="17043" borderId="16880" pivotButton="0" quotePrefix="0" xfId="0"/>
    <xf numFmtId="0" fontId="17038" fillId="17044" borderId="16881" pivotButton="0" quotePrefix="0" xfId="0"/>
    <xf numFmtId="0" fontId="17039" fillId="17045" borderId="16882" pivotButton="0" quotePrefix="0" xfId="0"/>
    <xf numFmtId="0" fontId="17040" fillId="17046" borderId="16883" pivotButton="0" quotePrefix="0" xfId="0"/>
    <xf numFmtId="0" fontId="17041" fillId="17047" borderId="16884" pivotButton="0" quotePrefix="0" xfId="0"/>
    <xf numFmtId="0" fontId="17042" fillId="17048" borderId="16885" pivotButton="0" quotePrefix="0" xfId="0"/>
    <xf numFmtId="0" fontId="17043" fillId="17049" borderId="16886" pivotButton="0" quotePrefix="0" xfId="0"/>
    <xf numFmtId="0" fontId="17044" fillId="17050" borderId="16887" pivotButton="0" quotePrefix="0" xfId="0"/>
    <xf numFmtId="0" fontId="17045" fillId="17051" borderId="16888" pivotButton="0" quotePrefix="0" xfId="0"/>
    <xf numFmtId="0" fontId="17046" fillId="17052" borderId="16889" pivotButton="0" quotePrefix="0" xfId="0"/>
    <xf numFmtId="0" fontId="17047" fillId="17053" borderId="16890" pivotButton="0" quotePrefix="0" xfId="0"/>
    <xf numFmtId="165" fontId="17048" fillId="17054" borderId="16891" applyAlignment="1" pivotButton="0" quotePrefix="0" xfId="0">
      <alignment horizontal="center"/>
    </xf>
    <xf numFmtId="166" fontId="17049" fillId="17055" borderId="16892" pivotButton="0" quotePrefix="0" xfId="0"/>
    <xf numFmtId="4" fontId="17050" fillId="17056" borderId="16893" pivotButton="0" quotePrefix="0" xfId="0"/>
    <xf numFmtId="166" fontId="17051" fillId="17057" borderId="16894" pivotButton="0" quotePrefix="0" xfId="0"/>
    <xf numFmtId="166" fontId="17052" fillId="17058" borderId="16895" pivotButton="0" quotePrefix="0" xfId="0"/>
    <xf numFmtId="166" fontId="17053" fillId="17059" borderId="16896" pivotButton="0" quotePrefix="0" xfId="0"/>
    <xf numFmtId="166" fontId="17054" fillId="17060" borderId="16897" pivotButton="0" quotePrefix="0" xfId="0"/>
    <xf numFmtId="166" fontId="17055" fillId="17061" borderId="16898" pivotButton="0" quotePrefix="0" xfId="0"/>
    <xf numFmtId="4" fontId="17056" fillId="17062" borderId="16899" pivotButton="0" quotePrefix="0" xfId="0"/>
    <xf numFmtId="0" fontId="17057" fillId="17063" borderId="16900" pivotButton="0" quotePrefix="0" xfId="0"/>
    <xf numFmtId="0" fontId="17058" fillId="17064" borderId="16901" pivotButton="0" quotePrefix="0" xfId="0"/>
    <xf numFmtId="0" fontId="17059" fillId="17065" borderId="16902" pivotButton="0" quotePrefix="0" xfId="0"/>
    <xf numFmtId="165" fontId="17060" fillId="17066" borderId="16903" applyAlignment="1" pivotButton="0" quotePrefix="0" xfId="0">
      <alignment horizontal="center"/>
    </xf>
    <xf numFmtId="166" fontId="17061" fillId="17067" borderId="16904" pivotButton="0" quotePrefix="0" xfId="0"/>
    <xf numFmtId="4" fontId="17062" fillId="17068" borderId="16905" pivotButton="0" quotePrefix="0" xfId="0"/>
    <xf numFmtId="166" fontId="17063" fillId="17069" borderId="16906" pivotButton="0" quotePrefix="0" xfId="0"/>
    <xf numFmtId="166" fontId="17064" fillId="17070" borderId="16907" pivotButton="0" quotePrefix="0" xfId="0"/>
    <xf numFmtId="166" fontId="17065" fillId="17071" borderId="16908" pivotButton="0" quotePrefix="0" xfId="0"/>
    <xf numFmtId="166" fontId="17066" fillId="17072" borderId="16909" pivotButton="0" quotePrefix="0" xfId="0"/>
    <xf numFmtId="166" fontId="17067" fillId="17073" borderId="16910" pivotButton="0" quotePrefix="0" xfId="0"/>
    <xf numFmtId="4" fontId="17068" fillId="17074" borderId="16911" pivotButton="0" quotePrefix="0" xfId="0"/>
    <xf numFmtId="0" fontId="17069" fillId="17075" borderId="16912" pivotButton="0" quotePrefix="0" xfId="0"/>
    <xf numFmtId="0" fontId="17070" fillId="17076" borderId="16913" pivotButton="0" quotePrefix="0" xfId="0"/>
    <xf numFmtId="0" fontId="17071" fillId="17077" borderId="16914" pivotButton="0" quotePrefix="0" xfId="0"/>
    <xf numFmtId="0" fontId="17074" fillId="17079" borderId="16915" pivotButton="0" quotePrefix="0" xfId="0"/>
    <xf numFmtId="0" fontId="17075" fillId="17080" borderId="16916" pivotButton="0" quotePrefix="0" xfId="0"/>
    <xf numFmtId="0" fontId="17076" fillId="17081" borderId="16917" pivotButton="0" quotePrefix="0" xfId="0"/>
    <xf numFmtId="0" fontId="17077" fillId="17082" borderId="16918" applyAlignment="1" pivotButton="0" quotePrefix="0" xfId="0">
      <alignment horizontal="center" wrapText="1"/>
    </xf>
    <xf numFmtId="0" fontId="17078" fillId="17083" borderId="16919" applyAlignment="1" pivotButton="0" quotePrefix="0" xfId="0">
      <alignment horizontal="center" wrapText="1"/>
    </xf>
    <xf numFmtId="0" fontId="17079" fillId="17084" borderId="16920" applyAlignment="1" pivotButton="0" quotePrefix="0" xfId="0">
      <alignment horizontal="center" wrapText="1"/>
    </xf>
    <xf numFmtId="0" fontId="17080" fillId="17085" borderId="16921" applyAlignment="1" pivotButton="0" quotePrefix="0" xfId="0">
      <alignment horizontal="center" wrapText="1"/>
    </xf>
    <xf numFmtId="0" fontId="17081" fillId="17086" borderId="16922" applyAlignment="1" pivotButton="0" quotePrefix="0" xfId="0">
      <alignment horizontal="center" wrapText="1"/>
    </xf>
    <xf numFmtId="0" fontId="17082" fillId="17087" borderId="16923" applyAlignment="1" pivotButton="0" quotePrefix="0" xfId="0">
      <alignment horizontal="center" wrapText="1"/>
    </xf>
    <xf numFmtId="0" fontId="17083" fillId="17088" borderId="16924" applyAlignment="1" pivotButton="0" quotePrefix="0" xfId="0">
      <alignment horizontal="center" wrapText="1"/>
    </xf>
    <xf numFmtId="0" fontId="17084" fillId="17089" borderId="16925" applyAlignment="1" pivotButton="0" quotePrefix="0" xfId="0">
      <alignment horizontal="center" wrapText="1"/>
    </xf>
    <xf numFmtId="0" fontId="17085" fillId="17090" borderId="16926" applyAlignment="1" pivotButton="0" quotePrefix="0" xfId="0">
      <alignment horizontal="center" wrapText="1"/>
    </xf>
    <xf numFmtId="0" fontId="17086" fillId="17091" borderId="16927" pivotButton="0" quotePrefix="0" xfId="0"/>
    <xf numFmtId="0" fontId="17087" fillId="17092" borderId="16928" pivotButton="0" quotePrefix="0" xfId="0"/>
    <xf numFmtId="0" fontId="17088" fillId="17093" borderId="16929" pivotButton="0" quotePrefix="0" xfId="0"/>
    <xf numFmtId="165" fontId="17089" fillId="17094" borderId="16930" applyAlignment="1" pivotButton="0" quotePrefix="0" xfId="0">
      <alignment horizontal="center"/>
    </xf>
    <xf numFmtId="166" fontId="17090" fillId="17095" borderId="16931" pivotButton="0" quotePrefix="0" xfId="0"/>
    <xf numFmtId="4" fontId="17091" fillId="17096" borderId="16932" pivotButton="0" quotePrefix="0" xfId="0"/>
    <xf numFmtId="166" fontId="17092" fillId="17097" borderId="16933" pivotButton="0" quotePrefix="0" xfId="0"/>
    <xf numFmtId="166" fontId="17093" fillId="17098" borderId="16934" pivotButton="0" quotePrefix="0" xfId="0"/>
    <xf numFmtId="166" fontId="17094" fillId="17099" borderId="16935" pivotButton="0" quotePrefix="0" xfId="0"/>
    <xf numFmtId="166" fontId="17095" fillId="17100" borderId="16936" pivotButton="0" quotePrefix="0" xfId="0"/>
    <xf numFmtId="4" fontId="17096" fillId="17101" borderId="16937" pivotButton="0" quotePrefix="0" xfId="0"/>
    <xf numFmtId="0" fontId="17097" fillId="17102" borderId="16938" pivotButton="0" quotePrefix="0" xfId="0"/>
    <xf numFmtId="0" fontId="17098" fillId="17103" borderId="16939" pivotButton="0" quotePrefix="0" xfId="0"/>
    <xf numFmtId="0" fontId="17099" fillId="17104" borderId="16940" pivotButton="0" quotePrefix="0" xfId="0"/>
    <xf numFmtId="165" fontId="17100" fillId="17105" borderId="16941" applyAlignment="1" pivotButton="0" quotePrefix="0" xfId="0">
      <alignment horizontal="center"/>
    </xf>
    <xf numFmtId="166" fontId="17101" fillId="17106" borderId="16942" pivotButton="0" quotePrefix="0" xfId="0"/>
    <xf numFmtId="4" fontId="17102" fillId="17107" borderId="16943" pivotButton="0" quotePrefix="0" xfId="0"/>
    <xf numFmtId="166" fontId="17103" fillId="17108" borderId="16944" pivotButton="0" quotePrefix="0" xfId="0"/>
    <xf numFmtId="166" fontId="17104" fillId="17109" borderId="16945" pivotButton="0" quotePrefix="0" xfId="0"/>
    <xf numFmtId="166" fontId="17105" fillId="17110" borderId="16946" pivotButton="0" quotePrefix="0" xfId="0"/>
    <xf numFmtId="166" fontId="17106" fillId="17111" borderId="16947" pivotButton="0" quotePrefix="0" xfId="0"/>
    <xf numFmtId="166" fontId="17107" fillId="17112" borderId="16948" pivotButton="0" quotePrefix="0" xfId="0"/>
    <xf numFmtId="4" fontId="17108" fillId="17113" borderId="16949" pivotButton="0" quotePrefix="0" xfId="0"/>
    <xf numFmtId="0" fontId="17109" fillId="17114" borderId="16950" pivotButton="0" quotePrefix="0" xfId="0"/>
    <xf numFmtId="0" fontId="17110" fillId="17115" borderId="16951" pivotButton="0" quotePrefix="0" xfId="0"/>
    <xf numFmtId="0" fontId="17111" fillId="17116" borderId="16952" pivotButton="0" quotePrefix="0" xfId="0"/>
    <xf numFmtId="165" fontId="17112" fillId="17117" borderId="16953" applyAlignment="1" pivotButton="0" quotePrefix="0" xfId="0">
      <alignment horizontal="center"/>
    </xf>
    <xf numFmtId="4" fontId="17113" fillId="17118" borderId="16954" pivotButton="0" quotePrefix="0" xfId="0"/>
    <xf numFmtId="166" fontId="17114" fillId="17119" borderId="16955" pivotButton="0" quotePrefix="0" xfId="0"/>
    <xf numFmtId="166" fontId="17115" fillId="17120" borderId="16956" pivotButton="0" quotePrefix="0" xfId="0"/>
    <xf numFmtId="166" fontId="17116" fillId="17121" borderId="16957" pivotButton="0" quotePrefix="0" xfId="0"/>
    <xf numFmtId="166" fontId="17117" fillId="17122" borderId="16958" pivotButton="0" quotePrefix="0" xfId="0"/>
    <xf numFmtId="166" fontId="17118" fillId="17123" borderId="16959" pivotButton="0" quotePrefix="0" xfId="0"/>
    <xf numFmtId="4" fontId="17119" fillId="17124" borderId="16960" pivotButton="0" quotePrefix="0" xfId="0"/>
    <xf numFmtId="0" fontId="17120" fillId="17125" borderId="16961" pivotButton="0" quotePrefix="0" xfId="0"/>
    <xf numFmtId="0" fontId="17121" fillId="17126" borderId="16962" pivotButton="0" quotePrefix="0" xfId="0"/>
    <xf numFmtId="0" fontId="17122" fillId="17127" borderId="16963" pivotButton="0" quotePrefix="0" xfId="0"/>
    <xf numFmtId="165" fontId="17123" fillId="17128" borderId="16964" applyAlignment="1" pivotButton="0" quotePrefix="0" xfId="0">
      <alignment horizontal="center"/>
    </xf>
    <xf numFmtId="4" fontId="17124" fillId="17129" borderId="16965" pivotButton="0" quotePrefix="0" xfId="0"/>
    <xf numFmtId="166" fontId="17125" fillId="17130" borderId="16966" pivotButton="0" quotePrefix="0" xfId="0"/>
    <xf numFmtId="166" fontId="17126" fillId="17131" borderId="16967" pivotButton="0" quotePrefix="0" xfId="0"/>
    <xf numFmtId="166" fontId="17127" fillId="17132" borderId="16968" pivotButton="0" quotePrefix="0" xfId="0"/>
    <xf numFmtId="166" fontId="17128" fillId="17133" borderId="16969" pivotButton="0" quotePrefix="0" xfId="0"/>
    <xf numFmtId="166" fontId="17129" fillId="17134" borderId="16970" pivotButton="0" quotePrefix="0" xfId="0"/>
    <xf numFmtId="4" fontId="17130" fillId="17135" borderId="16971" pivotButton="0" quotePrefix="0" xfId="0"/>
    <xf numFmtId="0" fontId="17131" fillId="17136" borderId="16972" pivotButton="0" quotePrefix="0" xfId="0"/>
    <xf numFmtId="0" fontId="17132" fillId="17137" borderId="16973" pivotButton="0" quotePrefix="0" xfId="0"/>
    <xf numFmtId="0" fontId="17133" fillId="17138" borderId="16974" pivotButton="0" quotePrefix="0" xfId="0"/>
    <xf numFmtId="165" fontId="17134" fillId="17139" borderId="16975" applyAlignment="1" pivotButton="0" quotePrefix="0" xfId="0">
      <alignment horizontal="center"/>
    </xf>
    <xf numFmtId="4" fontId="17135" fillId="17140" borderId="16976" pivotButton="0" quotePrefix="0" xfId="0"/>
    <xf numFmtId="166" fontId="17136" fillId="17141" borderId="16977" pivotButton="0" quotePrefix="0" xfId="0"/>
    <xf numFmtId="166" fontId="17137" fillId="17142" borderId="16978" pivotButton="0" quotePrefix="0" xfId="0"/>
    <xf numFmtId="166" fontId="17138" fillId="17143" borderId="16979" pivotButton="0" quotePrefix="0" xfId="0"/>
    <xf numFmtId="166" fontId="17139" fillId="17144" borderId="16980" pivotButton="0" quotePrefix="0" xfId="0"/>
    <xf numFmtId="166" fontId="17140" fillId="17145" borderId="16981" pivotButton="0" quotePrefix="0" xfId="0"/>
    <xf numFmtId="4" fontId="17141" fillId="17146" borderId="16982" pivotButton="0" quotePrefix="0" xfId="0"/>
    <xf numFmtId="0" fontId="17142" fillId="17147" borderId="16983" pivotButton="0" quotePrefix="0" xfId="0"/>
    <xf numFmtId="0" fontId="17143" fillId="17148" borderId="16984" pivotButton="0" quotePrefix="0" xfId="0"/>
    <xf numFmtId="0" fontId="17144" fillId="17149" borderId="16985" pivotButton="0" quotePrefix="0" xfId="0"/>
    <xf numFmtId="0" fontId="17145" fillId="17150" borderId="16986" pivotButton="0" quotePrefix="0" xfId="0"/>
    <xf numFmtId="166" fontId="17146" fillId="17151" borderId="16987" pivotButton="0" quotePrefix="0" xfId="0"/>
    <xf numFmtId="4" fontId="17147" fillId="17152" borderId="16988" pivotButton="0" quotePrefix="0" xfId="0"/>
    <xf numFmtId="0" fontId="17148" fillId="17153" borderId="16989" pivotButton="0" quotePrefix="0" xfId="0"/>
    <xf numFmtId="166" fontId="17149" fillId="17154" borderId="16990" pivotButton="0" quotePrefix="0" xfId="0"/>
    <xf numFmtId="166" fontId="17150" fillId="17155" borderId="16991" pivotButton="0" quotePrefix="0" xfId="0"/>
    <xf numFmtId="166" fontId="17151" fillId="17156" borderId="16992" pivotButton="0" quotePrefix="0" xfId="0"/>
    <xf numFmtId="166" fontId="17152" fillId="17157" borderId="16993" pivotButton="0" quotePrefix="0" xfId="0"/>
    <xf numFmtId="4" fontId="17153" fillId="17158" borderId="16994" pivotButton="0" quotePrefix="0" xfId="0"/>
    <xf numFmtId="0" fontId="17154" fillId="17159" borderId="16995" pivotButton="0" quotePrefix="0" xfId="0"/>
    <xf numFmtId="0" fontId="17155" fillId="17160" borderId="16996" pivotButton="0" quotePrefix="0" xfId="0"/>
    <xf numFmtId="0" fontId="17156" fillId="17161" borderId="16997" pivotButton="0" quotePrefix="0" xfId="0"/>
    <xf numFmtId="0" fontId="17157" fillId="17162" borderId="16998" pivotButton="0" quotePrefix="0" xfId="0"/>
    <xf numFmtId="0" fontId="17158" fillId="17163" borderId="16999" pivotButton="0" quotePrefix="0" xfId="0"/>
    <xf numFmtId="0" fontId="17159" fillId="17164" borderId="17000" pivotButton="0" quotePrefix="0" xfId="0"/>
    <xf numFmtId="0" fontId="17160" fillId="17165" borderId="17001" pivotButton="0" quotePrefix="0" xfId="0"/>
    <xf numFmtId="0" fontId="17161" fillId="17166" borderId="17002" pivotButton="0" quotePrefix="0" xfId="0"/>
    <xf numFmtId="0" fontId="17162" fillId="17167" borderId="17003" pivotButton="0" quotePrefix="0" xfId="0"/>
    <xf numFmtId="0" fontId="17163" fillId="17168" borderId="17004" pivotButton="0" quotePrefix="0" xfId="0"/>
    <xf numFmtId="0" fontId="17164" fillId="17169" borderId="17005" pivotButton="0" quotePrefix="0" xfId="0"/>
    <xf numFmtId="0" fontId="17165" fillId="17170" borderId="17006" pivotButton="0" quotePrefix="0" xfId="0"/>
    <xf numFmtId="0" fontId="17166" fillId="17171" borderId="17007" pivotButton="0" quotePrefix="0" xfId="0"/>
    <xf numFmtId="0" fontId="17167" fillId="17172" borderId="17008" pivotButton="0" quotePrefix="0" xfId="0"/>
    <xf numFmtId="0" fontId="17168" fillId="17173" borderId="17009" pivotButton="0" quotePrefix="0" xfId="0"/>
    <xf numFmtId="0" fontId="17169" fillId="17174" borderId="17010" pivotButton="0" quotePrefix="0" xfId="0"/>
    <xf numFmtId="0" fontId="17170" fillId="17175" borderId="17011" pivotButton="0" quotePrefix="0" xfId="0"/>
    <xf numFmtId="0" fontId="17171" fillId="17176" borderId="17012" pivotButton="0" quotePrefix="0" xfId="0"/>
    <xf numFmtId="0" fontId="17172" fillId="17177" borderId="17013" pivotButton="0" quotePrefix="0" xfId="0"/>
    <xf numFmtId="0" fontId="17173" fillId="17178" borderId="17014" pivotButton="0" quotePrefix="0" xfId="0"/>
    <xf numFmtId="0" fontId="17174" fillId="17179" borderId="17015" pivotButton="0" quotePrefix="0" xfId="0"/>
    <xf numFmtId="0" fontId="17175" fillId="17180" borderId="17016" pivotButton="0" quotePrefix="0" xfId="0"/>
    <xf numFmtId="0" fontId="17176" fillId="17181" borderId="17017" pivotButton="0" quotePrefix="0" xfId="0"/>
    <xf numFmtId="0" fontId="17177" fillId="17182" borderId="17018" pivotButton="0" quotePrefix="0" xfId="0"/>
    <xf numFmtId="0" fontId="17178" fillId="17183" borderId="17019" pivotButton="0" quotePrefix="0" xfId="0"/>
    <xf numFmtId="0" fontId="17179" fillId="17184" borderId="17020" pivotButton="0" quotePrefix="0" xfId="0"/>
    <xf numFmtId="0" fontId="17180" fillId="17185" borderId="17021" pivotButton="0" quotePrefix="0" xfId="0"/>
    <xf numFmtId="0" fontId="17182" fillId="17187" borderId="17022" pivotButton="0" quotePrefix="0" xfId="0"/>
    <xf numFmtId="0" fontId="17183" fillId="17188" borderId="17023" pivotButton="0" quotePrefix="0" xfId="0"/>
    <xf numFmtId="0" fontId="17184" fillId="17189" borderId="17024" pivotButton="0" quotePrefix="0" xfId="0"/>
    <xf numFmtId="0" fontId="17185" fillId="17190" borderId="17025" pivotButton="0" quotePrefix="0" xfId="0"/>
    <xf numFmtId="0" fontId="17186" fillId="17191" borderId="17026" pivotButton="0" quotePrefix="0" xfId="0"/>
    <xf numFmtId="0" fontId="17187" fillId="17192" borderId="17027" pivotButton="0" quotePrefix="0" xfId="0"/>
    <xf numFmtId="0" fontId="17188" fillId="17193" borderId="17028" applyAlignment="1" pivotButton="0" quotePrefix="0" xfId="0">
      <alignment horizontal="center" wrapText="1"/>
    </xf>
    <xf numFmtId="0" fontId="17189" fillId="17194" borderId="17029" applyAlignment="1" pivotButton="0" quotePrefix="0" xfId="0">
      <alignment horizontal="center" wrapText="1"/>
    </xf>
    <xf numFmtId="0" fontId="17190" fillId="17195" borderId="17030" applyAlignment="1" pivotButton="0" quotePrefix="0" xfId="0">
      <alignment horizontal="center" wrapText="1"/>
    </xf>
    <xf numFmtId="0" fontId="17191" fillId="17196" borderId="17031" applyAlignment="1" pivotButton="0" quotePrefix="0" xfId="0">
      <alignment horizontal="center" wrapText="1"/>
    </xf>
    <xf numFmtId="0" fontId="17192" fillId="17197" borderId="17032" applyAlignment="1" pivotButton="0" quotePrefix="0" xfId="0">
      <alignment horizontal="center" wrapText="1"/>
    </xf>
    <xf numFmtId="0" fontId="17193" fillId="17198" borderId="17033" applyAlignment="1" pivotButton="0" quotePrefix="0" xfId="0">
      <alignment horizontal="center" wrapText="1"/>
    </xf>
    <xf numFmtId="0" fontId="17194" fillId="17199" borderId="17034" pivotButton="0" quotePrefix="0" xfId="0"/>
    <xf numFmtId="0" fontId="17195" fillId="17200" borderId="17035" pivotButton="0" quotePrefix="0" xfId="0"/>
    <xf numFmtId="0" fontId="17196" fillId="17201" borderId="17036" pivotButton="0" quotePrefix="0" xfId="0"/>
    <xf numFmtId="0" fontId="17197" fillId="17202" borderId="17037" pivotButton="0" quotePrefix="0" xfId="0"/>
    <xf numFmtId="0" fontId="17198" fillId="17203" borderId="17038" pivotButton="0" quotePrefix="0" xfId="0"/>
    <xf numFmtId="0" fontId="17199" fillId="17204" borderId="17039" pivotButton="0" quotePrefix="0" xfId="0"/>
    <xf numFmtId="0" fontId="17200" fillId="17205" borderId="17040" applyAlignment="1" pivotButton="0" quotePrefix="0" xfId="0">
      <alignment horizontal="center"/>
    </xf>
    <xf numFmtId="4" fontId="17201" fillId="17206" borderId="17041" pivotButton="0" quotePrefix="0" xfId="0"/>
    <xf numFmtId="4" fontId="17202" fillId="17207" borderId="17042" pivotButton="0" quotePrefix="0" xfId="0"/>
    <xf numFmtId="4" fontId="17203" fillId="17208" borderId="17043" pivotButton="0" quotePrefix="0" xfId="0"/>
    <xf numFmtId="4" fontId="17204" fillId="17209" borderId="17044" pivotButton="0" quotePrefix="0" xfId="0"/>
    <xf numFmtId="0" fontId="17205" fillId="17210" borderId="17045" applyAlignment="1" pivotButton="0" quotePrefix="0" xfId="0">
      <alignment horizontal="center"/>
    </xf>
    <xf numFmtId="0" fontId="17206" fillId="17211" borderId="17046" pivotButton="0" quotePrefix="0" xfId="0"/>
    <xf numFmtId="0" fontId="17207" fillId="17212" borderId="17047" pivotButton="0" quotePrefix="0" xfId="0"/>
    <xf numFmtId="0" fontId="17208" fillId="17213" borderId="17048" pivotButton="0" quotePrefix="0" xfId="0"/>
    <xf numFmtId="0" fontId="17209" fillId="17214" borderId="17049" pivotButton="0" quotePrefix="0" xfId="0"/>
    <xf numFmtId="0" fontId="17210" fillId="17215" borderId="17050" pivotButton="0" quotePrefix="0" xfId="0"/>
    <xf numFmtId="0" fontId="17211" fillId="17216" borderId="17051" pivotButton="0" quotePrefix="0" xfId="0"/>
    <xf numFmtId="0" fontId="17212" fillId="17217" borderId="17052" applyAlignment="1" pivotButton="0" quotePrefix="0" xfId="0">
      <alignment horizontal="center"/>
    </xf>
    <xf numFmtId="4" fontId="17213" fillId="17218" borderId="17053" pivotButton="0" quotePrefix="0" xfId="0"/>
    <xf numFmtId="4" fontId="17214" fillId="17219" borderId="17054" pivotButton="0" quotePrefix="0" xfId="0"/>
    <xf numFmtId="4" fontId="17215" fillId="17220" borderId="17055" pivotButton="0" quotePrefix="0" xfId="0"/>
    <xf numFmtId="4" fontId="17216" fillId="17221" borderId="17056" pivotButton="0" quotePrefix="0" xfId="0"/>
    <xf numFmtId="0" fontId="17217" fillId="17222" borderId="17057" applyAlignment="1" pivotButton="0" quotePrefix="0" xfId="0">
      <alignment horizontal="center"/>
    </xf>
    <xf numFmtId="0" fontId="17218" fillId="17223" borderId="17058" pivotButton="0" quotePrefix="0" xfId="0"/>
    <xf numFmtId="0" fontId="17219" fillId="17224" borderId="17059" pivotButton="0" quotePrefix="0" xfId="0"/>
    <xf numFmtId="0" fontId="17220" fillId="17225" borderId="17060" pivotButton="0" quotePrefix="0" xfId="0"/>
    <xf numFmtId="0" fontId="17221" fillId="17226" borderId="17061" pivotButton="0" quotePrefix="0" xfId="0"/>
    <xf numFmtId="0" fontId="17222" fillId="17227" borderId="17062" pivotButton="0" quotePrefix="0" xfId="0"/>
    <xf numFmtId="0" fontId="17223" fillId="17228" borderId="17063" pivotButton="0" quotePrefix="0" xfId="0"/>
    <xf numFmtId="0" fontId="17224" fillId="17229" borderId="17064" pivotButton="0" quotePrefix="0" xfId="0"/>
    <xf numFmtId="0" fontId="17225" fillId="17230" borderId="17065" pivotButton="0" quotePrefix="0" xfId="0"/>
    <xf numFmtId="0" fontId="17226" fillId="17231" borderId="17066" pivotButton="0" quotePrefix="0" xfId="0"/>
    <xf numFmtId="0" fontId="17227" fillId="17232" borderId="17067" pivotButton="0" quotePrefix="0" xfId="0"/>
    <xf numFmtId="0" fontId="17228" fillId="17233" borderId="17068" pivotButton="0" quotePrefix="0" xfId="0"/>
    <xf numFmtId="0" fontId="17229" fillId="17234" borderId="17069" pivotButton="0" quotePrefix="0" xfId="0"/>
    <xf numFmtId="0" fontId="17230" fillId="17235" borderId="17070" pivotButton="0" quotePrefix="0" xfId="0"/>
    <xf numFmtId="0" fontId="17231" fillId="17236" borderId="17071" pivotButton="0" quotePrefix="0" xfId="0"/>
    <xf numFmtId="0" fontId="17232" fillId="17237" borderId="17072" pivotButton="0" quotePrefix="0" xfId="0"/>
    <xf numFmtId="0" fontId="17233" fillId="17238" borderId="17073" pivotButton="0" quotePrefix="0" xfId="0"/>
    <xf numFmtId="0" fontId="17234" fillId="17239" borderId="17074" pivotButton="0" quotePrefix="0" xfId="0"/>
    <xf numFmtId="0" fontId="17235" fillId="17240" borderId="17075" pivotButton="0" quotePrefix="0" xfId="0"/>
    <xf numFmtId="166" fontId="17072" fillId="17100" borderId="16936" pivotButton="0" quotePrefix="0" xfId="0"/>
    <xf numFmtId="166" fontId="17113" fillId="17118" borderId="16954" pivotButton="0" quotePrefix="0" xfId="0"/>
    <xf numFmtId="166" fontId="17135" fillId="17140" borderId="16976" pivotButton="0" quotePrefix="0" xfId="0"/>
    <xf numFmtId="0" fontId="17236" fillId="17241" borderId="17076" applyAlignment="1" pivotButton="0" quotePrefix="0" xfId="0">
      <alignment horizontal="center"/>
    </xf>
    <xf numFmtId="4" fontId="17237" fillId="17242" borderId="17077" pivotButton="0" quotePrefix="0" xfId="0"/>
    <xf numFmtId="4" fontId="17238" fillId="17243" borderId="17078" pivotButton="0" quotePrefix="0" xfId="0"/>
    <xf numFmtId="4" fontId="17239" fillId="17244" borderId="17079" pivotButton="0" quotePrefix="0" xfId="0"/>
    <xf numFmtId="4" fontId="17240" fillId="17245" borderId="17080" pivotButton="0" quotePrefix="0" xfId="0"/>
    <xf numFmtId="0" fontId="17241" fillId="17246" borderId="17081" applyAlignment="1" pivotButton="0" quotePrefix="0" xfId="0">
      <alignment horizontal="center"/>
    </xf>
    <xf numFmtId="0" fontId="17242" fillId="17247" borderId="17082" pivotButton="0" quotePrefix="0" xfId="0"/>
    <xf numFmtId="0" fontId="17243" fillId="17248" borderId="17083" pivotButton="0" quotePrefix="0" xfId="0"/>
    <xf numFmtId="0" fontId="17244" fillId="17249" borderId="17084" pivotButton="0" quotePrefix="0" xfId="0"/>
    <xf numFmtId="0" fontId="17245" fillId="17250" borderId="17085" pivotButton="0" quotePrefix="0" xfId="0"/>
    <xf numFmtId="0" fontId="17246" fillId="17251" borderId="17086" pivotButton="0" quotePrefix="0" xfId="0"/>
    <xf numFmtId="0" fontId="17247" fillId="17252" borderId="17087" pivotButton="0" quotePrefix="0" xfId="0"/>
    <xf numFmtId="0" fontId="11864" fillId="11869" borderId="11459" applyAlignment="1" pivotButton="0" quotePrefix="0" xfId="0">
      <alignment horizontal="center"/>
    </xf>
    <xf numFmtId="0" fontId="11820" fillId="11825" borderId="11800" applyAlignment="1" pivotButton="0" quotePrefix="0" xfId="0">
      <alignment horizontal="center"/>
    </xf>
    <xf numFmtId="0" fontId="11622" fillId="11627" borderId="11756" applyAlignment="1" pivotButton="0" quotePrefix="0" xfId="0">
      <alignment horizontal="center"/>
    </xf>
    <xf numFmtId="0" fontId="11545" fillId="11550" borderId="11558" applyAlignment="1" pivotButton="0" quotePrefix="0" xfId="0">
      <alignment horizontal="center"/>
    </xf>
    <xf numFmtId="0" fontId="11886" fillId="11891" borderId="11481" applyAlignment="1" pivotButton="0" quotePrefix="0" xfId="0">
      <alignment horizontal="center"/>
    </xf>
    <xf numFmtId="0" fontId="11853" fillId="11858" borderId="11822" applyAlignment="1" pivotButton="0" quotePrefix="0" xfId="0">
      <alignment horizontal="center"/>
    </xf>
    <xf numFmtId="0" fontId="11809" fillId="11814" borderId="11789" applyAlignment="1" pivotButton="0" quotePrefix="0" xfId="0">
      <alignment horizontal="center"/>
    </xf>
    <xf numFmtId="0" fontId="11611" fillId="11616" borderId="11745" applyAlignment="1" pivotButton="0" quotePrefix="0" xfId="0">
      <alignment horizontal="center"/>
    </xf>
    <xf numFmtId="0" fontId="11534" fillId="11539" borderId="11547" applyAlignment="1" pivotButton="0" quotePrefix="0" xfId="0">
      <alignment horizontal="center"/>
    </xf>
    <xf numFmtId="0" fontId="11875" fillId="11880" borderId="11470" applyAlignment="1" pivotButton="0" quotePrefix="0" xfId="0">
      <alignment horizontal="center"/>
    </xf>
    <xf numFmtId="0" fontId="11842" fillId="11847" borderId="11811" applyAlignment="1" pivotButton="0" quotePrefix="0" xfId="0">
      <alignment horizontal="center"/>
    </xf>
    <xf numFmtId="0" fontId="11798" fillId="11803" borderId="11778" applyAlignment="1" pivotButton="0" quotePrefix="0" xfId="0">
      <alignment horizontal="center"/>
    </xf>
    <xf numFmtId="0" fontId="11600" fillId="11605" borderId="11734" applyAlignment="1" pivotButton="0" quotePrefix="0" xfId="0">
      <alignment horizontal="center"/>
    </xf>
    <xf numFmtId="0" fontId="11523" fillId="11528" borderId="11536" applyAlignment="1" pivotButton="0" quotePrefix="0" xfId="0">
      <alignment horizontal="center"/>
    </xf>
    <xf numFmtId="0" fontId="11721" fillId="11726" borderId="11492" applyAlignment="1" pivotButton="0" quotePrefix="0" xfId="0">
      <alignment horizontal="center"/>
    </xf>
    <xf numFmtId="0" fontId="11754" fillId="11759" borderId="11657" applyAlignment="1" pivotButton="0" quotePrefix="0" xfId="0">
      <alignment horizontal="center"/>
    </xf>
    <xf numFmtId="0" fontId="11831" fillId="11836" borderId="11690" applyAlignment="1" pivotButton="0" quotePrefix="0" xfId="0">
      <alignment horizontal="center"/>
    </xf>
    <xf numFmtId="0" fontId="11787" fillId="11792" borderId="11767" applyAlignment="1" pivotButton="0" quotePrefix="0" xfId="0">
      <alignment horizontal="center"/>
    </xf>
    <xf numFmtId="0" fontId="11589" fillId="11594" borderId="11723" applyAlignment="1" pivotButton="0" quotePrefix="0" xfId="0">
      <alignment horizontal="center"/>
    </xf>
    <xf numFmtId="0" fontId="11919" fillId="11924" borderId="11525" applyAlignment="1" pivotButton="0" quotePrefix="0" xfId="0">
      <alignment horizontal="center"/>
    </xf>
    <xf numFmtId="0" fontId="11655" fillId="11660" borderId="11855" applyAlignment="1" pivotButton="0" quotePrefix="0" xfId="0">
      <alignment horizontal="center"/>
    </xf>
    <xf numFmtId="0" fontId="11941" fillId="11946" borderId="11591" applyAlignment="1" pivotButton="0" quotePrefix="0" xfId="0">
      <alignment horizontal="center"/>
    </xf>
    <xf numFmtId="0" fontId="11677" fillId="11682" borderId="11877" applyAlignment="1" pivotButton="0" quotePrefix="0" xfId="0">
      <alignment horizontal="center"/>
    </xf>
    <xf numFmtId="0" fontId="11963" fillId="11968" borderId="11613" applyAlignment="1" pivotButton="0" quotePrefix="0" xfId="0">
      <alignment horizontal="center"/>
    </xf>
    <xf numFmtId="0" fontId="11699" fillId="11704" borderId="11899" applyAlignment="1" pivotButton="0" quotePrefix="0" xfId="0">
      <alignment horizontal="center"/>
    </xf>
    <xf numFmtId="0" fontId="11567" fillId="11572" borderId="11635" applyAlignment="1" pivotButton="0" quotePrefix="0" xfId="0">
      <alignment horizontal="center"/>
    </xf>
    <xf numFmtId="0" fontId="11897" fillId="11902" borderId="11503" applyAlignment="1" pivotButton="0" quotePrefix="0" xfId="0">
      <alignment horizontal="center"/>
    </xf>
    <xf numFmtId="0" fontId="11633" fillId="11638" borderId="11833" applyAlignment="1" pivotButton="0" quotePrefix="0" xfId="0">
      <alignment horizontal="center"/>
    </xf>
    <xf numFmtId="0" fontId="11732" fillId="11737" borderId="11569" applyAlignment="1" pivotButton="0" quotePrefix="0" xfId="0">
      <alignment horizontal="center"/>
    </xf>
    <xf numFmtId="0" fontId="11765" fillId="11770" borderId="11668" applyAlignment="1" pivotButton="0" quotePrefix="0" xfId="0">
      <alignment horizontal="center"/>
    </xf>
    <xf numFmtId="0" fontId="11974" fillId="11979" borderId="11701" applyAlignment="1" pivotButton="0" quotePrefix="0" xfId="0">
      <alignment horizontal="center"/>
    </xf>
    <xf numFmtId="0" fontId="11710" fillId="11715" borderId="11910" applyAlignment="1" pivotButton="0" quotePrefix="0" xfId="0">
      <alignment horizontal="center"/>
    </xf>
    <xf numFmtId="0" fontId="11743" fillId="11748" borderId="11646" applyAlignment="1" pivotButton="0" quotePrefix="0" xfId="0">
      <alignment horizontal="center"/>
    </xf>
    <xf numFmtId="0" fontId="11776" fillId="11781" borderId="11679" applyAlignment="1" pivotButton="0" quotePrefix="0" xfId="0">
      <alignment horizontal="center"/>
    </xf>
    <xf numFmtId="0" fontId="11578" fillId="11583" borderId="11712" applyAlignment="1" pivotButton="0" quotePrefix="0" xfId="0">
      <alignment horizontal="center"/>
    </xf>
    <xf numFmtId="0" fontId="11908" fillId="11913" borderId="11514" applyAlignment="1" pivotButton="0" quotePrefix="0" xfId="0">
      <alignment horizontal="center"/>
    </xf>
    <xf numFmtId="0" fontId="11644" fillId="11649" borderId="11844" applyAlignment="1" pivotButton="0" quotePrefix="0" xfId="0">
      <alignment horizontal="center"/>
    </xf>
    <xf numFmtId="0" fontId="11930" fillId="11935" borderId="11580" applyAlignment="1" pivotButton="0" quotePrefix="0" xfId="0">
      <alignment horizontal="center"/>
    </xf>
    <xf numFmtId="0" fontId="11666" fillId="11671" borderId="11866" applyAlignment="1" pivotButton="0" quotePrefix="0" xfId="0">
      <alignment horizontal="center"/>
    </xf>
    <xf numFmtId="0" fontId="11952" fillId="11957" borderId="11602" applyAlignment="1" pivotButton="0" quotePrefix="0" xfId="0">
      <alignment horizontal="center"/>
    </xf>
    <xf numFmtId="0" fontId="11688" fillId="11693" borderId="11888" applyAlignment="1" pivotButton="0" quotePrefix="0" xfId="0">
      <alignment horizontal="center"/>
    </xf>
    <xf numFmtId="0" fontId="11556" fillId="11561" borderId="11624" applyAlignment="1" pivotButton="0" quotePrefix="0" xfId="0">
      <alignment horizontal="center"/>
    </xf>
    <xf numFmtId="14" fontId="11865" fillId="11870" borderId="11460" pivotButton="0" quotePrefix="0" xfId="0"/>
    <xf numFmtId="14" fontId="11821" fillId="11826" borderId="11801" pivotButton="0" quotePrefix="0" xfId="0"/>
    <xf numFmtId="14" fontId="11623" fillId="11628" borderId="11757" pivotButton="0" quotePrefix="0" xfId="0"/>
    <xf numFmtId="14" fontId="11546" fillId="11551" borderId="11559" pivotButton="0" quotePrefix="0" xfId="0"/>
    <xf numFmtId="14" fontId="11887" fillId="11892" borderId="11482" pivotButton="0" quotePrefix="0" xfId="0"/>
    <xf numFmtId="14" fontId="11854" fillId="11859" borderId="11823" pivotButton="0" quotePrefix="0" xfId="0"/>
    <xf numFmtId="14" fontId="11810" fillId="11815" borderId="11790" pivotButton="0" quotePrefix="0" xfId="0"/>
    <xf numFmtId="14" fontId="11612" fillId="11617" borderId="11746" pivotButton="0" quotePrefix="0" xfId="0"/>
    <xf numFmtId="14" fontId="11535" fillId="11540" borderId="11548" pivotButton="0" quotePrefix="0" xfId="0"/>
    <xf numFmtId="14" fontId="11876" fillId="11881" borderId="11471" pivotButton="0" quotePrefix="0" xfId="0"/>
    <xf numFmtId="14" fontId="11843" fillId="11848" borderId="11812" pivotButton="0" quotePrefix="0" xfId="0"/>
    <xf numFmtId="14" fontId="11799" fillId="11804" borderId="11779" pivotButton="0" quotePrefix="0" xfId="0"/>
    <xf numFmtId="14" fontId="11601" fillId="11606" borderId="11735" pivotButton="0" quotePrefix="0" xfId="0"/>
    <xf numFmtId="14" fontId="11524" fillId="11529" borderId="11537" pivotButton="0" quotePrefix="0" xfId="0"/>
    <xf numFmtId="14" fontId="11722" fillId="11727" borderId="11493" pivotButton="0" quotePrefix="0" xfId="0"/>
    <xf numFmtId="14" fontId="11755" fillId="11760" borderId="11658" pivotButton="0" quotePrefix="0" xfId="0"/>
    <xf numFmtId="14" fontId="11832" fillId="11837" borderId="11691" pivotButton="0" quotePrefix="0" xfId="0"/>
    <xf numFmtId="14" fontId="11788" fillId="11793" borderId="11768" pivotButton="0" quotePrefix="0" xfId="0"/>
    <xf numFmtId="14" fontId="11590" fillId="11595" borderId="11724" pivotButton="0" quotePrefix="0" xfId="0"/>
    <xf numFmtId="14" fontId="11920" fillId="11925" borderId="11526" pivotButton="0" quotePrefix="0" xfId="0"/>
    <xf numFmtId="14" fontId="11656" fillId="11661" borderId="11856" pivotButton="0" quotePrefix="0" xfId="0"/>
    <xf numFmtId="14" fontId="11942" fillId="11947" borderId="11592" pivotButton="0" quotePrefix="0" xfId="0"/>
    <xf numFmtId="14" fontId="11678" fillId="11683" borderId="11878" pivotButton="0" quotePrefix="0" xfId="0"/>
    <xf numFmtId="14" fontId="11964" fillId="11969" borderId="11614" pivotButton="0" quotePrefix="0" xfId="0"/>
    <xf numFmtId="14" fontId="11700" fillId="11705" borderId="11900" pivotButton="0" quotePrefix="0" xfId="0"/>
    <xf numFmtId="14" fontId="11568" fillId="11573" borderId="11636" pivotButton="0" quotePrefix="0" xfId="0"/>
    <xf numFmtId="14" fontId="11898" fillId="11903" borderId="11504" pivotButton="0" quotePrefix="0" xfId="0"/>
    <xf numFmtId="14" fontId="11634" fillId="11639" borderId="11834" pivotButton="0" quotePrefix="0" xfId="0"/>
    <xf numFmtId="14" fontId="11733" fillId="11738" borderId="11570" pivotButton="0" quotePrefix="0" xfId="0"/>
    <xf numFmtId="14" fontId="11766" fillId="11771" borderId="11669" pivotButton="0" quotePrefix="0" xfId="0"/>
    <xf numFmtId="14" fontId="11975" fillId="11980" borderId="11702" pivotButton="0" quotePrefix="0" xfId="0"/>
    <xf numFmtId="14" fontId="11711" fillId="11716" borderId="11911" pivotButton="0" quotePrefix="0" xfId="0"/>
    <xf numFmtId="14" fontId="11744" fillId="11749" borderId="11647" pivotButton="0" quotePrefix="0" xfId="0"/>
    <xf numFmtId="14" fontId="11777" fillId="11782" borderId="11680" pivotButton="0" quotePrefix="0" xfId="0"/>
    <xf numFmtId="14" fontId="11579" fillId="11584" borderId="11713" pivotButton="0" quotePrefix="0" xfId="0"/>
    <xf numFmtId="14" fontId="11909" fillId="11914" borderId="11515" pivotButton="0" quotePrefix="0" xfId="0"/>
    <xf numFmtId="14" fontId="11645" fillId="11650" borderId="11845" pivotButton="0" quotePrefix="0" xfId="0"/>
    <xf numFmtId="14" fontId="11931" fillId="11936" borderId="11581" pivotButton="0" quotePrefix="0" xfId="0"/>
    <xf numFmtId="14" fontId="11667" fillId="11672" borderId="11867" pivotButton="0" quotePrefix="0" xfId="0"/>
    <xf numFmtId="14" fontId="11953" fillId="11958" borderId="11603" pivotButton="0" quotePrefix="0" xfId="0"/>
    <xf numFmtId="14" fontId="11689" fillId="11694" borderId="11889" pivotButton="0" quotePrefix="0" xfId="0"/>
    <xf numFmtId="14" fontId="11557" fillId="11562" borderId="11625" pivotButton="0" quotePrefix="0" xfId="0"/>
    <xf numFmtId="0" fontId="11866" fillId="11871" borderId="11461" applyAlignment="1" pivotButton="0" quotePrefix="0" xfId="0">
      <alignment horizontal="center"/>
    </xf>
    <xf numFmtId="0" fontId="11822" fillId="11827" borderId="11802" applyAlignment="1" pivotButton="0" quotePrefix="0" xfId="0">
      <alignment horizontal="center"/>
    </xf>
    <xf numFmtId="0" fontId="11624" fillId="11629" borderId="11758" applyAlignment="1" pivotButton="0" quotePrefix="0" xfId="0">
      <alignment horizontal="center"/>
    </xf>
    <xf numFmtId="0" fontId="11547" fillId="11552" borderId="11560" applyAlignment="1" pivotButton="0" quotePrefix="0" xfId="0">
      <alignment horizontal="center"/>
    </xf>
    <xf numFmtId="0" fontId="11888" fillId="11893" borderId="11483" applyAlignment="1" pivotButton="0" quotePrefix="0" xfId="0">
      <alignment horizontal="center"/>
    </xf>
    <xf numFmtId="0" fontId="11855" fillId="11860" borderId="11824" applyAlignment="1" pivotButton="0" quotePrefix="0" xfId="0">
      <alignment horizontal="center"/>
    </xf>
    <xf numFmtId="0" fontId="11811" fillId="11816" borderId="11791" applyAlignment="1" pivotButton="0" quotePrefix="0" xfId="0">
      <alignment horizontal="center"/>
    </xf>
    <xf numFmtId="0" fontId="11613" fillId="11618" borderId="11747" applyAlignment="1" pivotButton="0" quotePrefix="0" xfId="0">
      <alignment horizontal="center"/>
    </xf>
    <xf numFmtId="0" fontId="11536" fillId="11541" borderId="11549" applyAlignment="1" pivotButton="0" quotePrefix="0" xfId="0">
      <alignment horizontal="center"/>
    </xf>
    <xf numFmtId="0" fontId="11877" fillId="11882" borderId="11472" applyAlignment="1" pivotButton="0" quotePrefix="0" xfId="0">
      <alignment horizontal="center"/>
    </xf>
    <xf numFmtId="0" fontId="11844" fillId="11849" borderId="11813" applyAlignment="1" pivotButton="0" quotePrefix="0" xfId="0">
      <alignment horizontal="center"/>
    </xf>
    <xf numFmtId="0" fontId="11800" fillId="11805" borderId="11780" applyAlignment="1" pivotButton="0" quotePrefix="0" xfId="0">
      <alignment horizontal="center"/>
    </xf>
    <xf numFmtId="0" fontId="11602" fillId="11607" borderId="11736" applyAlignment="1" pivotButton="0" quotePrefix="0" xfId="0">
      <alignment horizontal="center"/>
    </xf>
    <xf numFmtId="0" fontId="11525" fillId="11530" borderId="11538" applyAlignment="1" pivotButton="0" quotePrefix="0" xfId="0">
      <alignment horizontal="center"/>
    </xf>
    <xf numFmtId="0" fontId="11723" fillId="11728" borderId="11494" applyAlignment="1" pivotButton="0" quotePrefix="0" xfId="0">
      <alignment horizontal="center"/>
    </xf>
    <xf numFmtId="0" fontId="11756" fillId="11761" borderId="11659" applyAlignment="1" pivotButton="0" quotePrefix="0" xfId="0">
      <alignment horizontal="center"/>
    </xf>
    <xf numFmtId="0" fontId="11833" fillId="11838" borderId="11692" applyAlignment="1" pivotButton="0" quotePrefix="0" xfId="0">
      <alignment horizontal="center"/>
    </xf>
    <xf numFmtId="0" fontId="11789" fillId="11794" borderId="11769" applyAlignment="1" pivotButton="0" quotePrefix="0" xfId="0">
      <alignment horizontal="center"/>
    </xf>
    <xf numFmtId="0" fontId="11591" fillId="11596" borderId="11725" applyAlignment="1" pivotButton="0" quotePrefix="0" xfId="0">
      <alignment horizontal="center"/>
    </xf>
    <xf numFmtId="0" fontId="11921" fillId="11926" borderId="11527" applyAlignment="1" pivotButton="0" quotePrefix="0" xfId="0">
      <alignment horizontal="center"/>
    </xf>
    <xf numFmtId="0" fontId="11657" fillId="11662" borderId="11857" applyAlignment="1" pivotButton="0" quotePrefix="0" xfId="0">
      <alignment horizontal="center"/>
    </xf>
    <xf numFmtId="0" fontId="11943" fillId="11948" borderId="11593" applyAlignment="1" pivotButton="0" quotePrefix="0" xfId="0">
      <alignment horizontal="center"/>
    </xf>
    <xf numFmtId="0" fontId="11679" fillId="11684" borderId="11879" applyAlignment="1" pivotButton="0" quotePrefix="0" xfId="0">
      <alignment horizontal="center"/>
    </xf>
    <xf numFmtId="0" fontId="11965" fillId="11970" borderId="11615" applyAlignment="1" pivotButton="0" quotePrefix="0" xfId="0">
      <alignment horizontal="center"/>
    </xf>
    <xf numFmtId="0" fontId="11701" fillId="11706" borderId="11901" applyAlignment="1" pivotButton="0" quotePrefix="0" xfId="0">
      <alignment horizontal="center"/>
    </xf>
    <xf numFmtId="0" fontId="11569" fillId="11574" borderId="11637" applyAlignment="1" pivotButton="0" quotePrefix="0" xfId="0">
      <alignment horizontal="center"/>
    </xf>
    <xf numFmtId="0" fontId="11899" fillId="11904" borderId="11505" applyAlignment="1" pivotButton="0" quotePrefix="0" xfId="0">
      <alignment horizontal="center"/>
    </xf>
    <xf numFmtId="0" fontId="11635" fillId="11640" borderId="11835" applyAlignment="1" pivotButton="0" quotePrefix="0" xfId="0">
      <alignment horizontal="center"/>
    </xf>
    <xf numFmtId="0" fontId="11734" fillId="11739" borderId="11571" applyAlignment="1" pivotButton="0" quotePrefix="0" xfId="0">
      <alignment horizontal="center"/>
    </xf>
    <xf numFmtId="0" fontId="11767" fillId="11772" borderId="11670" applyAlignment="1" pivotButton="0" quotePrefix="0" xfId="0">
      <alignment horizontal="center"/>
    </xf>
    <xf numFmtId="0" fontId="11976" fillId="11981" borderId="11703" applyAlignment="1" pivotButton="0" quotePrefix="0" xfId="0">
      <alignment horizontal="center"/>
    </xf>
    <xf numFmtId="0" fontId="11712" fillId="11717" borderId="11912" applyAlignment="1" pivotButton="0" quotePrefix="0" xfId="0">
      <alignment horizontal="center"/>
    </xf>
    <xf numFmtId="0" fontId="11745" fillId="11750" borderId="11648" applyAlignment="1" pivotButton="0" quotePrefix="0" xfId="0">
      <alignment horizontal="center"/>
    </xf>
    <xf numFmtId="0" fontId="11778" fillId="11783" borderId="11681" applyAlignment="1" pivotButton="0" quotePrefix="0" xfId="0">
      <alignment horizontal="center"/>
    </xf>
    <xf numFmtId="0" fontId="11580" fillId="11585" borderId="11714" applyAlignment="1" pivotButton="0" quotePrefix="0" xfId="0">
      <alignment horizontal="center"/>
    </xf>
    <xf numFmtId="0" fontId="11910" fillId="11915" borderId="11516" applyAlignment="1" pivotButton="0" quotePrefix="0" xfId="0">
      <alignment horizontal="center"/>
    </xf>
    <xf numFmtId="0" fontId="11646" fillId="11651" borderId="11846" applyAlignment="1" pivotButton="0" quotePrefix="0" xfId="0">
      <alignment horizontal="center"/>
    </xf>
    <xf numFmtId="0" fontId="11932" fillId="11937" borderId="11582" applyAlignment="1" pivotButton="0" quotePrefix="0" xfId="0">
      <alignment horizontal="center"/>
    </xf>
    <xf numFmtId="0" fontId="11668" fillId="11673" borderId="11868" applyAlignment="1" pivotButton="0" quotePrefix="0" xfId="0">
      <alignment horizontal="center"/>
    </xf>
    <xf numFmtId="0" fontId="11954" fillId="11959" borderId="11604" applyAlignment="1" pivotButton="0" quotePrefix="0" xfId="0">
      <alignment horizontal="center"/>
    </xf>
    <xf numFmtId="0" fontId="11690" fillId="11695" borderId="11890" applyAlignment="1" pivotButton="0" quotePrefix="0" xfId="0">
      <alignment horizontal="center"/>
    </xf>
    <xf numFmtId="0" fontId="11558" fillId="11563" borderId="11626" applyAlignment="1" pivotButton="0" quotePrefix="0" xfId="0">
      <alignment horizontal="center"/>
    </xf>
    <xf numFmtId="0" fontId="11867" fillId="11872" borderId="11462" pivotButton="0" quotePrefix="0" xfId="0"/>
    <xf numFmtId="0" fontId="11823" fillId="11828" borderId="11803" pivotButton="0" quotePrefix="0" xfId="0"/>
    <xf numFmtId="0" fontId="11625" fillId="11630" borderId="11759" pivotButton="0" quotePrefix="0" xfId="0"/>
    <xf numFmtId="0" fontId="11548" fillId="11553" borderId="11561" pivotButton="0" quotePrefix="0" xfId="0"/>
    <xf numFmtId="0" fontId="11889" fillId="11894" borderId="11484" pivotButton="0" quotePrefix="0" xfId="0"/>
    <xf numFmtId="0" fontId="11856" fillId="11861" borderId="11825" pivotButton="0" quotePrefix="0" xfId="0"/>
    <xf numFmtId="0" fontId="11812" fillId="11817" borderId="11792" pivotButton="0" quotePrefix="0" xfId="0"/>
    <xf numFmtId="0" fontId="11614" fillId="11619" borderId="11748" pivotButton="0" quotePrefix="0" xfId="0"/>
    <xf numFmtId="0" fontId="11537" fillId="11542" borderId="11550" pivotButton="0" quotePrefix="0" xfId="0"/>
    <xf numFmtId="0" fontId="11878" fillId="11883" borderId="11473" pivotButton="0" quotePrefix="0" xfId="0"/>
    <xf numFmtId="0" fontId="11845" fillId="11850" borderId="11814" pivotButton="0" quotePrefix="0" xfId="0"/>
    <xf numFmtId="0" fontId="11801" fillId="11806" borderId="11781" pivotButton="0" quotePrefix="0" xfId="0"/>
    <xf numFmtId="0" fontId="11603" fillId="11608" borderId="11737" pivotButton="0" quotePrefix="0" xfId="0"/>
    <xf numFmtId="0" fontId="11526" fillId="11531" borderId="11539" pivotButton="0" quotePrefix="0" xfId="0"/>
    <xf numFmtId="0" fontId="11724" fillId="11729" borderId="11495" pivotButton="0" quotePrefix="0" xfId="0"/>
    <xf numFmtId="0" fontId="11757" fillId="11762" borderId="11660" pivotButton="0" quotePrefix="0" xfId="0"/>
    <xf numFmtId="0" fontId="11834" fillId="11839" borderId="11693" pivotButton="0" quotePrefix="0" xfId="0"/>
    <xf numFmtId="0" fontId="11790" fillId="11795" borderId="11770" pivotButton="0" quotePrefix="0" xfId="0"/>
    <xf numFmtId="0" fontId="11592" fillId="11597" borderId="11726" pivotButton="0" quotePrefix="0" xfId="0"/>
    <xf numFmtId="0" fontId="11922" fillId="11927" borderId="11528" pivotButton="0" quotePrefix="0" xfId="0"/>
    <xf numFmtId="0" fontId="11658" fillId="11663" borderId="11858" pivotButton="0" quotePrefix="0" xfId="0"/>
    <xf numFmtId="0" fontId="11944" fillId="11949" borderId="11594" pivotButton="0" quotePrefix="0" xfId="0"/>
    <xf numFmtId="0" fontId="11680" fillId="11685" borderId="11880" pivotButton="0" quotePrefix="0" xfId="0"/>
    <xf numFmtId="0" fontId="11966" fillId="11971" borderId="11616" pivotButton="0" quotePrefix="0" xfId="0"/>
    <xf numFmtId="0" fontId="11702" fillId="11707" borderId="11902" pivotButton="0" quotePrefix="0" xfId="0"/>
    <xf numFmtId="0" fontId="11570" fillId="11575" borderId="11638" pivotButton="0" quotePrefix="0" xfId="0"/>
    <xf numFmtId="0" fontId="11900" fillId="11905" borderId="11506" pivotButton="0" quotePrefix="0" xfId="0"/>
    <xf numFmtId="0" fontId="11636" fillId="11641" borderId="11836" pivotButton="0" quotePrefix="0" xfId="0"/>
    <xf numFmtId="0" fontId="11735" fillId="11740" borderId="11572" pivotButton="0" quotePrefix="0" xfId="0"/>
    <xf numFmtId="0" fontId="11768" fillId="11773" borderId="11671" pivotButton="0" quotePrefix="0" xfId="0"/>
    <xf numFmtId="0" fontId="11977" fillId="11982" borderId="11704" pivotButton="0" quotePrefix="0" xfId="0"/>
    <xf numFmtId="0" fontId="11713" fillId="11718" borderId="11913" pivotButton="0" quotePrefix="0" xfId="0"/>
    <xf numFmtId="0" fontId="11746" fillId="11751" borderId="11649" pivotButton="0" quotePrefix="0" xfId="0"/>
    <xf numFmtId="0" fontId="11779" fillId="11784" borderId="11682" pivotButton="0" quotePrefix="0" xfId="0"/>
    <xf numFmtId="0" fontId="11581" fillId="11586" borderId="11715" pivotButton="0" quotePrefix="0" xfId="0"/>
    <xf numFmtId="0" fontId="11911" fillId="11916" borderId="11517" pivotButton="0" quotePrefix="0" xfId="0"/>
    <xf numFmtId="0" fontId="11647" fillId="11652" borderId="11847" pivotButton="0" quotePrefix="0" xfId="0"/>
    <xf numFmtId="0" fontId="11933" fillId="11938" borderId="11583" pivotButton="0" quotePrefix="0" xfId="0"/>
    <xf numFmtId="0" fontId="11669" fillId="11674" borderId="11869" pivotButton="0" quotePrefix="0" xfId="0"/>
    <xf numFmtId="0" fontId="11955" fillId="11960" borderId="11605" pivotButton="0" quotePrefix="0" xfId="0"/>
    <xf numFmtId="0" fontId="11691" fillId="11696" borderId="11891" pivotButton="0" quotePrefix="0" xfId="0"/>
    <xf numFmtId="0" fontId="11559" fillId="11564" borderId="11627" pivotButton="0" quotePrefix="0" xfId="0"/>
    <xf numFmtId="0" fontId="11868" fillId="11873" borderId="11463" applyAlignment="1" pivotButton="0" quotePrefix="0" xfId="0">
      <alignment horizontal="center"/>
    </xf>
    <xf numFmtId="0" fontId="11824" fillId="11829" borderId="11804" applyAlignment="1" pivotButton="0" quotePrefix="0" xfId="0">
      <alignment horizontal="center"/>
    </xf>
    <xf numFmtId="0" fontId="11626" fillId="11631" borderId="11760" applyAlignment="1" pivotButton="0" quotePrefix="0" xfId="0">
      <alignment horizontal="center"/>
    </xf>
    <xf numFmtId="0" fontId="11549" fillId="11554" borderId="11562" applyAlignment="1" pivotButton="0" quotePrefix="0" xfId="0">
      <alignment horizontal="center"/>
    </xf>
    <xf numFmtId="0" fontId="11890" fillId="11895" borderId="11485" applyAlignment="1" pivotButton="0" quotePrefix="0" xfId="0">
      <alignment horizontal="center"/>
    </xf>
    <xf numFmtId="0" fontId="11857" fillId="11862" borderId="11826" applyAlignment="1" pivotButton="0" quotePrefix="0" xfId="0">
      <alignment horizontal="center"/>
    </xf>
    <xf numFmtId="0" fontId="11813" fillId="11818" borderId="11793" applyAlignment="1" pivotButton="0" quotePrefix="0" xfId="0">
      <alignment horizontal="center"/>
    </xf>
    <xf numFmtId="0" fontId="11615" fillId="11620" borderId="11749" applyAlignment="1" pivotButton="0" quotePrefix="0" xfId="0">
      <alignment horizontal="center"/>
    </xf>
    <xf numFmtId="0" fontId="11538" fillId="11543" borderId="11551" applyAlignment="1" pivotButton="0" quotePrefix="0" xfId="0">
      <alignment horizontal="center"/>
    </xf>
    <xf numFmtId="0" fontId="11879" fillId="11884" borderId="11474" applyAlignment="1" pivotButton="0" quotePrefix="0" xfId="0">
      <alignment horizontal="center"/>
    </xf>
    <xf numFmtId="0" fontId="11846" fillId="11851" borderId="11815" applyAlignment="1" pivotButton="0" quotePrefix="0" xfId="0">
      <alignment horizontal="center"/>
    </xf>
    <xf numFmtId="0" fontId="11802" fillId="11807" borderId="11782" applyAlignment="1" pivotButton="0" quotePrefix="0" xfId="0">
      <alignment horizontal="center"/>
    </xf>
    <xf numFmtId="0" fontId="11604" fillId="11609" borderId="11738" applyAlignment="1" pivotButton="0" quotePrefix="0" xfId="0">
      <alignment horizontal="center"/>
    </xf>
    <xf numFmtId="0" fontId="11527" fillId="11532" borderId="11540" applyAlignment="1" pivotButton="0" quotePrefix="0" xfId="0">
      <alignment horizontal="center"/>
    </xf>
    <xf numFmtId="0" fontId="11725" fillId="11730" borderId="11496" applyAlignment="1" pivotButton="0" quotePrefix="0" xfId="0">
      <alignment horizontal="center"/>
    </xf>
    <xf numFmtId="0" fontId="11758" fillId="11763" borderId="11661" applyAlignment="1" pivotButton="0" quotePrefix="0" xfId="0">
      <alignment horizontal="center"/>
    </xf>
    <xf numFmtId="0" fontId="11835" fillId="11840" borderId="11694" applyAlignment="1" pivotButton="0" quotePrefix="0" xfId="0">
      <alignment horizontal="center"/>
    </xf>
    <xf numFmtId="0" fontId="11791" fillId="11796" borderId="11771" applyAlignment="1" pivotButton="0" quotePrefix="0" xfId="0">
      <alignment horizontal="center"/>
    </xf>
    <xf numFmtId="0" fontId="11593" fillId="11598" borderId="11727" applyAlignment="1" pivotButton="0" quotePrefix="0" xfId="0">
      <alignment horizontal="center"/>
    </xf>
    <xf numFmtId="0" fontId="11923" fillId="11928" borderId="11529" applyAlignment="1" pivotButton="0" quotePrefix="0" xfId="0">
      <alignment horizontal="center"/>
    </xf>
    <xf numFmtId="0" fontId="11659" fillId="11664" borderId="11859" applyAlignment="1" pivotButton="0" quotePrefix="0" xfId="0">
      <alignment horizontal="center"/>
    </xf>
    <xf numFmtId="0" fontId="11945" fillId="11950" borderId="11595" applyAlignment="1" pivotButton="0" quotePrefix="0" xfId="0">
      <alignment horizontal="center"/>
    </xf>
    <xf numFmtId="0" fontId="11681" fillId="11686" borderId="11881" applyAlignment="1" pivotButton="0" quotePrefix="0" xfId="0">
      <alignment horizontal="center"/>
    </xf>
    <xf numFmtId="0" fontId="11967" fillId="11972" borderId="11617" applyAlignment="1" pivotButton="0" quotePrefix="0" xfId="0">
      <alignment horizontal="center"/>
    </xf>
    <xf numFmtId="0" fontId="11703" fillId="11708" borderId="11903" applyAlignment="1" pivotButton="0" quotePrefix="0" xfId="0">
      <alignment horizontal="center"/>
    </xf>
    <xf numFmtId="0" fontId="11571" fillId="11576" borderId="11639" applyAlignment="1" pivotButton="0" quotePrefix="0" xfId="0">
      <alignment horizontal="center"/>
    </xf>
    <xf numFmtId="0" fontId="11901" fillId="11906" borderId="11507" applyAlignment="1" pivotButton="0" quotePrefix="0" xfId="0">
      <alignment horizontal="center"/>
    </xf>
    <xf numFmtId="0" fontId="11637" fillId="11642" borderId="11837" applyAlignment="1" pivotButton="0" quotePrefix="0" xfId="0">
      <alignment horizontal="center"/>
    </xf>
    <xf numFmtId="0" fontId="11736" fillId="11741" borderId="11573" applyAlignment="1" pivotButton="0" quotePrefix="0" xfId="0">
      <alignment horizontal="center"/>
    </xf>
    <xf numFmtId="0" fontId="11769" fillId="11774" borderId="11672" applyAlignment="1" pivotButton="0" quotePrefix="0" xfId="0">
      <alignment horizontal="center"/>
    </xf>
    <xf numFmtId="0" fontId="11978" fillId="11983" borderId="11705" applyAlignment="1" pivotButton="0" quotePrefix="0" xfId="0">
      <alignment horizontal="center"/>
    </xf>
    <xf numFmtId="0" fontId="11714" fillId="11719" borderId="11914" applyAlignment="1" pivotButton="0" quotePrefix="0" xfId="0">
      <alignment horizontal="center"/>
    </xf>
    <xf numFmtId="0" fontId="11747" fillId="11752" borderId="11650" applyAlignment="1" pivotButton="0" quotePrefix="0" xfId="0">
      <alignment horizontal="center"/>
    </xf>
    <xf numFmtId="0" fontId="11780" fillId="11785" borderId="11683" applyAlignment="1" pivotButton="0" quotePrefix="0" xfId="0">
      <alignment horizontal="center"/>
    </xf>
    <xf numFmtId="0" fontId="11582" fillId="11587" borderId="11716" applyAlignment="1" pivotButton="0" quotePrefix="0" xfId="0">
      <alignment horizontal="center"/>
    </xf>
    <xf numFmtId="0" fontId="11912" fillId="11917" borderId="11518" applyAlignment="1" pivotButton="0" quotePrefix="0" xfId="0">
      <alignment horizontal="center"/>
    </xf>
    <xf numFmtId="0" fontId="11648" fillId="11653" borderId="11848" applyAlignment="1" pivotButton="0" quotePrefix="0" xfId="0">
      <alignment horizontal="center"/>
    </xf>
    <xf numFmtId="0" fontId="11934" fillId="11939" borderId="11584" applyAlignment="1" pivotButton="0" quotePrefix="0" xfId="0">
      <alignment horizontal="center"/>
    </xf>
    <xf numFmtId="0" fontId="11670" fillId="11675" borderId="11870" applyAlignment="1" pivotButton="0" quotePrefix="0" xfId="0">
      <alignment horizontal="center"/>
    </xf>
    <xf numFmtId="0" fontId="11956" fillId="11961" borderId="11606" applyAlignment="1" pivotButton="0" quotePrefix="0" xfId="0">
      <alignment horizontal="center"/>
    </xf>
    <xf numFmtId="0" fontId="11692" fillId="11697" borderId="11892" applyAlignment="1" pivotButton="0" quotePrefix="0" xfId="0">
      <alignment horizontal="center"/>
    </xf>
    <xf numFmtId="0" fontId="11560" fillId="11565" borderId="11628" applyAlignment="1" pivotButton="0" quotePrefix="0" xfId="0">
      <alignment horizontal="center"/>
    </xf>
    <xf numFmtId="166" fontId="11869" fillId="11874" borderId="11464" pivotButton="0" quotePrefix="0" xfId="0"/>
    <xf numFmtId="166" fontId="11825" fillId="11830" borderId="11805" pivotButton="0" quotePrefix="0" xfId="0"/>
    <xf numFmtId="166" fontId="11627" fillId="11632" borderId="11761" pivotButton="0" quotePrefix="0" xfId="0"/>
    <xf numFmtId="166" fontId="11550" fillId="11555" borderId="11563" pivotButton="0" quotePrefix="0" xfId="0"/>
    <xf numFmtId="166" fontId="11891" fillId="11896" borderId="11486" pivotButton="0" quotePrefix="0" xfId="0"/>
    <xf numFmtId="166" fontId="11858" fillId="11863" borderId="11827" pivotButton="0" quotePrefix="0" xfId="0"/>
    <xf numFmtId="166" fontId="11814" fillId="11819" borderId="11794" pivotButton="0" quotePrefix="0" xfId="0"/>
    <xf numFmtId="166" fontId="11616" fillId="11621" borderId="11750" pivotButton="0" quotePrefix="0" xfId="0"/>
    <xf numFmtId="166" fontId="11539" fillId="11544" borderId="11552" pivotButton="0" quotePrefix="0" xfId="0"/>
    <xf numFmtId="166" fontId="11880" fillId="11885" borderId="11475" pivotButton="0" quotePrefix="0" xfId="0"/>
    <xf numFmtId="166" fontId="11847" fillId="11852" borderId="11816" pivotButton="0" quotePrefix="0" xfId="0"/>
    <xf numFmtId="166" fontId="11803" fillId="11808" borderId="11783" pivotButton="0" quotePrefix="0" xfId="0"/>
    <xf numFmtId="166" fontId="11605" fillId="11610" borderId="11739" pivotButton="0" quotePrefix="0" xfId="0"/>
    <xf numFmtId="166" fontId="11528" fillId="11533" borderId="11541" pivotButton="0" quotePrefix="0" xfId="0"/>
    <xf numFmtId="166" fontId="11726" fillId="11731" borderId="11497" pivotButton="0" quotePrefix="0" xfId="0"/>
    <xf numFmtId="166" fontId="11759" fillId="11764" borderId="11662" pivotButton="0" quotePrefix="0" xfId="0"/>
    <xf numFmtId="166" fontId="11836" fillId="11841" borderId="11695" pivotButton="0" quotePrefix="0" xfId="0"/>
    <xf numFmtId="166" fontId="11792" fillId="11797" borderId="11772" pivotButton="0" quotePrefix="0" xfId="0"/>
    <xf numFmtId="166" fontId="11594" fillId="11599" borderId="11728" pivotButton="0" quotePrefix="0" xfId="0"/>
    <xf numFmtId="166" fontId="11924" fillId="11929" borderId="11530" pivotButton="0" quotePrefix="0" xfId="0"/>
    <xf numFmtId="166" fontId="11660" fillId="11665" borderId="11860" pivotButton="0" quotePrefix="0" xfId="0"/>
    <xf numFmtId="166" fontId="11946" fillId="11951" borderId="11596" pivotButton="0" quotePrefix="0" xfId="0"/>
    <xf numFmtId="166" fontId="11682" fillId="11687" borderId="11882" pivotButton="0" quotePrefix="0" xfId="0"/>
    <xf numFmtId="166" fontId="11968" fillId="11973" borderId="11618" pivotButton="0" quotePrefix="0" xfId="0"/>
    <xf numFmtId="166" fontId="11704" fillId="11709" borderId="11904" pivotButton="0" quotePrefix="0" xfId="0"/>
    <xf numFmtId="166" fontId="11572" fillId="11577" borderId="11640" pivotButton="0" quotePrefix="0" xfId="0"/>
    <xf numFmtId="166" fontId="11902" fillId="11907" borderId="11508" pivotButton="0" quotePrefix="0" xfId="0"/>
    <xf numFmtId="166" fontId="11638" fillId="11643" borderId="11838" pivotButton="0" quotePrefix="0" xfId="0"/>
    <xf numFmtId="166" fontId="11737" fillId="11742" borderId="11574" pivotButton="0" quotePrefix="0" xfId="0"/>
    <xf numFmtId="166" fontId="11770" fillId="11775" borderId="11673" pivotButton="0" quotePrefix="0" xfId="0"/>
    <xf numFmtId="166" fontId="11979" fillId="11984" borderId="11706" pivotButton="0" quotePrefix="0" xfId="0"/>
    <xf numFmtId="166" fontId="11715" fillId="11720" borderId="11915" pivotButton="0" quotePrefix="0" xfId="0"/>
    <xf numFmtId="166" fontId="11748" fillId="11753" borderId="11651" pivotButton="0" quotePrefix="0" xfId="0"/>
    <xf numFmtId="166" fontId="11781" fillId="11786" borderId="11684" pivotButton="0" quotePrefix="0" xfId="0"/>
    <xf numFmtId="166" fontId="11583" fillId="11588" borderId="11717" pivotButton="0" quotePrefix="0" xfId="0"/>
    <xf numFmtId="166" fontId="11913" fillId="11918" borderId="11519" pivotButton="0" quotePrefix="0" xfId="0"/>
    <xf numFmtId="166" fontId="11649" fillId="11654" borderId="11849" pivotButton="0" quotePrefix="0" xfId="0"/>
    <xf numFmtId="166" fontId="11935" fillId="11940" borderId="11585" pivotButton="0" quotePrefix="0" xfId="0"/>
    <xf numFmtId="166" fontId="11671" fillId="11676" borderId="11871" pivotButton="0" quotePrefix="0" xfId="0"/>
    <xf numFmtId="166" fontId="11957" fillId="11962" borderId="11607" pivotButton="0" quotePrefix="0" xfId="0"/>
    <xf numFmtId="166" fontId="11693" fillId="11698" borderId="11893" pivotButton="0" quotePrefix="0" xfId="0"/>
    <xf numFmtId="166" fontId="11561" fillId="11566" borderId="11629" pivotButton="0" quotePrefix="0" xfId="0"/>
    <xf numFmtId="166" fontId="11870" fillId="11875" borderId="11465" pivotButton="0" quotePrefix="0" xfId="0"/>
    <xf numFmtId="166" fontId="11826" fillId="11831" borderId="11806" pivotButton="0" quotePrefix="0" xfId="0"/>
    <xf numFmtId="166" fontId="11628" fillId="11633" borderId="11762" pivotButton="0" quotePrefix="0" xfId="0"/>
    <xf numFmtId="166" fontId="11551" fillId="11556" borderId="11564" pivotButton="0" quotePrefix="0" xfId="0"/>
    <xf numFmtId="166" fontId="11892" fillId="11897" borderId="11487" pivotButton="0" quotePrefix="0" xfId="0"/>
    <xf numFmtId="166" fontId="11859" fillId="11864" borderId="11828" pivotButton="0" quotePrefix="0" xfId="0"/>
    <xf numFmtId="166" fontId="11815" fillId="11820" borderId="11795" pivotButton="0" quotePrefix="0" xfId="0"/>
    <xf numFmtId="166" fontId="11617" fillId="11622" borderId="11751" pivotButton="0" quotePrefix="0" xfId="0"/>
    <xf numFmtId="166" fontId="11540" fillId="11545" borderId="11553" pivotButton="0" quotePrefix="0" xfId="0"/>
    <xf numFmtId="166" fontId="11881" fillId="11886" borderId="11476" pivotButton="0" quotePrefix="0" xfId="0"/>
    <xf numFmtId="166" fontId="11848" fillId="11853" borderId="11817" pivotButton="0" quotePrefix="0" xfId="0"/>
    <xf numFmtId="166" fontId="11804" fillId="11809" borderId="11784" pivotButton="0" quotePrefix="0" xfId="0"/>
    <xf numFmtId="166" fontId="11606" fillId="11611" borderId="11740" pivotButton="0" quotePrefix="0" xfId="0"/>
    <xf numFmtId="166" fontId="11529" fillId="11534" borderId="11542" pivotButton="0" quotePrefix="0" xfId="0"/>
    <xf numFmtId="166" fontId="11727" fillId="11732" borderId="11498" pivotButton="0" quotePrefix="0" xfId="0"/>
    <xf numFmtId="166" fontId="11760" fillId="11765" borderId="11663" pivotButton="0" quotePrefix="0" xfId="0"/>
    <xf numFmtId="166" fontId="11837" fillId="11842" borderId="11696" pivotButton="0" quotePrefix="0" xfId="0"/>
    <xf numFmtId="166" fontId="11793" fillId="11798" borderId="11773" pivotButton="0" quotePrefix="0" xfId="0"/>
    <xf numFmtId="166" fontId="11595" fillId="11600" borderId="11729" pivotButton="0" quotePrefix="0" xfId="0"/>
    <xf numFmtId="166" fontId="11925" fillId="11930" borderId="11531" pivotButton="0" quotePrefix="0" xfId="0"/>
    <xf numFmtId="166" fontId="11661" fillId="11666" borderId="11861" pivotButton="0" quotePrefix="0" xfId="0"/>
    <xf numFmtId="166" fontId="11947" fillId="11952" borderId="11597" pivotButton="0" quotePrefix="0" xfId="0"/>
    <xf numFmtId="166" fontId="11683" fillId="11688" borderId="11883" pivotButton="0" quotePrefix="0" xfId="0"/>
    <xf numFmtId="166" fontId="11969" fillId="11974" borderId="11619" pivotButton="0" quotePrefix="0" xfId="0"/>
    <xf numFmtId="166" fontId="11705" fillId="11710" borderId="11905" pivotButton="0" quotePrefix="0" xfId="0"/>
    <xf numFmtId="166" fontId="11573" fillId="11578" borderId="11641" pivotButton="0" quotePrefix="0" xfId="0"/>
    <xf numFmtId="166" fontId="11903" fillId="11908" borderId="11509" pivotButton="0" quotePrefix="0" xfId="0"/>
    <xf numFmtId="166" fontId="11639" fillId="11644" borderId="11839" pivotButton="0" quotePrefix="0" xfId="0"/>
    <xf numFmtId="166" fontId="11738" fillId="11743" borderId="11575" pivotButton="0" quotePrefix="0" xfId="0"/>
    <xf numFmtId="166" fontId="11771" fillId="11776" borderId="11674" pivotButton="0" quotePrefix="0" xfId="0"/>
    <xf numFmtId="166" fontId="11980" fillId="11985" borderId="11707" pivotButton="0" quotePrefix="0" xfId="0"/>
    <xf numFmtId="166" fontId="11716" fillId="11721" borderId="11916" pivotButton="0" quotePrefix="0" xfId="0"/>
    <xf numFmtId="166" fontId="11749" fillId="11754" borderId="11652" pivotButton="0" quotePrefix="0" xfId="0"/>
    <xf numFmtId="166" fontId="11782" fillId="11787" borderId="11685" pivotButton="0" quotePrefix="0" xfId="0"/>
    <xf numFmtId="166" fontId="11584" fillId="11589" borderId="11718" pivotButton="0" quotePrefix="0" xfId="0"/>
    <xf numFmtId="166" fontId="11914" fillId="11919" borderId="11520" pivotButton="0" quotePrefix="0" xfId="0"/>
    <xf numFmtId="166" fontId="11650" fillId="11655" borderId="11850" pivotButton="0" quotePrefix="0" xfId="0"/>
    <xf numFmtId="166" fontId="11936" fillId="11941" borderId="11586" pivotButton="0" quotePrefix="0" xfId="0"/>
    <xf numFmtId="166" fontId="11672" fillId="11677" borderId="11872" pivotButton="0" quotePrefix="0" xfId="0"/>
    <xf numFmtId="166" fontId="11958" fillId="11963" borderId="11608" pivotButton="0" quotePrefix="0" xfId="0"/>
    <xf numFmtId="166" fontId="11694" fillId="11699" borderId="11894" pivotButton="0" quotePrefix="0" xfId="0"/>
    <xf numFmtId="166" fontId="11562" fillId="11567" borderId="11630" pivotButton="0" quotePrefix="0" xfId="0"/>
    <xf numFmtId="166" fontId="11871" fillId="11876" borderId="11466" pivotButton="0" quotePrefix="0" xfId="0"/>
    <xf numFmtId="166" fontId="11827" fillId="11832" borderId="11807" pivotButton="0" quotePrefix="0" xfId="0"/>
    <xf numFmtId="166" fontId="11629" fillId="11634" borderId="11763" pivotButton="0" quotePrefix="0" xfId="0"/>
    <xf numFmtId="166" fontId="11552" fillId="11557" borderId="11565" pivotButton="0" quotePrefix="0" xfId="0"/>
    <xf numFmtId="166" fontId="11893" fillId="11898" borderId="11488" pivotButton="0" quotePrefix="0" xfId="0"/>
    <xf numFmtId="166" fontId="11860" fillId="11865" borderId="11829" pivotButton="0" quotePrefix="0" xfId="0"/>
    <xf numFmtId="166" fontId="11816" fillId="11821" borderId="11796" pivotButton="0" quotePrefix="0" xfId="0"/>
    <xf numFmtId="166" fontId="11618" fillId="11623" borderId="11752" pivotButton="0" quotePrefix="0" xfId="0"/>
    <xf numFmtId="166" fontId="11541" fillId="11546" borderId="11554" pivotButton="0" quotePrefix="0" xfId="0"/>
    <xf numFmtId="166" fontId="11882" fillId="11887" borderId="11477" pivotButton="0" quotePrefix="0" xfId="0"/>
    <xf numFmtId="166" fontId="11849" fillId="11854" borderId="11818" pivotButton="0" quotePrefix="0" xfId="0"/>
    <xf numFmtId="166" fontId="11805" fillId="11810" borderId="11785" pivotButton="0" quotePrefix="0" xfId="0"/>
    <xf numFmtId="166" fontId="11607" fillId="11612" borderId="11741" pivotButton="0" quotePrefix="0" xfId="0"/>
    <xf numFmtId="166" fontId="11530" fillId="11535" borderId="11543" pivotButton="0" quotePrefix="0" xfId="0"/>
    <xf numFmtId="166" fontId="11728" fillId="11733" borderId="11499" pivotButton="0" quotePrefix="0" xfId="0"/>
    <xf numFmtId="166" fontId="11761" fillId="11766" borderId="11664" pivotButton="0" quotePrefix="0" xfId="0"/>
    <xf numFmtId="166" fontId="11838" fillId="11843" borderId="11697" pivotButton="0" quotePrefix="0" xfId="0"/>
    <xf numFmtId="166" fontId="11794" fillId="11799" borderId="11774" pivotButton="0" quotePrefix="0" xfId="0"/>
    <xf numFmtId="166" fontId="11596" fillId="11601" borderId="11730" pivotButton="0" quotePrefix="0" xfId="0"/>
    <xf numFmtId="166" fontId="11926" fillId="11931" borderId="11532" pivotButton="0" quotePrefix="0" xfId="0"/>
    <xf numFmtId="166" fontId="11662" fillId="11667" borderId="11862" pivotButton="0" quotePrefix="0" xfId="0"/>
    <xf numFmtId="166" fontId="11948" fillId="11953" borderId="11598" pivotButton="0" quotePrefix="0" xfId="0"/>
    <xf numFmtId="166" fontId="11684" fillId="11689" borderId="11884" pivotButton="0" quotePrefix="0" xfId="0"/>
    <xf numFmtId="166" fontId="11970" fillId="11975" borderId="11620" pivotButton="0" quotePrefix="0" xfId="0"/>
    <xf numFmtId="166" fontId="11706" fillId="11711" borderId="11906" pivotButton="0" quotePrefix="0" xfId="0"/>
    <xf numFmtId="166" fontId="11574" fillId="11579" borderId="11642" pivotButton="0" quotePrefix="0" xfId="0"/>
    <xf numFmtId="166" fontId="11904" fillId="11909" borderId="11510" pivotButton="0" quotePrefix="0" xfId="0"/>
    <xf numFmtId="166" fontId="11640" fillId="11645" borderId="11840" pivotButton="0" quotePrefix="0" xfId="0"/>
    <xf numFmtId="166" fontId="11739" fillId="11744" borderId="11576" pivotButton="0" quotePrefix="0" xfId="0"/>
    <xf numFmtId="166" fontId="11772" fillId="11777" borderId="11675" pivotButton="0" quotePrefix="0" xfId="0"/>
    <xf numFmtId="166" fontId="11981" fillId="11986" borderId="11708" pivotButton="0" quotePrefix="0" xfId="0"/>
    <xf numFmtId="166" fontId="11717" fillId="11722" borderId="11917" pivotButton="0" quotePrefix="0" xfId="0"/>
    <xf numFmtId="166" fontId="11750" fillId="11755" borderId="11653" pivotButton="0" quotePrefix="0" xfId="0"/>
    <xf numFmtId="166" fontId="11783" fillId="11788" borderId="11686" pivotButton="0" quotePrefix="0" xfId="0"/>
    <xf numFmtId="166" fontId="11585" fillId="11590" borderId="11719" pivotButton="0" quotePrefix="0" xfId="0"/>
    <xf numFmtId="166" fontId="11915" fillId="11920" borderId="11521" pivotButton="0" quotePrefix="0" xfId="0"/>
    <xf numFmtId="166" fontId="11651" fillId="11656" borderId="11851" pivotButton="0" quotePrefix="0" xfId="0"/>
    <xf numFmtId="166" fontId="11937" fillId="11942" borderId="11587" pivotButton="0" quotePrefix="0" xfId="0"/>
    <xf numFmtId="166" fontId="11673" fillId="11678" borderId="11873" pivotButton="0" quotePrefix="0" xfId="0"/>
    <xf numFmtId="166" fontId="11959" fillId="11964" borderId="11609" pivotButton="0" quotePrefix="0" xfId="0"/>
    <xf numFmtId="166" fontId="11695" fillId="11700" borderId="11895" pivotButton="0" quotePrefix="0" xfId="0"/>
    <xf numFmtId="166" fontId="11563" fillId="11568" borderId="11631" pivotButton="0" quotePrefix="0" xfId="0"/>
    <xf numFmtId="4" fontId="11872" fillId="11877" borderId="11467" pivotButton="0" quotePrefix="0" xfId="0"/>
    <xf numFmtId="4" fontId="11828" fillId="11833" borderId="11808" pivotButton="0" quotePrefix="0" xfId="0"/>
    <xf numFmtId="4" fontId="11630" fillId="11635" borderId="11764" pivotButton="0" quotePrefix="0" xfId="0"/>
    <xf numFmtId="4" fontId="11553" fillId="11558" borderId="11566" pivotButton="0" quotePrefix="0" xfId="0"/>
    <xf numFmtId="4" fontId="11894" fillId="11899" borderId="11489" pivotButton="0" quotePrefix="0" xfId="0"/>
    <xf numFmtId="4" fontId="11861" fillId="11866" borderId="11830" pivotButton="0" quotePrefix="0" xfId="0"/>
    <xf numFmtId="4" fontId="11817" fillId="11822" borderId="11797" pivotButton="0" quotePrefix="0" xfId="0"/>
    <xf numFmtId="4" fontId="11619" fillId="11624" borderId="11753" pivotButton="0" quotePrefix="0" xfId="0"/>
    <xf numFmtId="4" fontId="11542" fillId="11547" borderId="11555" pivotButton="0" quotePrefix="0" xfId="0"/>
    <xf numFmtId="4" fontId="11883" fillId="11888" borderId="11478" pivotButton="0" quotePrefix="0" xfId="0"/>
    <xf numFmtId="4" fontId="11850" fillId="11855" borderId="11819" pivotButton="0" quotePrefix="0" xfId="0"/>
    <xf numFmtId="4" fontId="11806" fillId="11811" borderId="11786" pivotButton="0" quotePrefix="0" xfId="0"/>
    <xf numFmtId="4" fontId="11608" fillId="11613" borderId="11742" pivotButton="0" quotePrefix="0" xfId="0"/>
    <xf numFmtId="4" fontId="11531" fillId="11536" borderId="11544" pivotButton="0" quotePrefix="0" xfId="0"/>
    <xf numFmtId="4" fontId="11729" fillId="11734" borderId="11500" pivotButton="0" quotePrefix="0" xfId="0"/>
    <xf numFmtId="4" fontId="11762" fillId="11767" borderId="11665" pivotButton="0" quotePrefix="0" xfId="0"/>
    <xf numFmtId="4" fontId="11839" fillId="11844" borderId="11698" pivotButton="0" quotePrefix="0" xfId="0"/>
    <xf numFmtId="4" fontId="11795" fillId="11800" borderId="11775" pivotButton="0" quotePrefix="0" xfId="0"/>
    <xf numFmtId="4" fontId="11597" fillId="11602" borderId="11731" pivotButton="0" quotePrefix="0" xfId="0"/>
    <xf numFmtId="4" fontId="11927" fillId="11932" borderId="11533" pivotButton="0" quotePrefix="0" xfId="0"/>
    <xf numFmtId="4" fontId="11663" fillId="11668" borderId="11863" pivotButton="0" quotePrefix="0" xfId="0"/>
    <xf numFmtId="4" fontId="11949" fillId="11954" borderId="11599" pivotButton="0" quotePrefix="0" xfId="0"/>
    <xf numFmtId="4" fontId="11685" fillId="11690" borderId="11885" pivotButton="0" quotePrefix="0" xfId="0"/>
    <xf numFmtId="4" fontId="11971" fillId="11976" borderId="11621" pivotButton="0" quotePrefix="0" xfId="0"/>
    <xf numFmtId="4" fontId="11707" fillId="11712" borderId="11907" pivotButton="0" quotePrefix="0" xfId="0"/>
    <xf numFmtId="4" fontId="11575" fillId="11580" borderId="11643" pivotButton="0" quotePrefix="0" xfId="0"/>
    <xf numFmtId="4" fontId="11905" fillId="11910" borderId="11511" pivotButton="0" quotePrefix="0" xfId="0"/>
    <xf numFmtId="4" fontId="11641" fillId="11646" borderId="11841" pivotButton="0" quotePrefix="0" xfId="0"/>
    <xf numFmtId="4" fontId="11740" fillId="11745" borderId="11577" pivotButton="0" quotePrefix="0" xfId="0"/>
    <xf numFmtId="4" fontId="11773" fillId="11778" borderId="11676" pivotButton="0" quotePrefix="0" xfId="0"/>
    <xf numFmtId="4" fontId="11982" fillId="11987" borderId="11709" pivotButton="0" quotePrefix="0" xfId="0"/>
    <xf numFmtId="4" fontId="11718" fillId="11723" borderId="11918" pivotButton="0" quotePrefix="0" xfId="0"/>
    <xf numFmtId="4" fontId="11751" fillId="11756" borderId="11654" pivotButton="0" quotePrefix="0" xfId="0"/>
    <xf numFmtId="4" fontId="11784" fillId="11789" borderId="11687" pivotButton="0" quotePrefix="0" xfId="0"/>
    <xf numFmtId="4" fontId="11586" fillId="11591" borderId="11720" pivotButton="0" quotePrefix="0" xfId="0"/>
    <xf numFmtId="4" fontId="11916" fillId="11921" borderId="11522" pivotButton="0" quotePrefix="0" xfId="0"/>
    <xf numFmtId="4" fontId="11652" fillId="11657" borderId="11852" pivotButton="0" quotePrefix="0" xfId="0"/>
    <xf numFmtId="4" fontId="11938" fillId="11943" borderId="11588" pivotButton="0" quotePrefix="0" xfId="0"/>
    <xf numFmtId="4" fontId="11674" fillId="11679" borderId="11874" pivotButton="0" quotePrefix="0" xfId="0"/>
    <xf numFmtId="4" fontId="11960" fillId="11965" borderId="11610" pivotButton="0" quotePrefix="0" xfId="0"/>
    <xf numFmtId="4" fontId="11696" fillId="11701" borderId="11896" pivotButton="0" quotePrefix="0" xfId="0"/>
    <xf numFmtId="4" fontId="11564" fillId="11569" borderId="11632" pivotButton="0" quotePrefix="0" xfId="0"/>
    <xf numFmtId="167" fontId="11873" fillId="11878" borderId="11468" pivotButton="0" quotePrefix="0" xfId="0"/>
    <xf numFmtId="167" fontId="11829" fillId="11834" borderId="11809" pivotButton="0" quotePrefix="0" xfId="0"/>
    <xf numFmtId="167" fontId="11631" fillId="11636" borderId="11765" pivotButton="0" quotePrefix="0" xfId="0"/>
    <xf numFmtId="167" fontId="11554" fillId="11559" borderId="11567" pivotButton="0" quotePrefix="0" xfId="0"/>
    <xf numFmtId="167" fontId="11895" fillId="11900" borderId="11490" pivotButton="0" quotePrefix="0" xfId="0"/>
    <xf numFmtId="167" fontId="11862" fillId="11867" borderId="11831" pivotButton="0" quotePrefix="0" xfId="0"/>
    <xf numFmtId="167" fontId="11818" fillId="11823" borderId="11798" pivotButton="0" quotePrefix="0" xfId="0"/>
    <xf numFmtId="167" fontId="11620" fillId="11625" borderId="11754" pivotButton="0" quotePrefix="0" xfId="0"/>
    <xf numFmtId="167" fontId="11543" fillId="11548" borderId="11556" pivotButton="0" quotePrefix="0" xfId="0"/>
    <xf numFmtId="167" fontId="11884" fillId="11889" borderId="11479" pivotButton="0" quotePrefix="0" xfId="0"/>
    <xf numFmtId="167" fontId="11851" fillId="11856" borderId="11820" pivotButton="0" quotePrefix="0" xfId="0"/>
    <xf numFmtId="167" fontId="11807" fillId="11812" borderId="11787" pivotButton="0" quotePrefix="0" xfId="0"/>
    <xf numFmtId="167" fontId="11609" fillId="11614" borderId="11743" pivotButton="0" quotePrefix="0" xfId="0"/>
    <xf numFmtId="167" fontId="11532" fillId="11537" borderId="11545" pivotButton="0" quotePrefix="0" xfId="0"/>
    <xf numFmtId="167" fontId="11730" fillId="11735" borderId="11501" pivotButton="0" quotePrefix="0" xfId="0"/>
    <xf numFmtId="167" fontId="11763" fillId="11768" borderId="11666" pivotButton="0" quotePrefix="0" xfId="0"/>
    <xf numFmtId="167" fontId="11840" fillId="11845" borderId="11699" pivotButton="0" quotePrefix="0" xfId="0"/>
    <xf numFmtId="167" fontId="11796" fillId="11801" borderId="11776" pivotButton="0" quotePrefix="0" xfId="0"/>
    <xf numFmtId="167" fontId="11598" fillId="11603" borderId="11732" pivotButton="0" quotePrefix="0" xfId="0"/>
    <xf numFmtId="167" fontId="11928" fillId="11933" borderId="11534" pivotButton="0" quotePrefix="0" xfId="0"/>
    <xf numFmtId="167" fontId="11664" fillId="11669" borderId="11864" pivotButton="0" quotePrefix="0" xfId="0"/>
    <xf numFmtId="167" fontId="11950" fillId="11955" borderId="11600" pivotButton="0" quotePrefix="0" xfId="0"/>
    <xf numFmtId="167" fontId="11686" fillId="11691" borderId="11886" pivotButton="0" quotePrefix="0" xfId="0"/>
    <xf numFmtId="167" fontId="11972" fillId="11977" borderId="11622" pivotButton="0" quotePrefix="0" xfId="0"/>
    <xf numFmtId="167" fontId="11708" fillId="11713" borderId="11908" pivotButton="0" quotePrefix="0" xfId="0"/>
    <xf numFmtId="167" fontId="11576" fillId="11581" borderId="11644" pivotButton="0" quotePrefix="0" xfId="0"/>
    <xf numFmtId="167" fontId="11906" fillId="11911" borderId="11512" pivotButton="0" quotePrefix="0" xfId="0"/>
    <xf numFmtId="167" fontId="11642" fillId="11647" borderId="11842" pivotButton="0" quotePrefix="0" xfId="0"/>
    <xf numFmtId="167" fontId="11741" fillId="11746" borderId="11578" pivotButton="0" quotePrefix="0" xfId="0"/>
    <xf numFmtId="167" fontId="11774" fillId="11779" borderId="11677" pivotButton="0" quotePrefix="0" xfId="0"/>
    <xf numFmtId="167" fontId="11983" fillId="11988" borderId="11710" pivotButton="0" quotePrefix="0" xfId="0"/>
    <xf numFmtId="167" fontId="11719" fillId="11724" borderId="11919" pivotButton="0" quotePrefix="0" xfId="0"/>
    <xf numFmtId="167" fontId="11752" fillId="11757" borderId="11655" pivotButton="0" quotePrefix="0" xfId="0"/>
    <xf numFmtId="167" fontId="11785" fillId="11790" borderId="11688" pivotButton="0" quotePrefix="0" xfId="0"/>
    <xf numFmtId="167" fontId="11587" fillId="11592" borderId="11721" pivotButton="0" quotePrefix="0" xfId="0"/>
    <xf numFmtId="167" fontId="11917" fillId="11922" borderId="11523" pivotButton="0" quotePrefix="0" xfId="0"/>
    <xf numFmtId="167" fontId="11653" fillId="11658" borderId="11853" pivotButton="0" quotePrefix="0" xfId="0"/>
    <xf numFmtId="167" fontId="11939" fillId="11944" borderId="11589" pivotButton="0" quotePrefix="0" xfId="0"/>
    <xf numFmtId="167" fontId="11675" fillId="11680" borderId="11875" pivotButton="0" quotePrefix="0" xfId="0"/>
    <xf numFmtId="167" fontId="11961" fillId="11966" borderId="11611" pivotButton="0" quotePrefix="0" xfId="0"/>
    <xf numFmtId="167" fontId="11697" fillId="11702" borderId="11897" pivotButton="0" quotePrefix="0" xfId="0"/>
    <xf numFmtId="167" fontId="11565" fillId="11570" borderId="11633" pivotButton="0" quotePrefix="0" xfId="0"/>
    <xf numFmtId="0" fontId="11874" fillId="11879" borderId="11469" pivotButton="0" quotePrefix="0" xfId="0"/>
    <xf numFmtId="0" fontId="11830" fillId="11835" borderId="11810" pivotButton="0" quotePrefix="0" xfId="0"/>
    <xf numFmtId="0" fontId="11632" fillId="11637" borderId="11766" pivotButton="0" quotePrefix="0" xfId="0"/>
    <xf numFmtId="0" fontId="11555" fillId="11560" borderId="11568" pivotButton="0" quotePrefix="0" xfId="0"/>
    <xf numFmtId="0" fontId="11896" fillId="11901" borderId="11491" pivotButton="0" quotePrefix="0" xfId="0"/>
    <xf numFmtId="0" fontId="11863" fillId="11868" borderId="11832" pivotButton="0" quotePrefix="0" xfId="0"/>
    <xf numFmtId="0" fontId="11819" fillId="11824" borderId="11799" pivotButton="0" quotePrefix="0" xfId="0"/>
    <xf numFmtId="0" fontId="11621" fillId="11626" borderId="11755" pivotButton="0" quotePrefix="0" xfId="0"/>
    <xf numFmtId="0" fontId="11544" fillId="11549" borderId="11557" pivotButton="0" quotePrefix="0" xfId="0"/>
    <xf numFmtId="0" fontId="11885" fillId="11890" borderId="11480" pivotButton="0" quotePrefix="0" xfId="0"/>
    <xf numFmtId="0" fontId="11852" fillId="11857" borderId="11821" pivotButton="0" quotePrefix="0" xfId="0"/>
    <xf numFmtId="0" fontId="11808" fillId="11813" borderId="11788" pivotButton="0" quotePrefix="0" xfId="0"/>
    <xf numFmtId="0" fontId="11610" fillId="11615" borderId="11744" pivotButton="0" quotePrefix="0" xfId="0"/>
    <xf numFmtId="0" fontId="11533" fillId="11538" borderId="11546" pivotButton="0" quotePrefix="0" xfId="0"/>
    <xf numFmtId="0" fontId="11731" fillId="11736" borderId="11502" pivotButton="0" quotePrefix="0" xfId="0"/>
    <xf numFmtId="0" fontId="11764" fillId="11769" borderId="11667" pivotButton="0" quotePrefix="0" xfId="0"/>
    <xf numFmtId="0" fontId="11841" fillId="11846" borderId="11700" pivotButton="0" quotePrefix="0" xfId="0"/>
    <xf numFmtId="0" fontId="11797" fillId="11802" borderId="11777" pivotButton="0" quotePrefix="0" xfId="0"/>
    <xf numFmtId="0" fontId="11599" fillId="11604" borderId="11733" pivotButton="0" quotePrefix="0" xfId="0"/>
    <xf numFmtId="0" fontId="11929" fillId="11934" borderId="11535" pivotButton="0" quotePrefix="0" xfId="0"/>
    <xf numFmtId="0" fontId="11665" fillId="11670" borderId="11865" pivotButton="0" quotePrefix="0" xfId="0"/>
    <xf numFmtId="0" fontId="11951" fillId="11956" borderId="11601" pivotButton="0" quotePrefix="0" xfId="0"/>
    <xf numFmtId="0" fontId="11687" fillId="11692" borderId="11887" pivotButton="0" quotePrefix="0" xfId="0"/>
    <xf numFmtId="0" fontId="11973" fillId="11978" borderId="11623" pivotButton="0" quotePrefix="0" xfId="0"/>
    <xf numFmtId="0" fontId="11709" fillId="11714" borderId="11909" pivotButton="0" quotePrefix="0" xfId="0"/>
    <xf numFmtId="0" fontId="11577" fillId="11582" borderId="11645" pivotButton="0" quotePrefix="0" xfId="0"/>
    <xf numFmtId="0" fontId="11907" fillId="11912" borderId="11513" pivotButton="0" quotePrefix="0" xfId="0"/>
    <xf numFmtId="0" fontId="11643" fillId="11648" borderId="11843" pivotButton="0" quotePrefix="0" xfId="0"/>
    <xf numFmtId="0" fontId="11742" fillId="11747" borderId="11579" pivotButton="0" quotePrefix="0" xfId="0"/>
    <xf numFmtId="0" fontId="11775" fillId="11780" borderId="11678" pivotButton="0" quotePrefix="0" xfId="0"/>
    <xf numFmtId="0" fontId="11984" fillId="11989" borderId="11711" pivotButton="0" quotePrefix="0" xfId="0"/>
    <xf numFmtId="0" fontId="11720" fillId="11725" borderId="11920" pivotButton="0" quotePrefix="0" xfId="0"/>
    <xf numFmtId="0" fontId="11753" fillId="11758" borderId="11656" pivotButton="0" quotePrefix="0" xfId="0"/>
    <xf numFmtId="0" fontId="11786" fillId="11791" borderId="11689" pivotButton="0" quotePrefix="0" xfId="0"/>
    <xf numFmtId="0" fontId="11588" fillId="11593" borderId="11722" pivotButton="0" quotePrefix="0" xfId="0"/>
    <xf numFmtId="0" fontId="11918" fillId="11923" borderId="11524" pivotButton="0" quotePrefix="0" xfId="0"/>
    <xf numFmtId="0" fontId="11654" fillId="11659" borderId="11854" pivotButton="0" quotePrefix="0" xfId="0"/>
    <xf numFmtId="0" fontId="11940" fillId="11945" borderId="11590" pivotButton="0" quotePrefix="0" xfId="0"/>
    <xf numFmtId="0" fontId="11676" fillId="11681" borderId="11876" pivotButton="0" quotePrefix="0" xfId="0"/>
    <xf numFmtId="0" fontId="11962" fillId="11967" borderId="11612" pivotButton="0" quotePrefix="0" xfId="0"/>
    <xf numFmtId="0" fontId="11698" fillId="11703" borderId="11898" pivotButton="0" quotePrefix="0" xfId="0"/>
    <xf numFmtId="0" fontId="11566" fillId="11571" borderId="11634" pivotButton="0" quotePrefix="0" xfId="0"/>
    <xf numFmtId="0" fontId="17248" fillId="17253" borderId="17088" pivotButton="0" quotePrefix="0" xfId="0"/>
    <xf numFmtId="166" fontId="17249" fillId="17254" borderId="17089" pivotButton="0" quotePrefix="0" xfId="0"/>
    <xf numFmtId="166" fontId="17250" fillId="17255" borderId="17090" pivotButton="0" quotePrefix="0" xfId="0"/>
    <xf numFmtId="166" fontId="17251" fillId="17256" borderId="17091" pivotButton="0" quotePrefix="0" xfId="0"/>
    <xf numFmtId="166" fontId="17252" fillId="17257" borderId="17092" pivotButton="0" quotePrefix="0" xfId="0"/>
    <xf numFmtId="166" fontId="17253" fillId="17258" borderId="17093" pivotButton="0" quotePrefix="0" xfId="0"/>
    <xf numFmtId="166" fontId="17254" fillId="17259" borderId="17094" pivotButton="0" quotePrefix="0" xfId="0"/>
    <xf numFmtId="166" fontId="17255" fillId="17260" borderId="17095" pivotButton="0" quotePrefix="0" xfId="0"/>
    <xf numFmtId="0" fontId="17256" fillId="17261" borderId="17096" pivotButton="0" quotePrefix="0" xfId="0"/>
    <xf numFmtId="0" fontId="17257" fillId="17262" borderId="17097" pivotButton="0" quotePrefix="0" xfId="0"/>
    <xf numFmtId="0" fontId="17258" fillId="17263" borderId="17098" pivotButton="0" quotePrefix="0" xfId="0"/>
    <xf numFmtId="0" fontId="17259" fillId="17264" borderId="17099" pivotButton="0" quotePrefix="0" xfId="0"/>
    <xf numFmtId="0" fontId="17260" fillId="17266" borderId="17100" pivotButton="0" quotePrefix="0" xfId="0"/>
    <xf numFmtId="0" fontId="17261" fillId="17267" borderId="17101" pivotButton="0" quotePrefix="0" xfId="0"/>
    <xf numFmtId="0" fontId="17262" fillId="17268" borderId="17102" pivotButton="0" quotePrefix="0" xfId="0"/>
    <xf numFmtId="0" fontId="17263" fillId="17269" borderId="17103" pivotButton="0" quotePrefix="0" xfId="0"/>
    <xf numFmtId="0" fontId="17264" fillId="17270" borderId="17104" pivotButton="0" quotePrefix="0" xfId="0"/>
    <xf numFmtId="0" fontId="17265" fillId="17271" borderId="17105" pivotButton="0" quotePrefix="0" xfId="0"/>
    <xf numFmtId="0" fontId="17266" fillId="17272" borderId="17106" pivotButton="0" quotePrefix="0" xfId="0"/>
    <xf numFmtId="0" fontId="17267" fillId="17273" borderId="17107" pivotButton="0" quotePrefix="0" xfId="0"/>
    <xf numFmtId="0" fontId="17268" fillId="17274" borderId="17108" pivotButton="0" quotePrefix="0" xfId="0"/>
    <xf numFmtId="0" fontId="17269" fillId="17275" borderId="17109" pivotButton="0" quotePrefix="0" xfId="0"/>
    <xf numFmtId="0" fontId="17270" fillId="17276" borderId="17110" pivotButton="0" quotePrefix="0" xfId="0"/>
    <xf numFmtId="0" fontId="17271" fillId="17277" borderId="17111" pivotButton="0" quotePrefix="0" xfId="0"/>
    <xf numFmtId="0" fontId="17272" fillId="17278" borderId="17112" pivotButton="0" quotePrefix="0" xfId="0"/>
    <xf numFmtId="0" fontId="17273" fillId="17279" borderId="17113" pivotButton="0" quotePrefix="0" xfId="0"/>
    <xf numFmtId="0" fontId="17274" fillId="17280" borderId="17114" pivotButton="0" quotePrefix="0" xfId="0"/>
    <xf numFmtId="0" fontId="17275" fillId="17281" borderId="17115" pivotButton="0" quotePrefix="0" xfId="0"/>
    <xf numFmtId="0" fontId="17276" fillId="17282" borderId="17116" pivotButton="0" quotePrefix="0" xfId="0"/>
    <xf numFmtId="0" fontId="17277" fillId="17283" borderId="17117" pivotButton="0" quotePrefix="0" xfId="0"/>
    <xf numFmtId="0" fontId="17278" fillId="17284" borderId="17118" pivotButton="0" quotePrefix="0" xfId="0"/>
    <xf numFmtId="0" fontId="17279" fillId="17285" borderId="17119" pivotButton="0" quotePrefix="0" xfId="0"/>
    <xf numFmtId="0" fontId="17280" fillId="17286" borderId="17120" pivotButton="0" quotePrefix="0" xfId="0"/>
    <xf numFmtId="0" fontId="17281" fillId="17287" borderId="17121" pivotButton="0" quotePrefix="0" xfId="0"/>
    <xf numFmtId="0" fontId="17282" fillId="17288" borderId="17122" pivotButton="0" quotePrefix="0" xfId="0"/>
    <xf numFmtId="0" fontId="17283" fillId="17289" borderId="17123" pivotButton="0" quotePrefix="0" xfId="0"/>
    <xf numFmtId="0" fontId="17284" fillId="17290" borderId="17124" pivotButton="0" quotePrefix="0" xfId="0"/>
    <xf numFmtId="0" fontId="17285" fillId="17291" borderId="17125" pivotButton="0" quotePrefix="0" xfId="0"/>
    <xf numFmtId="0" fontId="17286" fillId="17292" borderId="17126" pivotButton="0" quotePrefix="0" xfId="0"/>
    <xf numFmtId="0" fontId="17287" fillId="17293" borderId="17127" pivotButton="0" quotePrefix="0" xfId="0"/>
    <xf numFmtId="0" fontId="17288" fillId="17294" borderId="17128" pivotButton="0" quotePrefix="0" xfId="0"/>
    <xf numFmtId="0" fontId="17289" fillId="17295" borderId="17129" pivotButton="0" quotePrefix="0" xfId="0"/>
    <xf numFmtId="0" fontId="17290" fillId="17296" borderId="17130" pivotButton="0" quotePrefix="0" xfId="0"/>
    <xf numFmtId="0" fontId="17291" fillId="17297" borderId="17131" pivotButton="0" quotePrefix="0" xfId="0"/>
    <xf numFmtId="0" fontId="17292" fillId="17298" borderId="17132" pivotButton="0" quotePrefix="0" xfId="0"/>
    <xf numFmtId="0" fontId="17293" fillId="17299" borderId="17133" pivotButton="0" quotePrefix="0" xfId="0"/>
    <xf numFmtId="0" fontId="17294" fillId="17300" borderId="17134" pivotButton="0" quotePrefix="0" xfId="0"/>
    <xf numFmtId="0" fontId="17295" fillId="17301" borderId="17135" pivotButton="0" quotePrefix="0" xfId="0"/>
    <xf numFmtId="0" fontId="17296" fillId="17302" borderId="17136" pivotButton="0" quotePrefix="0" xfId="0"/>
    <xf numFmtId="0" fontId="17297" fillId="17303" borderId="17137" pivotButton="0" quotePrefix="0" xfId="0"/>
    <xf numFmtId="0" fontId="17298" fillId="17304" borderId="17138" pivotButton="0" quotePrefix="0" xfId="0"/>
    <xf numFmtId="0" fontId="17299" fillId="17305" borderId="17139" pivotButton="0" quotePrefix="0" xfId="0"/>
    <xf numFmtId="0" fontId="17300" fillId="17306" borderId="17140" pivotButton="0" quotePrefix="0" xfId="0"/>
    <xf numFmtId="0" fontId="17301" fillId="17307" borderId="17141" pivotButton="0" quotePrefix="0" xfId="0"/>
    <xf numFmtId="0" fontId="17302" fillId="17308" borderId="17142" pivotButton="0" quotePrefix="0" xfId="0"/>
    <xf numFmtId="0" fontId="17303" fillId="17309" borderId="17143" pivotButton="0" quotePrefix="0" xfId="0"/>
    <xf numFmtId="0" fontId="17304" fillId="17310" borderId="17144" pivotButton="0" quotePrefix="0" xfId="0"/>
    <xf numFmtId="0" fontId="17305" fillId="17311" borderId="17145" pivotButton="0" quotePrefix="0" xfId="0"/>
    <xf numFmtId="0" fontId="17306" fillId="17312" borderId="17146" pivotButton="0" quotePrefix="0" xfId="0"/>
    <xf numFmtId="0" fontId="17307" fillId="17313" borderId="17147" pivotButton="0" quotePrefix="0" xfId="0"/>
    <xf numFmtId="0" fontId="17308" fillId="17314" borderId="17148" pivotButton="0" quotePrefix="0" xfId="0"/>
    <xf numFmtId="0" fontId="17309" fillId="17315" borderId="17149" pivotButton="0" quotePrefix="0" xfId="0"/>
    <xf numFmtId="0" fontId="17310" fillId="17316" borderId="17150" pivotButton="0" quotePrefix="0" xfId="0"/>
    <xf numFmtId="0" fontId="17311" fillId="17317" borderId="17151" pivotButton="0" quotePrefix="0" xfId="0"/>
    <xf numFmtId="0" fontId="17312" fillId="17318" borderId="17152" pivotButton="0" quotePrefix="0" xfId="0"/>
    <xf numFmtId="0" fontId="17313" fillId="17319" borderId="17153" pivotButton="0" quotePrefix="0" xfId="0"/>
    <xf numFmtId="0" fontId="17314" fillId="17320" borderId="17154" pivotButton="0" quotePrefix="0" xfId="0"/>
    <xf numFmtId="0" fontId="17315" fillId="17321" borderId="17155" pivotButton="0" quotePrefix="0" xfId="0"/>
    <xf numFmtId="0" fontId="17316" fillId="17322" borderId="17156" pivotButton="0" quotePrefix="0" xfId="0"/>
    <xf numFmtId="0" fontId="17317" fillId="17323" borderId="17157" pivotButton="0" quotePrefix="0" xfId="0"/>
    <xf numFmtId="0" fontId="17318" fillId="17324" borderId="17158" pivotButton="0" quotePrefix="0" xfId="0"/>
    <xf numFmtId="0" fontId="17319" fillId="17325" borderId="17159" pivotButton="0" quotePrefix="0" xfId="0"/>
    <xf numFmtId="0" fontId="17320" fillId="17326" borderId="17160" pivotButton="0" quotePrefix="0" xfId="0"/>
    <xf numFmtId="0" fontId="17321" fillId="17327" borderId="17161" pivotButton="0" quotePrefix="0" xfId="0"/>
    <xf numFmtId="0" fontId="17322" fillId="17328" borderId="17162" pivotButton="0" quotePrefix="0" xfId="0"/>
    <xf numFmtId="0" fontId="17323" fillId="17329" borderId="17163" pivotButton="0" quotePrefix="0" xfId="0"/>
    <xf numFmtId="0" fontId="17324" fillId="17330" borderId="17164" pivotButton="0" quotePrefix="0" xfId="0"/>
    <xf numFmtId="0" fontId="17325" fillId="17331" borderId="17165" pivotButton="0" quotePrefix="0" xfId="0"/>
    <xf numFmtId="0" fontId="17326" fillId="17332" borderId="17166" pivotButton="0" quotePrefix="0" xfId="0"/>
    <xf numFmtId="0" fontId="17327" fillId="17333" borderId="17167" pivotButton="0" quotePrefix="0" xfId="0"/>
    <xf numFmtId="0" fontId="17328" fillId="17334" borderId="17168" pivotButton="0" quotePrefix="0" xfId="0"/>
    <xf numFmtId="0" fontId="17329" fillId="17335" borderId="17169" pivotButton="0" quotePrefix="0" xfId="0"/>
    <xf numFmtId="0" fontId="17330" fillId="17336" borderId="17170" pivotButton="0" quotePrefix="0" xfId="0"/>
    <xf numFmtId="0" fontId="17331" fillId="17337" borderId="17171" pivotButton="0" quotePrefix="0" xfId="0"/>
    <xf numFmtId="0" fontId="17332" fillId="17338" borderId="17172" pivotButton="0" quotePrefix="0" xfId="0"/>
    <xf numFmtId="0" fontId="17333" fillId="17339" borderId="17173" pivotButton="0" quotePrefix="0" xfId="0"/>
    <xf numFmtId="0" fontId="17334" fillId="17340" borderId="17174" pivotButton="0" quotePrefix="0" xfId="0"/>
    <xf numFmtId="0" fontId="17335" fillId="17341" borderId="17175" pivotButton="0" quotePrefix="0" xfId="0"/>
    <xf numFmtId="0" fontId="17336" fillId="17342" borderId="17176" pivotButton="0" quotePrefix="0" xfId="0"/>
    <xf numFmtId="0" fontId="17337" fillId="17343" borderId="17177" pivotButton="0" quotePrefix="0" xfId="0"/>
    <xf numFmtId="0" fontId="17338" fillId="17344" borderId="17178" pivotButton="0" quotePrefix="0" xfId="0"/>
    <xf numFmtId="0" fontId="17339" fillId="17345" borderId="17179" pivotButton="0" quotePrefix="0" xfId="0"/>
    <xf numFmtId="0" fontId="17340" fillId="17346" borderId="17180" pivotButton="0" quotePrefix="0" xfId="0"/>
    <xf numFmtId="0" fontId="17341" fillId="17347" borderId="17181" pivotButton="0" quotePrefix="0" xfId="0"/>
    <xf numFmtId="0" fontId="17342" fillId="17348" borderId="17182" pivotButton="0" quotePrefix="0" xfId="0"/>
    <xf numFmtId="0" fontId="17343" fillId="17349" borderId="17183" pivotButton="0" quotePrefix="0" xfId="0"/>
    <xf numFmtId="0" fontId="17344" fillId="17350" borderId="17184" pivotButton="0" quotePrefix="0" xfId="0"/>
    <xf numFmtId="0" fontId="17345" fillId="17351" borderId="17185" pivotButton="0" quotePrefix="0" xfId="0"/>
    <xf numFmtId="0" fontId="17346" fillId="17352" borderId="17186" pivotButton="0" quotePrefix="0" xfId="0"/>
    <xf numFmtId="0" fontId="17347" fillId="17353" borderId="17187" pivotButton="0" quotePrefix="0" xfId="0"/>
    <xf numFmtId="0" fontId="17348" fillId="17354" borderId="17188" pivotButton="0" quotePrefix="0" xfId="0"/>
    <xf numFmtId="0" fontId="17349" fillId="17355" borderId="17189" pivotButton="0" quotePrefix="0" xfId="0"/>
    <xf numFmtId="0" fontId="17350" fillId="17356" borderId="17190" pivotButton="0" quotePrefix="0" xfId="0"/>
    <xf numFmtId="0" fontId="17351" fillId="17357" borderId="17191" pivotButton="0" quotePrefix="0" xfId="0"/>
    <xf numFmtId="0" fontId="17352" fillId="17358" borderId="17192" pivotButton="0" quotePrefix="0" xfId="0"/>
    <xf numFmtId="0" fontId="17353" fillId="17359" borderId="17193" pivotButton="0" quotePrefix="0" xfId="0"/>
    <xf numFmtId="0" fontId="17354" fillId="17360" borderId="17194" pivotButton="0" quotePrefix="0" xfId="0"/>
    <xf numFmtId="0" fontId="17355" fillId="17361" borderId="17195" pivotButton="0" quotePrefix="0" xfId="0"/>
    <xf numFmtId="0" fontId="17356" fillId="17362" borderId="17196" pivotButton="0" quotePrefix="0" xfId="0"/>
    <xf numFmtId="0" fontId="17357" fillId="17363" borderId="17197" pivotButton="0" quotePrefix="0" xfId="0"/>
    <xf numFmtId="0" fontId="17358" fillId="17364" borderId="17198" pivotButton="0" quotePrefix="0" xfId="0"/>
    <xf numFmtId="0" fontId="17359" fillId="17365" borderId="17199" pivotButton="0" quotePrefix="0" xfId="0"/>
    <xf numFmtId="0" fontId="17360" fillId="17366" borderId="17200" pivotButton="0" quotePrefix="0" xfId="0"/>
    <xf numFmtId="0" fontId="17361" fillId="17367" borderId="17201" pivotButton="0" quotePrefix="0" xfId="0"/>
    <xf numFmtId="0" fontId="17362" fillId="17368" borderId="17202" pivotButton="0" quotePrefix="0" xfId="0"/>
    <xf numFmtId="0" fontId="17363" fillId="17369" borderId="17203" pivotButton="0" quotePrefix="0" xfId="0"/>
    <xf numFmtId="0" fontId="17364" fillId="17370" borderId="17204" pivotButton="0" quotePrefix="0" xfId="0"/>
    <xf numFmtId="0" fontId="17365" fillId="17371" borderId="17205" pivotButton="0" quotePrefix="0" xfId="0"/>
    <xf numFmtId="0" fontId="17366" fillId="17372" borderId="17206" pivotButton="0" quotePrefix="0" xfId="0"/>
    <xf numFmtId="0" fontId="17367" fillId="17373" borderId="17207" pivotButton="0" quotePrefix="0" xfId="0"/>
    <xf numFmtId="0" fontId="17368" fillId="17374" borderId="17208" pivotButton="0" quotePrefix="0" xfId="0"/>
    <xf numFmtId="0" fontId="17369" fillId="17375" borderId="17209" pivotButton="0" quotePrefix="0" xfId="0"/>
    <xf numFmtId="0" fontId="17370" fillId="17376" borderId="17210" pivotButton="0" quotePrefix="0" xfId="0"/>
    <xf numFmtId="0" fontId="17371" fillId="17377" borderId="17211" pivotButton="0" quotePrefix="0" xfId="0"/>
    <xf numFmtId="0" fontId="17372" fillId="17378" borderId="17212" pivotButton="0" quotePrefix="0" xfId="0"/>
    <xf numFmtId="0" fontId="17373" fillId="17379" borderId="17213" pivotButton="0" quotePrefix="0" xfId="0"/>
    <xf numFmtId="0" fontId="17374" fillId="17380" borderId="17214" pivotButton="0" quotePrefix="0" xfId="0"/>
    <xf numFmtId="0" fontId="17375" fillId="17381" borderId="17215" pivotButton="0" quotePrefix="0" xfId="0"/>
    <xf numFmtId="0" fontId="17376" fillId="17382" borderId="17216" pivotButton="0" quotePrefix="0" xfId="0"/>
    <xf numFmtId="0" fontId="17377" fillId="17383" borderId="17217" pivotButton="0" quotePrefix="0" xfId="0"/>
    <xf numFmtId="0" fontId="17378" fillId="17384" borderId="17218" pivotButton="0" quotePrefix="0" xfId="0"/>
    <xf numFmtId="0" fontId="17379" fillId="17385" borderId="17219" pivotButton="0" quotePrefix="0" xfId="0"/>
    <xf numFmtId="0" fontId="17380" fillId="17386" borderId="17220" pivotButton="0" quotePrefix="0" xfId="0"/>
    <xf numFmtId="0" fontId="17381" fillId="17387" borderId="17221" pivotButton="0" quotePrefix="0" xfId="0"/>
    <xf numFmtId="0" fontId="17382" fillId="17388" borderId="17222" pivotButton="0" quotePrefix="0" xfId="0"/>
    <xf numFmtId="0" fontId="17383" fillId="17389" borderId="17223" pivotButton="0" quotePrefix="0" xfId="0"/>
    <xf numFmtId="0" fontId="17384" fillId="17390" borderId="17224" pivotButton="0" quotePrefix="0" xfId="0"/>
    <xf numFmtId="0" fontId="17385" fillId="17391" borderId="17225" pivotButton="0" quotePrefix="0" xfId="0"/>
    <xf numFmtId="0" fontId="17386" fillId="17392" borderId="17226" pivotButton="0" quotePrefix="0" xfId="0"/>
    <xf numFmtId="0" fontId="17387" fillId="17393" borderId="17227" pivotButton="0" quotePrefix="0" xfId="0"/>
    <xf numFmtId="0" fontId="17388" fillId="17394" borderId="17228" pivotButton="0" quotePrefix="0" xfId="0"/>
    <xf numFmtId="0" fontId="17389" fillId="17395" borderId="17229" pivotButton="0" quotePrefix="0" xfId="0"/>
    <xf numFmtId="0" fontId="17390" fillId="17396" borderId="17230" pivotButton="0" quotePrefix="0" xfId="0"/>
    <xf numFmtId="0" fontId="17391" fillId="17397" borderId="17231" pivotButton="0" quotePrefix="0" xfId="0"/>
    <xf numFmtId="0" fontId="17392" fillId="17398" borderId="17232" pivotButton="0" quotePrefix="0" xfId="0"/>
    <xf numFmtId="0" fontId="17393" fillId="17399" borderId="17233" pivotButton="0" quotePrefix="0" xfId="0"/>
    <xf numFmtId="0" fontId="17394" fillId="17400" borderId="17234" pivotButton="0" quotePrefix="0" xfId="0"/>
    <xf numFmtId="0" fontId="17395" fillId="17401" borderId="17235" pivotButton="0" quotePrefix="0" xfId="0"/>
    <xf numFmtId="0" fontId="17396" fillId="17402" borderId="17236" pivotButton="0" quotePrefix="0" xfId="0"/>
    <xf numFmtId="0" fontId="17397" fillId="17403" borderId="17237" pivotButton="0" quotePrefix="0" xfId="0"/>
    <xf numFmtId="0" fontId="17398" fillId="17404" borderId="17238" pivotButton="0" quotePrefix="0" xfId="0"/>
    <xf numFmtId="0" fontId="17399" fillId="17405" borderId="17239" pivotButton="0" quotePrefix="0" xfId="0"/>
    <xf numFmtId="0" fontId="17400" fillId="17406" borderId="17240" pivotButton="0" quotePrefix="0" xfId="0"/>
    <xf numFmtId="0" fontId="17401" fillId="17407" borderId="17241" pivotButton="0" quotePrefix="0" xfId="0"/>
    <xf numFmtId="0" fontId="17402" fillId="17408" borderId="17242" pivotButton="0" quotePrefix="0" xfId="0"/>
    <xf numFmtId="0" fontId="17403" fillId="17409" borderId="17243" pivotButton="0" quotePrefix="0" xfId="0"/>
    <xf numFmtId="0" fontId="17404" fillId="17410" borderId="17244" pivotButton="0" quotePrefix="0" xfId="0"/>
    <xf numFmtId="0" fontId="17405" fillId="17411" borderId="17245" pivotButton="0" quotePrefix="0" xfId="0"/>
    <xf numFmtId="0" fontId="17406" fillId="17412" borderId="17246" pivotButton="0" quotePrefix="0" xfId="0"/>
    <xf numFmtId="0" fontId="17407" fillId="17413" borderId="17247" pivotButton="0" quotePrefix="0" xfId="0"/>
    <xf numFmtId="0" fontId="17408" fillId="17414" borderId="17248" pivotButton="0" quotePrefix="0" xfId="0"/>
    <xf numFmtId="0" fontId="17409" fillId="17415" borderId="17249" pivotButton="0" quotePrefix="0" xfId="0"/>
    <xf numFmtId="0" fontId="17410" fillId="17416" borderId="17250" pivotButton="0" quotePrefix="0" xfId="0"/>
    <xf numFmtId="0" fontId="17411" fillId="17417" borderId="17251" pivotButton="0" quotePrefix="0" xfId="0"/>
    <xf numFmtId="0" fontId="17412" fillId="17418" borderId="17252" pivotButton="0" quotePrefix="0" xfId="0"/>
    <xf numFmtId="0" fontId="17413" fillId="17419" borderId="17253" pivotButton="0" quotePrefix="0" xfId="0"/>
    <xf numFmtId="0" fontId="17414" fillId="17420" borderId="17254" pivotButton="0" quotePrefix="0" xfId="0"/>
    <xf numFmtId="0" fontId="17415" fillId="17421" borderId="17255" pivotButton="0" quotePrefix="0" xfId="0"/>
    <xf numFmtId="0" fontId="17416" fillId="17422" borderId="17256" pivotButton="0" quotePrefix="0" xfId="0"/>
    <xf numFmtId="0" fontId="17417" fillId="17423" borderId="17257" pivotButton="0" quotePrefix="0" xfId="0"/>
    <xf numFmtId="0" fontId="17418" fillId="17424" borderId="17258" pivotButton="0" quotePrefix="0" xfId="0"/>
    <xf numFmtId="0" fontId="17419" fillId="17425" borderId="17259" pivotButton="0" quotePrefix="0" xfId="0"/>
    <xf numFmtId="0" fontId="17420" fillId="17426" borderId="17260" pivotButton="0" quotePrefix="0" xfId="0"/>
    <xf numFmtId="0" fontId="17421" fillId="17427" borderId="17261" pivotButton="0" quotePrefix="0" xfId="0"/>
    <xf numFmtId="0" fontId="17422" fillId="17428" borderId="17262" pivotButton="0" quotePrefix="0" xfId="0"/>
    <xf numFmtId="0" fontId="17423" fillId="17429" borderId="17263" pivotButton="0" quotePrefix="0" xfId="0"/>
    <xf numFmtId="0" fontId="17424" fillId="17430" borderId="17264" pivotButton="0" quotePrefix="0" xfId="0"/>
    <xf numFmtId="0" fontId="17425" fillId="17431" borderId="17265" pivotButton="0" quotePrefix="0" xfId="0"/>
    <xf numFmtId="0" fontId="17426" fillId="17432" borderId="17266" pivotButton="0" quotePrefix="0" xfId="0"/>
    <xf numFmtId="0" fontId="17427" fillId="17433" borderId="17267" pivotButton="0" quotePrefix="0" xfId="0"/>
    <xf numFmtId="0" fontId="17428" fillId="17434" borderId="17268" pivotButton="0" quotePrefix="0" xfId="0"/>
    <xf numFmtId="0" fontId="17429" fillId="17435" borderId="17269" pivotButton="0" quotePrefix="0" xfId="0"/>
    <xf numFmtId="0" fontId="17430" fillId="17436" borderId="17270" pivotButton="0" quotePrefix="0" xfId="0"/>
    <xf numFmtId="0" fontId="17431" fillId="17437" borderId="17271" pivotButton="0" quotePrefix="0" xfId="0"/>
    <xf numFmtId="0" fontId="17432" fillId="17438" borderId="17272" pivotButton="0" quotePrefix="0" xfId="0"/>
    <xf numFmtId="0" fontId="17433" fillId="17439" borderId="17273" pivotButton="0" quotePrefix="0" xfId="0"/>
    <xf numFmtId="0" fontId="17434" fillId="17440" borderId="17274" pivotButton="0" quotePrefix="0" xfId="0"/>
    <xf numFmtId="0" fontId="17435" fillId="17441" borderId="17275" pivotButton="0" quotePrefix="0" xfId="0"/>
    <xf numFmtId="0" fontId="17436" fillId="17442" borderId="17276" pivotButton="0" quotePrefix="0" xfId="0"/>
    <xf numFmtId="0" fontId="17439" fillId="17444" borderId="17277" pivotButton="0" quotePrefix="0" xfId="0"/>
    <xf numFmtId="0" fontId="17440" fillId="17445" borderId="17278" pivotButton="0" quotePrefix="0" xfId="0"/>
    <xf numFmtId="0" fontId="17441" fillId="17446" borderId="17279" pivotButton="0" quotePrefix="0" xfId="0"/>
    <xf numFmtId="0" fontId="17442" fillId="17447" borderId="17280" pivotButton="0" quotePrefix="0" xfId="0"/>
    <xf numFmtId="0" fontId="17443" fillId="17448" borderId="17281" pivotButton="0" quotePrefix="0" xfId="0"/>
    <xf numFmtId="0" fontId="17444" fillId="17449" borderId="17282" applyAlignment="1" pivotButton="0" quotePrefix="0" xfId="0">
      <alignment horizontal="center" wrapText="1"/>
    </xf>
    <xf numFmtId="0" fontId="17445" fillId="17450" borderId="17283" applyAlignment="1" pivotButton="0" quotePrefix="0" xfId="0">
      <alignment horizontal="center" wrapText="1"/>
    </xf>
    <xf numFmtId="0" fontId="17446" fillId="17451" borderId="17284" applyAlignment="1" pivotButton="0" quotePrefix="0" xfId="0">
      <alignment horizontal="center" wrapText="1"/>
    </xf>
    <xf numFmtId="0" fontId="17447" fillId="17452" borderId="17285" applyAlignment="1" pivotButton="0" quotePrefix="0" xfId="0">
      <alignment horizontal="center" wrapText="1"/>
    </xf>
    <xf numFmtId="0" fontId="17448" fillId="17453" borderId="17286" applyAlignment="1" pivotButton="0" quotePrefix="0" xfId="0">
      <alignment horizontal="center" wrapText="1"/>
    </xf>
    <xf numFmtId="0" fontId="17449" fillId="17454" borderId="17287" applyAlignment="1" pivotButton="0" quotePrefix="0" xfId="0">
      <alignment horizontal="center" wrapText="1"/>
    </xf>
    <xf numFmtId="0" fontId="17450" fillId="17455" borderId="17288" applyAlignment="1" pivotButton="0" quotePrefix="0" xfId="0">
      <alignment horizontal="center" wrapText="1"/>
    </xf>
    <xf numFmtId="0" fontId="17451" fillId="17456" borderId="17289" applyAlignment="1" pivotButton="0" quotePrefix="0" xfId="0">
      <alignment horizontal="center" wrapText="1"/>
    </xf>
    <xf numFmtId="0" fontId="17452" fillId="17457" borderId="17290" applyAlignment="1" pivotButton="0" quotePrefix="0" xfId="0">
      <alignment horizontal="center" wrapText="1"/>
    </xf>
    <xf numFmtId="0" fontId="17453" fillId="17458" borderId="17291" pivotButton="0" quotePrefix="0" xfId="0"/>
    <xf numFmtId="0" fontId="17454" fillId="17459" borderId="17292" pivotButton="0" quotePrefix="0" xfId="0"/>
    <xf numFmtId="0" fontId="17455" fillId="17460" borderId="17293" pivotButton="0" quotePrefix="0" xfId="0"/>
    <xf numFmtId="0" fontId="17456" fillId="17461" borderId="17294" pivotButton="0" quotePrefix="0" xfId="0"/>
    <xf numFmtId="4" fontId="17457" fillId="17462" borderId="17295" pivotButton="0" quotePrefix="0" xfId="0"/>
    <xf numFmtId="4" fontId="17458" fillId="17463" borderId="17296" pivotButton="0" quotePrefix="0" xfId="0"/>
    <xf numFmtId="4" fontId="17459" fillId="17464" borderId="17297" pivotButton="0" quotePrefix="0" xfId="0"/>
    <xf numFmtId="4" fontId="17460" fillId="17465" borderId="17298" pivotButton="0" quotePrefix="0" xfId="0"/>
    <xf numFmtId="4" fontId="17461" fillId="17466" borderId="17299" pivotButton="0" quotePrefix="0" xfId="0"/>
    <xf numFmtId="169" fontId="17462" fillId="17467" borderId="17300" pivotButton="0" quotePrefix="0" xfId="0"/>
    <xf numFmtId="170" fontId="17463" fillId="17468" borderId="17301" pivotButton="0" quotePrefix="0" xfId="0"/>
    <xf numFmtId="4" fontId="17464" fillId="17469" borderId="17302" pivotButton="0" quotePrefix="0" xfId="0"/>
    <xf numFmtId="0" fontId="17465" fillId="17470" borderId="17303" pivotButton="0" quotePrefix="0" xfId="0"/>
    <xf numFmtId="0" fontId="17466" fillId="17471" borderId="17304" pivotButton="0" quotePrefix="0" xfId="0"/>
    <xf numFmtId="0" fontId="17467" fillId="17472" borderId="17305" pivotButton="0" quotePrefix="0" xfId="0"/>
    <xf numFmtId="0" fontId="17468" fillId="17473" borderId="17306" pivotButton="0" quotePrefix="0" xfId="0"/>
    <xf numFmtId="4" fontId="17469" fillId="17474" borderId="17307" pivotButton="0" quotePrefix="0" xfId="0"/>
    <xf numFmtId="4" fontId="17470" fillId="17475" borderId="17308" pivotButton="0" quotePrefix="0" xfId="0"/>
    <xf numFmtId="169" fontId="17471" fillId="17476" borderId="17309" pivotButton="0" quotePrefix="0" xfId="0"/>
    <xf numFmtId="170" fontId="17472" fillId="17477" borderId="17310" pivotButton="0" quotePrefix="0" xfId="0"/>
    <xf numFmtId="4" fontId="17473" fillId="17478" borderId="17311" pivotButton="0" quotePrefix="0" xfId="0"/>
    <xf numFmtId="0" fontId="17474" fillId="17479" borderId="17312" pivotButton="0" quotePrefix="0" xfId="0"/>
    <xf numFmtId="0" fontId="17475" fillId="17480" borderId="17313" pivotButton="0" quotePrefix="0" xfId="0"/>
    <xf numFmtId="0" fontId="17476" fillId="17481" borderId="17314" pivotButton="0" quotePrefix="0" xfId="0"/>
    <xf numFmtId="0" fontId="17477" fillId="17482" borderId="17315" pivotButton="0" quotePrefix="0" xfId="0"/>
    <xf numFmtId="4" fontId="17478" fillId="17483" borderId="17316" pivotButton="0" quotePrefix="0" xfId="0"/>
    <xf numFmtId="4" fontId="17479" fillId="17484" borderId="17317" pivotButton="0" quotePrefix="0" xfId="0"/>
    <xf numFmtId="169" fontId="17480" fillId="17485" borderId="17318" pivotButton="0" quotePrefix="0" xfId="0"/>
    <xf numFmtId="170" fontId="17481" fillId="17486" borderId="17319" pivotButton="0" quotePrefix="0" xfId="0"/>
    <xf numFmtId="4" fontId="17482" fillId="17487" borderId="17320" pivotButton="0" quotePrefix="0" xfId="0"/>
    <xf numFmtId="0" fontId="17483" fillId="17488" borderId="17321" pivotButton="0" quotePrefix="0" xfId="0"/>
    <xf numFmtId="0" fontId="17484" fillId="17489" borderId="17322" pivotButton="0" quotePrefix="0" xfId="0"/>
    <xf numFmtId="0" fontId="17485" fillId="17490" borderId="17323" pivotButton="0" quotePrefix="0" xfId="0"/>
    <xf numFmtId="0" fontId="17486" fillId="17491" borderId="17324" pivotButton="0" quotePrefix="0" xfId="0"/>
    <xf numFmtId="4" fontId="17487" fillId="17492" borderId="17325" pivotButton="0" quotePrefix="0" xfId="0"/>
    <xf numFmtId="4" fontId="17488" fillId="17493" borderId="17326" pivotButton="0" quotePrefix="0" xfId="0"/>
    <xf numFmtId="4" fontId="17489" fillId="17494" borderId="17327" pivotButton="0" quotePrefix="0" xfId="0"/>
    <xf numFmtId="4" fontId="17490" fillId="17495" borderId="17328" pivotButton="0" quotePrefix="0" xfId="0"/>
    <xf numFmtId="4" fontId="17491" fillId="17496" borderId="17329" pivotButton="0" quotePrefix="0" xfId="0"/>
    <xf numFmtId="169" fontId="17492" fillId="17497" borderId="17330" pivotButton="0" quotePrefix="0" xfId="0"/>
    <xf numFmtId="170" fontId="17493" fillId="17498" borderId="17331" pivotButton="0" quotePrefix="0" xfId="0"/>
    <xf numFmtId="4" fontId="17494" fillId="17499" borderId="17332" pivotButton="0" quotePrefix="0" xfId="0"/>
    <xf numFmtId="0" fontId="17495" fillId="17500" borderId="17333" pivotButton="0" quotePrefix="0" xfId="0"/>
    <xf numFmtId="0" fontId="17496" fillId="17501" borderId="17334" pivotButton="0" quotePrefix="0" xfId="0"/>
    <xf numFmtId="0" fontId="17497" fillId="17502" borderId="17335" pivotButton="0" quotePrefix="0" xfId="0"/>
    <xf numFmtId="0" fontId="17498" fillId="17503" borderId="17336" pivotButton="0" quotePrefix="0" xfId="0"/>
    <xf numFmtId="4" fontId="17499" fillId="17504" borderId="17337" pivotButton="0" quotePrefix="0" xfId="0"/>
    <xf numFmtId="4" fontId="17500" fillId="17505" borderId="17338" pivotButton="0" quotePrefix="0" xfId="0"/>
    <xf numFmtId="4" fontId="17501" fillId="17506" borderId="17339" pivotButton="0" quotePrefix="0" xfId="0"/>
    <xf numFmtId="169" fontId="17502" fillId="17507" borderId="17340" pivotButton="0" quotePrefix="0" xfId="0"/>
    <xf numFmtId="170" fontId="17503" fillId="17508" borderId="17341" pivotButton="0" quotePrefix="0" xfId="0"/>
    <xf numFmtId="4" fontId="17504" fillId="17509" borderId="17342" pivotButton="0" quotePrefix="0" xfId="0"/>
    <xf numFmtId="0" fontId="17505" fillId="17510" borderId="17343" pivotButton="0" quotePrefix="0" xfId="0"/>
    <xf numFmtId="0" fontId="17506" fillId="17511" borderId="17344" pivotButton="0" quotePrefix="0" xfId="0"/>
    <xf numFmtId="0" fontId="17507" fillId="17512" borderId="17345" pivotButton="0" quotePrefix="0" xfId="0"/>
    <xf numFmtId="0" fontId="17508" fillId="17513" borderId="17346" pivotButton="0" quotePrefix="0" xfId="0"/>
    <xf numFmtId="0" fontId="17509" fillId="17514" borderId="17347" pivotButton="0" quotePrefix="0" xfId="0"/>
    <xf numFmtId="0" fontId="17510" fillId="17515" borderId="17348" pivotButton="0" quotePrefix="0" xfId="0"/>
    <xf numFmtId="0" fontId="17511" fillId="17516" borderId="17349" pivotButton="0" quotePrefix="0" xfId="0"/>
    <xf numFmtId="0" fontId="17512" fillId="17517" borderId="17350" pivotButton="0" quotePrefix="0" xfId="0"/>
    <xf numFmtId="0" fontId="17513" fillId="17518" borderId="17351" pivotButton="0" quotePrefix="0" xfId="0"/>
    <xf numFmtId="0" fontId="17514" fillId="17519" borderId="17352" pivotButton="0" quotePrefix="0" xfId="0"/>
    <xf numFmtId="0" fontId="17515" fillId="17520" borderId="17353" pivotButton="0" quotePrefix="0" xfId="0"/>
    <xf numFmtId="0" fontId="17516" fillId="17521" borderId="17354" pivotButton="0" quotePrefix="0" xfId="0"/>
    <xf numFmtId="0" fontId="17517" fillId="17522" borderId="17355" pivotButton="0" quotePrefix="0" xfId="0"/>
    <xf numFmtId="0" fontId="17518" fillId="17523" borderId="17356" pivotButton="0" quotePrefix="0" xfId="0"/>
    <xf numFmtId="0" fontId="17519" fillId="17524" borderId="17357" pivotButton="0" quotePrefix="0" xfId="0"/>
    <xf numFmtId="0" fontId="17520" fillId="17525" borderId="17358" pivotButton="0" quotePrefix="0" xfId="0"/>
    <xf numFmtId="0" fontId="17521" fillId="17526" borderId="17359" pivotButton="0" quotePrefix="0" xfId="0"/>
    <xf numFmtId="0" fontId="17523" fillId="17528" borderId="17360" pivotButton="0" quotePrefix="0" xfId="0"/>
    <xf numFmtId="0" fontId="17524" fillId="17529" borderId="17361" pivotButton="0" quotePrefix="0" xfId="0"/>
    <xf numFmtId="0" fontId="17525" fillId="17530" borderId="17362" pivotButton="0" quotePrefix="0" xfId="0"/>
    <xf numFmtId="0" fontId="17526" fillId="17531" borderId="17363" pivotButton="0" quotePrefix="0" xfId="0"/>
    <xf numFmtId="0" fontId="17527" fillId="17532" borderId="17364" pivotButton="0" quotePrefix="0" xfId="0"/>
    <xf numFmtId="0" fontId="17528" fillId="17533" borderId="17365" applyAlignment="1" pivotButton="0" quotePrefix="0" xfId="0">
      <alignment horizontal="center" wrapText="1"/>
    </xf>
    <xf numFmtId="0" fontId="17529" fillId="17534" borderId="17366" applyAlignment="1" pivotButton="0" quotePrefix="0" xfId="0">
      <alignment horizontal="center" wrapText="1"/>
    </xf>
    <xf numFmtId="0" fontId="17530" fillId="17535" borderId="17367" applyAlignment="1" pivotButton="0" quotePrefix="0" xfId="0">
      <alignment horizontal="center" wrapText="1"/>
    </xf>
    <xf numFmtId="0" fontId="17531" fillId="17536" borderId="17368" applyAlignment="1" pivotButton="0" quotePrefix="0" xfId="0">
      <alignment horizontal="center" wrapText="1"/>
    </xf>
    <xf numFmtId="0" fontId="17532" fillId="17537" borderId="17369" applyAlignment="1" pivotButton="0" quotePrefix="0" xfId="0">
      <alignment horizontal="center" wrapText="1"/>
    </xf>
    <xf numFmtId="0" fontId="17533" fillId="17538" borderId="17370" applyAlignment="1" pivotButton="0" quotePrefix="0" xfId="0">
      <alignment wrapText="1"/>
    </xf>
    <xf numFmtId="0" fontId="17534" fillId="17539" borderId="17371" applyAlignment="1" pivotButton="0" quotePrefix="0" xfId="0">
      <alignment wrapText="1"/>
    </xf>
    <xf numFmtId="0" fontId="17535" fillId="17540" borderId="17372" pivotButton="0" quotePrefix="0" xfId="0"/>
    <xf numFmtId="0" fontId="17536" fillId="17541" borderId="17373" pivotButton="0" quotePrefix="0" xfId="0"/>
    <xf numFmtId="0" fontId="17537" fillId="17542" borderId="17374" pivotButton="0" quotePrefix="0" xfId="0"/>
    <xf numFmtId="0" fontId="17538" fillId="17543" borderId="17375" pivotButton="0" quotePrefix="0" xfId="0"/>
    <xf numFmtId="0" fontId="17539" fillId="17544" borderId="17376" pivotButton="0" quotePrefix="0" xfId="0"/>
    <xf numFmtId="0" fontId="17540" fillId="17545" borderId="17377" applyAlignment="1" pivotButton="0" quotePrefix="0" xfId="0">
      <alignment horizontal="left" wrapText="1"/>
    </xf>
    <xf numFmtId="166" fontId="17541" fillId="17546" borderId="17378" applyAlignment="1" pivotButton="0" quotePrefix="0" xfId="0">
      <alignment horizontal="right" wrapText="1"/>
    </xf>
    <xf numFmtId="166" fontId="17542" fillId="17547" borderId="17379" applyAlignment="1" pivotButton="0" quotePrefix="0" xfId="0">
      <alignment horizontal="right" wrapText="1"/>
    </xf>
    <xf numFmtId="166" fontId="17543" fillId="17548" borderId="17380" applyAlignment="1" pivotButton="0" quotePrefix="0" xfId="0">
      <alignment horizontal="right" wrapText="1"/>
    </xf>
    <xf numFmtId="166" fontId="17544" fillId="17549" borderId="17381" applyAlignment="1" pivotButton="0" quotePrefix="0" xfId="0">
      <alignment horizontal="center" wrapText="1"/>
    </xf>
    <xf numFmtId="166" fontId="17545" fillId="17550" borderId="17382" applyAlignment="1" pivotButton="0" quotePrefix="0" xfId="0">
      <alignment horizontal="right" wrapText="1"/>
    </xf>
    <xf numFmtId="0" fontId="17546" fillId="17551" borderId="17383" applyAlignment="1" pivotButton="0" quotePrefix="0" xfId="0">
      <alignment horizontal="center" vertical="center" wrapText="1"/>
    </xf>
    <xf numFmtId="0" fontId="17547" fillId="17552" borderId="17384" pivotButton="0" quotePrefix="0" xfId="0"/>
    <xf numFmtId="0" fontId="17548" fillId="17553" borderId="17385" pivotButton="0" quotePrefix="0" xfId="0"/>
    <xf numFmtId="0" fontId="17549" fillId="17554" borderId="17386" pivotButton="0" quotePrefix="0" xfId="0"/>
    <xf numFmtId="0" fontId="17550" fillId="17555" borderId="17387" pivotButton="0" quotePrefix="0" xfId="0"/>
    <xf numFmtId="0" fontId="17551" fillId="17556" borderId="17388" pivotButton="0" quotePrefix="0" xfId="0"/>
    <xf numFmtId="0" fontId="17552" fillId="17557" borderId="17389" pivotButton="0" quotePrefix="0" xfId="0"/>
    <xf numFmtId="166" fontId="17553" fillId="17558" borderId="17390" pivotButton="0" quotePrefix="0" xfId="0"/>
    <xf numFmtId="166" fontId="17554" fillId="17559" borderId="17391" pivotButton="0" quotePrefix="0" xfId="0"/>
    <xf numFmtId="166" fontId="17555" fillId="17560" borderId="17392" applyAlignment="1" pivotButton="0" quotePrefix="0" xfId="0">
      <alignment horizontal="center"/>
    </xf>
    <xf numFmtId="166" fontId="17556" fillId="17561" borderId="17393" pivotButton="0" quotePrefix="0" xfId="0"/>
    <xf numFmtId="0" fontId="17557" fillId="17562" borderId="17394" applyAlignment="1" pivotButton="0" quotePrefix="0" xfId="0">
      <alignment horizontal="center"/>
    </xf>
    <xf numFmtId="0" fontId="17558" fillId="17563" borderId="17395" pivotButton="0" quotePrefix="0" xfId="0"/>
    <xf numFmtId="0" fontId="17559" fillId="17564" borderId="17396" pivotButton="0" quotePrefix="0" xfId="0"/>
    <xf numFmtId="0" fontId="17560" fillId="17565" borderId="17397" pivotButton="0" quotePrefix="0" xfId="0"/>
    <xf numFmtId="0" fontId="17561" fillId="17566" borderId="17398" pivotButton="0" quotePrefix="0" xfId="0"/>
    <xf numFmtId="0" fontId="17562" fillId="17567" borderId="17399" pivotButton="0" quotePrefix="0" xfId="0"/>
    <xf numFmtId="0" fontId="17563" fillId="17568" borderId="17400" pivotButton="0" quotePrefix="0" xfId="0"/>
    <xf numFmtId="166" fontId="17564" fillId="17569" borderId="17401" pivotButton="0" quotePrefix="0" xfId="0"/>
    <xf numFmtId="166" fontId="17565" fillId="17570" borderId="17402" pivotButton="0" quotePrefix="0" xfId="0"/>
    <xf numFmtId="166" fontId="17566" fillId="17571" borderId="17403" applyAlignment="1" pivotButton="0" quotePrefix="0" xfId="0">
      <alignment horizontal="center"/>
    </xf>
    <xf numFmtId="166" fontId="17567" fillId="17572" borderId="17404" pivotButton="0" quotePrefix="0" xfId="0"/>
    <xf numFmtId="0" fontId="17568" fillId="17573" borderId="17405" applyAlignment="1" pivotButton="0" quotePrefix="0" xfId="0">
      <alignment horizontal="center"/>
    </xf>
    <xf numFmtId="0" fontId="17569" fillId="17574" borderId="17406" pivotButton="0" quotePrefix="0" xfId="0"/>
    <xf numFmtId="0" fontId="17570" fillId="17575" borderId="17407" pivotButton="0" quotePrefix="0" xfId="0"/>
    <xf numFmtId="0" fontId="17571" fillId="17576" borderId="17408" pivotButton="0" quotePrefix="0" xfId="0"/>
    <xf numFmtId="0" fontId="17572" fillId="17577" borderId="17409" pivotButton="0" quotePrefix="0" xfId="0"/>
    <xf numFmtId="0" fontId="17573" fillId="17578" borderId="17410" pivotButton="0" quotePrefix="0" xfId="0"/>
    <xf numFmtId="0" fontId="17574" fillId="17579" borderId="17411" pivotButton="0" quotePrefix="0" xfId="0"/>
    <xf numFmtId="166" fontId="17575" fillId="17580" borderId="17412" pivotButton="0" quotePrefix="0" xfId="0"/>
    <xf numFmtId="166" fontId="17576" fillId="17581" borderId="17413" pivotButton="0" quotePrefix="0" xfId="0"/>
    <xf numFmtId="166" fontId="17577" fillId="17582" borderId="17414" pivotButton="0" quotePrefix="0" xfId="0"/>
    <xf numFmtId="166" fontId="17578" fillId="17583" borderId="17415" pivotButton="0" quotePrefix="0" xfId="0"/>
    <xf numFmtId="166" fontId="17579" fillId="17584" borderId="17416" pivotButton="0" quotePrefix="0" xfId="0"/>
    <xf numFmtId="0" fontId="17580" fillId="17585" borderId="17417" applyAlignment="1" pivotButton="0" quotePrefix="0" xfId="0">
      <alignment horizontal="center"/>
    </xf>
    <xf numFmtId="0" fontId="17581" fillId="17586" borderId="17418" pivotButton="0" quotePrefix="0" xfId="0"/>
    <xf numFmtId="0" fontId="17582" fillId="17587" borderId="17419" pivotButton="0" quotePrefix="0" xfId="0"/>
    <xf numFmtId="0" fontId="17583" fillId="17588" borderId="17420" pivotButton="0" quotePrefix="0" xfId="0"/>
    <xf numFmtId="0" fontId="17584" fillId="17589" borderId="17421" pivotButton="0" quotePrefix="0" xfId="0"/>
    <xf numFmtId="0" fontId="17585" fillId="17590" borderId="17422" pivotButton="0" quotePrefix="0" xfId="0"/>
    <xf numFmtId="0" fontId="17586" fillId="17591" borderId="17423" pivotButton="0" quotePrefix="0" xfId="0"/>
    <xf numFmtId="166" fontId="17587" fillId="17592" borderId="17424" pivotButton="0" quotePrefix="0" xfId="0"/>
    <xf numFmtId="166" fontId="17588" fillId="17593" borderId="17425" pivotButton="0" quotePrefix="0" xfId="0"/>
    <xf numFmtId="166" fontId="17589" fillId="17594" borderId="17426" pivotButton="0" quotePrefix="0" xfId="0"/>
    <xf numFmtId="166" fontId="17590" fillId="17595" borderId="17427" pivotButton="0" quotePrefix="0" xfId="0"/>
    <xf numFmtId="166" fontId="17591" fillId="17596" borderId="17428" pivotButton="0" quotePrefix="0" xfId="0"/>
    <xf numFmtId="0" fontId="17592" fillId="17597" borderId="17429" applyAlignment="1" pivotButton="0" quotePrefix="0" xfId="0">
      <alignment horizontal="center"/>
    </xf>
    <xf numFmtId="0" fontId="17593" fillId="17598" borderId="17430" pivotButton="0" quotePrefix="0" xfId="0"/>
    <xf numFmtId="0" fontId="17594" fillId="17599" borderId="17431" pivotButton="0" quotePrefix="0" xfId="0"/>
    <xf numFmtId="0" fontId="17595" fillId="17600" borderId="17432" pivotButton="0" quotePrefix="0" xfId="0"/>
    <xf numFmtId="0" fontId="17596" fillId="17601" borderId="17433" pivotButton="0" quotePrefix="0" xfId="0"/>
    <xf numFmtId="0" fontId="17597" fillId="17602" borderId="17434" pivotButton="0" quotePrefix="0" xfId="0"/>
    <xf numFmtId="0" fontId="17598" fillId="17603" borderId="17435" pivotButton="0" quotePrefix="0" xfId="0"/>
    <xf numFmtId="166" fontId="17599" fillId="17604" borderId="17436" pivotButton="0" quotePrefix="0" xfId="0"/>
    <xf numFmtId="166" fontId="17600" fillId="17605" borderId="17437" pivotButton="0" quotePrefix="0" xfId="0"/>
    <xf numFmtId="166" fontId="17601" fillId="17606" borderId="17438" pivotButton="0" quotePrefix="0" xfId="0"/>
    <xf numFmtId="166" fontId="17602" fillId="17607" borderId="17439" pivotButton="0" quotePrefix="0" xfId="0"/>
    <xf numFmtId="166" fontId="17603" fillId="17608" borderId="17440" pivotButton="0" quotePrefix="0" xfId="0"/>
    <xf numFmtId="0" fontId="17604" fillId="17609" borderId="17441" pivotButton="0" quotePrefix="0" xfId="0"/>
    <xf numFmtId="0" fontId="17605" fillId="17610" borderId="17442" pivotButton="0" quotePrefix="0" xfId="0"/>
    <xf numFmtId="0" fontId="17606" fillId="17611" borderId="17443" pivotButton="0" quotePrefix="0" xfId="0"/>
    <xf numFmtId="0" fontId="17607" fillId="17612" borderId="17444" pivotButton="0" quotePrefix="0" xfId="0"/>
    <xf numFmtId="0" fontId="17608" fillId="17613" borderId="17445" pivotButton="0" quotePrefix="0" xfId="0"/>
    <xf numFmtId="0" fontId="17609" fillId="17614" borderId="17446" pivotButton="0" quotePrefix="0" xfId="0"/>
    <xf numFmtId="2" fontId="3" fillId="2" borderId="0" applyAlignment="1" pivotButton="0" quotePrefix="0" xfId="0">
      <alignment horizontal="center" vertical="center" wrapText="1"/>
    </xf>
    <xf numFmtId="0" fontId="17611" fillId="17616" borderId="17447" pivotButton="0" quotePrefix="0" xfId="0"/>
    <xf numFmtId="0" fontId="17612" fillId="17617" borderId="17448" pivotButton="0" quotePrefix="0" xfId="0"/>
    <xf numFmtId="0" fontId="17613" fillId="17618" borderId="17449" pivotButton="0" quotePrefix="0" xfId="0"/>
    <xf numFmtId="0" fontId="17614" fillId="17619" borderId="17450" pivotButton="0" quotePrefix="0" xfId="0"/>
    <xf numFmtId="0" fontId="17615" fillId="17620" borderId="17451" pivotButton="0" quotePrefix="0" xfId="0"/>
    <xf numFmtId="0" fontId="17616" fillId="17621" borderId="17452" applyAlignment="1" pivotButton="0" quotePrefix="0" xfId="0">
      <alignment horizontal="right"/>
    </xf>
    <xf numFmtId="170" fontId="17617" fillId="17622" borderId="17453" pivotButton="0" quotePrefix="0" xfId="0"/>
    <xf numFmtId="170" fontId="17618" fillId="17623" borderId="17454" pivotButton="0" quotePrefix="0" xfId="0"/>
    <xf numFmtId="170" fontId="17619" fillId="17624" borderId="17455" pivotButton="0" quotePrefix="0" xfId="0"/>
    <xf numFmtId="170" fontId="17620" fillId="17625" borderId="17456" pivotButton="0" quotePrefix="0" xfId="0"/>
    <xf numFmtId="170" fontId="17621" fillId="17626" borderId="17457" pivotButton="0" quotePrefix="0" xfId="0"/>
    <xf numFmtId="0" fontId="17622" fillId="17627" borderId="17458" pivotButton="0" quotePrefix="0" xfId="0"/>
    <xf numFmtId="0" fontId="17623" fillId="17628" borderId="17459" pivotButton="0" quotePrefix="0" xfId="0"/>
    <xf numFmtId="0" fontId="17624" fillId="17629" borderId="17460" applyAlignment="1" pivotButton="0" quotePrefix="0" xfId="0">
      <alignment horizontal="center" wrapText="1"/>
    </xf>
    <xf numFmtId="166" fontId="17625" fillId="17630" borderId="17461" applyAlignment="1" pivotButton="0" quotePrefix="0" xfId="0">
      <alignment horizontal="center" wrapText="1"/>
    </xf>
    <xf numFmtId="166" fontId="17626" fillId="17631" borderId="17462" applyAlignment="1" pivotButton="0" quotePrefix="0" xfId="0">
      <alignment horizontal="center" wrapText="1"/>
    </xf>
    <xf numFmtId="166" fontId="17627" fillId="17632" borderId="17463" applyAlignment="1" pivotButton="0" quotePrefix="0" xfId="0">
      <alignment horizontal="center" wrapText="1"/>
    </xf>
    <xf numFmtId="166" fontId="17628" fillId="17633" borderId="17464" applyAlignment="1" pivotButton="0" quotePrefix="0" xfId="0">
      <alignment horizontal="center" wrapText="1"/>
    </xf>
    <xf numFmtId="166" fontId="17629" fillId="17634" borderId="17465" applyAlignment="1" pivotButton="0" quotePrefix="0" xfId="0">
      <alignment horizontal="center" wrapText="1"/>
    </xf>
    <xf numFmtId="166" fontId="17630" fillId="17635" borderId="17466" applyAlignment="1" pivotButton="0" quotePrefix="0" xfId="0">
      <alignment horizontal="center" wrapText="1"/>
    </xf>
    <xf numFmtId="166" fontId="17631" fillId="17636" borderId="17467" applyAlignment="1" pivotButton="0" quotePrefix="0" xfId="0">
      <alignment horizontal="center" wrapText="1"/>
    </xf>
    <xf numFmtId="0" fontId="17632" fillId="17637" borderId="17468" applyAlignment="1" pivotButton="0" quotePrefix="0" xfId="0">
      <alignment horizontal="center" wrapText="1"/>
    </xf>
    <xf numFmtId="0" fontId="17633" fillId="17638" borderId="17469" applyAlignment="1" pivotButton="0" quotePrefix="0" xfId="0">
      <alignment horizontal="center" wrapText="1"/>
    </xf>
    <xf numFmtId="3" fontId="17634" fillId="17639" borderId="17470" pivotButton="0" quotePrefix="0" xfId="0"/>
    <xf numFmtId="3" fontId="17635" fillId="17640" borderId="17471" pivotButton="0" quotePrefix="0" xfId="0"/>
    <xf numFmtId="3" fontId="17636" fillId="17641" borderId="17472" pivotButton="0" quotePrefix="0" xfId="0"/>
    <xf numFmtId="170" fontId="17637" fillId="17642" borderId="17473" pivotButton="0" quotePrefix="0" xfId="0"/>
    <xf numFmtId="169" fontId="17638" fillId="17643" borderId="17474" pivotButton="0" quotePrefix="0" xfId="0"/>
    <xf numFmtId="169" fontId="17639" fillId="17644" borderId="17475" pivotButton="0" quotePrefix="0" xfId="0"/>
    <xf numFmtId="170" fontId="17640" fillId="17645" borderId="17476" pivotButton="0" quotePrefix="0" xfId="0"/>
    <xf numFmtId="170" fontId="17641" fillId="17646" borderId="17477" pivotButton="0" quotePrefix="0" xfId="0"/>
    <xf numFmtId="170" fontId="17642" fillId="17647" borderId="17478" pivotButton="0" quotePrefix="0" xfId="0"/>
    <xf numFmtId="3" fontId="17643" fillId="17648" borderId="17479" pivotButton="0" quotePrefix="0" xfId="0"/>
    <xf numFmtId="3" fontId="17644" fillId="17649" borderId="17480" pivotButton="0" quotePrefix="0" xfId="0"/>
    <xf numFmtId="3" fontId="17645" fillId="17650" borderId="17481" pivotButton="0" quotePrefix="0" xfId="0"/>
    <xf numFmtId="170" fontId="17646" fillId="17651" borderId="17482" pivotButton="0" quotePrefix="0" xfId="0"/>
    <xf numFmtId="169" fontId="17647" fillId="17652" borderId="17483" pivotButton="0" quotePrefix="0" xfId="0"/>
    <xf numFmtId="169" fontId="17648" fillId="17653" borderId="17484" pivotButton="0" quotePrefix="0" xfId="0"/>
    <xf numFmtId="170" fontId="17649" fillId="17654" borderId="17485" pivotButton="0" quotePrefix="0" xfId="0"/>
    <xf numFmtId="170" fontId="17650" fillId="17655" borderId="17486" pivotButton="0" quotePrefix="0" xfId="0"/>
    <xf numFmtId="170" fontId="17651" fillId="17656" borderId="17487" pivotButton="0" quotePrefix="0" xfId="0"/>
    <xf numFmtId="3" fontId="17652" fillId="17657" borderId="17488" pivotButton="0" quotePrefix="0" xfId="0"/>
    <xf numFmtId="3" fontId="17653" fillId="17658" borderId="17489" pivotButton="0" quotePrefix="0" xfId="0"/>
    <xf numFmtId="3" fontId="17654" fillId="17659" borderId="17490" pivotButton="0" quotePrefix="0" xfId="0"/>
    <xf numFmtId="170" fontId="17655" fillId="17660" borderId="17491" pivotButton="0" quotePrefix="0" xfId="0"/>
    <xf numFmtId="169" fontId="17656" fillId="17661" borderId="17492" pivotButton="0" quotePrefix="0" xfId="0"/>
    <xf numFmtId="169" fontId="17657" fillId="17662" borderId="17493" pivotButton="0" quotePrefix="0" xfId="0"/>
    <xf numFmtId="170" fontId="17658" fillId="17663" borderId="17494" pivotButton="0" quotePrefix="0" xfId="0"/>
    <xf numFmtId="170" fontId="17659" fillId="17664" borderId="17495" pivotButton="0" quotePrefix="0" xfId="0"/>
    <xf numFmtId="170" fontId="17660" fillId="17665" borderId="17496" pivotButton="0" quotePrefix="0" xfId="0"/>
    <xf numFmtId="3" fontId="17661" fillId="17666" borderId="17497" pivotButton="0" quotePrefix="0" xfId="0"/>
    <xf numFmtId="3" fontId="17662" fillId="17667" borderId="17498" pivotButton="0" quotePrefix="0" xfId="0"/>
    <xf numFmtId="3" fontId="17663" fillId="17668" borderId="17499" pivotButton="0" quotePrefix="0" xfId="0"/>
    <xf numFmtId="170" fontId="17664" fillId="17669" borderId="17500" pivotButton="0" quotePrefix="0" xfId="0"/>
    <xf numFmtId="169" fontId="17665" fillId="17670" borderId="17501" pivotButton="0" quotePrefix="0" xfId="0"/>
    <xf numFmtId="169" fontId="17666" fillId="17671" borderId="17502" pivotButton="0" quotePrefix="0" xfId="0"/>
    <xf numFmtId="170" fontId="17667" fillId="17672" borderId="17503" pivotButton="0" quotePrefix="0" xfId="0"/>
    <xf numFmtId="170" fontId="17668" fillId="17673" borderId="17504" pivotButton="0" quotePrefix="0" xfId="0"/>
    <xf numFmtId="170" fontId="17669" fillId="17674" borderId="17505" pivotButton="0" quotePrefix="0" xfId="0"/>
    <xf numFmtId="3" fontId="17670" fillId="17675" borderId="17506" pivotButton="0" quotePrefix="0" xfId="0"/>
    <xf numFmtId="3" fontId="17671" fillId="17676" borderId="17507" pivotButton="0" quotePrefix="0" xfId="0"/>
    <xf numFmtId="3" fontId="17672" fillId="17677" borderId="17508" pivotButton="0" quotePrefix="0" xfId="0"/>
    <xf numFmtId="170" fontId="17673" fillId="17678" borderId="17509" pivotButton="0" quotePrefix="0" xfId="0"/>
    <xf numFmtId="169" fontId="17674" fillId="17679" borderId="17510" pivotButton="0" quotePrefix="0" xfId="0"/>
    <xf numFmtId="169" fontId="17675" fillId="17680" borderId="17511" pivotButton="0" quotePrefix="0" xfId="0"/>
    <xf numFmtId="170" fontId="17676" fillId="17681" borderId="17512" pivotButton="0" quotePrefix="0" xfId="0"/>
    <xf numFmtId="170" fontId="17677" fillId="17682" borderId="17513" pivotButton="0" quotePrefix="0" xfId="0"/>
    <xf numFmtId="170" fontId="17678" fillId="17683" borderId="17514" pivotButton="0" quotePrefix="0" xfId="0"/>
    <xf numFmtId="170" fontId="17679" fillId="17684" borderId="17515" pivotButton="0" quotePrefix="0" xfId="0"/>
    <xf numFmtId="169" fontId="17680" fillId="17685" borderId="17516" pivotButton="0" quotePrefix="0" xfId="0"/>
    <xf numFmtId="169" fontId="17681" fillId="17686" borderId="17517" pivotButton="0" quotePrefix="0" xfId="0"/>
    <xf numFmtId="170" fontId="17682" fillId="17687" borderId="17518" pivotButton="0" quotePrefix="0" xfId="0"/>
    <xf numFmtId="0" fontId="16481" fillId="16487" borderId="16339" applyAlignment="1" pivotButton="0" quotePrefix="0" xfId="0">
      <alignment wrapText="1"/>
    </xf>
    <xf numFmtId="0" fontId="16482" fillId="16488" borderId="16340" applyAlignment="1" pivotButton="0" quotePrefix="0" xfId="0">
      <alignment wrapText="1"/>
    </xf>
    <xf numFmtId="0" fontId="16483" fillId="16489" borderId="16341" applyAlignment="1" pivotButton="0" quotePrefix="0" xfId="0">
      <alignment wrapText="1"/>
    </xf>
    <xf numFmtId="0" fontId="16484" fillId="16490" borderId="16342" applyAlignment="1" pivotButton="0" quotePrefix="0" xfId="0">
      <alignment wrapText="1"/>
    </xf>
    <xf numFmtId="0" fontId="16485" fillId="16491" borderId="16343" applyAlignment="1" pivotButton="0" quotePrefix="0" xfId="0">
      <alignment wrapText="1"/>
    </xf>
    <xf numFmtId="0" fontId="16486" fillId="16492" borderId="16344" applyAlignment="1" pivotButton="0" quotePrefix="0" xfId="0">
      <alignment wrapText="1"/>
    </xf>
    <xf numFmtId="0" fontId="16487" fillId="16493" borderId="16345" applyAlignment="1" pivotButton="0" quotePrefix="0" xfId="0">
      <alignment wrapText="1"/>
    </xf>
    <xf numFmtId="0" fontId="16488" fillId="16494" borderId="16346" applyAlignment="1" pivotButton="0" quotePrefix="0" xfId="0">
      <alignment wrapText="1"/>
    </xf>
    <xf numFmtId="0" fontId="16489" fillId="16495" borderId="16347" applyAlignment="1" pivotButton="0" quotePrefix="0" xfId="0">
      <alignment horizontal="left" wrapText="1"/>
    </xf>
    <xf numFmtId="166" fontId="16490" fillId="16496" borderId="16348" applyAlignment="1" pivotButton="0" quotePrefix="0" xfId="0">
      <alignment horizontal="right" wrapText="1"/>
    </xf>
    <xf numFmtId="166" fontId="16491" fillId="16497" borderId="16349" applyAlignment="1" pivotButton="0" quotePrefix="0" xfId="0">
      <alignment horizontal="right" wrapText="1"/>
    </xf>
    <xf numFmtId="166" fontId="16492" fillId="16498" borderId="16350" applyAlignment="1" pivotButton="0" quotePrefix="0" xfId="0">
      <alignment horizontal="right" wrapText="1"/>
    </xf>
    <xf numFmtId="166" fontId="16493" fillId="16499" borderId="16351" applyAlignment="1" pivotButton="0" quotePrefix="0" xfId="0">
      <alignment horizontal="right" wrapText="1"/>
    </xf>
    <xf numFmtId="166" fontId="16494" fillId="16500" borderId="16352" applyAlignment="1" pivotButton="0" quotePrefix="0" xfId="0">
      <alignment horizontal="right" wrapText="1"/>
    </xf>
    <xf numFmtId="166" fontId="16495" fillId="16501" borderId="16353" applyAlignment="1" pivotButton="0" quotePrefix="0" xfId="0">
      <alignment horizontal="right" wrapText="1"/>
    </xf>
    <xf numFmtId="0" fontId="15490" fillId="15496" borderId="14836" applyAlignment="1" pivotButton="0" quotePrefix="0" xfId="0">
      <alignment horizontal="center"/>
    </xf>
    <xf numFmtId="0" fontId="15308" fillId="15314" borderId="14948" applyAlignment="1" pivotButton="0" quotePrefix="0" xfId="0">
      <alignment horizontal="center"/>
    </xf>
    <xf numFmtId="0" fontId="15098" fillId="15104" borderId="15242" applyAlignment="1" pivotButton="0" quotePrefix="0" xfId="0">
      <alignment horizontal="center"/>
    </xf>
    <xf numFmtId="0" fontId="15210" fillId="15216" borderId="14878" applyAlignment="1" pivotButton="0" quotePrefix="0" xfId="0">
      <alignment horizontal="center"/>
    </xf>
    <xf numFmtId="0" fontId="15420" fillId="15426" borderId="15144" applyAlignment="1" pivotButton="0" quotePrefix="0" xfId="0">
      <alignment horizontal="center"/>
    </xf>
    <xf numFmtId="0" fontId="15294" fillId="15300" borderId="15018" applyAlignment="1" pivotButton="0" quotePrefix="0" xfId="0">
      <alignment horizontal="center"/>
    </xf>
    <xf numFmtId="0" fontId="15126" fillId="15132" borderId="15228" applyAlignment="1" pivotButton="0" quotePrefix="0" xfId="0">
      <alignment horizontal="center"/>
    </xf>
    <xf numFmtId="0" fontId="15182" fillId="15188" borderId="15074" applyAlignment="1" pivotButton="0" quotePrefix="0" xfId="0">
      <alignment horizontal="center"/>
    </xf>
    <xf numFmtId="0" fontId="15084" fillId="15090" borderId="15130" applyAlignment="1" pivotButton="0" quotePrefix="0" xfId="0">
      <alignment horizontal="center"/>
    </xf>
    <xf numFmtId="0" fontId="15364" fillId="15370" borderId="15032" applyAlignment="1" pivotButton="0" quotePrefix="0" xfId="0">
      <alignment horizontal="center"/>
    </xf>
    <xf numFmtId="0" fontId="15042" fillId="15048" borderId="15298" applyAlignment="1" pivotButton="0" quotePrefix="0" xfId="0">
      <alignment horizontal="center"/>
    </xf>
    <xf numFmtId="0" fontId="15238" fillId="15244" borderId="14906" applyAlignment="1" pivotButton="0" quotePrefix="0" xfId="0">
      <alignment horizontal="center"/>
    </xf>
    <xf numFmtId="0" fontId="15056" fillId="15062" borderId="15172" applyAlignment="1" pivotButton="0" quotePrefix="0" xfId="0">
      <alignment horizontal="center"/>
    </xf>
    <xf numFmtId="0" fontId="15070" fillId="15076" borderId="15046" applyAlignment="1" pivotButton="0" quotePrefix="0" xfId="0">
      <alignment horizontal="center"/>
    </xf>
    <xf numFmtId="0" fontId="15504" fillId="15510" borderId="14850" applyAlignment="1" pivotButton="0" quotePrefix="0" xfId="0">
      <alignment horizontal="center"/>
    </xf>
    <xf numFmtId="0" fontId="15322" fillId="15328" borderId="14962" applyAlignment="1" pivotButton="0" quotePrefix="0" xfId="0">
      <alignment horizontal="center"/>
    </xf>
    <xf numFmtId="0" fontId="15448" fillId="15454" borderId="15256" applyAlignment="1" pivotButton="0" quotePrefix="0" xfId="0">
      <alignment horizontal="center"/>
    </xf>
    <xf numFmtId="0" fontId="15224" fillId="15230" borderId="14892" applyAlignment="1" pivotButton="0" quotePrefix="0" xfId="0">
      <alignment horizontal="center"/>
    </xf>
    <xf numFmtId="0" fontId="15392" fillId="15398" borderId="15158" applyAlignment="1" pivotButton="0" quotePrefix="0" xfId="0">
      <alignment horizontal="center"/>
    </xf>
    <xf numFmtId="0" fontId="14909" fillId="14914" borderId="15326" applyAlignment="1" pivotButton="0" quotePrefix="0" xfId="0">
      <alignment horizontal="center"/>
    </xf>
    <xf numFmtId="0" fontId="15518" fillId="15524" borderId="14864" applyAlignment="1" pivotButton="0" quotePrefix="0" xfId="0">
      <alignment horizontal="center"/>
    </xf>
    <xf numFmtId="0" fontId="15336" fillId="15342" borderId="14976" applyAlignment="1" pivotButton="0" quotePrefix="0" xfId="0">
      <alignment horizontal="center"/>
    </xf>
    <xf numFmtId="0" fontId="15476" fillId="15482" borderId="15270" applyAlignment="1" pivotButton="0" quotePrefix="0" xfId="0">
      <alignment horizontal="center"/>
    </xf>
    <xf numFmtId="0" fontId="15266" fillId="15272" borderId="14934" applyAlignment="1" pivotButton="0" quotePrefix="0" xfId="0">
      <alignment horizontal="center"/>
    </xf>
    <xf numFmtId="0" fontId="14923" fillId="14928" borderId="15200" applyAlignment="1" pivotButton="0" quotePrefix="0" xfId="0">
      <alignment horizontal="center"/>
    </xf>
    <xf numFmtId="0" fontId="15196" fillId="15202" borderId="15060" applyAlignment="1" pivotButton="0" quotePrefix="0" xfId="0">
      <alignment horizontal="center"/>
    </xf>
    <xf numFmtId="0" fontId="15252" fillId="15258" borderId="14920" applyAlignment="1" pivotButton="0" quotePrefix="0" xfId="0">
      <alignment horizontal="center"/>
    </xf>
    <xf numFmtId="0" fontId="15140" fillId="15146" borderId="15186" applyAlignment="1" pivotButton="0" quotePrefix="0" xfId="0">
      <alignment horizontal="center"/>
    </xf>
    <xf numFmtId="0" fontId="15406" fillId="15412" borderId="15088" applyAlignment="1" pivotButton="0" quotePrefix="0" xfId="0">
      <alignment horizontal="center"/>
    </xf>
    <xf numFmtId="0" fontId="15280" fillId="15286" borderId="14990" applyAlignment="1" pivotButton="0" quotePrefix="0" xfId="0">
      <alignment horizontal="center"/>
    </xf>
    <xf numFmtId="0" fontId="15434" fillId="15440" borderId="15214" applyAlignment="1" pivotButton="0" quotePrefix="0" xfId="0">
      <alignment horizontal="center"/>
    </xf>
    <xf numFmtId="0" fontId="15168" fillId="15174" borderId="15340" applyAlignment="1" pivotButton="0" quotePrefix="0" xfId="0">
      <alignment horizontal="center"/>
    </xf>
    <xf numFmtId="0" fontId="15378" fillId="15384" borderId="15116" applyAlignment="1" pivotButton="0" quotePrefix="0" xfId="0">
      <alignment horizontal="center"/>
    </xf>
    <xf numFmtId="0" fontId="15112" fillId="15118" borderId="15312" applyAlignment="1" pivotButton="0" quotePrefix="0" xfId="0">
      <alignment horizontal="center"/>
    </xf>
    <xf numFmtId="0" fontId="15350" fillId="15356" borderId="15004" applyAlignment="1" pivotButton="0" quotePrefix="0" xfId="0">
      <alignment horizontal="center"/>
    </xf>
    <xf numFmtId="0" fontId="15154" fillId="15160" borderId="15284" applyAlignment="1" pivotButton="0" quotePrefix="0" xfId="0">
      <alignment horizontal="center"/>
    </xf>
    <xf numFmtId="0" fontId="15462" fillId="15468" borderId="15102" applyAlignment="1" pivotButton="0" quotePrefix="0" xfId="0">
      <alignment horizontal="center"/>
    </xf>
    <xf numFmtId="14" fontId="15491" fillId="15497" borderId="14837" pivotButton="0" quotePrefix="0" xfId="0"/>
    <xf numFmtId="14" fontId="15309" fillId="15315" borderId="14949" pivotButton="0" quotePrefix="0" xfId="0"/>
    <xf numFmtId="14" fontId="15099" fillId="15105" borderId="15243" pivotButton="0" quotePrefix="0" xfId="0"/>
    <xf numFmtId="14" fontId="15211" fillId="15217" borderId="14879" pivotButton="0" quotePrefix="0" xfId="0"/>
    <xf numFmtId="14" fontId="15421" fillId="15427" borderId="15145" pivotButton="0" quotePrefix="0" xfId="0"/>
    <xf numFmtId="14" fontId="15295" fillId="15301" borderId="15019" pivotButton="0" quotePrefix="0" xfId="0"/>
    <xf numFmtId="14" fontId="15127" fillId="15133" borderId="15229" pivotButton="0" quotePrefix="0" xfId="0"/>
    <xf numFmtId="14" fontId="15183" fillId="15189" borderId="15075" pivotButton="0" quotePrefix="0" xfId="0"/>
    <xf numFmtId="14" fontId="15085" fillId="15091" borderId="15131" pivotButton="0" quotePrefix="0" xfId="0"/>
    <xf numFmtId="14" fontId="15365" fillId="15371" borderId="15033" pivotButton="0" quotePrefix="0" xfId="0"/>
    <xf numFmtId="14" fontId="15043" fillId="15049" borderId="15299" pivotButton="0" quotePrefix="0" xfId="0"/>
    <xf numFmtId="14" fontId="15239" fillId="15245" borderId="14907" pivotButton="0" quotePrefix="0" xfId="0"/>
    <xf numFmtId="14" fontId="15057" fillId="15063" borderId="15173" pivotButton="0" quotePrefix="0" xfId="0"/>
    <xf numFmtId="14" fontId="15071" fillId="15077" borderId="15047" pivotButton="0" quotePrefix="0" xfId="0"/>
    <xf numFmtId="14" fontId="15505" fillId="15511" borderId="14851" pivotButton="0" quotePrefix="0" xfId="0"/>
    <xf numFmtId="14" fontId="15323" fillId="15329" borderId="14963" pivotButton="0" quotePrefix="0" xfId="0"/>
    <xf numFmtId="14" fontId="15449" fillId="15455" borderId="15257" pivotButton="0" quotePrefix="0" xfId="0"/>
    <xf numFmtId="14" fontId="15225" fillId="15231" borderId="14893" pivotButton="0" quotePrefix="0" xfId="0"/>
    <xf numFmtId="14" fontId="15393" fillId="15399" borderId="15159" pivotButton="0" quotePrefix="0" xfId="0"/>
    <xf numFmtId="14" fontId="14910" fillId="14915" borderId="15327" pivotButton="0" quotePrefix="0" xfId="0"/>
    <xf numFmtId="14" fontId="15519" fillId="15525" borderId="14865" pivotButton="0" quotePrefix="0" xfId="0"/>
    <xf numFmtId="14" fontId="15337" fillId="15343" borderId="14977" pivotButton="0" quotePrefix="0" xfId="0"/>
    <xf numFmtId="14" fontId="15477" fillId="15483" borderId="15271" pivotButton="0" quotePrefix="0" xfId="0"/>
    <xf numFmtId="14" fontId="15267" fillId="15273" borderId="14935" pivotButton="0" quotePrefix="0" xfId="0"/>
    <xf numFmtId="14" fontId="14924" fillId="14929" borderId="15201" pivotButton="0" quotePrefix="0" xfId="0"/>
    <xf numFmtId="14" fontId="15197" fillId="15203" borderId="15061" pivotButton="0" quotePrefix="0" xfId="0"/>
    <xf numFmtId="14" fontId="15253" fillId="15259" borderId="14921" pivotButton="0" quotePrefix="0" xfId="0"/>
    <xf numFmtId="14" fontId="15141" fillId="15147" borderId="15187" pivotButton="0" quotePrefix="0" xfId="0"/>
    <xf numFmtId="14" fontId="15407" fillId="15413" borderId="15089" pivotButton="0" quotePrefix="0" xfId="0"/>
    <xf numFmtId="14" fontId="15281" fillId="15287" borderId="14991" pivotButton="0" quotePrefix="0" xfId="0"/>
    <xf numFmtId="14" fontId="15435" fillId="15441" borderId="15215" pivotButton="0" quotePrefix="0" xfId="0"/>
    <xf numFmtId="14" fontId="15169" fillId="15175" borderId="15341" pivotButton="0" quotePrefix="0" xfId="0"/>
    <xf numFmtId="14" fontId="15379" fillId="15385" borderId="15117" pivotButton="0" quotePrefix="0" xfId="0"/>
    <xf numFmtId="14" fontId="15113" fillId="15119" borderId="15313" pivotButton="0" quotePrefix="0" xfId="0"/>
    <xf numFmtId="14" fontId="15351" fillId="15357" borderId="15005" pivotButton="0" quotePrefix="0" xfId="0"/>
    <xf numFmtId="14" fontId="15155" fillId="15161" borderId="15285" pivotButton="0" quotePrefix="0" xfId="0"/>
    <xf numFmtId="14" fontId="15463" fillId="15469" borderId="15103" pivotButton="0" quotePrefix="0" xfId="0"/>
    <xf numFmtId="0" fontId="15492" fillId="15498" borderId="14838" applyAlignment="1" pivotButton="0" quotePrefix="0" xfId="0">
      <alignment horizontal="center"/>
    </xf>
    <xf numFmtId="0" fontId="15310" fillId="15316" borderId="14950" applyAlignment="1" pivotButton="0" quotePrefix="0" xfId="0">
      <alignment horizontal="center"/>
    </xf>
    <xf numFmtId="0" fontId="15100" fillId="15106" borderId="15244" applyAlignment="1" pivotButton="0" quotePrefix="0" xfId="0">
      <alignment horizontal="center"/>
    </xf>
    <xf numFmtId="0" fontId="15212" fillId="15218" borderId="14880" applyAlignment="1" pivotButton="0" quotePrefix="0" xfId="0">
      <alignment horizontal="center"/>
    </xf>
    <xf numFmtId="0" fontId="15422" fillId="15428" borderId="15146" applyAlignment="1" pivotButton="0" quotePrefix="0" xfId="0">
      <alignment horizontal="center"/>
    </xf>
    <xf numFmtId="0" fontId="15296" fillId="15302" borderId="15020" applyAlignment="1" pivotButton="0" quotePrefix="0" xfId="0">
      <alignment horizontal="center"/>
    </xf>
    <xf numFmtId="0" fontId="15128" fillId="15134" borderId="15230" applyAlignment="1" pivotButton="0" quotePrefix="0" xfId="0">
      <alignment horizontal="center"/>
    </xf>
    <xf numFmtId="0" fontId="15184" fillId="15190" borderId="15076" applyAlignment="1" pivotButton="0" quotePrefix="0" xfId="0">
      <alignment horizontal="center"/>
    </xf>
    <xf numFmtId="0" fontId="15086" fillId="15092" borderId="15132" applyAlignment="1" pivotButton="0" quotePrefix="0" xfId="0">
      <alignment horizontal="center"/>
    </xf>
    <xf numFmtId="0" fontId="15366" fillId="15372" borderId="15034" applyAlignment="1" pivotButton="0" quotePrefix="0" xfId="0">
      <alignment horizontal="center"/>
    </xf>
    <xf numFmtId="0" fontId="15044" fillId="15050" borderId="15300" applyAlignment="1" pivotButton="0" quotePrefix="0" xfId="0">
      <alignment horizontal="center"/>
    </xf>
    <xf numFmtId="0" fontId="15240" fillId="15246" borderId="14908" applyAlignment="1" pivotButton="0" quotePrefix="0" xfId="0">
      <alignment horizontal="center"/>
    </xf>
    <xf numFmtId="0" fontId="15058" fillId="15064" borderId="15174" applyAlignment="1" pivotButton="0" quotePrefix="0" xfId="0">
      <alignment horizontal="center"/>
    </xf>
    <xf numFmtId="0" fontId="15072" fillId="15078" borderId="15048" applyAlignment="1" pivotButton="0" quotePrefix="0" xfId="0">
      <alignment horizontal="center"/>
    </xf>
    <xf numFmtId="0" fontId="15506" fillId="15512" borderId="14852" applyAlignment="1" pivotButton="0" quotePrefix="0" xfId="0">
      <alignment horizontal="center"/>
    </xf>
    <xf numFmtId="0" fontId="15324" fillId="15330" borderId="14964" applyAlignment="1" pivotButton="0" quotePrefix="0" xfId="0">
      <alignment horizontal="center"/>
    </xf>
    <xf numFmtId="0" fontId="15450" fillId="15456" borderId="15258" applyAlignment="1" pivotButton="0" quotePrefix="0" xfId="0">
      <alignment horizontal="center"/>
    </xf>
    <xf numFmtId="0" fontId="15226" fillId="15232" borderId="14894" applyAlignment="1" pivotButton="0" quotePrefix="0" xfId="0">
      <alignment horizontal="center"/>
    </xf>
    <xf numFmtId="0" fontId="15394" fillId="15400" borderId="15160" applyAlignment="1" pivotButton="0" quotePrefix="0" xfId="0">
      <alignment horizontal="center"/>
    </xf>
    <xf numFmtId="0" fontId="14911" fillId="14916" borderId="15328" applyAlignment="1" pivotButton="0" quotePrefix="0" xfId="0">
      <alignment horizontal="center"/>
    </xf>
    <xf numFmtId="0" fontId="15520" fillId="15526" borderId="14866" applyAlignment="1" pivotButton="0" quotePrefix="0" xfId="0">
      <alignment horizontal="center"/>
    </xf>
    <xf numFmtId="0" fontId="15338" fillId="15344" borderId="14978" applyAlignment="1" pivotButton="0" quotePrefix="0" xfId="0">
      <alignment horizontal="center"/>
    </xf>
    <xf numFmtId="0" fontId="15478" fillId="15484" borderId="15272" applyAlignment="1" pivotButton="0" quotePrefix="0" xfId="0">
      <alignment horizontal="center"/>
    </xf>
    <xf numFmtId="0" fontId="15268" fillId="15274" borderId="14936" applyAlignment="1" pivotButton="0" quotePrefix="0" xfId="0">
      <alignment horizontal="center"/>
    </xf>
    <xf numFmtId="0" fontId="14925" fillId="14930" borderId="15202" applyAlignment="1" pivotButton="0" quotePrefix="0" xfId="0">
      <alignment horizontal="center"/>
    </xf>
    <xf numFmtId="0" fontId="15198" fillId="15204" borderId="15062" applyAlignment="1" pivotButton="0" quotePrefix="0" xfId="0">
      <alignment horizontal="center"/>
    </xf>
    <xf numFmtId="0" fontId="15254" fillId="15260" borderId="14922" applyAlignment="1" pivotButton="0" quotePrefix="0" xfId="0">
      <alignment horizontal="center"/>
    </xf>
    <xf numFmtId="0" fontId="15142" fillId="15148" borderId="15188" applyAlignment="1" pivotButton="0" quotePrefix="0" xfId="0">
      <alignment horizontal="center"/>
    </xf>
    <xf numFmtId="0" fontId="15408" fillId="15414" borderId="15090" applyAlignment="1" pivotButton="0" quotePrefix="0" xfId="0">
      <alignment horizontal="center"/>
    </xf>
    <xf numFmtId="0" fontId="15282" fillId="15288" borderId="14992" applyAlignment="1" pivotButton="0" quotePrefix="0" xfId="0">
      <alignment horizontal="center"/>
    </xf>
    <xf numFmtId="0" fontId="15436" fillId="15442" borderId="15216" applyAlignment="1" pivotButton="0" quotePrefix="0" xfId="0">
      <alignment horizontal="center"/>
    </xf>
    <xf numFmtId="0" fontId="15170" fillId="15176" borderId="15342" applyAlignment="1" pivotButton="0" quotePrefix="0" xfId="0">
      <alignment horizontal="center"/>
    </xf>
    <xf numFmtId="0" fontId="15380" fillId="15386" borderId="15118" applyAlignment="1" pivotButton="0" quotePrefix="0" xfId="0">
      <alignment horizontal="center"/>
    </xf>
    <xf numFmtId="0" fontId="15114" fillId="15120" borderId="15314" applyAlignment="1" pivotButton="0" quotePrefix="0" xfId="0">
      <alignment horizontal="center"/>
    </xf>
    <xf numFmtId="0" fontId="15352" fillId="15358" borderId="15006" applyAlignment="1" pivotButton="0" quotePrefix="0" xfId="0">
      <alignment horizontal="center"/>
    </xf>
    <xf numFmtId="0" fontId="15156" fillId="15162" borderId="15286" applyAlignment="1" pivotButton="0" quotePrefix="0" xfId="0">
      <alignment horizontal="center"/>
    </xf>
    <xf numFmtId="0" fontId="15464" fillId="15470" borderId="15104" applyAlignment="1" pivotButton="0" quotePrefix="0" xfId="0">
      <alignment horizontal="center"/>
    </xf>
    <xf numFmtId="0" fontId="15493" fillId="15499" borderId="14839" pivotButton="0" quotePrefix="0" xfId="0"/>
    <xf numFmtId="0" fontId="15311" fillId="15317" borderId="14951" pivotButton="0" quotePrefix="0" xfId="0"/>
    <xf numFmtId="0" fontId="15101" fillId="15107" borderId="15245" pivotButton="0" quotePrefix="0" xfId="0"/>
    <xf numFmtId="0" fontId="15213" fillId="15219" borderId="14881" pivotButton="0" quotePrefix="0" xfId="0"/>
    <xf numFmtId="0" fontId="15423" fillId="15429" borderId="15147" pivotButton="0" quotePrefix="0" xfId="0"/>
    <xf numFmtId="0" fontId="15297" fillId="15303" borderId="15021" pivotButton="0" quotePrefix="0" xfId="0"/>
    <xf numFmtId="0" fontId="15129" fillId="15135" borderId="15231" pivotButton="0" quotePrefix="0" xfId="0"/>
    <xf numFmtId="0" fontId="15185" fillId="15191" borderId="15077" pivotButton="0" quotePrefix="0" xfId="0"/>
    <xf numFmtId="0" fontId="15087" fillId="15093" borderId="15133" pivotButton="0" quotePrefix="0" xfId="0"/>
    <xf numFmtId="0" fontId="15367" fillId="15373" borderId="15035" pivotButton="0" quotePrefix="0" xfId="0"/>
    <xf numFmtId="0" fontId="15045" fillId="15051" borderId="15301" pivotButton="0" quotePrefix="0" xfId="0"/>
    <xf numFmtId="0" fontId="15241" fillId="15247" borderId="14909" pivotButton="0" quotePrefix="0" xfId="0"/>
    <xf numFmtId="0" fontId="15059" fillId="15065" borderId="15175" pivotButton="0" quotePrefix="0" xfId="0"/>
    <xf numFmtId="0" fontId="15073" fillId="15079" borderId="15049" pivotButton="0" quotePrefix="0" xfId="0"/>
    <xf numFmtId="0" fontId="15507" fillId="15513" borderId="14853" pivotButton="0" quotePrefix="0" xfId="0"/>
    <xf numFmtId="0" fontId="15325" fillId="15331" borderId="14965" pivotButton="0" quotePrefix="0" xfId="0"/>
    <xf numFmtId="0" fontId="15451" fillId="15457" borderId="15259" pivotButton="0" quotePrefix="0" xfId="0"/>
    <xf numFmtId="0" fontId="15227" fillId="15233" borderId="14895" pivotButton="0" quotePrefix="0" xfId="0"/>
    <xf numFmtId="0" fontId="15395" fillId="15401" borderId="15161" pivotButton="0" quotePrefix="0" xfId="0"/>
    <xf numFmtId="0" fontId="14912" fillId="14917" borderId="15329" pivotButton="0" quotePrefix="0" xfId="0"/>
    <xf numFmtId="0" fontId="15521" fillId="15527" borderId="14867" pivotButton="0" quotePrefix="0" xfId="0"/>
    <xf numFmtId="0" fontId="15339" fillId="15345" borderId="14979" pivotButton="0" quotePrefix="0" xfId="0"/>
    <xf numFmtId="0" fontId="15479" fillId="15485" borderId="15273" pivotButton="0" quotePrefix="0" xfId="0"/>
    <xf numFmtId="0" fontId="15269" fillId="15275" borderId="14937" pivotButton="0" quotePrefix="0" xfId="0"/>
    <xf numFmtId="0" fontId="14926" fillId="14931" borderId="15203" pivotButton="0" quotePrefix="0" xfId="0"/>
    <xf numFmtId="0" fontId="15199" fillId="15205" borderId="15063" pivotButton="0" quotePrefix="0" xfId="0"/>
    <xf numFmtId="0" fontId="15255" fillId="15261" borderId="14923" pivotButton="0" quotePrefix="0" xfId="0"/>
    <xf numFmtId="0" fontId="15143" fillId="15149" borderId="15189" pivotButton="0" quotePrefix="0" xfId="0"/>
    <xf numFmtId="0" fontId="15409" fillId="15415" borderId="15091" pivotButton="0" quotePrefix="0" xfId="0"/>
    <xf numFmtId="0" fontId="15283" fillId="15289" borderId="14993" pivotButton="0" quotePrefix="0" xfId="0"/>
    <xf numFmtId="0" fontId="15437" fillId="15443" borderId="15217" pivotButton="0" quotePrefix="0" xfId="0"/>
    <xf numFmtId="0" fontId="15171" fillId="15177" borderId="15343" pivotButton="0" quotePrefix="0" xfId="0"/>
    <xf numFmtId="0" fontId="15381" fillId="15387" borderId="15119" pivotButton="0" quotePrefix="0" xfId="0"/>
    <xf numFmtId="0" fontId="15115" fillId="15121" borderId="15315" pivotButton="0" quotePrefix="0" xfId="0"/>
    <xf numFmtId="0" fontId="15353" fillId="15359" borderId="15007" pivotButton="0" quotePrefix="0" xfId="0"/>
    <xf numFmtId="0" fontId="15157" fillId="15163" borderId="15287" pivotButton="0" quotePrefix="0" xfId="0"/>
    <xf numFmtId="0" fontId="15465" fillId="15471" borderId="15105" pivotButton="0" quotePrefix="0" xfId="0"/>
    <xf numFmtId="4" fontId="15494" fillId="15500" borderId="14840" pivotButton="0" quotePrefix="0" xfId="0"/>
    <xf numFmtId="4" fontId="15312" fillId="15318" borderId="14952" pivotButton="0" quotePrefix="0" xfId="0"/>
    <xf numFmtId="4" fontId="15102" fillId="15108" borderId="15246" pivotButton="0" quotePrefix="0" xfId="0"/>
    <xf numFmtId="4" fontId="15214" fillId="15220" borderId="14882" pivotButton="0" quotePrefix="0" xfId="0"/>
    <xf numFmtId="4" fontId="15424" fillId="15430" borderId="15148" pivotButton="0" quotePrefix="0" xfId="0"/>
    <xf numFmtId="4" fontId="15298" fillId="15304" borderId="15022" pivotButton="0" quotePrefix="0" xfId="0"/>
    <xf numFmtId="4" fontId="15130" fillId="15136" borderId="15232" pivotButton="0" quotePrefix="0" xfId="0"/>
    <xf numFmtId="4" fontId="15186" fillId="15192" borderId="15078" pivotButton="0" quotePrefix="0" xfId="0"/>
    <xf numFmtId="4" fontId="15088" fillId="15094" borderId="15134" pivotButton="0" quotePrefix="0" xfId="0"/>
    <xf numFmtId="4" fontId="15368" fillId="15374" borderId="15036" pivotButton="0" quotePrefix="0" xfId="0"/>
    <xf numFmtId="4" fontId="15046" fillId="15052" borderId="15302" pivotButton="0" quotePrefix="0" xfId="0"/>
    <xf numFmtId="4" fontId="15242" fillId="15248" borderId="14910" pivotButton="0" quotePrefix="0" xfId="0"/>
    <xf numFmtId="4" fontId="15060" fillId="15066" borderId="15176" pivotButton="0" quotePrefix="0" xfId="0"/>
    <xf numFmtId="4" fontId="15074" fillId="15080" borderId="15050" pivotButton="0" quotePrefix="0" xfId="0"/>
    <xf numFmtId="4" fontId="15508" fillId="15514" borderId="14854" pivotButton="0" quotePrefix="0" xfId="0"/>
    <xf numFmtId="4" fontId="15326" fillId="15332" borderId="14966" pivotButton="0" quotePrefix="0" xfId="0"/>
    <xf numFmtId="4" fontId="15452" fillId="15458" borderId="15260" pivotButton="0" quotePrefix="0" xfId="0"/>
    <xf numFmtId="4" fontId="15228" fillId="15234" borderId="14896" pivotButton="0" quotePrefix="0" xfId="0"/>
    <xf numFmtId="4" fontId="15396" fillId="15402" borderId="15162" pivotButton="0" quotePrefix="0" xfId="0"/>
    <xf numFmtId="4" fontId="14913" fillId="14918" borderId="15330" pivotButton="0" quotePrefix="0" xfId="0"/>
    <xf numFmtId="4" fontId="15522" fillId="15528" borderId="14868" pivotButton="0" quotePrefix="0" xfId="0"/>
    <xf numFmtId="4" fontId="15340" fillId="15346" borderId="14980" pivotButton="0" quotePrefix="0" xfId="0"/>
    <xf numFmtId="4" fontId="15480" fillId="15486" borderId="15274" pivotButton="0" quotePrefix="0" xfId="0"/>
    <xf numFmtId="4" fontId="15270" fillId="15276" borderId="14938" pivotButton="0" quotePrefix="0" xfId="0"/>
    <xf numFmtId="4" fontId="14927" fillId="14932" borderId="15204" pivotButton="0" quotePrefix="0" xfId="0"/>
    <xf numFmtId="4" fontId="15200" fillId="15206" borderId="15064" pivotButton="0" quotePrefix="0" xfId="0"/>
    <xf numFmtId="4" fontId="15256" fillId="15262" borderId="14924" pivotButton="0" quotePrefix="0" xfId="0"/>
    <xf numFmtId="4" fontId="15144" fillId="15150" borderId="15190" pivotButton="0" quotePrefix="0" xfId="0"/>
    <xf numFmtId="4" fontId="15410" fillId="15416" borderId="15092" pivotButton="0" quotePrefix="0" xfId="0"/>
    <xf numFmtId="4" fontId="15284" fillId="15290" borderId="14994" pivotButton="0" quotePrefix="0" xfId="0"/>
    <xf numFmtId="4" fontId="15438" fillId="15444" borderId="15218" pivotButton="0" quotePrefix="0" xfId="0"/>
    <xf numFmtId="4" fontId="15172" fillId="15178" borderId="15344" pivotButton="0" quotePrefix="0" xfId="0"/>
    <xf numFmtId="4" fontId="15382" fillId="15388" borderId="15120" pivotButton="0" quotePrefix="0" xfId="0"/>
    <xf numFmtId="4" fontId="15116" fillId="15122" borderId="15316" pivotButton="0" quotePrefix="0" xfId="0"/>
    <xf numFmtId="4" fontId="15354" fillId="15360" borderId="15008" pivotButton="0" quotePrefix="0" xfId="0"/>
    <xf numFmtId="4" fontId="15158" fillId="15164" borderId="15288" pivotButton="0" quotePrefix="0" xfId="0"/>
    <xf numFmtId="4" fontId="15466" fillId="15472" borderId="15106" pivotButton="0" quotePrefix="0" xfId="0"/>
    <xf numFmtId="167" fontId="15495" fillId="15501" borderId="14841" pivotButton="0" quotePrefix="0" xfId="0"/>
    <xf numFmtId="167" fontId="15313" fillId="15319" borderId="14953" pivotButton="0" quotePrefix="0" xfId="0"/>
    <xf numFmtId="167" fontId="15103" fillId="15109" borderId="15247" pivotButton="0" quotePrefix="0" xfId="0"/>
    <xf numFmtId="167" fontId="15215" fillId="15221" borderId="14883" pivotButton="0" quotePrefix="0" xfId="0"/>
    <xf numFmtId="167" fontId="15425" fillId="15431" borderId="15149" pivotButton="0" quotePrefix="0" xfId="0"/>
    <xf numFmtId="167" fontId="15299" fillId="15305" borderId="15023" pivotButton="0" quotePrefix="0" xfId="0"/>
    <xf numFmtId="167" fontId="15131" fillId="15137" borderId="15233" pivotButton="0" quotePrefix="0" xfId="0"/>
    <xf numFmtId="167" fontId="15187" fillId="15193" borderId="15079" pivotButton="0" quotePrefix="0" xfId="0"/>
    <xf numFmtId="167" fontId="15089" fillId="15095" borderId="15135" pivotButton="0" quotePrefix="0" xfId="0"/>
    <xf numFmtId="167" fontId="15369" fillId="15375" borderId="15037" pivotButton="0" quotePrefix="0" xfId="0"/>
    <xf numFmtId="167" fontId="15047" fillId="15053" borderId="15303" pivotButton="0" quotePrefix="0" xfId="0"/>
    <xf numFmtId="167" fontId="14970" fillId="14975" borderId="15366" pivotButton="0" quotePrefix="0" xfId="0"/>
    <xf numFmtId="167" fontId="15243" fillId="15249" borderId="14911" pivotButton="0" quotePrefix="0" xfId="0"/>
    <xf numFmtId="167" fontId="15061" fillId="15067" borderId="15177" pivotButton="0" quotePrefix="0" xfId="0"/>
    <xf numFmtId="167" fontId="15075" fillId="15081" borderId="15051" pivotButton="0" quotePrefix="0" xfId="0"/>
    <xf numFmtId="167" fontId="15509" fillId="15515" borderId="14855" pivotButton="0" quotePrefix="0" xfId="0"/>
    <xf numFmtId="167" fontId="15327" fillId="15333" borderId="14967" pivotButton="0" quotePrefix="0" xfId="0"/>
    <xf numFmtId="167" fontId="15453" fillId="15459" borderId="15261" pivotButton="0" quotePrefix="0" xfId="0"/>
    <xf numFmtId="167" fontId="15229" fillId="15235" borderId="14897" pivotButton="0" quotePrefix="0" xfId="0"/>
    <xf numFmtId="167" fontId="15397" fillId="15403" borderId="15163" pivotButton="0" quotePrefix="0" xfId="0"/>
    <xf numFmtId="167" fontId="14914" fillId="14919" borderId="15331" pivotButton="0" quotePrefix="0" xfId="0"/>
    <xf numFmtId="167" fontId="15523" fillId="15529" borderId="14869" pivotButton="0" quotePrefix="0" xfId="0"/>
    <xf numFmtId="167" fontId="15341" fillId="15347" borderId="14981" pivotButton="0" quotePrefix="0" xfId="0"/>
    <xf numFmtId="167" fontId="15481" fillId="15487" borderId="15275" pivotButton="0" quotePrefix="0" xfId="0"/>
    <xf numFmtId="167" fontId="15271" fillId="15277" borderId="14939" pivotButton="0" quotePrefix="0" xfId="0"/>
    <xf numFmtId="167" fontId="14928" fillId="14933" borderId="15205" pivotButton="0" quotePrefix="0" xfId="0"/>
    <xf numFmtId="167" fontId="15201" fillId="15207" borderId="15065" pivotButton="0" quotePrefix="0" xfId="0"/>
    <xf numFmtId="167" fontId="15257" fillId="15263" borderId="14925" pivotButton="0" quotePrefix="0" xfId="0"/>
    <xf numFmtId="167" fontId="15145" fillId="15151" borderId="15191" pivotButton="0" quotePrefix="0" xfId="0"/>
    <xf numFmtId="167" fontId="15411" fillId="15417" borderId="15093" pivotButton="0" quotePrefix="0" xfId="0"/>
    <xf numFmtId="167" fontId="15285" fillId="15291" borderId="14995" pivotButton="0" quotePrefix="0" xfId="0"/>
    <xf numFmtId="167" fontId="15439" fillId="15445" borderId="15219" pivotButton="0" quotePrefix="0" xfId="0"/>
    <xf numFmtId="167" fontId="15173" fillId="15179" borderId="15345" pivotButton="0" quotePrefix="0" xfId="0"/>
    <xf numFmtId="167" fontId="15383" fillId="15389" borderId="15121" pivotButton="0" quotePrefix="0" xfId="0"/>
    <xf numFmtId="167" fontId="15117" fillId="15123" borderId="15317" pivotButton="0" quotePrefix="0" xfId="0"/>
    <xf numFmtId="167" fontId="15355" fillId="15361" borderId="15009" pivotButton="0" quotePrefix="0" xfId="0"/>
    <xf numFmtId="167" fontId="15159" fillId="15165" borderId="15289" pivotButton="0" quotePrefix="0" xfId="0"/>
    <xf numFmtId="167" fontId="15467" fillId="15473" borderId="15107" pivotButton="0" quotePrefix="0" xfId="0"/>
    <xf numFmtId="166" fontId="15496" fillId="15502" borderId="14842" pivotButton="0" quotePrefix="0" xfId="0"/>
    <xf numFmtId="166" fontId="15314" fillId="15320" borderId="14954" pivotButton="0" quotePrefix="0" xfId="0"/>
    <xf numFmtId="166" fontId="15104" fillId="15110" borderId="15248" pivotButton="0" quotePrefix="0" xfId="0"/>
    <xf numFmtId="166" fontId="15216" fillId="15222" borderId="14884" pivotButton="0" quotePrefix="0" xfId="0"/>
    <xf numFmtId="166" fontId="15426" fillId="15432" borderId="15150" pivotButton="0" quotePrefix="0" xfId="0"/>
    <xf numFmtId="166" fontId="15300" fillId="15306" borderId="15024" pivotButton="0" quotePrefix="0" xfId="0"/>
    <xf numFmtId="166" fontId="15132" fillId="15138" borderId="15234" pivotButton="0" quotePrefix="0" xfId="0"/>
    <xf numFmtId="166" fontId="15188" fillId="15194" borderId="15080" pivotButton="0" quotePrefix="0" xfId="0"/>
    <xf numFmtId="166" fontId="15090" fillId="15096" borderId="15136" pivotButton="0" quotePrefix="0" xfId="0"/>
    <xf numFmtId="166" fontId="15370" fillId="15376" borderId="15038" pivotButton="0" quotePrefix="0" xfId="0"/>
    <xf numFmtId="166" fontId="15048" fillId="15054" borderId="15304" pivotButton="0" quotePrefix="0" xfId="0"/>
    <xf numFmtId="166" fontId="15244" fillId="15250" borderId="14912" pivotButton="0" quotePrefix="0" xfId="0"/>
    <xf numFmtId="166" fontId="15062" fillId="15068" borderId="15178" pivotButton="0" quotePrefix="0" xfId="0"/>
    <xf numFmtId="166" fontId="15076" fillId="15082" borderId="15052" pivotButton="0" quotePrefix="0" xfId="0"/>
    <xf numFmtId="166" fontId="15510" fillId="15516" borderId="14856" pivotButton="0" quotePrefix="0" xfId="0"/>
    <xf numFmtId="166" fontId="15328" fillId="15334" borderId="14968" pivotButton="0" quotePrefix="0" xfId="0"/>
    <xf numFmtId="166" fontId="15454" fillId="15460" borderId="15262" pivotButton="0" quotePrefix="0" xfId="0"/>
    <xf numFmtId="166" fontId="15230" fillId="15236" borderId="14898" pivotButton="0" quotePrefix="0" xfId="0"/>
    <xf numFmtId="166" fontId="15398" fillId="15404" borderId="15164" pivotButton="0" quotePrefix="0" xfId="0"/>
    <xf numFmtId="166" fontId="14915" fillId="14920" borderId="15332" pivotButton="0" quotePrefix="0" xfId="0"/>
    <xf numFmtId="166" fontId="15524" fillId="15530" borderId="14870" pivotButton="0" quotePrefix="0" xfId="0"/>
    <xf numFmtId="166" fontId="15342" fillId="15348" borderId="14982" pivotButton="0" quotePrefix="0" xfId="0"/>
    <xf numFmtId="166" fontId="15482" fillId="15488" borderId="15276" pivotButton="0" quotePrefix="0" xfId="0"/>
    <xf numFmtId="166" fontId="15272" fillId="15278" borderId="14940" pivotButton="0" quotePrefix="0" xfId="0"/>
    <xf numFmtId="166" fontId="14929" fillId="14934" borderId="15206" pivotButton="0" quotePrefix="0" xfId="0"/>
    <xf numFmtId="166" fontId="15202" fillId="15208" borderId="15066" pivotButton="0" quotePrefix="0" xfId="0"/>
    <xf numFmtId="166" fontId="15258" fillId="15264" borderId="14926" pivotButton="0" quotePrefix="0" xfId="0"/>
    <xf numFmtId="166" fontId="15146" fillId="15152" borderId="15192" pivotButton="0" quotePrefix="0" xfId="0"/>
    <xf numFmtId="166" fontId="15412" fillId="15418" borderId="15094" pivotButton="0" quotePrefix="0" xfId="0"/>
    <xf numFmtId="166" fontId="15286" fillId="15292" borderId="14996" pivotButton="0" quotePrefix="0" xfId="0"/>
    <xf numFmtId="166" fontId="15440" fillId="15446" borderId="15220" pivotButton="0" quotePrefix="0" xfId="0"/>
    <xf numFmtId="166" fontId="15174" fillId="15180" borderId="15346" pivotButton="0" quotePrefix="0" xfId="0"/>
    <xf numFmtId="166" fontId="15384" fillId="15390" borderId="15122" pivotButton="0" quotePrefix="0" xfId="0"/>
    <xf numFmtId="166" fontId="15118" fillId="15124" borderId="15318" pivotButton="0" quotePrefix="0" xfId="0"/>
    <xf numFmtId="166" fontId="15356" fillId="15362" borderId="15010" pivotButton="0" quotePrefix="0" xfId="0"/>
    <xf numFmtId="166" fontId="15160" fillId="15166" borderId="15290" pivotButton="0" quotePrefix="0" xfId="0"/>
    <xf numFmtId="166" fontId="15468" fillId="15474" borderId="15108" pivotButton="0" quotePrefix="0" xfId="0"/>
    <xf numFmtId="0" fontId="15497" fillId="15503" borderId="14843" pivotButton="0" quotePrefix="0" xfId="0"/>
    <xf numFmtId="0" fontId="15315" fillId="15321" borderId="14955" pivotButton="0" quotePrefix="0" xfId="0"/>
    <xf numFmtId="0" fontId="15105" fillId="15111" borderId="15249" pivotButton="0" quotePrefix="0" xfId="0"/>
    <xf numFmtId="0" fontId="15217" fillId="15223" borderId="14885" pivotButton="0" quotePrefix="0" xfId="0"/>
    <xf numFmtId="0" fontId="15427" fillId="15433" borderId="15151" pivotButton="0" quotePrefix="0" xfId="0"/>
    <xf numFmtId="0" fontId="15301" fillId="15307" borderId="15025" pivotButton="0" quotePrefix="0" xfId="0"/>
    <xf numFmtId="0" fontId="15133" fillId="15139" borderId="15235" pivotButton="0" quotePrefix="0" xfId="0"/>
    <xf numFmtId="0" fontId="15189" fillId="15195" borderId="15081" pivotButton="0" quotePrefix="0" xfId="0"/>
    <xf numFmtId="0" fontId="15091" fillId="15097" borderId="15137" pivotButton="0" quotePrefix="0" xfId="0"/>
    <xf numFmtId="0" fontId="15371" fillId="15377" borderId="15039" pivotButton="0" quotePrefix="0" xfId="0"/>
    <xf numFmtId="4" fontId="15049" fillId="15055" borderId="15305" pivotButton="0" quotePrefix="0" xfId="0"/>
    <xf numFmtId="0" fontId="15245" fillId="15251" borderId="14913" pivotButton="0" quotePrefix="0" xfId="0"/>
    <xf numFmtId="0" fontId="15063" fillId="15069" borderId="15179" pivotButton="0" quotePrefix="0" xfId="0"/>
    <xf numFmtId="0" fontId="15077" fillId="15083" borderId="15053" pivotButton="0" quotePrefix="0" xfId="0"/>
    <xf numFmtId="0" fontId="15511" fillId="15517" borderId="14857" pivotButton="0" quotePrefix="0" xfId="0"/>
    <xf numFmtId="0" fontId="15329" fillId="15335" borderId="14969" pivotButton="0" quotePrefix="0" xfId="0"/>
    <xf numFmtId="0" fontId="15455" fillId="15461" borderId="15263" pivotButton="0" quotePrefix="0" xfId="0"/>
    <xf numFmtId="0" fontId="15231" fillId="15237" borderId="14899" pivotButton="0" quotePrefix="0" xfId="0"/>
    <xf numFmtId="0" fontId="15399" fillId="15405" borderId="15165" pivotButton="0" quotePrefix="0" xfId="0"/>
    <xf numFmtId="4" fontId="14916" fillId="14921" borderId="15333" pivotButton="0" quotePrefix="0" xfId="0"/>
    <xf numFmtId="0" fontId="15525" fillId="15531" borderId="14871" pivotButton="0" quotePrefix="0" xfId="0"/>
    <xf numFmtId="0" fontId="15343" fillId="15349" borderId="14983" pivotButton="0" quotePrefix="0" xfId="0"/>
    <xf numFmtId="0" fontId="15483" fillId="15489" borderId="15277" pivotButton="0" quotePrefix="0" xfId="0"/>
    <xf numFmtId="0" fontId="15273" fillId="15279" borderId="14941" pivotButton="0" quotePrefix="0" xfId="0"/>
    <xf numFmtId="4" fontId="14930" fillId="14935" borderId="15207" pivotButton="0" quotePrefix="0" xfId="0"/>
    <xf numFmtId="0" fontId="15203" fillId="15209" borderId="15067" pivotButton="0" quotePrefix="0" xfId="0"/>
    <xf numFmtId="0" fontId="15259" fillId="15265" borderId="14927" pivotButton="0" quotePrefix="0" xfId="0"/>
    <xf numFmtId="0" fontId="15147" fillId="15153" borderId="15193" pivotButton="0" quotePrefix="0" xfId="0"/>
    <xf numFmtId="0" fontId="15413" fillId="15419" borderId="15095" pivotButton="0" quotePrefix="0" xfId="0"/>
    <xf numFmtId="0" fontId="15287" fillId="15293" borderId="14997" pivotButton="0" quotePrefix="0" xfId="0"/>
    <xf numFmtId="0" fontId="15441" fillId="15447" borderId="15221" pivotButton="0" quotePrefix="0" xfId="0"/>
    <xf numFmtId="0" fontId="15175" fillId="15181" borderId="15347" pivotButton="0" quotePrefix="0" xfId="0"/>
    <xf numFmtId="0" fontId="15385" fillId="15391" borderId="15123" pivotButton="0" quotePrefix="0" xfId="0"/>
    <xf numFmtId="0" fontId="15119" fillId="15125" borderId="15319" pivotButton="0" quotePrefix="0" xfId="0"/>
    <xf numFmtId="0" fontId="15357" fillId="15363" borderId="15011" pivotButton="0" quotePrefix="0" xfId="0"/>
    <xf numFmtId="0" fontId="15161" fillId="15167" borderId="15291" pivotButton="0" quotePrefix="0" xfId="0"/>
    <xf numFmtId="0" fontId="15469" fillId="15475" borderId="15109" pivotButton="0" quotePrefix="0" xfId="0"/>
    <xf numFmtId="0" fontId="15498" fillId="15504" borderId="14844" pivotButton="0" quotePrefix="0" xfId="0"/>
    <xf numFmtId="4" fontId="15012" fillId="15017" borderId="15385" pivotButton="0" quotePrefix="0" xfId="0"/>
    <xf numFmtId="0" fontId="15316" fillId="15322" borderId="14956" pivotButton="0" quotePrefix="0" xfId="0"/>
    <xf numFmtId="0" fontId="15106" fillId="15112" borderId="15250" pivotButton="0" quotePrefix="0" xfId="0"/>
    <xf numFmtId="4" fontId="14945" fillId="14950" borderId="15354" pivotButton="0" quotePrefix="0" xfId="0"/>
    <xf numFmtId="0" fontId="15218" fillId="15224" borderId="14886" pivotButton="0" quotePrefix="0" xfId="0"/>
    <xf numFmtId="0" fontId="15428" fillId="15434" borderId="15152" pivotButton="0" quotePrefix="0" xfId="0"/>
    <xf numFmtId="0" fontId="15302" fillId="15308" borderId="15026" pivotButton="0" quotePrefix="0" xfId="0"/>
    <xf numFmtId="0" fontId="15134" fillId="15140" borderId="15236" pivotButton="0" quotePrefix="0" xfId="0"/>
    <xf numFmtId="0" fontId="15190" fillId="15196" borderId="15082" pivotButton="0" quotePrefix="0" xfId="0"/>
    <xf numFmtId="0" fontId="15092" fillId="15098" borderId="15138" pivotButton="0" quotePrefix="0" xfId="0"/>
    <xf numFmtId="0" fontId="15372" fillId="15378" borderId="15040" pivotButton="0" quotePrefix="0" xfId="0"/>
    <xf numFmtId="4" fontId="15050" fillId="15056" borderId="15306" pivotButton="0" quotePrefix="0" xfId="0"/>
    <xf numFmtId="4" fontId="14973" fillId="14978" borderId="15367" pivotButton="0" quotePrefix="0" xfId="0"/>
    <xf numFmtId="0" fontId="15246" fillId="15252" borderId="14914" pivotButton="0" quotePrefix="0" xfId="0"/>
    <xf numFmtId="0" fontId="15064" fillId="15070" borderId="15180" pivotButton="0" quotePrefix="0" xfId="0"/>
    <xf numFmtId="0" fontId="15078" fillId="15084" borderId="15054" pivotButton="0" quotePrefix="0" xfId="0"/>
    <xf numFmtId="0" fontId="15512" fillId="15518" borderId="14858" pivotButton="0" quotePrefix="0" xfId="0"/>
    <xf numFmtId="4" fontId="15023" fillId="15029" borderId="15391" pivotButton="0" quotePrefix="0" xfId="0"/>
    <xf numFmtId="0" fontId="15330" fillId="15336" borderId="14970" pivotButton="0" quotePrefix="0" xfId="0"/>
    <xf numFmtId="0" fontId="15456" fillId="15462" borderId="15264" pivotButton="0" quotePrefix="0" xfId="0"/>
    <xf numFmtId="4" fontId="14959" fillId="14964" borderId="15360" pivotButton="0" quotePrefix="0" xfId="0"/>
    <xf numFmtId="0" fontId="15232" fillId="15238" borderId="14900" pivotButton="0" quotePrefix="0" xfId="0"/>
    <xf numFmtId="0" fontId="15400" fillId="15406" borderId="15166" pivotButton="0" quotePrefix="0" xfId="0"/>
    <xf numFmtId="4" fontId="14917" fillId="14922" borderId="15334" pivotButton="0" quotePrefix="0" xfId="0"/>
    <xf numFmtId="0" fontId="15526" fillId="15532" borderId="14872" pivotButton="0" quotePrefix="0" xfId="0"/>
    <xf numFmtId="4" fontId="15036" fillId="15042" borderId="15397" pivotButton="0" quotePrefix="0" xfId="0"/>
    <xf numFmtId="0" fontId="15344" fillId="15350" borderId="14984" pivotButton="0" quotePrefix="0" xfId="0"/>
    <xf numFmtId="0" fontId="15484" fillId="15490" borderId="15278" pivotButton="0" quotePrefix="0" xfId="0"/>
    <xf numFmtId="4" fontId="14999" fillId="15004" borderId="15379" pivotButton="0" quotePrefix="0" xfId="0"/>
    <xf numFmtId="0" fontId="15274" fillId="15280" borderId="14942" pivotButton="0" quotePrefix="0" xfId="0"/>
    <xf numFmtId="4" fontId="14931" fillId="14936" borderId="15208" pivotButton="0" quotePrefix="0" xfId="0"/>
    <xf numFmtId="0" fontId="15204" fillId="15210" borderId="15068" pivotButton="0" quotePrefix="0" xfId="0"/>
    <xf numFmtId="0" fontId="15260" fillId="15266" borderId="14928" pivotButton="0" quotePrefix="0" xfId="0"/>
    <xf numFmtId="0" fontId="15148" fillId="15154" borderId="15194" pivotButton="0" quotePrefix="0" xfId="0"/>
    <xf numFmtId="0" fontId="15414" fillId="15420" borderId="15096" pivotButton="0" quotePrefix="0" xfId="0"/>
    <xf numFmtId="0" fontId="15288" fillId="15294" borderId="14998" pivotButton="0" quotePrefix="0" xfId="0"/>
    <xf numFmtId="0" fontId="15442" fillId="15448" borderId="15222" pivotButton="0" quotePrefix="0" xfId="0"/>
    <xf numFmtId="0" fontId="15176" fillId="15182" borderId="15348" pivotButton="0" quotePrefix="0" xfId="0"/>
    <xf numFmtId="0" fontId="15386" fillId="15392" borderId="15124" pivotButton="0" quotePrefix="0" xfId="0"/>
    <xf numFmtId="0" fontId="15120" fillId="15126" borderId="15320" pivotButton="0" quotePrefix="0" xfId="0"/>
    <xf numFmtId="4" fontId="14986" fillId="14991" borderId="15373" pivotButton="0" quotePrefix="0" xfId="0"/>
    <xf numFmtId="0" fontId="15358" fillId="15364" borderId="15012" pivotButton="0" quotePrefix="0" xfId="0"/>
    <xf numFmtId="0" fontId="15162" fillId="15168" borderId="15292" pivotButton="0" quotePrefix="0" xfId="0"/>
    <xf numFmtId="0" fontId="15470" fillId="15476" borderId="15110" pivotButton="0" quotePrefix="0" xfId="0"/>
    <xf numFmtId="0" fontId="15499" fillId="15505" borderId="14845" pivotButton="0" quotePrefix="0" xfId="0"/>
    <xf numFmtId="169" fontId="15013" fillId="15018" borderId="15386" pivotButton="0" quotePrefix="0" xfId="0"/>
    <xf numFmtId="0" fontId="15317" fillId="15323" borderId="14957" pivotButton="0" quotePrefix="0" xfId="0"/>
    <xf numFmtId="0" fontId="15107" fillId="15113" borderId="15251" pivotButton="0" quotePrefix="0" xfId="0"/>
    <xf numFmtId="169" fontId="14946" fillId="14951" borderId="15355" pivotButton="0" quotePrefix="0" xfId="0"/>
    <xf numFmtId="0" fontId="15219" fillId="15225" borderId="14887" pivotButton="0" quotePrefix="0" xfId="0"/>
    <xf numFmtId="0" fontId="15429" fillId="15435" borderId="15153" pivotButton="0" quotePrefix="0" xfId="0"/>
    <xf numFmtId="0" fontId="15303" fillId="15309" borderId="15027" pivotButton="0" quotePrefix="0" xfId="0"/>
    <xf numFmtId="0" fontId="15135" fillId="15141" borderId="15237" pivotButton="0" quotePrefix="0" xfId="0"/>
    <xf numFmtId="0" fontId="15191" fillId="15197" borderId="15083" pivotButton="0" quotePrefix="0" xfId="0"/>
    <xf numFmtId="0" fontId="15093" fillId="15099" borderId="15139" pivotButton="0" quotePrefix="0" xfId="0"/>
    <xf numFmtId="0" fontId="15373" fillId="15379" borderId="15041" pivotButton="0" quotePrefix="0" xfId="0"/>
    <xf numFmtId="0" fontId="15051" fillId="15057" borderId="15307" pivotButton="0" quotePrefix="0" xfId="0"/>
    <xf numFmtId="169" fontId="14974" fillId="14979" borderId="15368" pivotButton="0" quotePrefix="0" xfId="0"/>
    <xf numFmtId="0" fontId="15247" fillId="15253" borderId="14915" pivotButton="0" quotePrefix="0" xfId="0"/>
    <xf numFmtId="0" fontId="15065" fillId="15071" borderId="15181" pivotButton="0" quotePrefix="0" xfId="0"/>
    <xf numFmtId="0" fontId="15079" fillId="15085" borderId="15055" pivotButton="0" quotePrefix="0" xfId="0"/>
    <xf numFmtId="0" fontId="15513" fillId="15519" borderId="14859" pivotButton="0" quotePrefix="0" xfId="0"/>
    <xf numFmtId="169" fontId="15024" fillId="15030" borderId="15392" pivotButton="0" quotePrefix="0" xfId="0"/>
    <xf numFmtId="0" fontId="15331" fillId="15337" borderId="14971" pivotButton="0" quotePrefix="0" xfId="0"/>
    <xf numFmtId="0" fontId="15457" fillId="15463" borderId="15265" pivotButton="0" quotePrefix="0" xfId="0"/>
    <xf numFmtId="169" fontId="14960" fillId="14965" borderId="15361" pivotButton="0" quotePrefix="0" xfId="0"/>
    <xf numFmtId="0" fontId="15233" fillId="15239" borderId="14901" pivotButton="0" quotePrefix="0" xfId="0"/>
    <xf numFmtId="0" fontId="15401" fillId="15407" borderId="15167" pivotButton="0" quotePrefix="0" xfId="0"/>
    <xf numFmtId="169" fontId="14918" fillId="14923" borderId="15335" pivotButton="0" quotePrefix="0" xfId="0"/>
    <xf numFmtId="0" fontId="15527" fillId="15533" borderId="14873" pivotButton="0" quotePrefix="0" xfId="0"/>
    <xf numFmtId="169" fontId="15037" fillId="15043" borderId="15398" pivotButton="0" quotePrefix="0" xfId="0"/>
    <xf numFmtId="0" fontId="15345" fillId="15351" borderId="14985" pivotButton="0" quotePrefix="0" xfId="0"/>
    <xf numFmtId="0" fontId="15485" fillId="15491" borderId="15279" pivotButton="0" quotePrefix="0" xfId="0"/>
    <xf numFmtId="169" fontId="15000" fillId="15005" borderId="15380" pivotButton="0" quotePrefix="0" xfId="0"/>
    <xf numFmtId="0" fontId="15275" fillId="15281" borderId="14943" pivotButton="0" quotePrefix="0" xfId="0"/>
    <xf numFmtId="169" fontId="14932" fillId="14937" borderId="15209" pivotButton="0" quotePrefix="0" xfId="0"/>
    <xf numFmtId="0" fontId="15205" fillId="15211" borderId="15069" pivotButton="0" quotePrefix="0" xfId="0"/>
    <xf numFmtId="0" fontId="15261" fillId="15267" borderId="14929" pivotButton="0" quotePrefix="0" xfId="0"/>
    <xf numFmtId="0" fontId="15149" fillId="15155" borderId="15195" pivotButton="0" quotePrefix="0" xfId="0"/>
    <xf numFmtId="0" fontId="15415" fillId="15421" borderId="15097" pivotButton="0" quotePrefix="0" xfId="0"/>
    <xf numFmtId="0" fontId="15289" fillId="15295" borderId="14999" pivotButton="0" quotePrefix="0" xfId="0"/>
    <xf numFmtId="0" fontId="15443" fillId="15449" borderId="15223" pivotButton="0" quotePrefix="0" xfId="0"/>
    <xf numFmtId="0" fontId="15177" fillId="15183" borderId="15349" pivotButton="0" quotePrefix="0" xfId="0"/>
    <xf numFmtId="0" fontId="15387" fillId="15393" borderId="15125" pivotButton="0" quotePrefix="0" xfId="0"/>
    <xf numFmtId="0" fontId="15121" fillId="15127" borderId="15321" pivotButton="0" quotePrefix="0" xfId="0"/>
    <xf numFmtId="169" fontId="14987" fillId="14992" borderId="15374" pivotButton="0" quotePrefix="0" xfId="0"/>
    <xf numFmtId="0" fontId="15359" fillId="15365" borderId="15013" pivotButton="0" quotePrefix="0" xfId="0"/>
    <xf numFmtId="0" fontId="15163" fillId="15169" borderId="15293" pivotButton="0" quotePrefix="0" xfId="0"/>
    <xf numFmtId="0" fontId="15471" fillId="15477" borderId="15111" pivotButton="0" quotePrefix="0" xfId="0"/>
    <xf numFmtId="0" fontId="15500" fillId="15506" borderId="14846" pivotButton="0" quotePrefix="0" xfId="0"/>
    <xf numFmtId="167" fontId="15014" fillId="15019" borderId="15387" pivotButton="0" quotePrefix="0" xfId="0"/>
    <xf numFmtId="0" fontId="15318" fillId="15324" borderId="14958" pivotButton="0" quotePrefix="0" xfId="0"/>
    <xf numFmtId="0" fontId="15108" fillId="15114" borderId="15252" pivotButton="0" quotePrefix="0" xfId="0"/>
    <xf numFmtId="167" fontId="14947" fillId="14952" borderId="15356" pivotButton="0" quotePrefix="0" xfId="0"/>
    <xf numFmtId="0" fontId="15220" fillId="15226" borderId="14888" pivotButton="0" quotePrefix="0" xfId="0"/>
    <xf numFmtId="0" fontId="15430" fillId="15436" borderId="15154" pivotButton="0" quotePrefix="0" xfId="0"/>
    <xf numFmtId="0" fontId="15304" fillId="15310" borderId="15028" pivotButton="0" quotePrefix="0" xfId="0"/>
    <xf numFmtId="0" fontId="15136" fillId="15142" borderId="15238" pivotButton="0" quotePrefix="0" xfId="0"/>
    <xf numFmtId="0" fontId="15192" fillId="15198" borderId="15084" pivotButton="0" quotePrefix="0" xfId="0"/>
    <xf numFmtId="0" fontId="15094" fillId="15100" borderId="15140" pivotButton="0" quotePrefix="0" xfId="0"/>
    <xf numFmtId="0" fontId="15374" fillId="15380" borderId="15042" pivotButton="0" quotePrefix="0" xfId="0"/>
    <xf numFmtId="167" fontId="15052" fillId="15058" borderId="15308" pivotButton="0" quotePrefix="0" xfId="0"/>
    <xf numFmtId="167" fontId="14975" fillId="14980" borderId="15369" pivotButton="0" quotePrefix="0" xfId="0"/>
    <xf numFmtId="0" fontId="15248" fillId="15254" borderId="14916" pivotButton="0" quotePrefix="0" xfId="0"/>
    <xf numFmtId="0" fontId="15066" fillId="15072" borderId="15182" pivotButton="0" quotePrefix="0" xfId="0"/>
    <xf numFmtId="0" fontId="15080" fillId="15086" borderId="15056" pivotButton="0" quotePrefix="0" xfId="0"/>
    <xf numFmtId="0" fontId="15514" fillId="15520" borderId="14860" pivotButton="0" quotePrefix="0" xfId="0"/>
    <xf numFmtId="167" fontId="15025" fillId="15031" borderId="15393" pivotButton="0" quotePrefix="0" xfId="0"/>
    <xf numFmtId="0" fontId="15332" fillId="15338" borderId="14972" pivotButton="0" quotePrefix="0" xfId="0"/>
    <xf numFmtId="0" fontId="15458" fillId="15464" borderId="15266" pivotButton="0" quotePrefix="0" xfId="0"/>
    <xf numFmtId="167" fontId="14961" fillId="14966" borderId="15362" pivotButton="0" quotePrefix="0" xfId="0"/>
    <xf numFmtId="0" fontId="15234" fillId="15240" borderId="14902" pivotButton="0" quotePrefix="0" xfId="0"/>
    <xf numFmtId="0" fontId="15402" fillId="15408" borderId="15168" pivotButton="0" quotePrefix="0" xfId="0"/>
    <xf numFmtId="167" fontId="14919" fillId="14924" borderId="15336" pivotButton="0" quotePrefix="0" xfId="0"/>
    <xf numFmtId="0" fontId="15528" fillId="15534" borderId="14874" pivotButton="0" quotePrefix="0" xfId="0"/>
    <xf numFmtId="167" fontId="15038" fillId="15044" borderId="15399" pivotButton="0" quotePrefix="0" xfId="0"/>
    <xf numFmtId="0" fontId="15346" fillId="15352" borderId="14986" pivotButton="0" quotePrefix="0" xfId="0"/>
    <xf numFmtId="0" fontId="15486" fillId="15492" borderId="15280" pivotButton="0" quotePrefix="0" xfId="0"/>
    <xf numFmtId="167" fontId="15001" fillId="15006" borderId="15381" pivotButton="0" quotePrefix="0" xfId="0"/>
    <xf numFmtId="0" fontId="15276" fillId="15282" borderId="14944" pivotButton="0" quotePrefix="0" xfId="0"/>
    <xf numFmtId="167" fontId="14933" fillId="14938" borderId="15210" pivotButton="0" quotePrefix="0" xfId="0"/>
    <xf numFmtId="0" fontId="15206" fillId="15212" borderId="15070" pivotButton="0" quotePrefix="0" xfId="0"/>
    <xf numFmtId="0" fontId="15262" fillId="15268" borderId="14930" pivotButton="0" quotePrefix="0" xfId="0"/>
    <xf numFmtId="0" fontId="15150" fillId="15156" borderId="15196" pivotButton="0" quotePrefix="0" xfId="0"/>
    <xf numFmtId="0" fontId="15416" fillId="15422" borderId="15098" pivotButton="0" quotePrefix="0" xfId="0"/>
    <xf numFmtId="0" fontId="15290" fillId="15296" borderId="15000" pivotButton="0" quotePrefix="0" xfId="0"/>
    <xf numFmtId="0" fontId="15444" fillId="15450" borderId="15224" pivotButton="0" quotePrefix="0" xfId="0"/>
    <xf numFmtId="0" fontId="15178" fillId="15184" borderId="15350" pivotButton="0" quotePrefix="0" xfId="0"/>
    <xf numFmtId="0" fontId="15388" fillId="15394" borderId="15126" pivotButton="0" quotePrefix="0" xfId="0"/>
    <xf numFmtId="0" fontId="15122" fillId="15128" borderId="15322" pivotButton="0" quotePrefix="0" xfId="0"/>
    <xf numFmtId="167" fontId="14988" fillId="14993" borderId="15375" pivotButton="0" quotePrefix="0" xfId="0"/>
    <xf numFmtId="0" fontId="15360" fillId="15366" borderId="15014" pivotButton="0" quotePrefix="0" xfId="0"/>
    <xf numFmtId="0" fontId="15164" fillId="15170" borderId="15294" pivotButton="0" quotePrefix="0" xfId="0"/>
    <xf numFmtId="0" fontId="15472" fillId="15478" borderId="15112" pivotButton="0" quotePrefix="0" xfId="0"/>
    <xf numFmtId="0" fontId="15501" fillId="15507" borderId="14847" pivotButton="0" quotePrefix="0" xfId="0"/>
    <xf numFmtId="0" fontId="15015" fillId="15020" borderId="15388" pivotButton="0" quotePrefix="0" xfId="0"/>
    <xf numFmtId="0" fontId="15319" fillId="15325" borderId="14959" pivotButton="0" quotePrefix="0" xfId="0"/>
    <xf numFmtId="0" fontId="15109" fillId="15115" borderId="15253" pivotButton="0" quotePrefix="0" xfId="0"/>
    <xf numFmtId="0" fontId="14948" fillId="14953" borderId="15357" pivotButton="0" quotePrefix="0" xfId="0"/>
    <xf numFmtId="0" fontId="15221" fillId="15227" borderId="14889" pivotButton="0" quotePrefix="0" xfId="0"/>
    <xf numFmtId="0" fontId="15431" fillId="15437" borderId="15155" pivotButton="0" quotePrefix="0" xfId="0"/>
    <xf numFmtId="0" fontId="15305" fillId="15311" borderId="15029" pivotButton="0" quotePrefix="0" xfId="0"/>
    <xf numFmtId="0" fontId="15137" fillId="15143" borderId="15239" pivotButton="0" quotePrefix="0" xfId="0"/>
    <xf numFmtId="0" fontId="15193" fillId="15199" borderId="15085" pivotButton="0" quotePrefix="0" xfId="0"/>
    <xf numFmtId="0" fontId="15095" fillId="15101" borderId="15141" pivotButton="0" quotePrefix="0" xfId="0"/>
    <xf numFmtId="0" fontId="15375" fillId="15381" borderId="15043" pivotButton="0" quotePrefix="0" xfId="0"/>
    <xf numFmtId="0" fontId="15053" fillId="15059" borderId="15309" pivotButton="0" quotePrefix="0" xfId="0"/>
    <xf numFmtId="0" fontId="14976" fillId="14981" borderId="15370" pivotButton="0" quotePrefix="0" xfId="0"/>
    <xf numFmtId="0" fontId="15249" fillId="15255" borderId="14917" pivotButton="0" quotePrefix="0" xfId="0"/>
    <xf numFmtId="0" fontId="15067" fillId="15073" borderId="15183" pivotButton="0" quotePrefix="0" xfId="0"/>
    <xf numFmtId="0" fontId="15081" fillId="15087" borderId="15057" pivotButton="0" quotePrefix="0" xfId="0"/>
    <xf numFmtId="0" fontId="15515" fillId="15521" borderId="14861" pivotButton="0" quotePrefix="0" xfId="0"/>
    <xf numFmtId="0" fontId="15026" fillId="15032" borderId="15394" pivotButton="0" quotePrefix="0" xfId="0"/>
    <xf numFmtId="0" fontId="15333" fillId="15339" borderId="14973" pivotButton="0" quotePrefix="0" xfId="0"/>
    <xf numFmtId="0" fontId="15459" fillId="15465" borderId="15267" pivotButton="0" quotePrefix="0" xfId="0"/>
    <xf numFmtId="0" fontId="14962" fillId="14967" borderId="15363" pivotButton="0" quotePrefix="0" xfId="0"/>
    <xf numFmtId="0" fontId="15235" fillId="15241" borderId="14903" pivotButton="0" quotePrefix="0" xfId="0"/>
    <xf numFmtId="0" fontId="15403" fillId="15409" borderId="15169" pivotButton="0" quotePrefix="0" xfId="0"/>
    <xf numFmtId="0" fontId="14920" fillId="14925" borderId="15337" pivotButton="0" quotePrefix="0" xfId="0"/>
    <xf numFmtId="0" fontId="15529" fillId="15535" borderId="14875" pivotButton="0" quotePrefix="0" xfId="0"/>
    <xf numFmtId="0" fontId="15039" fillId="15045" borderId="15400" pivotButton="0" quotePrefix="0" xfId="0"/>
    <xf numFmtId="0" fontId="15347" fillId="15353" borderId="14987" pivotButton="0" quotePrefix="0" xfId="0"/>
    <xf numFmtId="0" fontId="15487" fillId="15493" borderId="15281" pivotButton="0" quotePrefix="0" xfId="0"/>
    <xf numFmtId="0" fontId="15002" fillId="15007" borderId="15382" pivotButton="0" quotePrefix="0" xfId="0"/>
    <xf numFmtId="0" fontId="15277" fillId="15283" borderId="14945" pivotButton="0" quotePrefix="0" xfId="0"/>
    <xf numFmtId="0" fontId="14934" fillId="14939" borderId="15211" pivotButton="0" quotePrefix="0" xfId="0"/>
    <xf numFmtId="0" fontId="15207" fillId="15213" borderId="15071" pivotButton="0" quotePrefix="0" xfId="0"/>
    <xf numFmtId="0" fontId="15263" fillId="15269" borderId="14931" pivotButton="0" quotePrefix="0" xfId="0"/>
    <xf numFmtId="0" fontId="15151" fillId="15157" borderId="15197" pivotButton="0" quotePrefix="0" xfId="0"/>
    <xf numFmtId="0" fontId="15417" fillId="15423" borderId="15099" pivotButton="0" quotePrefix="0" xfId="0"/>
    <xf numFmtId="0" fontId="15291" fillId="15297" borderId="15001" pivotButton="0" quotePrefix="0" xfId="0"/>
    <xf numFmtId="0" fontId="15445" fillId="15451" borderId="15225" pivotButton="0" quotePrefix="0" xfId="0"/>
    <xf numFmtId="0" fontId="15179" fillId="15185" borderId="15351" pivotButton="0" quotePrefix="0" xfId="0"/>
    <xf numFmtId="0" fontId="15389" fillId="15395" borderId="15127" pivotButton="0" quotePrefix="0" xfId="0"/>
    <xf numFmtId="0" fontId="15123" fillId="15129" borderId="15323" pivotButton="0" quotePrefix="0" xfId="0"/>
    <xf numFmtId="0" fontId="14989" fillId="14994" borderId="15376" pivotButton="0" quotePrefix="0" xfId="0"/>
    <xf numFmtId="0" fontId="15361" fillId="15367" borderId="15015" pivotButton="0" quotePrefix="0" xfId="0"/>
    <xf numFmtId="0" fontId="15165" fillId="15171" borderId="15295" pivotButton="0" quotePrefix="0" xfId="0"/>
    <xf numFmtId="0" fontId="15473" fillId="15479" borderId="15113" pivotButton="0" quotePrefix="0" xfId="0"/>
    <xf numFmtId="0" fontId="15502" fillId="15508" borderId="14848" pivotButton="0" quotePrefix="0" xfId="0"/>
    <xf numFmtId="0" fontId="15016" fillId="15021" borderId="15389" applyAlignment="1" pivotButton="0" quotePrefix="0" xfId="0">
      <alignment wrapText="1"/>
    </xf>
    <xf numFmtId="0" fontId="15320" fillId="15326" borderId="14960" pivotButton="0" quotePrefix="0" xfId="0"/>
    <xf numFmtId="0" fontId="15110" fillId="15116" borderId="15254" pivotButton="0" quotePrefix="0" xfId="0"/>
    <xf numFmtId="0" fontId="14949" fillId="14954" borderId="15358" applyAlignment="1" pivotButton="0" quotePrefix="0" xfId="0">
      <alignment wrapText="1"/>
    </xf>
    <xf numFmtId="0" fontId="15222" fillId="15228" borderId="14890" pivotButton="0" quotePrefix="0" xfId="0"/>
    <xf numFmtId="0" fontId="15432" fillId="15438" borderId="15156" pivotButton="0" quotePrefix="0" xfId="0"/>
    <xf numFmtId="0" fontId="15306" fillId="15312" borderId="15030" pivotButton="0" quotePrefix="0" xfId="0"/>
    <xf numFmtId="0" fontId="15138" fillId="15144" borderId="15240" pivotButton="0" quotePrefix="0" xfId="0"/>
    <xf numFmtId="0" fontId="15194" fillId="15200" borderId="15086" pivotButton="0" quotePrefix="0" xfId="0"/>
    <xf numFmtId="0" fontId="15096" fillId="15102" borderId="15142" pivotButton="0" quotePrefix="0" xfId="0"/>
    <xf numFmtId="0" fontId="15376" fillId="15382" borderId="15044" pivotButton="0" quotePrefix="0" xfId="0"/>
    <xf numFmtId="0" fontId="15054" fillId="15060" borderId="15310" pivotButton="0" quotePrefix="0" xfId="0"/>
    <xf numFmtId="0" fontId="14977" fillId="14982" borderId="15371" applyAlignment="1" pivotButton="0" quotePrefix="0" xfId="0">
      <alignment wrapText="1"/>
    </xf>
    <xf numFmtId="0" fontId="15250" fillId="15256" borderId="14918" pivotButton="0" quotePrefix="0" xfId="0"/>
    <xf numFmtId="0" fontId="15068" fillId="15074" borderId="15184" pivotButton="0" quotePrefix="0" xfId="0"/>
    <xf numFmtId="0" fontId="15082" fillId="15088" borderId="15058" pivotButton="0" quotePrefix="0" xfId="0"/>
    <xf numFmtId="0" fontId="15516" fillId="15522" borderId="14862" pivotButton="0" quotePrefix="0" xfId="0"/>
    <xf numFmtId="0" fontId="15027" fillId="15033" borderId="15395" applyAlignment="1" pivotButton="0" quotePrefix="0" xfId="0">
      <alignment wrapText="1"/>
    </xf>
    <xf numFmtId="0" fontId="15334" fillId="15340" borderId="14974" pivotButton="0" quotePrefix="0" xfId="0"/>
    <xf numFmtId="0" fontId="15460" fillId="15466" borderId="15268" pivotButton="0" quotePrefix="0" xfId="0"/>
    <xf numFmtId="0" fontId="14963" fillId="14968" borderId="15364" applyAlignment="1" pivotButton="0" quotePrefix="0" xfId="0">
      <alignment wrapText="1"/>
    </xf>
    <xf numFmtId="0" fontId="15236" fillId="15242" borderId="14904" pivotButton="0" quotePrefix="0" xfId="0"/>
    <xf numFmtId="0" fontId="15404" fillId="15410" borderId="15170" pivotButton="0" quotePrefix="0" xfId="0"/>
    <xf numFmtId="0" fontId="14921" fillId="14926" borderId="15338" applyAlignment="1" pivotButton="0" quotePrefix="0" xfId="0">
      <alignment wrapText="1"/>
    </xf>
    <xf numFmtId="0" fontId="15530" fillId="15536" borderId="14876" pivotButton="0" quotePrefix="0" xfId="0"/>
    <xf numFmtId="0" fontId="15040" fillId="15046" borderId="15401" applyAlignment="1" pivotButton="0" quotePrefix="0" xfId="0">
      <alignment wrapText="1"/>
    </xf>
    <xf numFmtId="0" fontId="15348" fillId="15354" borderId="14988" pivotButton="0" quotePrefix="0" xfId="0"/>
    <xf numFmtId="0" fontId="15488" fillId="15494" borderId="15282" pivotButton="0" quotePrefix="0" xfId="0"/>
    <xf numFmtId="0" fontId="15003" fillId="15008" borderId="15383" applyAlignment="1" pivotButton="0" quotePrefix="0" xfId="0">
      <alignment wrapText="1"/>
    </xf>
    <xf numFmtId="0" fontId="15278" fillId="15284" borderId="14946" pivotButton="0" quotePrefix="0" xfId="0"/>
    <xf numFmtId="0" fontId="14935" fillId="14940" borderId="15212" applyAlignment="1" pivotButton="0" quotePrefix="0" xfId="0">
      <alignment wrapText="1"/>
    </xf>
    <xf numFmtId="0" fontId="15208" fillId="15214" borderId="15072" pivotButton="0" quotePrefix="0" xfId="0"/>
    <xf numFmtId="0" fontId="15264" fillId="15270" borderId="14932" pivotButton="0" quotePrefix="0" xfId="0"/>
    <xf numFmtId="0" fontId="15152" fillId="15158" borderId="15198" pivotButton="0" quotePrefix="0" xfId="0"/>
    <xf numFmtId="0" fontId="15418" fillId="15424" borderId="15100" pivotButton="0" quotePrefix="0" xfId="0"/>
    <xf numFmtId="0" fontId="15292" fillId="15298" borderId="15002" pivotButton="0" quotePrefix="0" xfId="0"/>
    <xf numFmtId="0" fontId="15446" fillId="15452" borderId="15226" pivotButton="0" quotePrefix="0" xfId="0"/>
    <xf numFmtId="0" fontId="15180" fillId="15186" borderId="15352" pivotButton="0" quotePrefix="0" xfId="0"/>
    <xf numFmtId="0" fontId="15390" fillId="15396" borderId="15128" pivotButton="0" quotePrefix="0" xfId="0"/>
    <xf numFmtId="0" fontId="15124" fillId="15130" borderId="15324" pivotButton="0" quotePrefix="0" xfId="0"/>
    <xf numFmtId="0" fontId="14990" fillId="14995" borderId="15377" applyAlignment="1" pivotButton="0" quotePrefix="0" xfId="0">
      <alignment wrapText="1"/>
    </xf>
    <xf numFmtId="0" fontId="15362" fillId="15368" borderId="15016" pivotButton="0" quotePrefix="0" xfId="0"/>
    <xf numFmtId="0" fontId="15166" fillId="15172" borderId="15296" pivotButton="0" quotePrefix="0" xfId="0"/>
    <xf numFmtId="0" fontId="15474" fillId="15480" borderId="15114" pivotButton="0" quotePrefix="0" xfId="0"/>
    <xf numFmtId="0" fontId="15503" fillId="15509" borderId="14849" applyAlignment="1" pivotButton="0" quotePrefix="0" xfId="0">
      <alignment horizontal="center"/>
    </xf>
    <xf numFmtId="0" fontId="15017" fillId="15022" borderId="15390" applyAlignment="1" pivotButton="0" quotePrefix="0" xfId="0">
      <alignment horizontal="center"/>
    </xf>
    <xf numFmtId="0" fontId="15321" fillId="15327" borderId="14961" applyAlignment="1" pivotButton="0" quotePrefix="0" xfId="0">
      <alignment horizontal="center"/>
    </xf>
    <xf numFmtId="0" fontId="15111" fillId="15117" borderId="15255" applyAlignment="1" pivotButton="0" quotePrefix="0" xfId="0">
      <alignment horizontal="center"/>
    </xf>
    <xf numFmtId="0" fontId="14950" fillId="14955" borderId="15359" applyAlignment="1" pivotButton="0" quotePrefix="0" xfId="0">
      <alignment horizontal="center"/>
    </xf>
    <xf numFmtId="0" fontId="15223" fillId="15229" borderId="14891" applyAlignment="1" pivotButton="0" quotePrefix="0" xfId="0">
      <alignment horizontal="center"/>
    </xf>
    <xf numFmtId="0" fontId="15433" fillId="15439" borderId="15157" applyAlignment="1" pivotButton="0" quotePrefix="0" xfId="0">
      <alignment horizontal="center"/>
    </xf>
    <xf numFmtId="0" fontId="15307" fillId="15313" borderId="15031" applyAlignment="1" pivotButton="0" quotePrefix="0" xfId="0">
      <alignment horizontal="center"/>
    </xf>
    <xf numFmtId="0" fontId="15139" fillId="15145" borderId="15241" applyAlignment="1" pivotButton="0" quotePrefix="0" xfId="0">
      <alignment horizontal="center"/>
    </xf>
    <xf numFmtId="0" fontId="15195" fillId="15201" borderId="15087" applyAlignment="1" pivotButton="0" quotePrefix="0" xfId="0">
      <alignment horizontal="center"/>
    </xf>
    <xf numFmtId="0" fontId="15097" fillId="15103" borderId="15143" applyAlignment="1" pivotButton="0" quotePrefix="0" xfId="0">
      <alignment horizontal="center"/>
    </xf>
    <xf numFmtId="0" fontId="15377" fillId="15383" borderId="15045" applyAlignment="1" pivotButton="0" quotePrefix="0" xfId="0">
      <alignment horizontal="center"/>
    </xf>
    <xf numFmtId="0" fontId="15055" fillId="15061" borderId="15311" applyAlignment="1" pivotButton="0" quotePrefix="0" xfId="0">
      <alignment horizontal="center"/>
    </xf>
    <xf numFmtId="0" fontId="14978" fillId="14983" borderId="15372" applyAlignment="1" pivotButton="0" quotePrefix="0" xfId="0">
      <alignment horizontal="center"/>
    </xf>
    <xf numFmtId="0" fontId="15251" fillId="15257" borderId="14919" applyAlignment="1" pivotButton="0" quotePrefix="0" xfId="0">
      <alignment horizontal="center"/>
    </xf>
    <xf numFmtId="0" fontId="15069" fillId="15075" borderId="15185" applyAlignment="1" pivotButton="0" quotePrefix="0" xfId="0">
      <alignment horizontal="center"/>
    </xf>
    <xf numFmtId="0" fontId="15083" fillId="15089" borderId="15059" applyAlignment="1" pivotButton="0" quotePrefix="0" xfId="0">
      <alignment horizontal="center"/>
    </xf>
    <xf numFmtId="0" fontId="15517" fillId="15523" borderId="14863" applyAlignment="1" pivotButton="0" quotePrefix="0" xfId="0">
      <alignment horizontal="center"/>
    </xf>
    <xf numFmtId="0" fontId="15028" fillId="15034" borderId="15396" applyAlignment="1" pivotButton="0" quotePrefix="0" xfId="0">
      <alignment horizontal="center"/>
    </xf>
    <xf numFmtId="0" fontId="15335" fillId="15341" borderId="14975" applyAlignment="1" pivotButton="0" quotePrefix="0" xfId="0">
      <alignment horizontal="center"/>
    </xf>
    <xf numFmtId="0" fontId="15461" fillId="15467" borderId="15269" applyAlignment="1" pivotButton="0" quotePrefix="0" xfId="0">
      <alignment horizontal="center"/>
    </xf>
    <xf numFmtId="0" fontId="14964" fillId="14969" borderId="15365" applyAlignment="1" pivotButton="0" quotePrefix="0" xfId="0">
      <alignment horizontal="center"/>
    </xf>
    <xf numFmtId="0" fontId="15237" fillId="15243" borderId="14905" applyAlignment="1" pivotButton="0" quotePrefix="0" xfId="0">
      <alignment horizontal="center"/>
    </xf>
    <xf numFmtId="0" fontId="15405" fillId="15411" borderId="15171" applyAlignment="1" pivotButton="0" quotePrefix="0" xfId="0">
      <alignment horizontal="center"/>
    </xf>
    <xf numFmtId="0" fontId="14922" fillId="14927" borderId="15339" applyAlignment="1" pivotButton="0" quotePrefix="0" xfId="0">
      <alignment horizontal="center"/>
    </xf>
    <xf numFmtId="0" fontId="15531" fillId="15537" borderId="14877" applyAlignment="1" pivotButton="0" quotePrefix="0" xfId="0">
      <alignment horizontal="center"/>
    </xf>
    <xf numFmtId="0" fontId="15041" fillId="15047" borderId="15402" applyAlignment="1" pivotButton="0" quotePrefix="0" xfId="0">
      <alignment horizontal="center"/>
    </xf>
    <xf numFmtId="0" fontId="15349" fillId="15355" borderId="14989" applyAlignment="1" pivotButton="0" quotePrefix="0" xfId="0">
      <alignment horizontal="center"/>
    </xf>
    <xf numFmtId="0" fontId="15489" fillId="15495" borderId="15283" applyAlignment="1" pivotButton="0" quotePrefix="0" xfId="0">
      <alignment horizontal="center"/>
    </xf>
    <xf numFmtId="0" fontId="15004" fillId="15009" borderId="15384" applyAlignment="1" pivotButton="0" quotePrefix="0" xfId="0">
      <alignment horizontal="center"/>
    </xf>
    <xf numFmtId="0" fontId="15279" fillId="15285" borderId="14947" applyAlignment="1" pivotButton="0" quotePrefix="0" xfId="0">
      <alignment horizontal="center"/>
    </xf>
    <xf numFmtId="0" fontId="14936" fillId="14941" borderId="15213" applyAlignment="1" pivotButton="0" quotePrefix="0" xfId="0">
      <alignment horizontal="center"/>
    </xf>
    <xf numFmtId="0" fontId="15209" fillId="15215" borderId="15073" applyAlignment="1" pivotButton="0" quotePrefix="0" xfId="0">
      <alignment horizontal="center"/>
    </xf>
    <xf numFmtId="0" fontId="15265" fillId="15271" borderId="14933" applyAlignment="1" pivotButton="0" quotePrefix="0" xfId="0">
      <alignment horizontal="center"/>
    </xf>
    <xf numFmtId="0" fontId="15153" fillId="15159" borderId="15199" applyAlignment="1" pivotButton="0" quotePrefix="0" xfId="0">
      <alignment horizontal="center"/>
    </xf>
    <xf numFmtId="0" fontId="15419" fillId="15425" borderId="15101" applyAlignment="1" pivotButton="0" quotePrefix="0" xfId="0">
      <alignment horizontal="center"/>
    </xf>
    <xf numFmtId="0" fontId="15293" fillId="15299" borderId="15003" applyAlignment="1" pivotButton="0" quotePrefix="0" xfId="0">
      <alignment horizontal="center"/>
    </xf>
    <xf numFmtId="0" fontId="15447" fillId="15453" borderId="15227" applyAlignment="1" pivotButton="0" quotePrefix="0" xfId="0">
      <alignment horizontal="center"/>
    </xf>
    <xf numFmtId="0" fontId="15181" fillId="15187" borderId="15353" applyAlignment="1" pivotButton="0" quotePrefix="0" xfId="0">
      <alignment horizontal="center"/>
    </xf>
    <xf numFmtId="0" fontId="15391" fillId="15397" borderId="15129" applyAlignment="1" pivotButton="0" quotePrefix="0" xfId="0">
      <alignment horizontal="center"/>
    </xf>
    <xf numFmtId="0" fontId="15125" fillId="15131" borderId="15325" applyAlignment="1" pivotButton="0" quotePrefix="0" xfId="0">
      <alignment horizontal="center"/>
    </xf>
    <xf numFmtId="0" fontId="14991" fillId="14996" borderId="15378" applyAlignment="1" pivotButton="0" quotePrefix="0" xfId="0">
      <alignment horizontal="center"/>
    </xf>
    <xf numFmtId="0" fontId="15363" fillId="15369" borderId="15017" applyAlignment="1" pivotButton="0" quotePrefix="0" xfId="0">
      <alignment horizontal="center"/>
    </xf>
    <xf numFmtId="0" fontId="15167" fillId="15173" borderId="15297" applyAlignment="1" pivotButton="0" quotePrefix="0" xfId="0">
      <alignment horizontal="center"/>
    </xf>
    <xf numFmtId="0" fontId="15475" fillId="15481" borderId="15115" applyAlignment="1" pivotButton="0" quotePrefix="0" xfId="0">
      <alignment horizontal="center"/>
    </xf>
    <xf numFmtId="0" fontId="17522" fillId="17527" borderId="17459" pivotButton="0" quotePrefix="0" xfId="0"/>
    <xf numFmtId="0" fontId="0" fillId="0" borderId="0" pivotButton="0" quotePrefix="0" xfId="0"/>
    <xf numFmtId="0" fontId="17610" fillId="17615" borderId="17518" applyAlignment="1" pivotButton="0" quotePrefix="0" xfId="0">
      <alignment horizontal="center" wrapText="1"/>
    </xf>
    <xf numFmtId="0" fontId="0" fillId="0" borderId="17528" pivotButton="0" quotePrefix="0" xfId="0"/>
    <xf numFmtId="0" fontId="0" fillId="0" borderId="17522" pivotButton="0" quotePrefix="0" xfId="0"/>
    <xf numFmtId="0" fontId="17438" fillId="17443" borderId="17459" pivotButton="0" quotePrefix="0" xfId="0"/>
    <xf numFmtId="0" fontId="17437" fillId="17265" borderId="17459" pivotButton="0" quotePrefix="0" xfId="0"/>
    <xf numFmtId="0" fontId="17181" fillId="17186" borderId="17459" pivotButton="0" quotePrefix="0" xfId="0"/>
    <xf numFmtId="0" fontId="17030" fillId="17036" borderId="17459" applyAlignment="1" pivotButton="0" quotePrefix="0" xfId="0">
      <alignment horizontal="center" vertical="center"/>
    </xf>
    <xf numFmtId="0" fontId="17035" fillId="17041" borderId="17459" pivotButton="0" quotePrefix="0" xfId="0"/>
    <xf numFmtId="0" fontId="17073" fillId="17078" borderId="17459" pivotButton="0" quotePrefix="0" xfId="0"/>
    <xf numFmtId="0" fontId="584" fillId="585" borderId="17518" applyAlignment="1" pivotButton="0" quotePrefix="0" xfId="0">
      <alignment horizontal="center" vertical="center"/>
    </xf>
    <xf numFmtId="0" fontId="218" fillId="584" borderId="17518" applyAlignment="1" pivotButton="0" quotePrefix="0" xfId="0">
      <alignment horizontal="center" vertical="center"/>
    </xf>
    <xf numFmtId="0" fontId="0" fillId="0" borderId="2264" pivotButton="0" quotePrefix="0" xfId="0"/>
    <xf numFmtId="0" fontId="581" fillId="582" borderId="571" applyAlignment="1" pivotButton="0" quotePrefix="0" xfId="0">
      <alignment horizontal="center" vertical="center"/>
    </xf>
    <xf numFmtId="0" fontId="0" fillId="0" borderId="571" pivotButton="0" quotePrefix="0" xfId="0"/>
    <xf numFmtId="0" fontId="496" fillId="495" borderId="17459" applyAlignment="1" pivotButton="0" quotePrefix="0" xfId="0">
      <alignment vertical="center"/>
    </xf>
    <xf numFmtId="0" fontId="282" fillId="281" borderId="17459" applyAlignment="1" pivotButton="0" quotePrefix="0" xfId="0">
      <alignment vertical="center"/>
    </xf>
    <xf numFmtId="0" fontId="218" fillId="590" borderId="17518" applyAlignment="1" pivotButton="0" quotePrefix="0" xfId="0">
      <alignment horizontal="center" vertical="center"/>
    </xf>
    <xf numFmtId="0" fontId="217" fillId="216" borderId="17459" applyAlignment="1" pivotButton="0" quotePrefix="0" xfId="0">
      <alignment vertical="center"/>
    </xf>
    <xf numFmtId="164" fontId="16288" fillId="16294" borderId="17459" applyAlignment="1" pivotButton="0" quotePrefix="0" xfId="0">
      <alignment horizontal="center" vertical="center" wrapText="1"/>
    </xf>
    <xf numFmtId="0" fontId="216" fillId="215" borderId="17518" applyAlignment="1" pivotButton="0" quotePrefix="0" xfId="0">
      <alignment horizontal="center" vertical="center"/>
    </xf>
    <xf numFmtId="0" fontId="0" fillId="0" borderId="17520" pivotButton="0" quotePrefix="0" xfId="0"/>
    <xf numFmtId="0" fontId="0" fillId="0" borderId="17521" pivotButton="0" quotePrefix="0" xfId="0"/>
    <xf numFmtId="0" fontId="0" fillId="0" borderId="17519" pivotButton="0" quotePrefix="0" xfId="0"/>
    <xf numFmtId="0" fontId="0" fillId="0" borderId="17525" pivotButton="0" quotePrefix="0" xfId="0"/>
    <xf numFmtId="0" fontId="0" fillId="0" borderId="17526" pivotButton="0" quotePrefix="0" xfId="0"/>
    <xf numFmtId="0" fontId="0" fillId="0" borderId="17527" pivotButton="0" quotePrefix="0" xfId="0"/>
    <xf numFmtId="0" fontId="2323" fillId="2325" borderId="16235" applyAlignment="1" pivotButton="0" quotePrefix="0" xfId="0">
      <alignment horizontal="center" vertical="center"/>
    </xf>
    <xf numFmtId="0" fontId="0" fillId="0" borderId="17523" pivotButton="0" quotePrefix="0" xfId="0"/>
    <xf numFmtId="0" fontId="0" fillId="0" borderId="17524" pivotButton="0" quotePrefix="0" xfId="0"/>
    <xf numFmtId="0" fontId="16286" fillId="16292" borderId="17459" applyAlignment="1" pivotButton="0" quotePrefix="0" xfId="0">
      <alignment horizontal="center" wrapText="1"/>
    </xf>
    <xf numFmtId="0" fontId="2313" fillId="2315" borderId="17459" applyAlignment="1" pivotButton="0" quotePrefix="0" xfId="0">
      <alignment horizontal="center" vertical="center"/>
    </xf>
    <xf numFmtId="0" fontId="585" fillId="586" borderId="17518" applyAlignment="1" pivotButton="0" quotePrefix="0" xfId="0">
      <alignment horizontal="center" vertical="center"/>
    </xf>
    <xf numFmtId="0" fontId="582" fillId="583" borderId="17518" applyAlignment="1" pivotButton="0" quotePrefix="0" xfId="0">
      <alignment horizontal="center" vertical="center"/>
    </xf>
    <xf numFmtId="0" fontId="586" fillId="587" borderId="17518" applyAlignment="1" pivotButton="0" quotePrefix="0" xfId="0">
      <alignment horizontal="center" vertical="center"/>
    </xf>
    <xf numFmtId="0" fontId="204" fillId="203" borderId="17459" applyAlignment="1" pivotButton="0" quotePrefix="0" xfId="0">
      <alignment horizontal="center" vertical="center"/>
    </xf>
    <xf numFmtId="0" fontId="363" fillId="362" borderId="571" applyAlignment="1" pivotButton="0" quotePrefix="0" xfId="0">
      <alignment horizontal="center" vertical="center"/>
    </xf>
    <xf numFmtId="0" fontId="587" fillId="588" borderId="17518" applyAlignment="1" pivotButton="0" quotePrefix="0" xfId="0">
      <alignment horizontal="center" vertical="center"/>
    </xf>
    <xf numFmtId="0" fontId="588" fillId="589" borderId="17518" applyAlignment="1" pivotButton="0" quotePrefix="0" xfId="0">
      <alignment horizontal="center" vertical="center"/>
    </xf>
    <xf numFmtId="165" fontId="16287" fillId="16293" borderId="17459" applyAlignment="1" pivotButton="0" quotePrefix="0" xfId="0">
      <alignment horizontal="center" vertical="center" wrapText="1"/>
    </xf>
    <xf numFmtId="0" fontId="16280" fillId="16286" borderId="17459" applyAlignment="1" pivotButton="0" quotePrefix="0" xfId="0">
      <alignment horizontal="center"/>
    </xf>
    <xf numFmtId="0" fontId="205" fillId="204" borderId="17459" applyAlignment="1" pivotButton="0" quotePrefix="0" xfId="0">
      <alignment vertical="center"/>
    </xf>
    <xf numFmtId="0" fontId="583" fillId="584" borderId="17518" applyAlignment="1" pivotButton="0" quotePrefix="0" xfId="0">
      <alignment horizontal="center" vertical="center"/>
    </xf>
    <xf numFmtId="0" fontId="3815" fillId="3819" borderId="17459" pivotButton="0" quotePrefix="0" xfId="0"/>
    <xf numFmtId="0" fontId="2" fillId="2" borderId="17459" applyAlignment="1" pivotButton="0" quotePrefix="0" xfId="0">
      <alignment horizontal="center" vertical="center"/>
    </xf>
    <xf numFmtId="14" fontId="0" fillId="0" borderId="0" pivotButton="0" quotePrefix="0" xfId="0"/>
    <xf numFmtId="2" fontId="0" fillId="0" borderId="0" pivotButton="0" quotePrefix="0" xfId="0"/>
    <xf numFmtId="0" fontId="2489" fillId="2492" borderId="17459" applyAlignment="1" pivotButton="0" quotePrefix="0" xfId="0">
      <alignment horizontal="center"/>
    </xf>
    <xf numFmtId="0" fontId="2356" fillId="2359" borderId="16235" applyAlignment="1" pivotButton="0" quotePrefix="0" xfId="0">
      <alignment horizontal="center"/>
    </xf>
    <xf numFmtId="0" fontId="11495" fillId="11500" borderId="17459" pivotButton="0" quotePrefix="0" xfId="0"/>
    <xf numFmtId="0" fontId="11494" fillId="11499" borderId="17459" pivotButton="0" quotePrefix="0" xfId="0"/>
    <xf numFmtId="0" fontId="16827" fillId="16833" borderId="17518" applyAlignment="1" pivotButton="0" quotePrefix="0" xfId="0">
      <alignment horizontal="center"/>
    </xf>
    <xf numFmtId="0" fontId="16480" fillId="16486" borderId="17459" pivotButton="0" quotePrefix="0" xfId="0"/>
    <xf numFmtId="0" fontId="17029" fillId="17035" borderId="17518" applyAlignment="1" pivotButton="0" quotePrefix="0" xfId="0">
      <alignment horizontal="center"/>
    </xf>
    <xf numFmtId="0" fontId="16743" fillId="16749" borderId="17518" applyAlignment="1" pivotButton="0" quotePrefix="0" xfId="0">
      <alignment horizontal="center"/>
    </xf>
    <xf numFmtId="0" fontId="16916" fillId="16922" borderId="17518" applyAlignment="1" pivotButton="0" quotePrefix="0" xfId="0">
      <alignment horizontal="center"/>
    </xf>
    <xf numFmtId="0" fontId="16628" fillId="16634" borderId="17518" applyAlignment="1" pivotButton="0" quotePrefix="0" xfId="0">
      <alignment horizontal="center"/>
    </xf>
    <xf numFmtId="0" fontId="16431" fillId="16437" borderId="17459" pivotButton="0" quotePrefix="0" xfId="0"/>
    <xf numFmtId="0" fontId="16279" fillId="16285" borderId="17459" pivotButton="0" quotePrefix="0" xfId="0"/>
    <xf numFmtId="0" fontId="16562" fillId="16568" borderId="17518" applyAlignment="1" pivotButton="0" quotePrefix="0" xfId="0">
      <alignment horizontal="center" wrapText="1"/>
    </xf>
    <xf numFmtId="0" fontId="16400" fillId="16406" borderId="17518" applyAlignment="1" pivotButton="0" quotePrefix="0" xfId="0">
      <alignment horizontal="center" wrapText="1"/>
    </xf>
    <xf numFmtId="0" fontId="16426" fillId="16432" borderId="17518" applyAlignment="1" pivotButton="0" quotePrefix="0" xfId="0">
      <alignment horizontal="right"/>
    </xf>
    <xf numFmtId="0" fontId="15782" fillId="15788" borderId="17459" pivotButton="0" quotePrefix="0" xfId="0"/>
    <xf numFmtId="0" fontId="16425" fillId="16431" borderId="17459" applyAlignment="1" pivotButton="0" quotePrefix="0" xfId="0">
      <alignment horizontal="center" vertical="center"/>
    </xf>
    <xf numFmtId="0" fontId="16399" fillId="16405" borderId="17518" pivotButton="0" quotePrefix="0" xfId="0"/>
    <xf numFmtId="0" fontId="16563" fillId="16569" borderId="17518" pivotButton="0" quotePrefix="0" xfId="0"/>
    <xf numFmtId="0" fontId="16617" fillId="16623" borderId="17518" applyAlignment="1" pivotButton="0" quotePrefix="0" xfId="0">
      <alignment horizontal="center"/>
    </xf>
    <xf numFmtId="0" fontId="16428" fillId="16434" borderId="17518" applyAlignment="1" pivotButton="0" quotePrefix="0" xfId="0">
      <alignment horizontal="right"/>
    </xf>
    <xf numFmtId="0" fontId="16627" fillId="16633" borderId="17518" applyAlignment="1" pivotButton="0" quotePrefix="0" xfId="0">
      <alignment horizontal="center"/>
    </xf>
    <xf numFmtId="0" fontId="16520" fillId="16526" borderId="17518" applyAlignment="1" pivotButton="0" quotePrefix="0" xfId="0">
      <alignment horizontal="center" wrapText="1"/>
    </xf>
    <xf numFmtId="0" fontId="16605" fillId="16611" borderId="17518" pivotButton="0" quotePrefix="0" xfId="0"/>
    <xf numFmtId="0" fontId="16561" fillId="16567" borderId="17518" pivotButton="0" quotePrefix="0" xfId="0"/>
    <xf numFmtId="0" fontId="16762" fillId="16768" borderId="17518" applyAlignment="1" pivotButton="0" quotePrefix="0" xfId="0">
      <alignment horizontal="center"/>
    </xf>
    <xf numFmtId="0" fontId="11511" fillId="11516" borderId="17459" pivotButton="0" quotePrefix="0" xfId="0"/>
    <xf numFmtId="0" fontId="11510" fillId="11515" borderId="17459" pivotButton="0" quotePrefix="0" xfId="0"/>
    <xf numFmtId="0" fontId="11990" fillId="11995" borderId="17459" pivotButton="0" quotePrefix="0" xfId="0"/>
    <xf numFmtId="0" fontId="12127" fillId="12132" borderId="17459" pivotButton="0" quotePrefix="0" xfId="0"/>
    <xf numFmtId="0" fontId="12520" fillId="12525" borderId="17459" pivotButton="0" quotePrefix="0" xfId="0"/>
    <xf numFmtId="0" fontId="12139" fillId="12144" borderId="17459" pivotButton="0" quotePrefix="0" xfId="0"/>
    <xf numFmtId="0" fontId="14846" fillId="14851" borderId="17459" pivotButton="0" quotePrefix="0" xfId="0"/>
    <xf numFmtId="0" fontId="12126" fillId="12131" borderId="17459" pivotButton="0" quotePrefix="0" xfId="0"/>
    <xf numFmtId="0" fontId="12412" fillId="12417" borderId="17459" pivotButton="0" quotePrefix="0" xfId="0"/>
    <xf numFmtId="0" fontId="12128" fillId="12133" borderId="17459" pivotButton="0" quotePrefix="0" xfId="0"/>
    <xf numFmtId="0" fontId="12455" fillId="12460" borderId="17459" pivotButton="0" quotePrefix="0" xfId="0"/>
    <xf numFmtId="4" fontId="14944" fillId="14949" borderId="17522" pivotButton="0" quotePrefix="0" xfId="0"/>
    <xf numFmtId="4" fontId="14958" fillId="14963" borderId="17522" pivotButton="0" quotePrefix="0" xfId="0"/>
    <xf numFmtId="4" fontId="14972" fillId="14977" borderId="17522" pivotButton="0" quotePrefix="0" xfId="0"/>
    <xf numFmtId="4" fontId="14985" fillId="14990" borderId="17522" pivotButton="0" quotePrefix="0" xfId="0"/>
    <xf numFmtId="4" fontId="14998" fillId="15003" borderId="17522" pivotButton="0" quotePrefix="0" xfId="0"/>
    <xf numFmtId="4" fontId="15011" fillId="15016" borderId="17522" pivotButton="0" quotePrefix="0" xfId="0"/>
    <xf numFmtId="4" fontId="15022" fillId="15028" borderId="17522" pivotButton="0" quotePrefix="0" xfId="0"/>
    <xf numFmtId="4" fontId="15035" fillId="15041" borderId="17522" pivotButton="0" quotePrefix="0" xfId="0"/>
    <xf numFmtId="0" fontId="0" fillId="0" borderId="17459" pivotButton="0" quotePrefix="0" xfId="0"/>
    <xf numFmtId="167" fontId="14970" fillId="14975" borderId="2264" pivotButton="0" quotePrefix="0" xfId="0"/>
    <xf numFmtId="0" fontId="14937" fillId="14942" borderId="17518" applyAlignment="1" pivotButton="0" quotePrefix="0" xfId="0">
      <alignment horizontal="center" vertical="center"/>
    </xf>
    <xf numFmtId="0" fontId="14939" fillId="14944" borderId="17518" applyAlignment="1" pivotButton="0" quotePrefix="0" xfId="0">
      <alignment horizontal="center" vertical="center"/>
    </xf>
    <xf numFmtId="0" fontId="14951" fillId="14956" borderId="17518" applyAlignment="1" pivotButton="0" quotePrefix="0" xfId="0">
      <alignment horizontal="center" vertical="center"/>
    </xf>
    <xf numFmtId="0" fontId="14953" fillId="14958" borderId="17518" applyAlignment="1" pivotButton="0" quotePrefix="0" xfId="0">
      <alignment horizontal="center" vertical="center"/>
    </xf>
    <xf numFmtId="0" fontId="14965" fillId="14970" borderId="17518" applyAlignment="1" pivotButton="0" quotePrefix="0" xfId="0">
      <alignment horizontal="center" vertical="center"/>
    </xf>
    <xf numFmtId="0" fontId="14967" fillId="14972" borderId="17518" applyAlignment="1" pivotButton="0" quotePrefix="0" xfId="0">
      <alignment horizontal="center" vertical="center"/>
    </xf>
    <xf numFmtId="0" fontId="14979" fillId="14984" borderId="17518" applyAlignment="1" pivotButton="0" quotePrefix="0" xfId="0">
      <alignment horizontal="center" vertical="center"/>
    </xf>
    <xf numFmtId="0" fontId="14981" fillId="14986" borderId="17518" applyAlignment="1" pivotButton="0" quotePrefix="0" xfId="0">
      <alignment horizontal="center" vertical="center"/>
    </xf>
    <xf numFmtId="0" fontId="14992" fillId="14997" borderId="17518" applyAlignment="1" pivotButton="0" quotePrefix="0" xfId="0">
      <alignment horizontal="center" vertical="center"/>
    </xf>
    <xf numFmtId="0" fontId="14994" fillId="14999" borderId="17518" applyAlignment="1" pivotButton="0" quotePrefix="0" xfId="0">
      <alignment horizontal="center" vertical="center"/>
    </xf>
    <xf numFmtId="0" fontId="15005" fillId="15010" borderId="17518" applyAlignment="1" pivotButton="0" quotePrefix="0" xfId="0">
      <alignment horizontal="center" vertical="center"/>
    </xf>
    <xf numFmtId="0" fontId="15007" fillId="15012" borderId="17518" applyAlignment="1" pivotButton="0" quotePrefix="0" xfId="0">
      <alignment horizontal="center" vertical="center"/>
    </xf>
    <xf numFmtId="0" fontId="0" fillId="15023" borderId="17518" applyAlignment="1" pivotButton="0" quotePrefix="0" xfId="0">
      <alignment horizontal="center" vertical="center"/>
    </xf>
    <xf numFmtId="0" fontId="15019" fillId="15025" borderId="17518" applyAlignment="1" pivotButton="0" quotePrefix="0" xfId="0">
      <alignment horizontal="center" vertical="center"/>
    </xf>
    <xf numFmtId="0" fontId="15029" fillId="15035" borderId="17518" applyAlignment="1" pivotButton="0" quotePrefix="0" xfId="0">
      <alignment horizontal="center" vertical="center"/>
    </xf>
    <xf numFmtId="0" fontId="15031" fillId="15037" borderId="17518" applyAlignment="1" pivotButton="0" quotePrefix="0" xfId="0">
      <alignment horizontal="center" vertical="center"/>
    </xf>
    <xf numFmtId="14" fontId="14938" fillId="14943" borderId="17518" applyAlignment="1" pivotButton="0" quotePrefix="0" xfId="0">
      <alignment horizontal="center" vertical="center"/>
    </xf>
    <xf numFmtId="0" fontId="14940" fillId="14945" borderId="17518" applyAlignment="1" pivotButton="0" quotePrefix="0" xfId="0">
      <alignment horizontal="center" vertical="center"/>
    </xf>
    <xf numFmtId="4" fontId="14941" fillId="14946" borderId="17518" applyAlignment="1" pivotButton="0" quotePrefix="0" xfId="0">
      <alignment horizontal="center" vertical="center"/>
    </xf>
    <xf numFmtId="167" fontId="14942" fillId="14947" borderId="17518" applyAlignment="1" pivotButton="0" quotePrefix="0" xfId="0">
      <alignment horizontal="center" vertical="center"/>
    </xf>
    <xf numFmtId="166" fontId="14943" fillId="14948" borderId="17518" applyAlignment="1" pivotButton="0" quotePrefix="0" xfId="0">
      <alignment horizontal="center" vertical="center"/>
    </xf>
    <xf numFmtId="14" fontId="14952" fillId="14957" borderId="17518" applyAlignment="1" pivotButton="0" quotePrefix="0" xfId="0">
      <alignment horizontal="center" vertical="center"/>
    </xf>
    <xf numFmtId="0" fontId="14954" fillId="14959" borderId="17518" applyAlignment="1" pivotButton="0" quotePrefix="0" xfId="0">
      <alignment horizontal="center" vertical="center"/>
    </xf>
    <xf numFmtId="4" fontId="14955" fillId="14960" borderId="17518" applyAlignment="1" pivotButton="0" quotePrefix="0" xfId="0">
      <alignment horizontal="center" vertical="center"/>
    </xf>
    <xf numFmtId="167" fontId="14956" fillId="14961" borderId="17518" applyAlignment="1" pivotButton="0" quotePrefix="0" xfId="0">
      <alignment horizontal="center" vertical="center"/>
    </xf>
    <xf numFmtId="166" fontId="14957" fillId="14962" borderId="17518" applyAlignment="1" pivotButton="0" quotePrefix="0" xfId="0">
      <alignment horizontal="center" vertical="center"/>
    </xf>
    <xf numFmtId="14" fontId="14966" fillId="14971" borderId="17518" applyAlignment="1" pivotButton="0" quotePrefix="0" xfId="0">
      <alignment horizontal="center" vertical="center"/>
    </xf>
    <xf numFmtId="0" fontId="14968" fillId="14973" borderId="17518" applyAlignment="1" pivotButton="0" quotePrefix="0" xfId="0">
      <alignment horizontal="center" vertical="center"/>
    </xf>
    <xf numFmtId="4" fontId="14969" fillId="14974" borderId="17518" applyAlignment="1" pivotButton="0" quotePrefix="0" xfId="0">
      <alignment horizontal="center" vertical="center"/>
    </xf>
    <xf numFmtId="167" fontId="14970" fillId="14975" borderId="17518" applyAlignment="1" pivotButton="0" quotePrefix="0" xfId="0">
      <alignment horizontal="center" vertical="center"/>
    </xf>
    <xf numFmtId="166" fontId="14971" fillId="14976" borderId="17518" applyAlignment="1" pivotButton="0" quotePrefix="0" xfId="0">
      <alignment horizontal="center" vertical="center"/>
    </xf>
    <xf numFmtId="14" fontId="14980" fillId="14985" borderId="17518" applyAlignment="1" pivotButton="0" quotePrefix="0" xfId="0">
      <alignment horizontal="center" vertical="center"/>
    </xf>
    <xf numFmtId="0" fontId="14982" fillId="14987" borderId="17518" applyAlignment="1" pivotButton="0" quotePrefix="0" xfId="0">
      <alignment horizontal="center" vertical="center"/>
    </xf>
    <xf numFmtId="4" fontId="14983" fillId="14988" borderId="17518" applyAlignment="1" pivotButton="0" quotePrefix="0" xfId="0">
      <alignment horizontal="center" vertical="center"/>
    </xf>
    <xf numFmtId="166" fontId="14984" fillId="14989" borderId="17518" applyAlignment="1" pivotButton="0" quotePrefix="0" xfId="0">
      <alignment horizontal="center" vertical="center"/>
    </xf>
    <xf numFmtId="14" fontId="14993" fillId="14998" borderId="17518" applyAlignment="1" pivotButton="0" quotePrefix="0" xfId="0">
      <alignment horizontal="center" vertical="center"/>
    </xf>
    <xf numFmtId="0" fontId="14995" fillId="15000" borderId="17518" applyAlignment="1" pivotButton="0" quotePrefix="0" xfId="0">
      <alignment horizontal="center" vertical="center"/>
    </xf>
    <xf numFmtId="4" fontId="14996" fillId="15001" borderId="17518" applyAlignment="1" pivotButton="0" quotePrefix="0" xfId="0">
      <alignment horizontal="center" vertical="center"/>
    </xf>
    <xf numFmtId="166" fontId="14997" fillId="15002" borderId="17518" applyAlignment="1" pivotButton="0" quotePrefix="0" xfId="0">
      <alignment horizontal="center" vertical="center"/>
    </xf>
    <xf numFmtId="14" fontId="15006" fillId="15011" borderId="17518" applyAlignment="1" pivotButton="0" quotePrefix="0" xfId="0">
      <alignment horizontal="center" vertical="center"/>
    </xf>
    <xf numFmtId="0" fontId="15008" fillId="15013" borderId="17518" applyAlignment="1" pivotButton="0" quotePrefix="0" xfId="0">
      <alignment horizontal="center" vertical="center"/>
    </xf>
    <xf numFmtId="4" fontId="15009" fillId="15014" borderId="17518" applyAlignment="1" pivotButton="0" quotePrefix="0" xfId="0">
      <alignment horizontal="center" vertical="center"/>
    </xf>
    <xf numFmtId="166" fontId="15010" fillId="15015" borderId="17518" applyAlignment="1" pivotButton="0" quotePrefix="0" xfId="0">
      <alignment horizontal="center" vertical="center"/>
    </xf>
    <xf numFmtId="14" fontId="15018" fillId="15024" borderId="17518" applyAlignment="1" pivotButton="0" quotePrefix="0" xfId="0">
      <alignment horizontal="center" vertical="center"/>
    </xf>
    <xf numFmtId="0" fontId="15032" fillId="15038" borderId="17518" applyAlignment="1" pivotButton="0" quotePrefix="0" xfId="0">
      <alignment horizontal="center" vertical="center"/>
    </xf>
    <xf numFmtId="4" fontId="15020" fillId="15026" borderId="17518" applyAlignment="1" pivotButton="0" quotePrefix="0" xfId="0">
      <alignment horizontal="center" vertical="center"/>
    </xf>
    <xf numFmtId="166" fontId="15021" fillId="15027" borderId="17518" applyAlignment="1" pivotButton="0" quotePrefix="0" xfId="0">
      <alignment horizontal="center" vertical="center"/>
    </xf>
    <xf numFmtId="14" fontId="15030" fillId="15036" borderId="17518" applyAlignment="1" pivotButton="0" quotePrefix="0" xfId="0">
      <alignment horizontal="center" vertical="center"/>
    </xf>
    <xf numFmtId="4" fontId="15033" fillId="15039" borderId="17518" applyAlignment="1" pivotButton="0" quotePrefix="0" xfId="0">
      <alignment horizontal="center" vertical="center"/>
    </xf>
    <xf numFmtId="166" fontId="15034" fillId="15040" borderId="17518" applyAlignment="1" pivotButton="0" quotePrefix="0" xfId="0">
      <alignment horizontal="center" vertical="center"/>
    </xf>
    <xf numFmtId="0" fontId="0" fillId="0" borderId="17518" applyAlignment="1" pivotButton="0" quotePrefix="0" xfId="0">
      <alignment horizontal="center" vertical="center"/>
    </xf>
    <xf numFmtId="14" fontId="0" fillId="0" borderId="17518" applyAlignment="1" pivotButton="0" quotePrefix="0" xfId="0">
      <alignment horizontal="center" vertical="center"/>
    </xf>
    <xf numFmtId="171" fontId="0" fillId="0" borderId="0" pivotButton="0" quotePrefix="0" xfId="0"/>
  </cellXfs>
  <cellStyles count="2">
    <cellStyle name="Normal" xfId="0" builtinId="0"/>
    <cellStyle name="Normal 2" xfId="1"/>
  </cellStyles>
  <dxfs count="14">
    <dxf>
      <numFmt numFmtId="0" formatCode="General"/>
    </dxf>
    <dxf>
      <numFmt numFmtId="2" formatCode="0.00"/>
    </dxf>
    <dxf>
      <numFmt numFmtId="0" formatCode="General"/>
    </dxf>
    <dxf>
      <numFmt numFmtId="19" formatCode="dd/mm/yyyy"/>
    </dxf>
    <dxf>
      <numFmt numFmtId="164" formatCode="\$#,##0.00"/>
    </dxf>
    <dxf>
      <numFmt numFmtId="164" formatCode="\$#,##0.00"/>
    </dxf>
    <dxf>
      <numFmt numFmtId="164" formatCode="\$#,##0.00"/>
    </dxf>
    <dxf>
      <numFmt numFmtId="164" formatCode="\$#,##0.00"/>
    </dxf>
    <dxf>
      <numFmt numFmtId="2" formatCode="0.00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ables/table1.xml><?xml version="1.0" encoding="utf-8"?>
<table xmlns="http://schemas.openxmlformats.org/spreadsheetml/2006/main" id="1" name="TablaPegaso" displayName="TablaPegaso" ref="A4:L208" headerRowCount="1">
  <autoFilter ref="A4:L208"/>
  <tableColumns count="12">
    <tableColumn id="1" name="Fecha"/>
    <tableColumn id="2" name="Tipo Movimiento"/>
    <tableColumn id="3" name="Origen/Destino"/>
    <tableColumn id="4" name="Obra"/>
    <tableColumn id="12" name="Equipo"/>
    <tableColumn id="5" name="Economico" dataDxfId="13">
      <calculatedColumnFormula>VLOOKUP(TablaPegaso[[#This Row],[Equipo]],Catalogos!$V$4:$W$85,2,FALSE)</calculatedColumnFormula>
    </tableColumn>
    <tableColumn id="6" name="Entrada (L)"/>
    <tableColumn id="7" name="Salida (L)"/>
    <tableColumn id="8" name="Existencia Teórica"/>
    <tableColumn id="9" name="Costo/L"/>
    <tableColumn id="10" name="Importe"/>
    <tableColumn id="11" name="Observacion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aObra" displayName="TablaObra" ref="A4:K307" headerRowCount="1">
  <autoFilter ref="A4:K307"/>
  <sortState ref="A5:K307">
    <sortCondition ref="A4:A307"/>
  </sortState>
  <tableColumns count="11">
    <tableColumn id="1" name="Fecha"/>
    <tableColumn id="2" name="Obra"/>
    <tableColumn id="3" name="Fuente"/>
    <tableColumn id="4" name="Equipo"/>
    <tableColumn id="5" name="Económico" dataDxfId="12">
      <calculatedColumnFormula>VLOOKUP(TablaObra[[#This Row],[Equipo]],Catalogos!$V$4:$W$64,2,FALSE)</calculatedColumnFormula>
    </tableColumn>
    <tableColumn id="6" name="Litros Recibidos"/>
    <tableColumn id="7" name="Costo/L"/>
    <tableColumn id="8" name="Importe"/>
    <tableColumn id="9" name="Actividad Ejecutada"/>
    <tableColumn id="10" name="Incidencia"/>
    <tableColumn id="11" name="Observacion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aMarimba" displayName="TablaMarimba" ref="A4:L206" headerRowCount="1">
  <autoFilter ref="A4:L206"/>
  <tableColumns count="12">
    <tableColumn id="1" name="Fecha"/>
    <tableColumn id="2" name="Movimiento"/>
    <tableColumn id="3" name="Origen/Obra"/>
    <tableColumn id="4" name="Equipo"/>
    <tableColumn id="5" name="Económico" dataDxfId="11">
      <calculatedColumnFormula>VLOOKUP(TablaMarimba[[#This Row],[Equipo]],Catalogos!$V$4:$W$64,2,FALSE)</calculatedColumnFormula>
    </tableColumn>
    <tableColumn id="6" name="Entrada (L)"/>
    <tableColumn id="7" name="Salida (L)" dataDxfId="10"/>
    <tableColumn id="8" name="Existencia Teórica"/>
    <tableColumn id="9" name="Costo/L"/>
    <tableColumn id="10" name="Importe"/>
    <tableColumn id="11" name="Firma/Validación"/>
    <tableColumn id="12" name="Observacion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aMarimba6" displayName="TablaMarimba6" ref="A4:P206" headerRowCount="1">
  <autoFilter ref="A4:P206"/>
  <tableColumns count="16">
    <tableColumn id="1" name="Fecha"/>
    <tableColumn id="2" name="Movimiento"/>
    <tableColumn id="3" name="Origen/Obra"/>
    <tableColumn id="4" name="Equipo"/>
    <tableColumn id="5" name="Económico" dataDxfId="9">
      <calculatedColumnFormula>VLOOKUP(TablaMarimba6[[#This Row],[Equipo]],Catalogos!$V$4:$W$55,2,FALSE)</calculatedColumnFormula>
    </tableColumn>
    <tableColumn id="6" name="Entrada (L)"/>
    <tableColumn id="7" name="Salida (L)" dataDxfId="8"/>
    <tableColumn id="8" name="Existencia Teórica"/>
    <tableColumn id="9" name="Costo/L"/>
    <tableColumn id="10" name="Importe"/>
    <tableColumn id="13" name="Saldo inicial(vales)" dataDxfId="7"/>
    <tableColumn id="14" name="Saldo final(vales)" dataDxfId="6">
      <calculatedColumnFormula>(TablaMarimba6[[#This Row],[Saldo inicial(vales)]]-TablaMarimba6[[#This Row],[Importe]])</calculatedColumnFormula>
    </tableColumn>
    <tableColumn id="15" name="Ajuste" dataDxfId="5"/>
    <tableColumn id="16" name="Gasolina" dataDxfId="4"/>
    <tableColumn id="11" name="Firma/Validación"/>
    <tableColumn id="12" name="Observacion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aObra5" displayName="TablaObra5" ref="A4:K306" headerRowCount="1">
  <autoFilter ref="A4:K306"/>
  <tableColumns count="11">
    <tableColumn id="1" name="Fecha de Solicitud" dataDxfId="3"/>
    <tableColumn id="2" name="Obra"/>
    <tableColumn id="3" name="Fecha de Trabajo"/>
    <tableColumn id="4" name="Equipo"/>
    <tableColumn id="5" name="Económico" dataDxfId="2">
      <calculatedColumnFormula>VLOOKUP(TablaObra5[[#This Row],[Equipo]],Catalogos!$I$4:$J$64,2,FALSE)</calculatedColumnFormula>
    </tableColumn>
    <tableColumn id="6" name="Litros Solicitados" dataDxfId="1"/>
    <tableColumn id="7" name="Costo/L"/>
    <tableColumn id="8" name="Importe">
      <calculatedColumnFormula>IFERROR(F5*G5,0)</calculatedColumnFormula>
    </tableColumn>
    <tableColumn id="9" name="Solicitante" dataDxfId="0">
      <calculatedColumnFormula>VLOOKUP(TablaObra5[[#This Row],[Obra]],Catalogos!$B$3:$C$10,2,FALSE)</calculatedColumnFormula>
    </tableColumn>
    <tableColumn id="10" name="Incidencia"/>
    <tableColumn id="11" name="Observacion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88"/>
  <sheetViews>
    <sheetView zoomScale="79" workbookViewId="0">
      <selection activeCell="A1" sqref="A1:J1"/>
    </sheetView>
  </sheetViews>
  <sheetFormatPr baseColWidth="10" defaultRowHeight="13.8"/>
  <cols>
    <col width="18" customWidth="1" style="17580" min="1" max="1"/>
    <col width="22.09765625" bestFit="1" customWidth="1" style="17580" min="2" max="2"/>
    <col width="20" bestFit="1" customWidth="1" style="17580" min="3" max="3"/>
    <col width="15" bestFit="1" customWidth="1" style="17580" min="4" max="10"/>
    <col width="12" customWidth="1" style="17580" min="11" max="12"/>
    <col width="15" customWidth="1" style="17580" min="13" max="13"/>
    <col width="22.69921875" bestFit="1" customWidth="1" style="17580" min="17" max="17"/>
    <col width="13.3984375" bestFit="1" customWidth="1" style="17580" min="18" max="18"/>
    <col width="11.19921875" customWidth="1" style="17580" min="19" max="19"/>
    <col width="20.8984375" bestFit="1" customWidth="1" style="17580" min="31" max="31"/>
    <col width="22.796875" bestFit="1" customWidth="1" style="17580" min="32" max="32"/>
  </cols>
  <sheetData>
    <row r="1" ht="28.05" customHeight="1" s="17580">
      <c r="A1" s="17615" t="inlineStr">
        <is>
          <t>DASHBOARD EJECUTIVO DE CONTROL DE COMBUSTIBLE | GRUPO TRUJANO</t>
        </is>
      </c>
    </row>
    <row r="2" ht="16.8" customHeight="1" s="17580">
      <c r="A2" s="391" t="n"/>
      <c r="B2" s="392" t="n"/>
      <c r="C2" s="393" t="n"/>
      <c r="D2" s="394" t="n"/>
      <c r="E2" s="395" t="n"/>
      <c r="F2" s="396" t="n"/>
      <c r="G2" s="397" t="n"/>
      <c r="H2" s="398" t="n"/>
      <c r="I2" s="399" t="n"/>
      <c r="J2" s="400" t="n"/>
    </row>
    <row r="3" ht="16.05" customHeight="1" s="17580">
      <c r="A3" s="17621" t="inlineStr">
        <is>
          <t>FILTROS DEL DASHBOARD (Celdas en amarillo editables en Excel)</t>
        </is>
      </c>
    </row>
    <row r="4" ht="16.8" customHeight="1" s="17580">
      <c r="A4" s="401" t="n"/>
      <c r="B4" s="207" t="inlineStr">
        <is>
          <t>Obra Seleccionada:</t>
        </is>
      </c>
      <c r="C4" s="212" t="inlineStr">
        <is>
          <t>México-Toluca</t>
        </is>
      </c>
      <c r="D4" s="402" t="n"/>
      <c r="E4" s="17600">
        <f>IF(I28=0, "🟢 TODO COINCIDE (0 L)", "🔴 DISCREPANCIA: " &amp; I28 &amp; " L")</f>
        <v/>
      </c>
      <c r="F4" s="17601" t="n"/>
      <c r="G4" s="17601" t="n"/>
      <c r="H4" s="17601" t="n"/>
      <c r="I4" s="17602" t="n"/>
      <c r="J4" s="403" t="n"/>
    </row>
    <row r="5" ht="16.8" customHeight="1" s="17580">
      <c r="A5" s="404" t="n"/>
      <c r="B5" s="208" t="inlineStr">
        <is>
          <t>Fecha Inicio (Lunes):</t>
        </is>
      </c>
      <c r="C5" s="213" t="n">
        <v>46195</v>
      </c>
      <c r="D5" s="405" t="n"/>
      <c r="E5" s="17603" t="n"/>
      <c r="I5" s="17604" t="n"/>
      <c r="J5" s="406" t="n"/>
    </row>
    <row r="6" ht="16.8" customHeight="1" s="17580">
      <c r="A6" s="407" t="n"/>
      <c r="B6" s="209" t="inlineStr">
        <is>
          <t>Fecha Fin (Rango):</t>
        </is>
      </c>
      <c r="C6" s="214" t="n">
        <v>46202</v>
      </c>
      <c r="D6" s="408" t="n"/>
      <c r="E6" s="17603" t="n"/>
      <c r="I6" s="17604" t="n"/>
      <c r="J6" s="409" t="n"/>
    </row>
    <row r="7" ht="16.8" customHeight="1" s="17580">
      <c r="A7" s="410" t="n"/>
      <c r="B7" s="210" t="inlineStr">
        <is>
          <t>Precio Diésel ($/L):</t>
        </is>
      </c>
      <c r="C7" s="215" t="n">
        <v>27</v>
      </c>
      <c r="D7" s="411" t="n"/>
      <c r="E7" s="17603" t="n"/>
      <c r="I7" s="17604" t="n"/>
      <c r="J7" s="412" t="n"/>
    </row>
    <row r="8" ht="16.8" customHeight="1" s="17580">
      <c r="A8" s="413" t="n"/>
      <c r="B8" s="211" t="inlineStr">
        <is>
          <t>Período Resumen:</t>
        </is>
      </c>
      <c r="C8" s="216" t="inlineStr">
        <is>
          <t>Semana Seleccionada</t>
        </is>
      </c>
      <c r="D8" s="414" t="n"/>
      <c r="E8" s="17605" t="n"/>
      <c r="F8" s="17594" t="n"/>
      <c r="G8" s="17594" t="n"/>
      <c r="H8" s="17594" t="n"/>
      <c r="I8" s="17606" t="n"/>
      <c r="J8" s="415" t="n"/>
    </row>
    <row r="9" ht="16.8" customHeight="1" s="17580">
      <c r="A9" s="416" t="n"/>
      <c r="B9" s="417" t="n"/>
      <c r="C9" s="418" t="n"/>
      <c r="D9" s="419" t="n"/>
      <c r="E9" s="420" t="n"/>
      <c r="F9" s="421" t="n"/>
      <c r="G9" s="422" t="n"/>
      <c r="H9" s="423" t="n"/>
      <c r="I9" s="424" t="n"/>
      <c r="J9" s="425" t="n"/>
    </row>
    <row r="10" ht="16.05" customHeight="1" s="17580">
      <c r="A10" s="17598" t="inlineStr">
        <is>
          <t>COMPARATIVA: SOLICITADO (PETICIONES) VS ENTREGADO EN OBRA</t>
        </is>
      </c>
    </row>
    <row r="11" ht="19.2" customHeight="1" s="17580">
      <c r="A11" s="217" t="inlineStr">
        <is>
          <t>Día</t>
        </is>
      </c>
      <c r="B11" s="218" t="inlineStr">
        <is>
          <t>Fecha</t>
        </is>
      </c>
      <c r="C11" s="219" t="inlineStr">
        <is>
          <t>Lts Solicitados</t>
        </is>
      </c>
      <c r="D11" s="220" t="inlineStr">
        <is>
          <t>Lts Recibidos Obra</t>
        </is>
      </c>
      <c r="E11" s="221" t="inlineStr">
        <is>
          <t>Dif. Litros (Obra-Sol)</t>
        </is>
      </c>
      <c r="F11" s="222" t="inlineStr">
        <is>
          <t>Costo Solicitado</t>
        </is>
      </c>
      <c r="G11" s="223" t="inlineStr">
        <is>
          <t>Costo Real Obra</t>
        </is>
      </c>
      <c r="H11" s="224" t="inlineStr">
        <is>
          <t>Dif. Costo (Real-Sol)</t>
        </is>
      </c>
      <c r="I11" s="426" t="n"/>
      <c r="J11" s="427" t="n"/>
    </row>
    <row r="12" ht="16.05" customHeight="1" s="17580">
      <c r="A12" s="225" t="inlineStr">
        <is>
          <t>Lunes</t>
        </is>
      </c>
      <c r="B12" s="226">
        <f>C$5</f>
        <v/>
      </c>
      <c r="C12" s="227">
        <f>IF(C$4="Todas", SUMIFS(Solicitudes!F:F, Solicitudes!C:C, B12), SUMIFS(Solicitudes!F:F, Solicitudes!B:B, C$4, Solicitudes!C:C, B12))</f>
        <v/>
      </c>
      <c r="D12" s="228">
        <f>IF(C$4="Jalisco", SUMIFS(Captura_Jalisco!G:G, Captura_Jalisco!A:A, B12, Captura_Jalisco!B:B, "Salida"), IF(C$4="Todas", SUMIFS(Captura_Obra!F:F, Captura_Obra!A:A, B12) + SUMIFS(Captura_Jalisco!G:G, Captura_Jalisco!A:A, B12, Captura_Jalisco!B:B, "Salida"), SUMIFS(Captura_Obra!F:F, Captura_Obra!B:B, C$4, Captura_Obra!A:A, B12)))</f>
        <v/>
      </c>
      <c r="E12" s="229">
        <f>D12-C12</f>
        <v/>
      </c>
      <c r="F12" s="230">
        <f>C12*C$7</f>
        <v/>
      </c>
      <c r="G12" s="231">
        <f>D12*C$7</f>
        <v/>
      </c>
      <c r="H12" s="232">
        <f>G12-F12</f>
        <v/>
      </c>
      <c r="I12" s="428" t="n"/>
      <c r="J12" s="429" t="n"/>
    </row>
    <row r="13" ht="16.05" customHeight="1" s="17580">
      <c r="A13" s="233" t="inlineStr">
        <is>
          <t>Martes</t>
        </is>
      </c>
      <c r="B13" s="234">
        <f>B12+1</f>
        <v/>
      </c>
      <c r="C13" s="235">
        <f>IF(C$4="Todas", SUMIFS(Solicitudes!F:F, Solicitudes!C:C, B13), SUMIFS(Solicitudes!F:F, Solicitudes!B:B, C$4, Solicitudes!C:C, B13))</f>
        <v/>
      </c>
      <c r="D13" s="236">
        <f>IF(C$4="Jalisco", SUMIFS(Captura_Jalisco!G:G, Captura_Jalisco!A:A, B13, Captura_Jalisco!B:B, "Salida"), IF(C$4="Todas", SUMIFS(Captura_Obra!F:F, Captura_Obra!A:A, B13) + SUMIFS(Captura_Jalisco!G:G, Captura_Jalisco!A:A, B13, Captura_Jalisco!B:B, "Salida"), SUMIFS(Captura_Obra!F:F, Captura_Obra!B:B, C$4, Captura_Obra!A:A, B13)))</f>
        <v/>
      </c>
      <c r="E13" s="237">
        <f>D13-C13</f>
        <v/>
      </c>
      <c r="F13" s="238">
        <f>C13*C$7</f>
        <v/>
      </c>
      <c r="G13" s="239">
        <f>D13*C$7</f>
        <v/>
      </c>
      <c r="H13" s="240">
        <f>G13-F13</f>
        <v/>
      </c>
      <c r="I13" s="430" t="n"/>
      <c r="J13" s="431" t="n"/>
    </row>
    <row r="14" ht="16.05" customHeight="1" s="17580">
      <c r="A14" s="241" t="inlineStr">
        <is>
          <t>Miércoles</t>
        </is>
      </c>
      <c r="B14" s="242">
        <f>B13+1</f>
        <v/>
      </c>
      <c r="C14" s="243">
        <f>IF(C$4="Todas", SUMIFS(Solicitudes!F:F, Solicitudes!C:C, B14), SUMIFS(Solicitudes!F:F, Solicitudes!B:B, C$4, Solicitudes!C:C, B14))</f>
        <v/>
      </c>
      <c r="D14" s="244">
        <f>IF(C$4="Jalisco", SUMIFS(Captura_Jalisco!G:G, Captura_Jalisco!A:A, B14, Captura_Jalisco!B:B, "Salida"), IF(C$4="Todas", SUMIFS(Captura_Obra!F:F, Captura_Obra!A:A, B14) + SUMIFS(Captura_Jalisco!G:G, Captura_Jalisco!A:A, B14, Captura_Jalisco!B:B, "Salida"), SUMIFS(Captura_Obra!F:F, Captura_Obra!B:B, C$4, Captura_Obra!A:A, B14)))</f>
        <v/>
      </c>
      <c r="E14" s="245">
        <f>D14-C14</f>
        <v/>
      </c>
      <c r="F14" s="246">
        <f>C14*C$7</f>
        <v/>
      </c>
      <c r="G14" s="247">
        <f>D14*C$7</f>
        <v/>
      </c>
      <c r="H14" s="248">
        <f>G14-F14</f>
        <v/>
      </c>
      <c r="I14" s="432" t="n"/>
      <c r="J14" s="433" t="n"/>
    </row>
    <row r="15" ht="16.05" customHeight="1" s="17580">
      <c r="A15" s="249" t="inlineStr">
        <is>
          <t>Jueves</t>
        </is>
      </c>
      <c r="B15" s="250">
        <f>B14+1</f>
        <v/>
      </c>
      <c r="C15" s="251">
        <f>IF(C$4="Todas", SUMIFS(Solicitudes!F:F, Solicitudes!C:C, B15), SUMIFS(Solicitudes!F:F, Solicitudes!B:B, C$4, Solicitudes!C:C, B15))</f>
        <v/>
      </c>
      <c r="D15" s="252">
        <f>IF(C$4="Jalisco", SUMIFS(Captura_Jalisco!G:G, Captura_Jalisco!A:A, B15, Captura_Jalisco!B:B, "Salida"), IF(C$4="Todas", SUMIFS(Captura_Obra!F:F, Captura_Obra!A:A, B15) + SUMIFS(Captura_Jalisco!G:G, Captura_Jalisco!A:A, B15, Captura_Jalisco!B:B, "Salida"), SUMIFS(Captura_Obra!F:F, Captura_Obra!B:B, C$4, Captura_Obra!A:A, B15)))</f>
        <v/>
      </c>
      <c r="E15" s="253">
        <f>D15-C15</f>
        <v/>
      </c>
      <c r="F15" s="254">
        <f>C15*C$7</f>
        <v/>
      </c>
      <c r="G15" s="255">
        <f>D15*C$7</f>
        <v/>
      </c>
      <c r="H15" s="256">
        <f>G15-F15</f>
        <v/>
      </c>
      <c r="I15" s="434" t="n"/>
      <c r="J15" s="435" t="n"/>
    </row>
    <row r="16" ht="16.05" customHeight="1" s="17580">
      <c r="A16" s="257" t="inlineStr">
        <is>
          <t>Viernes</t>
        </is>
      </c>
      <c r="B16" s="258">
        <f>B15+1</f>
        <v/>
      </c>
      <c r="C16" s="259">
        <f>IF(C$4="Todas", SUMIFS(Solicitudes!F:F, Solicitudes!C:C, B16), SUMIFS(Solicitudes!F:F, Solicitudes!B:B, C$4, Solicitudes!C:C, B16))</f>
        <v/>
      </c>
      <c r="D16" s="260">
        <f>IF(C$4="Jalisco", SUMIFS(Captura_Jalisco!G:G, Captura_Jalisco!A:A, B16, Captura_Jalisco!B:B, "Salida"), IF(C$4="Todas", SUMIFS(Captura_Obra!F:F, Captura_Obra!A:A, B16) + SUMIFS(Captura_Jalisco!G:G, Captura_Jalisco!A:A, B16, Captura_Jalisco!B:B, "Salida"), SUMIFS(Captura_Obra!F:F, Captura_Obra!B:B, C$4, Captura_Obra!A:A, B16)))</f>
        <v/>
      </c>
      <c r="E16" s="261">
        <f>D16-C16</f>
        <v/>
      </c>
      <c r="F16" s="262">
        <f>C16*C$7</f>
        <v/>
      </c>
      <c r="G16" s="263">
        <f>D16*C$7</f>
        <v/>
      </c>
      <c r="H16" s="264">
        <f>G16-F16</f>
        <v/>
      </c>
      <c r="I16" s="436" t="n"/>
      <c r="J16" s="437" t="n"/>
    </row>
    <row r="17" ht="16.05" customHeight="1" s="17580">
      <c r="A17" s="265" t="inlineStr">
        <is>
          <t>Sábado</t>
        </is>
      </c>
      <c r="B17" s="266">
        <f>B16+1</f>
        <v/>
      </c>
      <c r="C17" s="267">
        <f>IF(C$4="Todas", SUMIFS(Solicitudes!F:F, Solicitudes!C:C, B17), SUMIFS(Solicitudes!F:F, Solicitudes!B:B, C$4, Solicitudes!C:C, B17))</f>
        <v/>
      </c>
      <c r="D17" s="268">
        <f>IF(C$4="Jalisco", SUMIFS(Captura_Jalisco!G:G, Captura_Jalisco!A:A, B17, Captura_Jalisco!B:B, "Salida"), IF(C$4="Todas", SUMIFS(Captura_Obra!F:F, Captura_Obra!A:A, B17) + SUMIFS(Captura_Jalisco!G:G, Captura_Jalisco!A:A, B17, Captura_Jalisco!B:B, "Salida"), SUMIFS(Captura_Obra!F:F, Captura_Obra!B:B, C$4, Captura_Obra!A:A, B17)))</f>
        <v/>
      </c>
      <c r="E17" s="269">
        <f>D17-C17</f>
        <v/>
      </c>
      <c r="F17" s="270">
        <f>C17*C$7</f>
        <v/>
      </c>
      <c r="G17" s="271">
        <f>D17*C$7</f>
        <v/>
      </c>
      <c r="H17" s="272">
        <f>G17-F17</f>
        <v/>
      </c>
      <c r="I17" s="438" t="n"/>
      <c r="J17" s="439" t="n"/>
    </row>
    <row r="18" ht="17.55" customHeight="1" s="17580">
      <c r="A18" s="273" t="inlineStr">
        <is>
          <t>TOTAL SEMANAL</t>
        </is>
      </c>
      <c r="B18" s="274" t="n"/>
      <c r="C18" s="275">
        <f>SUM(C12:C17)</f>
        <v/>
      </c>
      <c r="D18" s="276">
        <f>SUM(D12:D17)</f>
        <v/>
      </c>
      <c r="E18" s="277">
        <f>SUM(E12:E17)</f>
        <v/>
      </c>
      <c r="F18" s="278">
        <f>SUM(F12:F17)</f>
        <v/>
      </c>
      <c r="G18" s="279">
        <f>SUM(G12:G17)</f>
        <v/>
      </c>
      <c r="H18" s="280">
        <f>SUM(H12:H17)</f>
        <v/>
      </c>
      <c r="I18" s="440" t="n"/>
      <c r="J18" s="441" t="n"/>
    </row>
    <row r="19" ht="16.8" customHeight="1" s="17580">
      <c r="A19" s="442" t="n"/>
      <c r="B19" s="443" t="n"/>
      <c r="C19" s="444" t="n"/>
      <c r="D19" s="445" t="n"/>
      <c r="E19" s="446" t="n"/>
      <c r="F19" s="447" t="n"/>
      <c r="G19" s="448" t="n"/>
      <c r="H19" s="449" t="n"/>
      <c r="I19" s="450" t="n"/>
      <c r="J19" s="451" t="n"/>
    </row>
    <row r="20" ht="16.05" customHeight="1" s="17580">
      <c r="A20" s="17596" t="inlineStr">
        <is>
          <t>CONCILIACIÓN FÍSICA Y DISCREPANCIAS (OBRA VS MARIMBA Y PEGASO)</t>
        </is>
      </c>
    </row>
    <row r="21" ht="19.2" customHeight="1" s="17580">
      <c r="A21" s="281" t="inlineStr">
        <is>
          <t>Día</t>
        </is>
      </c>
      <c r="B21" s="282" t="inlineStr">
        <is>
          <t>Fecha</t>
        </is>
      </c>
      <c r="C21" s="283" t="inlineStr">
        <is>
          <t>Obra Recibió (M)</t>
        </is>
      </c>
      <c r="D21" s="284" t="inlineStr">
        <is>
          <t>Marimba Despachó</t>
        </is>
      </c>
      <c r="E21" s="285" t="inlineStr">
        <is>
          <t>Dif. Marimba</t>
        </is>
      </c>
      <c r="F21" s="286" t="inlineStr">
        <is>
          <t>Obra Recibió (P)</t>
        </is>
      </c>
      <c r="G21" s="287" t="inlineStr">
        <is>
          <t>Pegaso Despachó</t>
        </is>
      </c>
      <c r="H21" s="288" t="inlineStr">
        <is>
          <t>Dif. Pegaso</t>
        </is>
      </c>
      <c r="I21" s="289" t="inlineStr">
        <is>
          <t>Dif. Total (L)</t>
        </is>
      </c>
      <c r="J21" s="290" t="inlineStr">
        <is>
          <t>Observaciones / Justificación</t>
        </is>
      </c>
    </row>
    <row r="22" ht="16.05" customHeight="1" s="17580">
      <c r="A22" s="291" t="inlineStr">
        <is>
          <t>Lunes</t>
        </is>
      </c>
      <c r="B22" s="292">
        <f>B12</f>
        <v/>
      </c>
      <c r="C22" s="293">
        <f>IF(C$4="Todas", SUMIFS(Captura_Obra!F:F, Captura_Obra!A:A, B22, Captura_Obra!C:C, "Marimba M-01"), SUMIFS(Captura_Obra!F:F, Captura_Obra!B:B, C$4, Captura_Obra!A:A, B22, Captura_Obra!C:C, "Marimba M-01"))</f>
        <v/>
      </c>
      <c r="D22" s="294">
        <f>IF(C$4="Todas", SUMIFS(Captura_Marimba_M01!G:G, Captura_Marimba_M01!A:A, B22, Captura_Marimba_M01!B:B, "Salida"), SUMIFS(Captura_Marimba_M01!G:G, Captura_Marimba_M01!C:C, C$4, Captura_Marimba_M01!A:A, B22, Captura_Marimba_M01!B:B, "Salida"))</f>
        <v/>
      </c>
      <c r="E22" s="295">
        <f>C22-D22</f>
        <v/>
      </c>
      <c r="F22" s="296">
        <f>IF(C$4="Todas", SUMIFS(Captura_Obra!F:F, Captura_Obra!A:A, B22, Captura_Obra!C:C, "Pegaso Directo"), SUMIFS(Captura_Obra!F:F, Captura_Obra!B:B, C$4, Captura_Obra!A:A, B22, Captura_Obra!C:C, "Pegaso Directo"))</f>
        <v/>
      </c>
      <c r="G22" s="297">
        <f>IF(C$4="Todas", SUMIFS(Captura_Pegaso!H:H, Captura_Pegaso!A:A, B22, Captura_Pegaso!B:B, "Salida"), SUMIFS(Captura_Pegaso!H:H, Captura_Pegaso!D:D, C$4, Captura_Pegaso!A:A, B22, Captura_Pegaso!B:B, "Salida"))</f>
        <v/>
      </c>
      <c r="H22" s="298">
        <f>F22-G22</f>
        <v/>
      </c>
      <c r="I22" s="299">
        <f>E22+H22</f>
        <v/>
      </c>
      <c r="J22" s="300" t="n"/>
    </row>
    <row r="23" ht="16.05" customHeight="1" s="17580">
      <c r="A23" s="301" t="inlineStr">
        <is>
          <t>Martes</t>
        </is>
      </c>
      <c r="B23" s="302">
        <f>B13</f>
        <v/>
      </c>
      <c r="C23" s="303">
        <f>IF(C$4="Todas", SUMIFS(Captura_Obra!F:F, Captura_Obra!A:A, B23, Captura_Obra!C:C, "Marimba M-01"), SUMIFS(Captura_Obra!F:F, Captura_Obra!B:B, C$4, Captura_Obra!A:A, B23, Captura_Obra!C:C, "Marimba M-01"))</f>
        <v/>
      </c>
      <c r="D23" s="304">
        <f>IF(C$4="Todas", SUMIFS(Captura_Marimba_M01!G:G, Captura_Marimba_M01!A:A, B23, Captura_Marimba_M01!B:B, "Salida"), SUMIFS(Captura_Marimba_M01!G:G, Captura_Marimba_M01!C:C, C$4, Captura_Marimba_M01!A:A, B23, Captura_Marimba_M01!B:B, "Salida"))</f>
        <v/>
      </c>
      <c r="E23" s="305">
        <f>C23-D23</f>
        <v/>
      </c>
      <c r="F23" s="306">
        <f>IF(C$4="Todas", SUMIFS(Captura_Obra!F:F, Captura_Obra!A:A, B23, Captura_Obra!C:C, "Pegaso Directo"), SUMIFS(Captura_Obra!F:F, Captura_Obra!B:B, C$4, Captura_Obra!A:A, B23, Captura_Obra!C:C, "Pegaso Directo"))</f>
        <v/>
      </c>
      <c r="G23" s="307">
        <f>IF(C$4="Todas", SUMIFS(Captura_Pegaso!H:H, Captura_Pegaso!A:A, B23, Captura_Pegaso!B:B, "Salida"), SUMIFS(Captura_Pegaso!H:H, Captura_Pegaso!D:D, C$4, Captura_Pegaso!A:A, B23, Captura_Pegaso!B:B, "Salida"))</f>
        <v/>
      </c>
      <c r="H23" s="308">
        <f>F23-G23</f>
        <v/>
      </c>
      <c r="I23" s="309">
        <f>E23+H23</f>
        <v/>
      </c>
      <c r="J23" s="310" t="n"/>
    </row>
    <row r="24" ht="16.05" customHeight="1" s="17580">
      <c r="A24" s="311" t="inlineStr">
        <is>
          <t>Miércoles</t>
        </is>
      </c>
      <c r="B24" s="312">
        <f>B14</f>
        <v/>
      </c>
      <c r="C24" s="313">
        <f>IF(C$4="Todas", SUMIFS(Captura_Obra!F:F, Captura_Obra!A:A, B24, Captura_Obra!C:C, "Marimba M-01"), SUMIFS(Captura_Obra!F:F, Captura_Obra!B:B, C$4, Captura_Obra!A:A, B24, Captura_Obra!C:C, "Marimba M-01"))</f>
        <v/>
      </c>
      <c r="D24" s="314">
        <f>IF(C$4="Todas", SUMIFS(Captura_Marimba_M01!G:G, Captura_Marimba_M01!A:A, B24, Captura_Marimba_M01!B:B, "Salida"), SUMIFS(Captura_Marimba_M01!G:G, Captura_Marimba_M01!C:C, C$4, Captura_Marimba_M01!A:A, B24, Captura_Marimba_M01!B:B, "Salida"))</f>
        <v/>
      </c>
      <c r="E24" s="315">
        <f>C24-D24</f>
        <v/>
      </c>
      <c r="F24" s="316">
        <f>IF(C$4="Todas", SUMIFS(Captura_Obra!F:F, Captura_Obra!A:A, B24, Captura_Obra!C:C, "Pegaso Directo"), SUMIFS(Captura_Obra!F:F, Captura_Obra!B:B, C$4, Captura_Obra!A:A, B24, Captura_Obra!C:C, "Pegaso Directo"))</f>
        <v/>
      </c>
      <c r="G24" s="317">
        <f>IF(C$4="Todas", SUMIFS(Captura_Pegaso!H:H, Captura_Pegaso!A:A, B24, Captura_Pegaso!B:B, "Salida"), SUMIFS(Captura_Pegaso!H:H, Captura_Pegaso!D:D, C$4, Captura_Pegaso!A:A, B24, Captura_Pegaso!B:B, "Salida"))</f>
        <v/>
      </c>
      <c r="H24" s="318">
        <f>F24-G24</f>
        <v/>
      </c>
      <c r="I24" s="319">
        <f>E24+H24</f>
        <v/>
      </c>
      <c r="J24" s="320" t="n"/>
    </row>
    <row r="25" ht="16.05" customHeight="1" s="17580">
      <c r="A25" s="321" t="inlineStr">
        <is>
          <t>Jueves</t>
        </is>
      </c>
      <c r="B25" s="322">
        <f>B15</f>
        <v/>
      </c>
      <c r="C25" s="323">
        <f>IF(C$4="Todas", SUMIFS(Captura_Obra!F:F, Captura_Obra!A:A, B25, Captura_Obra!C:C, "Marimba M-01"), SUMIFS(Captura_Obra!F:F, Captura_Obra!B:B, C$4, Captura_Obra!A:A, B25, Captura_Obra!C:C, "Marimba M-01"))</f>
        <v/>
      </c>
      <c r="D25" s="324">
        <f>IF(C$4="Todas", SUMIFS(Captura_Marimba_M01!G:G, Captura_Marimba_M01!A:A, B25, Captura_Marimba_M01!B:B, "Salida"), SUMIFS(Captura_Marimba_M01!G:G, Captura_Marimba_M01!C:C, C$4, Captura_Marimba_M01!A:A, B25, Captura_Marimba_M01!B:B, "Salida"))</f>
        <v/>
      </c>
      <c r="E25" s="325">
        <f>C25-D25</f>
        <v/>
      </c>
      <c r="F25" s="326">
        <f>IF(C$4="Todas", SUMIFS(Captura_Obra!F:F, Captura_Obra!A:A, B25, Captura_Obra!C:C, "Pegaso Directo"), SUMIFS(Captura_Obra!F:F, Captura_Obra!B:B, C$4, Captura_Obra!A:A, B25, Captura_Obra!C:C, "Pegaso Directo"))</f>
        <v/>
      </c>
      <c r="G25" s="327">
        <f>IF(C$4="Todas", SUMIFS(Captura_Pegaso!H:H, Captura_Pegaso!A:A, B25, Captura_Pegaso!B:B, "Salida"), SUMIFS(Captura_Pegaso!H:H, Captura_Pegaso!D:D, C$4, Captura_Pegaso!A:A, B25, Captura_Pegaso!B:B, "Salida"))</f>
        <v/>
      </c>
      <c r="H25" s="328">
        <f>F25-G25</f>
        <v/>
      </c>
      <c r="I25" s="329">
        <f>E25+H25</f>
        <v/>
      </c>
      <c r="J25" s="330" t="n"/>
    </row>
    <row r="26" ht="16.05" customHeight="1" s="17580">
      <c r="A26" s="331" t="inlineStr">
        <is>
          <t>Viernes</t>
        </is>
      </c>
      <c r="B26" s="332">
        <f>B16</f>
        <v/>
      </c>
      <c r="C26" s="333">
        <f>IF(C$4="Todas", SUMIFS(Captura_Obra!F:F, Captura_Obra!A:A, B26, Captura_Obra!C:C, "Marimba M-01"), SUMIFS(Captura_Obra!F:F, Captura_Obra!B:B, C$4, Captura_Obra!A:A, B26, Captura_Obra!C:C, "Marimba M-01"))</f>
        <v/>
      </c>
      <c r="D26" s="334">
        <f>IF(C$4="Todas", SUMIFS(Captura_Marimba_M01!G:G, Captura_Marimba_M01!A:A, B26, Captura_Marimba_M01!B:B, "Salida"), SUMIFS(Captura_Marimba_M01!G:G, Captura_Marimba_M01!C:C, C$4, Captura_Marimba_M01!A:A, B26, Captura_Marimba_M01!B:B, "Salida"))</f>
        <v/>
      </c>
      <c r="E26" s="335">
        <f>C26-D26</f>
        <v/>
      </c>
      <c r="F26" s="336">
        <f>IF(C$4="Todas", SUMIFS(Captura_Obra!F:F, Captura_Obra!A:A, B26, Captura_Obra!C:C, "Pegaso Directo"), SUMIFS(Captura_Obra!F:F, Captura_Obra!B:B, C$4, Captura_Obra!A:A, B26, Captura_Obra!C:C, "Pegaso Directo"))</f>
        <v/>
      </c>
      <c r="G26" s="337">
        <f>IF(C$4="Todas", SUMIFS(Captura_Pegaso!H:H, Captura_Pegaso!A:A, B26, Captura_Pegaso!B:B, "Salida"), SUMIFS(Captura_Pegaso!H:H, Captura_Pegaso!D:D, C$4, Captura_Pegaso!A:A, B26, Captura_Pegaso!B:B, "Salida"))</f>
        <v/>
      </c>
      <c r="H26" s="338">
        <f>F26-G26</f>
        <v/>
      </c>
      <c r="I26" s="339">
        <f>E26+H26</f>
        <v/>
      </c>
      <c r="J26" s="340" t="n"/>
    </row>
    <row r="27" ht="16.05" customHeight="1" s="17580">
      <c r="A27" s="341" t="inlineStr">
        <is>
          <t>Sábado</t>
        </is>
      </c>
      <c r="B27" s="342">
        <f>B17</f>
        <v/>
      </c>
      <c r="C27" s="343">
        <f>IF(C$4="Todas", SUMIFS(Captura_Obra!F:F, Captura_Obra!A:A, B27, Captura_Obra!C:C, "Marimba M-01"), SUMIFS(Captura_Obra!F:F, Captura_Obra!B:B, C$4, Captura_Obra!A:A, B27, Captura_Obra!C:C, "Marimba M-01"))</f>
        <v/>
      </c>
      <c r="D27" s="344">
        <f>IF(C$4="Todas", SUMIFS(Captura_Marimba_M01!G:G, Captura_Marimba_M01!A:A, B27, Captura_Marimba_M01!B:B, "Salida"), SUMIFS(Captura_Marimba_M01!G:G, Captura_Marimba_M01!C:C, C$4, Captura_Marimba_M01!A:A, B27, Captura_Marimba_M01!B:B, "Salida"))</f>
        <v/>
      </c>
      <c r="E27" s="345">
        <f>C27-D27</f>
        <v/>
      </c>
      <c r="F27" s="346">
        <f>IF(C$4="Todas", SUMIFS(Captura_Obra!F:F, Captura_Obra!A:A, B27, Captura_Obra!C:C, "Pegaso Directo"), SUMIFS(Captura_Obra!F:F, Captura_Obra!B:B, C$4, Captura_Obra!A:A, B27, Captura_Obra!C:C, "Pegaso Directo"))</f>
        <v/>
      </c>
      <c r="G27" s="347">
        <f>IF(C$4="Todas", SUMIFS(Captura_Pegaso!H:H, Captura_Pegaso!A:A, B27, Captura_Pegaso!B:B, "Salida"), SUMIFS(Captura_Pegaso!H:H, Captura_Pegaso!D:D, C$4, Captura_Pegaso!A:A, B27, Captura_Pegaso!B:B, "Salida"))</f>
        <v/>
      </c>
      <c r="H27" s="348">
        <f>F27-G27</f>
        <v/>
      </c>
      <c r="I27" s="349">
        <f>E27+H27</f>
        <v/>
      </c>
      <c r="J27" s="350" t="n"/>
    </row>
    <row r="28" ht="17.55" customHeight="1" s="17580">
      <c r="A28" s="351" t="inlineStr">
        <is>
          <t>TOTAL CONCILIADO</t>
        </is>
      </c>
      <c r="B28" s="352" t="n"/>
      <c r="C28" s="353">
        <f>SUM(C22:C27)</f>
        <v/>
      </c>
      <c r="D28" s="354">
        <f>SUM(D22:D27)</f>
        <v/>
      </c>
      <c r="E28" s="355">
        <f>SUM(E22:E27)</f>
        <v/>
      </c>
      <c r="F28" s="356">
        <f>SUM(F22:F27)</f>
        <v/>
      </c>
      <c r="G28" s="357">
        <f>SUM(G22:G27)</f>
        <v/>
      </c>
      <c r="H28" s="358">
        <f>SUM(H22:H27)</f>
        <v/>
      </c>
      <c r="I28" s="359">
        <f>SUM(I22:I27)</f>
        <v/>
      </c>
      <c r="J28" s="360" t="n"/>
    </row>
    <row r="29" ht="16.8" customHeight="1" s="17580">
      <c r="A29" s="452" t="n"/>
      <c r="B29" s="453" t="n"/>
      <c r="C29" s="454" t="n"/>
      <c r="D29" s="455" t="n"/>
      <c r="E29" s="456" t="n"/>
      <c r="F29" s="457" t="n"/>
      <c r="G29" s="458" t="n"/>
      <c r="H29" s="459" t="n"/>
      <c r="I29" s="460" t="n"/>
      <c r="J29" s="461" t="n"/>
    </row>
    <row r="30" ht="16.8" customHeight="1" s="17580">
      <c r="A30" s="462" t="n"/>
      <c r="B30" s="463" t="n"/>
      <c r="C30" s="464" t="n"/>
      <c r="D30" s="465" t="n"/>
      <c r="E30" s="466" t="n"/>
      <c r="F30" s="467" t="n"/>
      <c r="G30" s="468" t="n"/>
      <c r="H30" s="469" t="n"/>
      <c r="I30" s="470" t="n"/>
      <c r="J30" s="471" t="n"/>
      <c r="Q30" s="17593">
        <f>"SOLICITUDES DE DISEL DIARIAS Y SEMANALES POR OBRA (SEMANA " &amp; YEAR(C5) &amp; "-" &amp; TEXT(MONTH(C5),"00") &amp; "-" &amp; TEXT(DAY(C5),"00") &amp; ")"</f>
        <v/>
      </c>
      <c r="R30" s="17594" t="n"/>
      <c r="S30" s="17594" t="n"/>
      <c r="T30" s="17594" t="n"/>
      <c r="U30" s="17594" t="n"/>
      <c r="V30" s="17594" t="n"/>
      <c r="W30" s="17594" t="n"/>
      <c r="X30" s="17594" t="n"/>
      <c r="Y30" s="17594" t="n"/>
      <c r="Z30" s="17594" t="n"/>
      <c r="AA30" s="17594" t="n"/>
      <c r="AB30" s="17594" t="n"/>
      <c r="AC30" s="17594" t="n"/>
      <c r="AD30" s="17594" t="n"/>
      <c r="AE30" s="17594" t="n"/>
      <c r="AF30" s="17594" t="n"/>
    </row>
    <row r="31" ht="24" customHeight="1" s="17580">
      <c r="A31" s="17616" t="inlineStr">
        <is>
          <t>RESUMEN ACUMULADO POR OBRA / PERÍODO SELECCIONADO</t>
        </is>
      </c>
      <c r="B31" s="17594" t="n"/>
      <c r="C31" s="17594" t="n"/>
      <c r="D31" s="584" t="n"/>
      <c r="Q31" s="17613" t="inlineStr">
        <is>
          <t>Obra</t>
        </is>
      </c>
      <c r="R31" s="17591" t="inlineStr">
        <is>
          <t>Solicitante</t>
        </is>
      </c>
      <c r="S31" s="17622" t="inlineStr">
        <is>
          <t>Lunes</t>
        </is>
      </c>
      <c r="T31" s="17583" t="n"/>
      <c r="U31" s="17590" t="inlineStr">
        <is>
          <t>Martes</t>
        </is>
      </c>
      <c r="V31" s="17583" t="n"/>
      <c r="W31" s="17612" t="inlineStr">
        <is>
          <t>Miércoles</t>
        </is>
      </c>
      <c r="X31" s="17583" t="n"/>
      <c r="Y31" s="17614" t="inlineStr">
        <is>
          <t>Jueves</t>
        </is>
      </c>
      <c r="Z31" s="17583" t="n"/>
      <c r="AA31" s="17617" t="inlineStr">
        <is>
          <t>Viernes</t>
        </is>
      </c>
      <c r="AB31" s="17583" t="n"/>
      <c r="AC31" s="17618" t="inlineStr">
        <is>
          <t>Sábado</t>
        </is>
      </c>
      <c r="AD31" s="17583" t="n"/>
      <c r="AE31" s="17597" t="inlineStr">
        <is>
          <t>Total Semanal Solicitado</t>
        </is>
      </c>
      <c r="AF31" s="17597" t="inlineStr">
        <is>
          <t>Total Seamanal Autorizado</t>
        </is>
      </c>
    </row>
    <row r="32" ht="22.05" customHeight="1" s="17580">
      <c r="A32" s="361" t="inlineStr">
        <is>
          <t>Obra</t>
        </is>
      </c>
      <c r="B32" s="362" t="inlineStr">
        <is>
          <t>Total Litros Suministrados</t>
        </is>
      </c>
      <c r="C32" s="363" t="inlineStr">
        <is>
          <t>Costo Total Acumulado</t>
        </is>
      </c>
      <c r="D32" s="472" t="n"/>
      <c r="Q32" s="17592" t="n"/>
      <c r="R32" s="17592" t="n"/>
      <c r="S32" s="2315" t="inlineStr">
        <is>
          <t>Solicitado</t>
        </is>
      </c>
      <c r="T32" s="2315" t="inlineStr">
        <is>
          <t>Autorizado</t>
        </is>
      </c>
      <c r="U32" s="2315" t="inlineStr">
        <is>
          <t>Solicitado</t>
        </is>
      </c>
      <c r="V32" s="2315" t="inlineStr">
        <is>
          <t>Autorizado</t>
        </is>
      </c>
      <c r="W32" s="2315" t="inlineStr">
        <is>
          <t>Solicitado</t>
        </is>
      </c>
      <c r="X32" s="2315" t="inlineStr">
        <is>
          <t>Autorizado</t>
        </is>
      </c>
      <c r="Y32" s="2315" t="inlineStr">
        <is>
          <t>Solicitado</t>
        </is>
      </c>
      <c r="Z32" s="2315" t="inlineStr">
        <is>
          <t>Autorizado</t>
        </is>
      </c>
      <c r="AA32" s="2315" t="inlineStr">
        <is>
          <t>Solicitado</t>
        </is>
      </c>
      <c r="AB32" s="2315" t="inlineStr">
        <is>
          <t>Autorizado</t>
        </is>
      </c>
      <c r="AC32" s="2315" t="inlineStr">
        <is>
          <t>Solicitado</t>
        </is>
      </c>
      <c r="AD32" s="2315" t="inlineStr">
        <is>
          <t>Autorizado</t>
        </is>
      </c>
      <c r="AE32" s="17592" t="n"/>
      <c r="AF32" s="17592" t="n"/>
    </row>
    <row r="33" ht="19.95" customHeight="1" s="17580">
      <c r="A33" s="364" t="inlineStr">
        <is>
          <t>México-Toluca</t>
        </is>
      </c>
      <c r="B33" s="365">
        <f>IF(C$8="Acumulado Histórico", SUMIFS(Captura_Obra!F:F, Captura_Obra!B:B, A33), IF(C$8="Rango de Fechas", SUMIFS(Captura_Obra!F:F, Captura_Obra!B:B, A33, Captura_Obra!A:A, "&gt;="&amp;C$5, Captura_Obra!A:A, "&lt;="&amp;(C$6+5)), SUMIFS(Captura_Obra!F:F, Captura_Obra!B:B, A33, Captura_Obra!A:A, "&gt;="&amp;C$5, Captura_Obra!A:A, "&lt;="&amp;(C$5+5))))</f>
        <v/>
      </c>
      <c r="C33" s="366">
        <f>B33*C$7</f>
        <v/>
      </c>
      <c r="D33" s="473" t="n"/>
      <c r="P33" t="inlineStr">
        <is>
          <t>m</t>
        </is>
      </c>
      <c r="Q33" s="578">
        <f>A33</f>
        <v/>
      </c>
      <c r="R33" s="2275">
        <f>VLOOKUP(Q33,Catalogos!$B$4:$C$18,2,FALSE)</f>
        <v/>
      </c>
      <c r="S33" s="2278">
        <f>SUMIFS(Solicitudes!$F:$F, Solicitudes!$B:$B, $Q33, Solicitudes!$C:$C, $B$12)</f>
        <v/>
      </c>
      <c r="T33" s="2277" t="n">
        <v>550</v>
      </c>
      <c r="U33" s="2279">
        <f>SUMIFS(Solicitudes!$F:$F, Solicitudes!$B:$B, $Q33, Solicitudes!$C:$C, $B$13)</f>
        <v/>
      </c>
      <c r="V33" s="2277" t="n">
        <v>550</v>
      </c>
      <c r="W33" s="2280">
        <f>SUMIFS(Solicitudes!$F:$F, Solicitudes!$B:$B, $Q33, Solicitudes!$C:$C, $B$14)</f>
        <v/>
      </c>
      <c r="X33" s="2277" t="n">
        <v>550</v>
      </c>
      <c r="Y33" s="2281">
        <f>SUMIFS(Solicitudes!$F:$F, Solicitudes!$B:$B, $Q33, Solicitudes!$C:$C, $B$15)</f>
        <v/>
      </c>
      <c r="Z33" s="2277" t="n">
        <v>550</v>
      </c>
      <c r="AA33" s="2282">
        <f>SUMIFS(Solicitudes!$F:$F, Solicitudes!$B:$B, $Q33, Solicitudes!$C:$C, $B$16)</f>
        <v/>
      </c>
      <c r="AB33" s="2277" t="n">
        <v>550</v>
      </c>
      <c r="AC33" s="2283">
        <f>SUMIFS(Solicitudes!$F:$F, Solicitudes!$B:$B, $Q33, Solicitudes!$C:$C, $B$17)</f>
        <v/>
      </c>
      <c r="AD33" s="2284" t="n">
        <v>0</v>
      </c>
      <c r="AE33" s="2285">
        <f>SUM(S33,U33,W33,Y33,AA33,AC33,)</f>
        <v/>
      </c>
      <c r="AF33" s="2285">
        <f>SUM(T33,V33,X33,Z33,AB33,AD33)</f>
        <v/>
      </c>
    </row>
    <row r="34" ht="19.95" customHeight="1" s="17580">
      <c r="A34" s="367" t="inlineStr">
        <is>
          <t>Lerma - Tres Marías</t>
        </is>
      </c>
      <c r="B34" s="368">
        <f>IF(C$8="Acumulado Histórico", SUMIFS(Captura_Obra!F:F, Captura_Obra!B:B, A34), IF(C$8="Rango de Fechas", SUMIFS(Captura_Obra!F:F, Captura_Obra!B:B, A34, Captura_Obra!A:A, "&gt;="&amp;C$5, Captura_Obra!A:A, "&lt;="&amp;(C$6+5)), SUMIFS(Captura_Obra!F:F, Captura_Obra!B:B, A34, Captura_Obra!A:A, "&gt;="&amp;C$5, Captura_Obra!A:A, "&lt;="&amp;(C$5+5))))</f>
        <v/>
      </c>
      <c r="C34" s="369">
        <f>B34*C$7</f>
        <v/>
      </c>
      <c r="D34" s="474" t="n"/>
      <c r="P34" t="inlineStr">
        <is>
          <t>p</t>
        </is>
      </c>
      <c r="Q34" s="579">
        <f>A34</f>
        <v/>
      </c>
      <c r="R34" s="2275">
        <f>VLOOKUP(Q34,Catalogos!$B$4:$C$18,2,FALSE)</f>
        <v/>
      </c>
      <c r="S34" s="2286">
        <f>SUMIFS(Solicitudes!$F:$F, Solicitudes!$B:$B, $Q34, Solicitudes!$C:$C, $B$12)</f>
        <v/>
      </c>
      <c r="T34" s="2277" t="n">
        <v>400</v>
      </c>
      <c r="U34" s="2287">
        <f>SUMIFS(Solicitudes!$F:$F, Solicitudes!$B:$B, $Q34, Solicitudes!$C:$C, $B$13)</f>
        <v/>
      </c>
      <c r="V34" s="2277" t="n">
        <v>400</v>
      </c>
      <c r="W34" s="2288">
        <f>SUMIFS(Solicitudes!$F:$F, Solicitudes!$B:$B, $Q34, Solicitudes!$C:$C, $B$14)</f>
        <v/>
      </c>
      <c r="X34" s="2277" t="n">
        <v>400</v>
      </c>
      <c r="Y34" s="2289">
        <f>SUMIFS(Solicitudes!$F:$F, Solicitudes!$B:$B, $Q34, Solicitudes!$C:$C, $B$15)</f>
        <v/>
      </c>
      <c r="Z34" s="2277" t="n">
        <v>400</v>
      </c>
      <c r="AA34" s="2290">
        <f>SUMIFS(Solicitudes!$F:$F, Solicitudes!$B:$B, $Q34, Solicitudes!$C:$C, $B$16)</f>
        <v/>
      </c>
      <c r="AB34" s="2277" t="n">
        <v>400</v>
      </c>
      <c r="AC34" s="2291">
        <f>SUMIFS(Solicitudes!$F:$F, Solicitudes!$B:$B, $Q34, Solicitudes!$C:$C, $B$17)</f>
        <v/>
      </c>
      <c r="AD34" s="2292">
        <f>SUMIFS(Solicitudes!$F:$F, Solicitudes!$B:$B, $Q34, Solicitudes!$C:$C, ($B$17+1))</f>
        <v/>
      </c>
      <c r="AE34" s="2285">
        <f>SUM(S34,U34,W34,Y34,AA34,AC34,)</f>
        <v/>
      </c>
      <c r="AF34" s="2285">
        <f>SUM(T34,V34,X34,Z34,AB34,AD34)</f>
        <v/>
      </c>
    </row>
    <row r="35" ht="19.95" customHeight="1" s="17580">
      <c r="A35" s="370" t="inlineStr">
        <is>
          <t>Chamapa-Lechería</t>
        </is>
      </c>
      <c r="B35" s="371">
        <f>IF(C$8="Acumulado Histórico", SUMIFS(Captura_Obra!F:F, Captura_Obra!B:B, A35), IF(C$8="Rango de Fechas", SUMIFS(Captura_Obra!F:F, Captura_Obra!B:B, A35, Captura_Obra!A:A, "&gt;="&amp;C$5, Captura_Obra!A:A, "&lt;="&amp;(C$6+5)), SUMIFS(Captura_Obra!F:F, Captura_Obra!B:B, A35, Captura_Obra!A:A, "&gt;="&amp;C$5, Captura_Obra!A:A, "&lt;="&amp;(C$5+5))))</f>
        <v/>
      </c>
      <c r="C35" s="372">
        <f>B35*C$7</f>
        <v/>
      </c>
      <c r="D35" s="475" t="n"/>
      <c r="P35" t="inlineStr">
        <is>
          <t>p</t>
        </is>
      </c>
      <c r="Q35" s="580">
        <f>A36</f>
        <v/>
      </c>
      <c r="R35" s="2275">
        <f>VLOOKUP(Q35,Catalogos!$B$4:$C$18,2,FALSE)</f>
        <v/>
      </c>
      <c r="S35" s="2293">
        <f>SUMIFS(Solicitudes!$F:$F, Solicitudes!$B:$B, $Q35, Solicitudes!$C:$C, $B$12)</f>
        <v/>
      </c>
      <c r="T35" s="2277" t="n">
        <v>100</v>
      </c>
      <c r="U35" s="2294">
        <f>SUMIFS(Solicitudes!$F:$F, Solicitudes!$B:$B, $Q35, Solicitudes!$C:$C, $B$13)</f>
        <v/>
      </c>
      <c r="V35" s="2277" t="n">
        <v>100</v>
      </c>
      <c r="W35" s="2295">
        <f>SUMIFS(Solicitudes!$F:$F, Solicitudes!$B:$B, $Q35, Solicitudes!$C:$C, $B$14)</f>
        <v/>
      </c>
      <c r="X35" s="2277" t="n">
        <v>100</v>
      </c>
      <c r="Y35" s="2296">
        <f>SUMIFS(Solicitudes!$F:$F, Solicitudes!$B:$B, $Q35, Solicitudes!$C:$C, $B$15)</f>
        <v/>
      </c>
      <c r="Z35" s="2277" t="n">
        <v>100</v>
      </c>
      <c r="AA35" s="2297">
        <f>SUMIFS(Solicitudes!$F:$F, Solicitudes!$B:$B, $Q35, Solicitudes!$C:$C, $B$16)</f>
        <v/>
      </c>
      <c r="AB35" s="2277" t="n">
        <v>100</v>
      </c>
      <c r="AC35" s="2298">
        <f>SUMIFS(Solicitudes!$F:$F, Solicitudes!$B:$B, $Q35, Solicitudes!$C:$C, $B$17)</f>
        <v/>
      </c>
      <c r="AD35" s="2299">
        <f>SUMIFS(Solicitudes!$F:$F, Solicitudes!$B:$B, $Q35, Solicitudes!$C:$C, ($B$17+1))</f>
        <v/>
      </c>
      <c r="AE35" s="2285">
        <f>SUM(S35,U35,W35,Y35,AA35,AC35,)</f>
        <v/>
      </c>
      <c r="AF35" s="2285">
        <f>SUM(T35,V35,X35,Z35,AB35,AD35)</f>
        <v/>
      </c>
    </row>
    <row r="36" ht="19.95" customHeight="1" s="17580">
      <c r="A36" s="373" t="inlineStr">
        <is>
          <t>Bacheo Toluca</t>
        </is>
      </c>
      <c r="B36" s="374">
        <f>IF(C$8="Acumulado Histórico", SUMIFS(Captura_Obra!F:F, Captura_Obra!B:B, A36), IF(C$8="Rango de Fechas", SUMIFS(Captura_Obra!F:F, Captura_Obra!B:B, A36, Captura_Obra!A:A, "&gt;="&amp;C$5, Captura_Obra!A:A, "&lt;="&amp;(C$6+5)), SUMIFS(Captura_Obra!F:F, Captura_Obra!B:B, A36, Captura_Obra!A:A, "&gt;="&amp;C$5, Captura_Obra!A:A, "&lt;="&amp;(C$5+5))))</f>
        <v/>
      </c>
      <c r="C36" s="375">
        <f>B36*C$7</f>
        <v/>
      </c>
      <c r="D36" s="476" t="n"/>
      <c r="P36" t="inlineStr">
        <is>
          <t>p</t>
        </is>
      </c>
      <c r="Q36" s="581">
        <f>A37</f>
        <v/>
      </c>
      <c r="R36" s="2275">
        <f>VLOOKUP(Q36,Catalogos!$B$4:$C$18,2,FALSE)</f>
        <v/>
      </c>
      <c r="S36" s="2300">
        <f>SUMIFS(Solicitudes!$F:$F, Solicitudes!$B:$B, $Q36, Solicitudes!$C:$C, $B$12)</f>
        <v/>
      </c>
      <c r="T36" s="2277" t="n">
        <v>0</v>
      </c>
      <c r="U36" s="2301">
        <f>SUMIFS(Solicitudes!$F:$F, Solicitudes!$B:$B, $Q36, Solicitudes!$C:$C, $B$13)</f>
        <v/>
      </c>
      <c r="V36" s="2277" t="n">
        <v>300</v>
      </c>
      <c r="W36" s="2302">
        <f>SUMIFS(Solicitudes!$F:$F, Solicitudes!$B:$B, $Q36, Solicitudes!$C:$C, $B$14)</f>
        <v/>
      </c>
      <c r="X36" s="2277" t="n">
        <v>1000</v>
      </c>
      <c r="Y36" s="2303">
        <f>SUMIFS(Solicitudes!$F:$F, Solicitudes!$B:$B, $Q36, Solicitudes!$C:$C, $B$15)</f>
        <v/>
      </c>
      <c r="Z36" s="2277" t="n">
        <v>300</v>
      </c>
      <c r="AA36" s="2304">
        <f>SUMIFS(Solicitudes!$F:$F, Solicitudes!$B:$B, $Q36, Solicitudes!$C:$C, $B$16)</f>
        <v/>
      </c>
      <c r="AB36" s="2277" t="n">
        <v>0</v>
      </c>
      <c r="AC36" s="2305">
        <f>SUMIFS(Solicitudes!$F:$F, Solicitudes!$B:$B, $Q36, Solicitudes!$C:$C, $B$17)</f>
        <v/>
      </c>
      <c r="AD36" s="2306">
        <f>SUMIFS(Solicitudes!$F:$F, Solicitudes!$B:$B, $Q36, Solicitudes!$C:$C, ($B$17+1))</f>
        <v/>
      </c>
      <c r="AE36" s="2285">
        <f>SUM(S36,U36,W36,Y36,AA36,AC36,)</f>
        <v/>
      </c>
      <c r="AF36" s="2285">
        <f>SUM(T36,V36,X36,Z36,AB36,AD36)</f>
        <v/>
      </c>
    </row>
    <row r="37" ht="19.95" customHeight="1" s="17580">
      <c r="A37" s="376" t="inlineStr">
        <is>
          <t>Planta Asfalto Pegaso</t>
        </is>
      </c>
      <c r="B37" s="377">
        <f>IF(C$8="Acumulado Histórico", SUMIFS(Captura_Obra!F:F, Captura_Obra!B:B, A37), IF(C$8="Rango de Fechas", SUMIFS(Captura_Obra!F:F, Captura_Obra!B:B, A37, Captura_Obra!A:A, "&gt;="&amp;C$5, Captura_Obra!A:A, "&lt;="&amp;(C$6+5)), SUMIFS(Captura_Obra!F:F, Captura_Obra!B:B, A37, Captura_Obra!A:A, "&gt;="&amp;C$5, Captura_Obra!A:A, "&lt;="&amp;(C$5+5))))</f>
        <v/>
      </c>
      <c r="C37" s="378">
        <f>B37*C$7</f>
        <v/>
      </c>
      <c r="D37" s="477" t="n"/>
      <c r="P37" t="inlineStr">
        <is>
          <t>h</t>
        </is>
      </c>
      <c r="Q37" s="582">
        <f>A38</f>
        <v/>
      </c>
      <c r="R37" s="2275">
        <f>VLOOKUP(Q37,Catalogos!$B$4:$C$18,2,FALSE)</f>
        <v/>
      </c>
      <c r="S37" s="2307">
        <f>SUMIFS(Solicitudes!$F:$F, Solicitudes!$B:$B, $Q37, Solicitudes!$C:$C, $B$12)</f>
        <v/>
      </c>
      <c r="T37" s="2277" t="n">
        <v>500</v>
      </c>
      <c r="U37" s="2308">
        <f>SUMIFS(Solicitudes!$F:$F, Solicitudes!$B:$B, $Q37, Solicitudes!$C:$C, $B$13)</f>
        <v/>
      </c>
      <c r="V37" s="2277" t="n">
        <v>500</v>
      </c>
      <c r="W37" s="2309">
        <f>SUMIFS(Solicitudes!$F:$F, Solicitudes!$B:$B, $Q37, Solicitudes!$C:$C, $B$14)</f>
        <v/>
      </c>
      <c r="X37" s="2277" t="n">
        <v>500</v>
      </c>
      <c r="Y37" s="2310">
        <f>SUMIFS(Solicitudes!$F:$F, Solicitudes!$B:$B, $Q37, Solicitudes!$C:$C, $B$15)</f>
        <v/>
      </c>
      <c r="Z37" s="2277" t="n">
        <v>500</v>
      </c>
      <c r="AA37" s="2311">
        <f>SUMIFS(Solicitudes!$F:$F, Solicitudes!$B:$B, $Q37, Solicitudes!$C:$C, $B$16)</f>
        <v/>
      </c>
      <c r="AB37" s="2277" t="n">
        <v>500</v>
      </c>
      <c r="AC37" s="2312">
        <f>SUMIFS(Solicitudes!$F:$F, Solicitudes!$B:$B, $Q37, Solicitudes!$C:$C, $B$17)</f>
        <v/>
      </c>
      <c r="AD37" s="2313">
        <f>SUMIFS(Solicitudes!$F:$F, Solicitudes!$B:$B, $Q37, Solicitudes!$C:$C, ($B$17+1))</f>
        <v/>
      </c>
      <c r="AE37" s="2285">
        <f>SUM(S37,U37,W37,Y37,AA37,AC37,)</f>
        <v/>
      </c>
      <c r="AF37" s="2285">
        <f>SUM(T37,V37,X37,Z37,AB37,AD37)</f>
        <v/>
      </c>
    </row>
    <row r="38" ht="19.95" customHeight="1" s="17580">
      <c r="A38" s="379" t="inlineStr">
        <is>
          <t>Planta Asflato Huixquilucan</t>
        </is>
      </c>
      <c r="B38" s="380">
        <f>IF(C$8="Acumulado Histórico", SUMIFS(Captura_Obra!F:F, Captura_Obra!B:B, A38), IF(C$8="Rango de Fechas", SUMIFS(Captura_Obra!F:F, Captura_Obra!B:B, A38, Captura_Obra!A:A, "&gt;="&amp;C$5, Captura_Obra!A:A, "&lt;="&amp;(C$6+5)), SUMIFS(Captura_Obra!F:F, Captura_Obra!B:B, A38, Captura_Obra!A:A, "&gt;="&amp;C$5, Captura_Obra!A:A, "&lt;="&amp;(C$5+5))))</f>
        <v/>
      </c>
      <c r="C38" s="381">
        <f>B38*C$7</f>
        <v/>
      </c>
      <c r="D38" s="478" t="n"/>
      <c r="Q38" s="583">
        <f>A41</f>
        <v/>
      </c>
      <c r="R38" s="2276" t="n"/>
      <c r="S38" s="2276">
        <f>SUM(S33:S37)</f>
        <v/>
      </c>
      <c r="T38" s="2276">
        <f>SUM(T33:T37)</f>
        <v/>
      </c>
      <c r="U38" s="2314">
        <f>SUM(U33:U37)</f>
        <v/>
      </c>
      <c r="V38" s="2314">
        <f>SUM(V33:V37)</f>
        <v/>
      </c>
      <c r="W38" s="2314">
        <f>SUM(W33:W37)</f>
        <v/>
      </c>
      <c r="X38" s="2314">
        <f>SUM(X33:X37)</f>
        <v/>
      </c>
      <c r="Y38" s="2314">
        <f>SUM(Y33:Y37)</f>
        <v/>
      </c>
      <c r="Z38" s="2314">
        <f>SUM(Z33:Z37)</f>
        <v/>
      </c>
      <c r="AA38" s="2314">
        <f>SUM(AA33:AA37)</f>
        <v/>
      </c>
      <c r="AB38" s="2314">
        <f>SUM(AB33:AB37)</f>
        <v/>
      </c>
      <c r="AC38" s="2314">
        <f>SUM(AC33:AC37)</f>
        <v/>
      </c>
      <c r="AD38" s="2314">
        <f>SUM(AD33:AD37)</f>
        <v/>
      </c>
      <c r="AE38" s="2314">
        <f>SUM(AE33:AE37)</f>
        <v/>
      </c>
      <c r="AF38" s="2314">
        <f>SUM(T38,V38,X38,Z38,AB38,AD38)</f>
        <v/>
      </c>
    </row>
    <row r="39" ht="19.95" customHeight="1" s="17580">
      <c r="A39" s="382" t="inlineStr">
        <is>
          <t>Dragones</t>
        </is>
      </c>
      <c r="B39" s="383">
        <f>IF(C$8="Acumulado Histórico", SUMIFS(Captura_Obra!F:F, Captura_Obra!B:B, A39), IF(C$8="Rango de Fechas", SUMIFS(Captura_Obra!F:F, Captura_Obra!B:B, A39, Captura_Obra!A:A, "&gt;="&amp;C$5, Captura_Obra!A:A, "&lt;="&amp;(C$6+5)), SUMIFS(Captura_Obra!F:F, Captura_Obra!B:B, A39, Captura_Obra!A:A, "&gt;="&amp;C$5, Captura_Obra!A:A, "&lt;="&amp;(C$5+5))))</f>
        <v/>
      </c>
      <c r="C39" s="384">
        <f>B39*C$7</f>
        <v/>
      </c>
      <c r="D39" s="479" t="n"/>
      <c r="AF39" s="2316" t="n"/>
    </row>
    <row r="40" ht="19.95" customHeight="1" s="17580">
      <c r="A40" s="385" t="inlineStr">
        <is>
          <t>Jalisco</t>
        </is>
      </c>
      <c r="B40" s="386">
        <f>IF(C$8="Acumulado Histórico", SUMIFS(Captura_Jalisco!G:G, Captura_Jalisco!B:B, "Salida"), IF(C$8="Rango de Fechas", SUMIFS(Captura_Jalisco!G:G, Captura_Jalisco!B:B, "Salida", Captura_Jalisco!A:A, "&gt;="&amp;C$5, Captura_Jalisco!A:A, "&lt;="&amp;(C$6+5)), SUMIFS(Captura_Jalisco!G:G, Captura_Jalisco!B:B, "Salida", Captura_Jalisco!A:A, "&gt;="&amp;C$5, Captura_Jalisco!A:A, "&lt;="&amp;(C$5+5))))</f>
        <v/>
      </c>
      <c r="C40" s="387">
        <f>B40*C$7</f>
        <v/>
      </c>
      <c r="D40" s="480" t="n"/>
    </row>
    <row r="41" ht="22.05" customHeight="1" s="17580">
      <c r="A41" s="388" t="inlineStr">
        <is>
          <t>TOTAL GENERAL</t>
        </is>
      </c>
      <c r="B41" s="389">
        <f>SUM(B33:B40)</f>
        <v/>
      </c>
      <c r="C41" s="390">
        <f>SUM(C33:C40)</f>
        <v/>
      </c>
      <c r="D41" s="481" t="n"/>
    </row>
    <row r="42" ht="16.8" customHeight="1" s="17580">
      <c r="A42" s="482" t="n"/>
      <c r="B42" s="483" t="n"/>
      <c r="C42" s="484" t="n"/>
      <c r="D42" s="485" t="n"/>
      <c r="E42" s="486" t="n"/>
      <c r="F42" s="487" t="n"/>
      <c r="G42" s="488" t="n"/>
      <c r="H42" s="489" t="n"/>
      <c r="I42" s="490" t="n"/>
      <c r="J42" s="491" t="n"/>
    </row>
    <row r="43" ht="19.95" customHeight="1" s="17580">
      <c r="A43" s="17595" t="inlineStr">
        <is>
          <t>RESUMEN DE CONSUMO SEMANAL POR OBRA (DETALLE HISTÓRICO POR SEMANA)</t>
        </is>
      </c>
    </row>
    <row r="44" ht="16.8" customHeight="1" s="17580">
      <c r="A44" s="532" t="n"/>
      <c r="B44" s="492" t="inlineStr">
        <is>
          <t>Obra (Tabla Semanal):</t>
        </is>
      </c>
      <c r="C44" s="493" t="inlineStr">
        <is>
          <t>Jalisco</t>
        </is>
      </c>
      <c r="D44" s="533" t="n"/>
      <c r="E44" s="534" t="n"/>
      <c r="F44" s="535" t="n"/>
      <c r="G44" s="536" t="n"/>
      <c r="H44" s="537" t="n"/>
      <c r="I44" s="538" t="n"/>
      <c r="J44" s="539" t="n"/>
    </row>
    <row r="45" ht="16.8" customHeight="1" s="17580">
      <c r="A45" s="540" t="n"/>
      <c r="B45" s="494" t="inlineStr">
        <is>
          <t>Precio Diésel ($/L):</t>
        </is>
      </c>
      <c r="C45" s="495" t="n">
        <v>27</v>
      </c>
      <c r="D45" s="541" t="n"/>
      <c r="E45" s="542" t="n"/>
      <c r="F45" s="543" t="n"/>
      <c r="G45" s="544" t="n"/>
      <c r="H45" s="545" t="n"/>
      <c r="I45" s="546" t="n"/>
      <c r="J45" s="547" t="n"/>
    </row>
    <row r="46" ht="16.8" customHeight="1" s="17580">
      <c r="A46" s="548" t="n"/>
      <c r="B46" s="549" t="n"/>
      <c r="C46" s="550" t="n"/>
      <c r="D46" s="551" t="n"/>
      <c r="E46" s="552" t="n"/>
      <c r="F46" s="553" t="n"/>
      <c r="G46" s="554" t="n"/>
      <c r="H46" s="555" t="n"/>
      <c r="I46" s="556" t="n"/>
      <c r="J46" s="557" t="n"/>
    </row>
    <row r="47" ht="24" customHeight="1" s="17580">
      <c r="A47" s="496" t="inlineStr">
        <is>
          <t>Semana (Lunes)</t>
        </is>
      </c>
      <c r="B47" s="497" t="inlineStr">
        <is>
          <t>Saldo Inicial (Vales)</t>
        </is>
      </c>
      <c r="C47" s="498" t="inlineStr">
        <is>
          <t>Litros Despachados</t>
        </is>
      </c>
      <c r="D47" s="499" t="inlineStr">
        <is>
          <t>Costo/L ($)</t>
        </is>
      </c>
      <c r="E47" s="500" t="inlineStr">
        <is>
          <t>Costo Combustible ($)</t>
        </is>
      </c>
      <c r="F47" s="501" t="inlineStr">
        <is>
          <t>Gasolina</t>
        </is>
      </c>
      <c r="G47" s="502" t="inlineStr">
        <is>
          <t>Saldo Final (Vales)</t>
        </is>
      </c>
      <c r="H47" s="574" t="inlineStr">
        <is>
          <t>Ajuste semanal</t>
        </is>
      </c>
      <c r="I47" s="575" t="inlineStr">
        <is>
          <t>Litros de Disel Acumulado</t>
        </is>
      </c>
      <c r="J47" s="558" t="n"/>
    </row>
    <row r="48" ht="19.95" customHeight="1" s="17580">
      <c r="A48" s="503" t="n">
        <v>46167</v>
      </c>
      <c r="B48" s="564">
        <f>IF(OR(C$44="Jalisco", C$44="Todas"), Captura_Jalisco!K5, "")</f>
        <v/>
      </c>
      <c r="C48" s="504">
        <f>IF(C$44="Jalisco", SUMIFS(Captura_Jalisco!G:G, Captura_Jalisco!B:B, "Salida", Captura_Jalisco!A:A, "&gt;="&amp;A48, Captura_Jalisco!A:A, "&lt;="&amp;(A48+5)), IF(C$44="Todas", SUMIFS(Captura_Obra!F:F, Captura_Obra!A:A, "&gt;="&amp;A48, Captura_Obra!A:A, "&lt;="&amp;(A48+5)) + SUMIFS(Captura_Jalisco!G:G, Captura_Jalisco!B:B, "Salida", Captura_Jalisco!A:A, "&gt;="&amp;A48, Captura_Jalisco!A:A, "&lt;="&amp;(A48+5)), SUMIFS(Captura_Obra!F:F, Captura_Obra!B:B, C$44, Captura_Obra!A:A, "&gt;="&amp;A48, Captura_Obra!A:A, "&lt;="&amp;(A48+5))))</f>
        <v/>
      </c>
      <c r="D48" s="505">
        <f>C$45</f>
        <v/>
      </c>
      <c r="E48" s="506">
        <f>C48*D48</f>
        <v/>
      </c>
      <c r="F48" s="507">
        <f>IF(OR(C$44="Jalisco", C$44="Todas"), SUMIFS(Captura_Jalisco!$N$5:$N$250, Captura_Jalisco!$A$5:$A$250, "&gt;="&amp;A48, Captura_Jalisco!$A$5:$A$250, "&lt;="&amp;(A48+5)), 0)</f>
        <v/>
      </c>
      <c r="G48" s="565">
        <f>IF(OR(C$44="Jalisco", C$44="Todas"), B48-E48-F48, "")</f>
        <v/>
      </c>
      <c r="H48" s="508">
        <f>IF(OR(C$44="Jalisco", C$44="Todas"), SUMIFS(Captura_Jalisco!$M$5:$M$250, Captura_Jalisco!$A$5:$A$250, "&gt;="&amp;A48, Captura_Jalisco!$A$5:$A$250, "&lt;="&amp;(A48+5)), 0)</f>
        <v/>
      </c>
      <c r="I48" s="576">
        <f>C48</f>
        <v/>
      </c>
      <c r="J48" s="559" t="n"/>
    </row>
    <row r="49" ht="19.95" customHeight="1" s="17580">
      <c r="A49" s="509" t="n">
        <v>46174</v>
      </c>
      <c r="B49" s="566">
        <f>IF(OR(C$44="Jalisco", C$44="Todas"), G48+H48, "")</f>
        <v/>
      </c>
      <c r="C49" s="510">
        <f>IF(C$44="Jalisco", SUMIFS(Captura_Jalisco!G:G, Captura_Jalisco!B:B, "Salida", Captura_Jalisco!A:A, "&gt;="&amp;A49, Captura_Jalisco!A:A, "&lt;="&amp;(A49+5)), IF(C$44="Todas", SUMIFS(Captura_Obra!F:F, Captura_Obra!A:A, "&gt;="&amp;A49, Captura_Obra!A:A, "&lt;="&amp;(A49+5)) + SUMIFS(Captura_Jalisco!G:G, Captura_Jalisco!B:B, "Salida", Captura_Jalisco!A:A, "&gt;="&amp;A49, Captura_Jalisco!A:A, "&lt;="&amp;(A49+5)), SUMIFS(Captura_Obra!F:F, Captura_Obra!B:B, C$44, Captura_Obra!A:A, "&gt;="&amp;A49, Captura_Obra!A:A, "&lt;="&amp;(A49+5))))</f>
        <v/>
      </c>
      <c r="D49" s="511">
        <f>C$45</f>
        <v/>
      </c>
      <c r="E49" s="512">
        <f>C49*D49</f>
        <v/>
      </c>
      <c r="F49" s="513">
        <f>IF(OR(C$44="Jalisco", C$44="Todas"), SUMIFS(Captura_Jalisco!$N$5:$N$250, Captura_Jalisco!$A$5:$A$250, "&gt;="&amp;A49, Captura_Jalisco!$A$5:$A$250, "&lt;="&amp;(A49+5)), 0)</f>
        <v/>
      </c>
      <c r="G49" s="567">
        <f>IF(OR(C$44="Jalisco", C$44="Todas"), B49-E49-F49, "")</f>
        <v/>
      </c>
      <c r="H49" s="514">
        <f>IF(OR(C$44="Jalisco", C$44="Todas"), SUMIFS(Captura_Jalisco!$M$5:$M$250, Captura_Jalisco!$A$5:$A$250, "&gt;="&amp;A49, Captura_Jalisco!$A$5:$A$250, "&lt;="&amp;(A49+5)), 0)</f>
        <v/>
      </c>
      <c r="I49" s="577">
        <f>I48+C49</f>
        <v/>
      </c>
      <c r="J49" s="560" t="n"/>
    </row>
    <row r="50" ht="19.95" customHeight="1" s="17580">
      <c r="A50" s="515" t="n">
        <v>46181</v>
      </c>
      <c r="B50" s="568">
        <f>IF(OR(C$44="Jalisco", C$44="Todas"), G49+H49, "")</f>
        <v/>
      </c>
      <c r="C50" s="516">
        <f>IF(C$44="Jalisco", SUMIFS(Captura_Jalisco!G:G, Captura_Jalisco!B:B, "Salida", Captura_Jalisco!A:A, "&gt;="&amp;A50, Captura_Jalisco!A:A, "&lt;="&amp;(A50+5)), IF(C$44="Todas", SUMIFS(Captura_Obra!F:F, Captura_Obra!A:A, "&gt;="&amp;A50, Captura_Obra!A:A, "&lt;="&amp;(A50+5)) + SUMIFS(Captura_Jalisco!G:G, Captura_Jalisco!B:B, "Salida", Captura_Jalisco!A:A, "&gt;="&amp;A50, Captura_Jalisco!A:A, "&lt;="&amp;(A50+5)), SUMIFS(Captura_Obra!F:F, Captura_Obra!B:B, C$44, Captura_Obra!A:A, "&gt;="&amp;A50, Captura_Obra!A:A, "&lt;="&amp;(A50+5))))</f>
        <v/>
      </c>
      <c r="D50" s="517">
        <f>C$45</f>
        <v/>
      </c>
      <c r="E50" s="518">
        <f>C50*D50</f>
        <v/>
      </c>
      <c r="F50" s="519">
        <f>IF(OR(C$44="Jalisco", C$44="Todas"), SUMIFS(Captura_Jalisco!$N$5:$N$250, Captura_Jalisco!$A$5:$A$250, "&gt;="&amp;A50, Captura_Jalisco!$A$5:$A$250, "&lt;="&amp;(A50+5)), 0)</f>
        <v/>
      </c>
      <c r="G50" s="569">
        <f>IF(OR(C$44="Jalisco", C$44="Todas"), B50-E50-F50, "")</f>
        <v/>
      </c>
      <c r="H50" s="520">
        <f>IF(OR(C$44="Jalisco", C$44="Todas"), SUMIFS(Captura_Jalisco!$M$5:$M$250, Captura_Jalisco!$A$5:$A$250, "&gt;="&amp;A50, Captura_Jalisco!$A$5:$A$250, "&lt;="&amp;(A50+5)), 0)</f>
        <v/>
      </c>
      <c r="I50" s="577">
        <f>I49+C50</f>
        <v/>
      </c>
      <c r="J50" s="561" t="n"/>
    </row>
    <row r="51" ht="19.95" customHeight="1" s="17580">
      <c r="A51" s="515" t="n">
        <v>46188</v>
      </c>
      <c r="B51" s="570">
        <f>IF(OR(C$44="Jalisco", C$44="Todas"), G50+H50, "")</f>
        <v/>
      </c>
      <c r="C51" s="521">
        <f>IF(C$44="Jalisco", SUMIFS(Captura_Jalisco!G:G, Captura_Jalisco!B:B, "Salida", Captura_Jalisco!A:A, "&gt;="&amp;DATE(2026,6,15), Captura_Jalisco!A:A, "&lt;="&amp;DATE(2026,6,18)), IF(C$44="Todas", SUMIFS(Captura_Obra!F:F, Captura_Obra!A:A, "&gt;="&amp;DATE(2026,6,15), Captura_Obra!A:A, "&lt;="&amp;DATE(2026,6,18)) + SUMIFS(Captura_Jalisco!G:G, Captura_Jalisco!B:B, "Salida", Captura_Jalisco!A:A, "&gt;="&amp;DATE(2026,6,15), Captura_Jalisco!A:A, "&lt;="&amp;DATE(2026,6,18)), SUMIFS(Captura_Obra!F:F, Captura_Obra!B:B, C$44, Captura_Obra!A:A, "&gt;="&amp;DATE(2026,6,15), Captura_Obra!A:A, "&lt;="&amp;DATE(2026,6,18))))</f>
        <v/>
      </c>
      <c r="D51" s="522">
        <f>C$45</f>
        <v/>
      </c>
      <c r="E51" s="523">
        <f>C51*D51</f>
        <v/>
      </c>
      <c r="F51" s="524">
        <f>IF(OR(C$44="Jalisco", C$44="Todas"), SUMIFS(Captura_Jalisco!$N$5:$N$250, Captura_Jalisco!$A$5:$A$250, "&gt;="&amp;DATE(2026,6,15), Captura_Jalisco!$A$5:$A$250, "&lt;="&amp;DATE(2026,6,18)), 0)</f>
        <v/>
      </c>
      <c r="G51" s="571">
        <f>IF(OR(C$44="Jalisco", C$44="Todas"), B51-E51-F51, "")</f>
        <v/>
      </c>
      <c r="H51" s="525">
        <f>IF(OR(C$44="Jalisco", C$44="Todas"), SUMIFS(Captura_Jalisco!$M$5:$M$250, Captura_Jalisco!$A$5:$A$250, "&gt;="&amp;DATE(2026,6,15), Captura_Jalisco!$A$5:$A$250, "&lt;="&amp;DATE(2026,6,18)), 0)</f>
        <v/>
      </c>
      <c r="I51" s="577">
        <f>I50+C51</f>
        <v/>
      </c>
      <c r="J51" s="562" t="n"/>
    </row>
    <row r="52" ht="22.05" customHeight="1" s="17580">
      <c r="A52" s="526" t="inlineStr">
        <is>
          <t>TOTAL ACUMULADO</t>
        </is>
      </c>
      <c r="B52" s="572">
        <f>IF(OR(C$44="Jalisco", C$44="Todas"), B48, "")</f>
        <v/>
      </c>
      <c r="C52" s="527">
        <f>SUM(C48:C51)</f>
        <v/>
      </c>
      <c r="D52" s="528" t="n"/>
      <c r="E52" s="529">
        <f>SUM(E48:E51)</f>
        <v/>
      </c>
      <c r="F52" s="530">
        <f>SUM(F48:F51)</f>
        <v/>
      </c>
      <c r="G52" s="573">
        <f>IF(OR(C$44="Jalisco", C$44="Todas"), G51, "")</f>
        <v/>
      </c>
      <c r="H52" s="531">
        <f>SUM(H48:H51)</f>
        <v/>
      </c>
      <c r="I52" s="531">
        <f>I51</f>
        <v/>
      </c>
      <c r="J52" s="563" t="n"/>
    </row>
    <row r="54" ht="24" customHeight="1" s="17580">
      <c r="B54" s="17607" t="inlineStr">
        <is>
          <t>RENDIMIENTO POR OBRA (TODAS LAS OBRAS)</t>
        </is>
      </c>
      <c r="C54" s="17608" t="n"/>
      <c r="D54" s="17608" t="n"/>
      <c r="E54" s="17608" t="n"/>
      <c r="F54" s="17608" t="n"/>
      <c r="G54" s="17608" t="n"/>
      <c r="H54" s="17608" t="n"/>
      <c r="I54" s="17608" t="n"/>
      <c r="J54" s="17608" t="n"/>
      <c r="K54" s="17609" t="n"/>
      <c r="L54" s="2023" t="n"/>
    </row>
    <row r="55" ht="25.05" customHeight="1" s="17580">
      <c r="A55" s="17620" t="inlineStr">
        <is>
          <t>BALANCE DE INVENTARIO DIARIO (KARDEX) POR ALMACÉN</t>
        </is>
      </c>
      <c r="H55" s="15176" t="n"/>
      <c r="I55" s="15177" t="n"/>
      <c r="J55" s="15178" t="n"/>
      <c r="K55" s="15179" t="n"/>
      <c r="L55" s="15180" t="n"/>
    </row>
    <row r="56" ht="40.05" customHeight="1" s="17580">
      <c r="A56" s="17610" t="inlineStr">
        <is>
          <t>FECHAS</t>
        </is>
      </c>
      <c r="C56" s="17619" t="inlineStr">
        <is>
          <t>TANQUE PEGASO (LTS)</t>
        </is>
      </c>
      <c r="G56" s="17599" t="inlineStr">
        <is>
          <t>MARIMBA M-01 (LTS)</t>
        </is>
      </c>
      <c r="K56" s="15181" t="n"/>
      <c r="L56" s="15182" t="n"/>
    </row>
    <row r="57" ht="34.95" customHeight="1" s="17580">
      <c r="A57" s="15183" t="inlineStr">
        <is>
          <t>Día</t>
        </is>
      </c>
      <c r="B57" s="15184" t="inlineStr">
        <is>
          <t>Fecha</t>
        </is>
      </c>
      <c r="C57" s="15185" t="inlineStr">
        <is>
          <t>Inv. Inicial</t>
        </is>
      </c>
      <c r="D57" s="15186" t="inlineStr">
        <is>
          <t>Entradas (Pipas)</t>
        </is>
      </c>
      <c r="E57" s="15187" t="inlineStr">
        <is>
          <t>Salidas (Obra)</t>
        </is>
      </c>
      <c r="F57" s="15188" t="inlineStr">
        <is>
          <t>Inv. Final</t>
        </is>
      </c>
      <c r="G57" s="15189" t="inlineStr">
        <is>
          <t>Inv. Inicial</t>
        </is>
      </c>
      <c r="H57" s="15190" t="inlineStr">
        <is>
          <t>Entradas (Gasolinera)</t>
        </is>
      </c>
      <c r="I57" s="15191" t="inlineStr">
        <is>
          <t>Salidas (Obra)</t>
        </is>
      </c>
      <c r="J57" s="15192" t="inlineStr">
        <is>
          <t>Inv. Final</t>
        </is>
      </c>
      <c r="K57" s="15193" t="n"/>
      <c r="L57" s="15194" t="n"/>
    </row>
    <row r="58" ht="19.95" customHeight="1" s="17580">
      <c r="A58" s="15195" t="inlineStr">
        <is>
          <t>Lunes</t>
        </is>
      </c>
      <c r="B58" s="15196">
        <f>$C$5+0</f>
        <v/>
      </c>
      <c r="C58" s="15197" t="n">
        <v>6036.51</v>
      </c>
      <c r="D58" s="15198" t="n">
        <v>0</v>
      </c>
      <c r="E58" s="15199">
        <f>SUMIFS(Captura_Obra!$F:$F, Captura_Obra!$A:$A, B58, Captura_Obra!$C:$C, "*Pegaso*")</f>
        <v/>
      </c>
      <c r="F58" s="15200">
        <f>C58 + D58 - E58</f>
        <v/>
      </c>
      <c r="G58" s="15201">
        <f>SUMIFS(Captura_Marimba_M01!$F:$F, Captura_Marimba_M01!$A:$A, "&lt;"&amp;B58) - SUMIFS(Captura_Obra!$F:$F, Captura_Obra!$A:$A, "&lt;"&amp;B58, Captura_Obra!$C:$C, "*Marimba*")</f>
        <v/>
      </c>
      <c r="H58" s="15202">
        <f>SUMIFS(Captura_Marimba_M01!$F:$F, Captura_Marimba_M01!$A:$A, B58)</f>
        <v/>
      </c>
      <c r="I58" s="15203">
        <f>SUMIFS(Captura_Obra!$F:$F, Captura_Obra!$A:$A, B58, Captura_Obra!$C:$C, "*Marimba*")</f>
        <v/>
      </c>
      <c r="J58" s="15204">
        <f>G58 + H58 - I58</f>
        <v/>
      </c>
      <c r="K58" s="15205" t="n"/>
      <c r="L58" s="15206" t="n"/>
    </row>
    <row r="59" ht="19.95" customHeight="1" s="17580">
      <c r="A59" s="15207" t="inlineStr">
        <is>
          <t>Martes</t>
        </is>
      </c>
      <c r="B59" s="15208">
        <f>$C$5+1</f>
        <v/>
      </c>
      <c r="C59" s="15209">
        <f>F58</f>
        <v/>
      </c>
      <c r="D59" s="15210">
        <f>SUMIFS(Captura_Pegaso!$G:$G, Captura_Pegaso!$A:$A, B59)</f>
        <v/>
      </c>
      <c r="E59" s="15211">
        <f>SUMIFS(Captura_Obra!$F:$F, Captura_Obra!$A:$A, B59, Captura_Obra!$C:$C, "*Pegaso*")</f>
        <v/>
      </c>
      <c r="F59" s="15212">
        <f>C59 + D59 - E59</f>
        <v/>
      </c>
      <c r="G59" s="15213">
        <f>J58</f>
        <v/>
      </c>
      <c r="H59" s="15214">
        <f>SUMIFS(Captura_Marimba_M01!$F:$F, Captura_Marimba_M01!$A:$A, B59)</f>
        <v/>
      </c>
      <c r="I59" s="15215">
        <f>SUMIFS(Captura_Obra!$F:$F, Captura_Obra!$A:$A, B59, Captura_Obra!$C:$C, "*Marimba*")</f>
        <v/>
      </c>
      <c r="J59" s="15216">
        <f>G59 + H59 - I59</f>
        <v/>
      </c>
      <c r="K59" s="15217" t="n"/>
      <c r="L59" s="15218" t="n"/>
    </row>
    <row r="60" ht="19.95" customHeight="1" s="17580">
      <c r="A60" s="15219" t="inlineStr">
        <is>
          <t>Miércoles</t>
        </is>
      </c>
      <c r="B60" s="15220">
        <f>$C$5+2</f>
        <v/>
      </c>
      <c r="C60" s="15221">
        <f>F59</f>
        <v/>
      </c>
      <c r="D60" s="15222">
        <f>SUMIFS(Captura_Pegaso!$G:$G, Captura_Pegaso!$A:$A, B60)</f>
        <v/>
      </c>
      <c r="E60" s="15223">
        <f>SUMIFS(Captura_Obra!$F:$F, Captura_Obra!$A:$A, B60, Captura_Obra!$C:$C, "*Pegaso*")</f>
        <v/>
      </c>
      <c r="F60" s="15224">
        <f>C60 + D60 - E60</f>
        <v/>
      </c>
      <c r="G60" s="15225">
        <f>J59</f>
        <v/>
      </c>
      <c r="H60" s="15226">
        <f>SUMIFS(Captura_Marimba_M01!$F:$F, Captura_Marimba_M01!$A:$A, B60)</f>
        <v/>
      </c>
      <c r="I60" s="15227">
        <f>SUMIFS(Captura_Obra!$F:$F, Captura_Obra!$A:$A, B60, Captura_Obra!$C:$C, "*Marimba*")</f>
        <v/>
      </c>
      <c r="J60" s="15228">
        <f>G60 + H60 - I60</f>
        <v/>
      </c>
      <c r="K60" s="15229" t="n"/>
      <c r="L60" s="15230" t="n"/>
    </row>
    <row r="61" ht="19.95" customHeight="1" s="17580">
      <c r="A61" s="15231" t="inlineStr">
        <is>
          <t>Jueves</t>
        </is>
      </c>
      <c r="B61" s="15232">
        <f>$C$5+3</f>
        <v/>
      </c>
      <c r="C61" s="15233">
        <f>F60</f>
        <v/>
      </c>
      <c r="D61" s="15234">
        <f>SUMIFS(Captura_Pegaso!$G:$G, Captura_Pegaso!$A:$A, B61)</f>
        <v/>
      </c>
      <c r="E61" s="15235">
        <f>SUMIFS(Captura_Obra!$F:$F, Captura_Obra!$A:$A, B61, Captura_Obra!$C:$C, "*Pegaso*")</f>
        <v/>
      </c>
      <c r="F61" s="15236">
        <f>C61 + D61 - E61</f>
        <v/>
      </c>
      <c r="G61" s="15237">
        <f>J60</f>
        <v/>
      </c>
      <c r="H61" s="15238">
        <f>SUMIFS(Captura_Marimba_M01!$F:$F, Captura_Marimba_M01!$A:$A, B61)</f>
        <v/>
      </c>
      <c r="I61" s="15239">
        <f>SUMIFS(Captura_Obra!$F:$F, Captura_Obra!$A:$A, B61, Captura_Obra!$C:$C, "*Marimba*")</f>
        <v/>
      </c>
      <c r="J61" s="15240">
        <f>G61 + H61 - I61</f>
        <v/>
      </c>
      <c r="K61" s="15241" t="n"/>
      <c r="L61" s="15242" t="n"/>
    </row>
    <row r="62" ht="19.95" customHeight="1" s="17580">
      <c r="A62" s="15243" t="inlineStr">
        <is>
          <t>Viernes</t>
        </is>
      </c>
      <c r="B62" s="15244">
        <f>$C$5+4</f>
        <v/>
      </c>
      <c r="C62" s="15245">
        <f>F61</f>
        <v/>
      </c>
      <c r="D62" s="15246">
        <f>SUMIFS(Captura_Pegaso!$G:$G, Captura_Pegaso!$A:$A, B62)</f>
        <v/>
      </c>
      <c r="E62" s="15247">
        <f>SUMIFS(Captura_Obra!$F:$F, Captura_Obra!$A:$A, B62, Captura_Obra!$C:$C, "*Pegaso*")</f>
        <v/>
      </c>
      <c r="F62" s="15248">
        <f>C62 + D62 - E62</f>
        <v/>
      </c>
      <c r="G62" s="15249">
        <f>J61</f>
        <v/>
      </c>
      <c r="H62" s="15250">
        <f>SUMIFS(Captura_Marimba_M01!$F:$F, Captura_Marimba_M01!$A:$A, B62)</f>
        <v/>
      </c>
      <c r="I62" s="15251">
        <f>SUMIFS(Captura_Obra!$F:$F, Captura_Obra!$A:$A, B62, Captura_Obra!$C:$C, "*Marimba*")</f>
        <v/>
      </c>
      <c r="J62" s="15252">
        <f>G62 + H62 - I62</f>
        <v/>
      </c>
      <c r="K62" s="15253" t="n"/>
      <c r="L62" s="15254" t="n"/>
    </row>
    <row r="63" ht="19.95" customHeight="1" s="17580">
      <c r="A63" s="15255" t="inlineStr">
        <is>
          <t>Sábado</t>
        </is>
      </c>
      <c r="B63" s="15256">
        <f>$C$5+5</f>
        <v/>
      </c>
      <c r="C63" s="15257">
        <f>F62</f>
        <v/>
      </c>
      <c r="D63" s="15258">
        <f>SUMIFS(Captura_Pegaso!$G:$G, Captura_Pegaso!$A:$A, B63)</f>
        <v/>
      </c>
      <c r="E63" s="15259">
        <f>SUMIFS(Captura_Obra!$F:$F, Captura_Obra!$A:$A, B63, Captura_Obra!$C:$C, "*Pegaso*")</f>
        <v/>
      </c>
      <c r="F63" s="15260">
        <f>C63 + D63 - E63</f>
        <v/>
      </c>
      <c r="G63" s="15261">
        <f>J62</f>
        <v/>
      </c>
      <c r="H63" s="15262">
        <f>SUMIFS(Captura_Marimba_M01!$F:$F, Captura_Marimba_M01!$A:$A, B63)</f>
        <v/>
      </c>
      <c r="I63" s="15263">
        <f>SUMIFS(Captura_Obra!$F:$F, Captura_Obra!$A:$A, B63, Captura_Obra!$C:$C, "*Marimba*")</f>
        <v/>
      </c>
      <c r="J63" s="15264">
        <f>G63 + H63 - I63</f>
        <v/>
      </c>
      <c r="K63" s="15265" t="n"/>
      <c r="L63" s="15266" t="n"/>
    </row>
    <row r="64" ht="19.95" customHeight="1" s="17580">
      <c r="A64" s="15267" t="inlineStr">
        <is>
          <t>Domingo</t>
        </is>
      </c>
      <c r="B64" s="15268">
        <f>$C$5+6</f>
        <v/>
      </c>
      <c r="C64" s="15269">
        <f>F63</f>
        <v/>
      </c>
      <c r="D64" s="15270">
        <f>SUMIFS(Captura_Pegaso!$G:$G, Captura_Pegaso!$A:$A, B64)</f>
        <v/>
      </c>
      <c r="E64" s="15271">
        <f>SUMIFS(Captura_Obra!$F:$F, Captura_Obra!$A:$A, B64, Captura_Obra!$C:$C, "*Pegaso*")</f>
        <v/>
      </c>
      <c r="F64" s="15272">
        <f>C64 + D64 - E64</f>
        <v/>
      </c>
      <c r="G64" s="15273">
        <f>J63</f>
        <v/>
      </c>
      <c r="H64" s="15274">
        <f>SUMIFS(Captura_Marimba_M01!$F:$F, Captura_Marimba_M01!$A:$A, B64)</f>
        <v/>
      </c>
      <c r="I64" s="15275">
        <f>SUMIFS(Captura_Obra!$F:$F, Captura_Obra!$A:$A, B64, Captura_Obra!$C:$C, "*Marimba*")</f>
        <v/>
      </c>
      <c r="J64" s="15276">
        <f>G64 + H64 - I64</f>
        <v/>
      </c>
      <c r="K64" s="15277" t="n"/>
      <c r="L64" s="15278" t="n"/>
    </row>
    <row r="65" ht="19.95" customHeight="1" s="17580">
      <c r="A65" s="15279" t="inlineStr">
        <is>
          <t>TOTAL SEMANAL</t>
        </is>
      </c>
      <c r="B65" s="15280" t="n"/>
      <c r="C65" s="15281" t="n"/>
      <c r="D65" s="15282">
        <f>SUM(D58:D64)</f>
        <v/>
      </c>
      <c r="E65" s="15283">
        <f>SUM(E58:E64)</f>
        <v/>
      </c>
      <c r="F65" s="15284" t="n"/>
      <c r="G65" s="15285" t="n"/>
      <c r="H65" s="15286">
        <f>SUM(H58:H64)</f>
        <v/>
      </c>
      <c r="I65" s="15287">
        <f>SUM(I58:I64)</f>
        <v/>
      </c>
      <c r="J65" s="15288" t="n"/>
      <c r="K65" s="15289" t="n"/>
      <c r="L65" s="15290" t="n"/>
    </row>
    <row r="66" ht="19.95" customHeight="1" s="17580">
      <c r="B66" s="2024" t="n"/>
      <c r="C66" s="2025" t="n"/>
      <c r="D66" s="2026" t="n"/>
      <c r="E66" s="2027" t="n"/>
      <c r="F66" s="2028" t="n"/>
      <c r="G66" s="2029" t="n"/>
      <c r="H66" s="2030" t="n"/>
      <c r="I66" s="2031" t="n"/>
      <c r="J66" s="2032" t="n"/>
      <c r="K66" s="2033" t="n"/>
      <c r="L66" s="2034" t="n"/>
    </row>
    <row r="67" ht="19.95" customHeight="1" s="17580">
      <c r="B67" s="2035" t="n"/>
      <c r="C67" s="2036" t="n"/>
      <c r="D67" s="2037" t="n"/>
      <c r="E67" s="2038" t="n"/>
      <c r="F67" s="2039" t="n"/>
      <c r="G67" s="2040" t="n"/>
      <c r="H67" s="2041" t="n"/>
      <c r="I67" s="2042" t="n"/>
      <c r="J67" s="2043" t="n"/>
      <c r="K67" s="2044" t="n"/>
      <c r="L67" s="2045" t="n"/>
    </row>
    <row r="68" ht="19.95" customHeight="1" s="17580">
      <c r="B68" s="2046" t="n"/>
      <c r="C68" s="2047" t="n"/>
      <c r="D68" s="2048" t="n"/>
      <c r="E68" s="2049" t="n"/>
      <c r="F68" s="2050" t="n"/>
      <c r="G68" s="2051" t="n"/>
      <c r="H68" s="2052" t="n"/>
      <c r="I68" s="2053" t="n"/>
      <c r="J68" s="2054" t="n"/>
      <c r="K68" s="2055" t="n"/>
      <c r="L68" s="2056" t="n"/>
    </row>
    <row r="69" ht="19.95" customHeight="1" s="17580">
      <c r="B69" s="2057" t="n"/>
      <c r="C69" s="2058" t="n"/>
      <c r="D69" s="2059" t="n"/>
      <c r="E69" s="2060" t="n"/>
      <c r="F69" s="2061" t="n"/>
      <c r="G69" s="2062" t="n"/>
      <c r="H69" s="2063" t="n"/>
      <c r="I69" s="2064" t="n"/>
      <c r="J69" s="2065" t="n"/>
      <c r="K69" s="2066" t="n"/>
      <c r="L69" s="2067" t="n"/>
    </row>
    <row r="70" ht="19.95" customHeight="1" s="17580">
      <c r="B70" s="2068" t="n"/>
      <c r="C70" s="2069" t="n"/>
      <c r="D70" s="2070" t="n"/>
      <c r="E70" s="2071" t="n"/>
      <c r="F70" s="2072" t="n"/>
      <c r="G70" s="2073" t="n"/>
      <c r="H70" s="2074" t="n"/>
      <c r="I70" s="2075" t="n"/>
      <c r="J70" s="2076" t="n"/>
      <c r="K70" s="2077" t="n"/>
      <c r="L70" s="2078" t="n"/>
    </row>
    <row r="71" ht="19.95" customHeight="1" s="17580">
      <c r="B71" s="2079" t="n"/>
      <c r="C71" s="2080" t="n"/>
      <c r="D71" s="2081" t="n"/>
      <c r="E71" s="2082" t="n"/>
      <c r="F71" s="2083" t="n"/>
      <c r="G71" s="2084" t="n"/>
      <c r="H71" s="2085" t="n"/>
      <c r="I71" s="2086" t="n"/>
      <c r="J71" s="2087" t="n"/>
      <c r="K71" s="2088" t="n"/>
      <c r="L71" s="2089" t="n"/>
    </row>
    <row r="72" ht="19.95" customHeight="1" s="17580">
      <c r="B72" s="2090" t="n"/>
      <c r="C72" s="2091" t="n"/>
      <c r="D72" s="2092" t="n"/>
      <c r="E72" s="2093" t="n"/>
      <c r="F72" s="2094" t="n"/>
      <c r="G72" s="2095" t="n"/>
      <c r="H72" s="2096" t="n"/>
      <c r="I72" s="2097" t="n"/>
      <c r="J72" s="2098" t="n"/>
      <c r="K72" s="2099" t="n"/>
      <c r="L72" s="2100" t="n"/>
    </row>
    <row r="73" ht="19.95" customHeight="1" s="17580">
      <c r="B73" s="2101" t="n"/>
      <c r="C73" s="2102" t="n"/>
      <c r="D73" s="2103" t="n"/>
      <c r="E73" s="2104" t="n"/>
      <c r="F73" s="2105" t="n"/>
      <c r="G73" s="2106" t="n"/>
      <c r="H73" s="2107" t="n"/>
      <c r="I73" s="2108" t="n"/>
      <c r="J73" s="2109" t="n"/>
      <c r="K73" s="2110" t="n"/>
      <c r="L73" s="2111" t="n"/>
    </row>
    <row r="74" ht="19.95" customHeight="1" s="17580">
      <c r="B74" s="2112" t="n"/>
      <c r="C74" s="2113" t="n"/>
      <c r="D74" s="2114" t="n"/>
      <c r="E74" s="2115" t="n"/>
      <c r="F74" s="2116" t="n"/>
      <c r="G74" s="2117" t="n"/>
      <c r="H74" s="2118" t="n"/>
      <c r="I74" s="2119" t="n"/>
      <c r="J74" s="2120" t="n"/>
      <c r="K74" s="2121" t="n"/>
      <c r="L74" s="2122" t="n"/>
    </row>
    <row r="75" ht="19.95" customHeight="1" s="17580">
      <c r="B75" s="2123" t="n"/>
      <c r="C75" s="2124" t="n"/>
      <c r="D75" s="2125" t="n"/>
      <c r="E75" s="2126" t="n"/>
      <c r="F75" s="2127" t="n"/>
      <c r="G75" s="2128" t="n"/>
      <c r="H75" s="2129" t="n"/>
      <c r="I75" s="2130" t="n"/>
      <c r="J75" s="2131" t="n"/>
      <c r="K75" s="2132" t="n"/>
      <c r="L75" s="2133" t="n"/>
    </row>
    <row r="76" ht="19.95" customHeight="1" s="17580">
      <c r="B76" s="2134" t="n"/>
      <c r="C76" s="2135" t="n"/>
      <c r="D76" s="2136" t="n"/>
      <c r="E76" s="2137" t="n"/>
      <c r="F76" s="2138" t="n"/>
      <c r="G76" s="2139" t="n"/>
      <c r="H76" s="2140" t="n"/>
      <c r="I76" s="2141" t="n"/>
      <c r="J76" s="2142" t="n"/>
      <c r="K76" s="2143" t="n"/>
      <c r="L76" s="2144" t="n"/>
    </row>
    <row r="77" ht="19.95" customHeight="1" s="17580">
      <c r="B77" s="2145" t="n"/>
      <c r="C77" s="2146" t="n"/>
      <c r="D77" s="2147" t="n"/>
      <c r="E77" s="2148" t="n"/>
      <c r="F77" s="2149" t="n"/>
      <c r="G77" s="2150" t="n"/>
      <c r="H77" s="2151" t="n"/>
      <c r="I77" s="2152" t="n"/>
      <c r="J77" s="2153" t="n"/>
      <c r="K77" s="2154" t="n"/>
      <c r="L77" s="2155" t="n"/>
    </row>
    <row r="78" ht="19.95" customHeight="1" s="17580">
      <c r="B78" s="2156" t="n"/>
      <c r="C78" s="2157" t="n"/>
      <c r="D78" s="2158" t="n"/>
      <c r="E78" s="2159" t="n"/>
      <c r="F78" s="2160" t="n"/>
      <c r="G78" s="2161" t="n"/>
      <c r="H78" s="2162" t="n"/>
      <c r="I78" s="2163" t="n"/>
      <c r="J78" s="2164" t="n"/>
      <c r="K78" s="2165" t="n"/>
      <c r="L78" s="2166" t="n"/>
    </row>
    <row r="79" ht="19.95" customHeight="1" s="17580">
      <c r="B79" s="2167" t="n"/>
      <c r="C79" s="2168" t="n"/>
      <c r="D79" s="2169" t="n"/>
      <c r="E79" s="2170" t="n"/>
      <c r="F79" s="2171" t="n"/>
      <c r="G79" s="2172" t="n"/>
      <c r="H79" s="2173" t="n"/>
      <c r="I79" s="2174" t="n"/>
      <c r="J79" s="2175" t="n"/>
      <c r="K79" s="2176" t="n"/>
      <c r="L79" s="2177" t="n"/>
    </row>
    <row r="80" ht="19.95" customHeight="1" s="17580">
      <c r="B80" s="2178" t="n"/>
      <c r="C80" s="2179" t="n"/>
      <c r="D80" s="2180" t="n"/>
      <c r="E80" s="2181" t="n"/>
      <c r="F80" s="2182" t="n"/>
      <c r="G80" s="2183" t="n"/>
      <c r="H80" s="2184" t="n"/>
      <c r="I80" s="2185" t="n"/>
      <c r="J80" s="2186" t="n"/>
      <c r="K80" s="2187" t="n"/>
      <c r="L80" s="2188" t="n"/>
    </row>
    <row r="81" ht="19.95" customHeight="1" s="17580">
      <c r="B81" s="2189" t="n"/>
      <c r="C81" s="2190" t="n"/>
      <c r="D81" s="2191" t="n"/>
      <c r="E81" s="2192" t="n"/>
      <c r="F81" s="2193" t="n"/>
      <c r="G81" s="2194" t="n"/>
      <c r="H81" s="2195" t="n"/>
      <c r="I81" s="2196" t="n"/>
      <c r="J81" s="2197" t="n"/>
      <c r="K81" s="2198" t="n"/>
      <c r="L81" s="2199" t="n"/>
    </row>
    <row r="82" ht="19.95" customHeight="1" s="17580">
      <c r="B82" s="2200" t="n"/>
      <c r="C82" s="2201" t="n"/>
      <c r="D82" s="2202" t="n"/>
      <c r="E82" s="2203" t="n"/>
      <c r="F82" s="2204" t="n"/>
      <c r="G82" s="2205" t="n"/>
      <c r="H82" s="2206" t="n"/>
      <c r="I82" s="2207" t="n"/>
      <c r="J82" s="2208" t="n"/>
      <c r="K82" s="2209" t="n"/>
      <c r="L82" s="2210" t="n"/>
    </row>
    <row r="83" ht="19.95" customHeight="1" s="17580">
      <c r="B83" s="2211" t="n"/>
      <c r="C83" s="2212" t="n"/>
      <c r="D83" s="2213" t="n"/>
      <c r="E83" s="2214" t="n"/>
      <c r="F83" s="2215" t="n"/>
      <c r="G83" s="2216" t="n"/>
      <c r="H83" s="2217" t="n"/>
      <c r="I83" s="2218" t="n"/>
      <c r="J83" s="2219" t="n"/>
      <c r="K83" s="2220" t="n"/>
      <c r="L83" s="2221" t="n"/>
    </row>
    <row r="84" ht="19.95" customHeight="1" s="17580">
      <c r="B84" s="2222" t="n"/>
      <c r="C84" s="2223" t="n"/>
      <c r="D84" s="2224" t="n"/>
      <c r="E84" s="2225" t="n"/>
      <c r="F84" s="2226" t="n"/>
      <c r="G84" s="2227" t="n"/>
      <c r="H84" s="2228" t="n"/>
      <c r="I84" s="2229" t="n"/>
      <c r="J84" s="2230" t="n"/>
      <c r="K84" s="2231" t="n"/>
      <c r="L84" s="2232" t="n"/>
    </row>
    <row r="85" ht="19.95" customHeight="1" s="17580">
      <c r="B85" s="2233" t="n"/>
      <c r="C85" s="2234" t="n"/>
      <c r="D85" s="2235" t="n"/>
      <c r="E85" s="2236" t="n"/>
      <c r="F85" s="2237" t="n"/>
      <c r="G85" s="2238" t="n"/>
      <c r="H85" s="2239" t="n"/>
      <c r="I85" s="2240" t="n"/>
      <c r="J85" s="2241" t="n"/>
      <c r="K85" s="2242" t="n"/>
      <c r="L85" s="2243" t="n"/>
    </row>
    <row r="86" ht="19.95" customHeight="1" s="17580">
      <c r="B86" s="2244" t="n"/>
      <c r="C86" s="2245" t="n"/>
      <c r="D86" s="2246" t="n"/>
      <c r="E86" s="2247" t="n"/>
      <c r="F86" s="2248" t="n"/>
      <c r="G86" s="2249" t="n"/>
      <c r="H86" s="2250" t="n"/>
      <c r="I86" s="2251" t="n"/>
      <c r="J86" s="2252" t="n"/>
      <c r="K86" s="2253" t="n"/>
      <c r="L86" s="2254" t="n"/>
    </row>
    <row r="87" ht="19.95" customHeight="1" s="17580">
      <c r="B87" s="2255" t="n"/>
      <c r="C87" s="2256" t="n"/>
      <c r="D87" s="2257" t="n"/>
      <c r="E87" s="2258" t="n"/>
      <c r="F87" s="2259" t="n"/>
      <c r="G87" s="2260" t="n"/>
      <c r="H87" s="2261" t="n"/>
      <c r="I87" s="2262" t="n"/>
      <c r="J87" s="2263" t="n"/>
      <c r="K87" s="2264" t="n"/>
      <c r="L87" s="2265" t="n"/>
    </row>
    <row r="88" ht="22.05" customHeight="1" s="17580">
      <c r="B88" s="17611" t="n"/>
      <c r="D88" s="2266" t="n"/>
      <c r="E88" s="2267" t="n"/>
      <c r="F88" s="2268" t="n"/>
      <c r="G88" s="2269" t="n"/>
      <c r="H88" s="2270" t="n"/>
      <c r="I88" s="2271" t="n"/>
      <c r="J88" s="2272" t="n"/>
      <c r="K88" s="2273" t="n"/>
      <c r="L88" s="2274" t="n"/>
    </row>
  </sheetData>
  <mergeCells count="24">
    <mergeCell ref="U31:V31"/>
    <mergeCell ref="R31:R32"/>
    <mergeCell ref="Q30:AF30"/>
    <mergeCell ref="A20:J20"/>
    <mergeCell ref="A43:J43"/>
    <mergeCell ref="AE31:AE32"/>
    <mergeCell ref="A10:J10"/>
    <mergeCell ref="G56:J56"/>
    <mergeCell ref="E4:I8"/>
    <mergeCell ref="B54:K54"/>
    <mergeCell ref="A56:B56"/>
    <mergeCell ref="B88:C88"/>
    <mergeCell ref="W31:X31"/>
    <mergeCell ref="Q31:Q32"/>
    <mergeCell ref="Y31:Z31"/>
    <mergeCell ref="A1:J1"/>
    <mergeCell ref="A31:C31"/>
    <mergeCell ref="AA31:AB31"/>
    <mergeCell ref="AC31:AD31"/>
    <mergeCell ref="AF31:AF32"/>
    <mergeCell ref="C56:F56"/>
    <mergeCell ref="A55:G55"/>
    <mergeCell ref="A3:J3"/>
    <mergeCell ref="S31:T31"/>
  </mergeCells>
  <dataValidations count="1">
    <dataValidation sqref="C8" showDropDown="0" showInputMessage="1" showErrorMessage="1" allowBlank="1" errorTitle="Filtro no válido" error="undefined" promptTitle="undefined" prompt="undefined" type="list">
      <formula1>"Semana Seleccionada,Acumulado Histórico,Rango de Fechas"</formula1>
    </dataValidation>
  </dataValidations>
  <printOptions horizontalCentered="1"/>
  <pageMargins left="0.25" right="0.25" top="0.25" bottom="0.25" header="0" footer="0"/>
  <pageSetup orientation="landscape" scale="34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00"/>
  <sheetViews>
    <sheetView zoomScale="78" workbookViewId="0">
      <selection activeCell="G1007" sqref="G1007"/>
    </sheetView>
  </sheetViews>
  <sheetFormatPr baseColWidth="10" defaultRowHeight="13.8"/>
  <cols>
    <col width="14" customWidth="1" style="17580" min="1" max="1"/>
    <col width="18" customWidth="1" style="17580" min="2" max="3"/>
    <col width="18" bestFit="1" customWidth="1" style="17580" min="4" max="4"/>
    <col width="12" customWidth="1" style="17580" min="5" max="5"/>
    <col width="25" customWidth="1" style="17580" min="6" max="6"/>
    <col width="63.5" bestFit="1" customWidth="1" style="17580" min="7" max="7"/>
    <col width="15" customWidth="1" style="17580" min="8" max="10"/>
    <col width="28" customWidth="1" style="17580" min="11" max="11"/>
  </cols>
  <sheetData>
    <row r="1" ht="21" customHeight="1" s="17580">
      <c r="A1" s="17623" t="inlineStr">
        <is>
          <t>AUDITORÍA DE CONCILIACIÓN (CRUCE TRANSACCIONAL)</t>
        </is>
      </c>
    </row>
    <row r="3" ht="27.6" customHeight="1" s="17580">
      <c r="A3" s="6510" t="inlineStr">
        <is>
          <t>Origen</t>
        </is>
      </c>
      <c r="B3" s="6511" t="inlineStr">
        <is>
          <t>Folio Suministro (Pipa)</t>
        </is>
      </c>
      <c r="C3" s="6512" t="inlineStr">
        <is>
          <t>Folio Recepción (Obra)</t>
        </is>
      </c>
      <c r="D3" s="6513" t="inlineStr">
        <is>
          <t>Estatus</t>
        </is>
      </c>
      <c r="E3" s="6514" t="inlineStr">
        <is>
          <t>Fecha</t>
        </is>
      </c>
      <c r="F3" s="6515" t="inlineStr">
        <is>
          <t>Obra</t>
        </is>
      </c>
      <c r="G3" s="6516" t="inlineStr">
        <is>
          <t>Máquina / Destino</t>
        </is>
      </c>
      <c r="H3" s="6517" t="inlineStr">
        <is>
          <t>Lts Entregados</t>
        </is>
      </c>
      <c r="I3" s="6518" t="inlineStr">
        <is>
          <t>Lts Recibidos</t>
        </is>
      </c>
      <c r="J3" s="6519" t="inlineStr">
        <is>
          <t>Diferencia Lts</t>
        </is>
      </c>
      <c r="K3" s="3812" t="inlineStr">
        <is>
          <t>Estatus</t>
        </is>
      </c>
    </row>
    <row r="4">
      <c r="A4" s="6520">
        <f>IF(Captura_Pegaso!A5="", "", "Pegaso")</f>
        <v/>
      </c>
      <c r="B4" s="6521">
        <f>IF(Captura_Pegaso!A5="", "", Captura_Pegaso!N5)</f>
        <v/>
      </c>
      <c r="C4" s="6522">
        <f>IF(Captura_Pegaso!A5="", "", IFERROR(LOOKUP(2, 1/((Captura_Obra!$A$5:$A$1000=E4)*(Captura_Obra!$B$5:$B$1000=F4)*(Captura_Obra!$D$5:$D$1000=G4)), Captura_Obra!$N$5:$N$1000), "No Reportado"))</f>
        <v/>
      </c>
      <c r="D4" s="6523">
        <f>IF(Captura_Pegaso!A5="", "", IF(J4=0, "✅ Cuadrado", IF(I4=0, "❌ Falta en Obra", "⚠️ Dif")))</f>
        <v/>
      </c>
      <c r="E4" s="6524">
        <f>IF(Captura_Pegaso!A5="", "", Captura_Pegaso!A5)</f>
        <v/>
      </c>
      <c r="F4" s="6525">
        <f>IF(Captura_Pegaso!A5="", "", Captura_Pegaso!D5)</f>
        <v/>
      </c>
      <c r="G4" s="6526">
        <f>IF(Captura_Pegaso!A5="", "", Captura_Pegaso!E5)</f>
        <v/>
      </c>
      <c r="H4" s="6527">
        <f>IF(Captura_Pegaso!A5="", "", Captura_Pegaso!H5)</f>
        <v/>
      </c>
      <c r="I4" s="6528">
        <f>IF(Captura_Pegaso!A5="", "", SUMIFS(Captura_Obra!$F:$F, Captura_Obra!$A:$A, E4, Captura_Obra!$B:$B, F4, Captura_Obra!$D:$D, G4))</f>
        <v/>
      </c>
      <c r="J4" s="6529">
        <f>IF(Captura_Pegaso!A5="", "", H4 - I4)</f>
        <v/>
      </c>
      <c r="K4" s="3813" t="n"/>
    </row>
    <row r="5">
      <c r="A5" s="6530">
        <f>IF(Captura_Pegaso!A6="", "", "Pegaso")</f>
        <v/>
      </c>
      <c r="B5" s="6531">
        <f>IF(Captura_Pegaso!A6="", "", Captura_Pegaso!N6)</f>
        <v/>
      </c>
      <c r="C5" s="6532">
        <f>IF(Captura_Pegaso!A6="", "", IFERROR(LOOKUP(2, 1/((Captura_Obra!$A$5:$A$1000=E5)*(Captura_Obra!$B$5:$B$1000=F5)*(Captura_Obra!$D$5:$D$1000=G5)), Captura_Obra!$N$5:$N$1000), "No Reportado"))</f>
        <v/>
      </c>
      <c r="D5" s="6533">
        <f>IF(Captura_Pegaso!A6="", "", IF(J5=0, "✅ Cuadrado", IF(I5=0, "❌ Falta en Obra", "⚠️ Dif")))</f>
        <v/>
      </c>
      <c r="E5" s="6534">
        <f>IF(Captura_Pegaso!A6="", "", Captura_Pegaso!A6)</f>
        <v/>
      </c>
      <c r="F5" s="6535">
        <f>IF(Captura_Pegaso!A6="", "", Captura_Pegaso!D6)</f>
        <v/>
      </c>
      <c r="G5" s="6536">
        <f>IF(Captura_Pegaso!A6="", "", Captura_Pegaso!E6)</f>
        <v/>
      </c>
      <c r="H5" s="6537">
        <f>IF(Captura_Pegaso!A6="", "", Captura_Pegaso!H6)</f>
        <v/>
      </c>
      <c r="I5" s="6538">
        <f>IF(Captura_Pegaso!A6="", "", SUMIFS(Captura_Obra!$F:$F, Captura_Obra!$A:$A, E5, Captura_Obra!$B:$B, F5, Captura_Obra!$D:$D, G5))</f>
        <v/>
      </c>
      <c r="J5" s="6539">
        <f>IF(Captura_Pegaso!A6="", "", H5 - I5)</f>
        <v/>
      </c>
      <c r="K5" s="3814" t="n"/>
    </row>
    <row r="6">
      <c r="A6" s="6540">
        <f>IF(Captura_Pegaso!A7="", "", "Pegaso")</f>
        <v/>
      </c>
      <c r="B6" s="6541">
        <f>IF(Captura_Pegaso!A7="", "", Captura_Pegaso!N7)</f>
        <v/>
      </c>
      <c r="C6" s="6542">
        <f>IF(Captura_Pegaso!A7="", "", IFERROR(LOOKUP(2, 1/((Captura_Obra!$A$5:$A$1000=E6)*(Captura_Obra!$B$5:$B$1000=F6)*(Captura_Obra!$D$5:$D$1000=G6)), Captura_Obra!$N$5:$N$1000), "No Reportado"))</f>
        <v/>
      </c>
      <c r="D6" s="6543">
        <f>IF(Captura_Pegaso!A7="", "", IF(J6=0, "✅ Cuadrado", IF(I6=0, "❌ Falta en Obra", "⚠️ Dif")))</f>
        <v/>
      </c>
      <c r="E6" s="6544">
        <f>IF(Captura_Pegaso!A7="", "", Captura_Pegaso!A7)</f>
        <v/>
      </c>
      <c r="F6" s="6545">
        <f>IF(Captura_Pegaso!A7="", "", Captura_Pegaso!D7)</f>
        <v/>
      </c>
      <c r="G6" s="6546">
        <f>IF(Captura_Pegaso!A7="", "", Captura_Pegaso!E7)</f>
        <v/>
      </c>
      <c r="H6" s="6547">
        <f>IF(Captura_Pegaso!A7="", "", Captura_Pegaso!H7)</f>
        <v/>
      </c>
      <c r="I6" s="6548">
        <f>IF(Captura_Pegaso!A7="", "", SUMIFS(Captura_Obra!$F:$F, Captura_Obra!$A:$A, E6, Captura_Obra!$B:$B, F6, Captura_Obra!$D:$D, G6))</f>
        <v/>
      </c>
      <c r="J6" s="6549">
        <f>IF(Captura_Pegaso!A7="", "", H6 - I6)</f>
        <v/>
      </c>
      <c r="K6" s="3815" t="n"/>
    </row>
    <row r="7">
      <c r="A7" s="6550">
        <f>IF(Captura_Pegaso!A8="", "", "Pegaso")</f>
        <v/>
      </c>
      <c r="B7" s="6551">
        <f>IF(Captura_Pegaso!A8="", "", Captura_Pegaso!N8)</f>
        <v/>
      </c>
      <c r="C7" s="6552">
        <f>IF(Captura_Pegaso!A8="", "", IFERROR(LOOKUP(2, 1/((Captura_Obra!$A$5:$A$1000=E7)*(Captura_Obra!$B$5:$B$1000=F7)*(Captura_Obra!$D$5:$D$1000=G7)), Captura_Obra!$N$5:$N$1000), "No Reportado"))</f>
        <v/>
      </c>
      <c r="D7" s="6553">
        <f>IF(Captura_Pegaso!A8="", "", IF(J7=0, "✅ Cuadrado", IF(I7=0, "❌ Falta en Obra", "⚠️ Dif")))</f>
        <v/>
      </c>
      <c r="E7" s="6554">
        <f>IF(Captura_Pegaso!A8="", "", Captura_Pegaso!A8)</f>
        <v/>
      </c>
      <c r="F7" s="6555">
        <f>IF(Captura_Pegaso!A8="", "", Captura_Pegaso!D8)</f>
        <v/>
      </c>
      <c r="G7" s="6556">
        <f>IF(Captura_Pegaso!A8="", "", Captura_Pegaso!E8)</f>
        <v/>
      </c>
      <c r="H7" s="6557">
        <f>IF(Captura_Pegaso!A8="", "", Captura_Pegaso!H8)</f>
        <v/>
      </c>
      <c r="I7" s="6558">
        <f>IF(Captura_Pegaso!A8="", "", SUMIFS(Captura_Obra!$F:$F, Captura_Obra!$A:$A, E7, Captura_Obra!$B:$B, F7, Captura_Obra!$D:$D, G7))</f>
        <v/>
      </c>
      <c r="J7" s="6559">
        <f>IF(Captura_Pegaso!A8="", "", H7 - I7)</f>
        <v/>
      </c>
      <c r="K7" s="3816" t="n"/>
    </row>
    <row r="8">
      <c r="A8" s="6560">
        <f>IF(Captura_Pegaso!A9="", "", "Pegaso")</f>
        <v/>
      </c>
      <c r="B8" s="6561">
        <f>IF(Captura_Pegaso!A9="", "", Captura_Pegaso!N9)</f>
        <v/>
      </c>
      <c r="C8" s="6562">
        <f>IF(Captura_Pegaso!A9="", "", IFERROR(LOOKUP(2, 1/((Captura_Obra!$A$5:$A$1000=E8)*(Captura_Obra!$B$5:$B$1000=F8)*(Captura_Obra!$D$5:$D$1000=G8)), Captura_Obra!$N$5:$N$1000), "No Reportado"))</f>
        <v/>
      </c>
      <c r="D8" s="6563">
        <f>IF(Captura_Pegaso!A9="", "", IF(J8=0, "✅ Cuadrado", IF(I8=0, "❌ Falta en Obra", "⚠️ Dif")))</f>
        <v/>
      </c>
      <c r="E8" s="6564">
        <f>IF(Captura_Pegaso!A9="", "", Captura_Pegaso!A9)</f>
        <v/>
      </c>
      <c r="F8" s="6565">
        <f>IF(Captura_Pegaso!A9="", "", Captura_Pegaso!D9)</f>
        <v/>
      </c>
      <c r="G8" s="6566">
        <f>IF(Captura_Pegaso!A9="", "", Captura_Pegaso!E9)</f>
        <v/>
      </c>
      <c r="H8" s="6567">
        <f>IF(Captura_Pegaso!A9="", "", Captura_Pegaso!H9)</f>
        <v/>
      </c>
      <c r="I8" s="6568">
        <f>IF(Captura_Pegaso!A9="", "", SUMIFS(Captura_Obra!$F:$F, Captura_Obra!$A:$A, E8, Captura_Obra!$B:$B, F8, Captura_Obra!$D:$D, G8))</f>
        <v/>
      </c>
      <c r="J8" s="6569">
        <f>IF(Captura_Pegaso!A9="", "", H8 - I8)</f>
        <v/>
      </c>
      <c r="K8" s="3817" t="n"/>
    </row>
    <row r="9">
      <c r="A9" s="6570">
        <f>IF(Captura_Pegaso!A10="", "", "Pegaso")</f>
        <v/>
      </c>
      <c r="B9" s="6571">
        <f>IF(Captura_Pegaso!A10="", "", Captura_Pegaso!N10)</f>
        <v/>
      </c>
      <c r="C9" s="6572">
        <f>IF(Captura_Pegaso!A10="", "", IFERROR(LOOKUP(2, 1/((Captura_Obra!$A$5:$A$1000=E9)*(Captura_Obra!$B$5:$B$1000=F9)*(Captura_Obra!$D$5:$D$1000=G9)), Captura_Obra!$N$5:$N$1000), "No Reportado"))</f>
        <v/>
      </c>
      <c r="D9" s="6573">
        <f>IF(Captura_Pegaso!A10="", "", IF(J9=0, "✅ Cuadrado", IF(I9=0, "❌ Falta en Obra", "⚠️ Dif")))</f>
        <v/>
      </c>
      <c r="E9" s="6574">
        <f>IF(Captura_Pegaso!A10="", "", Captura_Pegaso!A10)</f>
        <v/>
      </c>
      <c r="F9" s="6575">
        <f>IF(Captura_Pegaso!A10="", "", Captura_Pegaso!D10)</f>
        <v/>
      </c>
      <c r="G9" s="6576">
        <f>IF(Captura_Pegaso!A10="", "", Captura_Pegaso!E10)</f>
        <v/>
      </c>
      <c r="H9" s="6577">
        <f>IF(Captura_Pegaso!A10="", "", Captura_Pegaso!H10)</f>
        <v/>
      </c>
      <c r="I9" s="6578">
        <f>IF(Captura_Pegaso!A10="", "", SUMIFS(Captura_Obra!$F:$F, Captura_Obra!$A:$A, E9, Captura_Obra!$B:$B, F9, Captura_Obra!$D:$D, G9))</f>
        <v/>
      </c>
      <c r="J9" s="6579">
        <f>IF(Captura_Pegaso!A10="", "", H9 - I9)</f>
        <v/>
      </c>
      <c r="K9" s="3818" t="n"/>
    </row>
    <row r="10">
      <c r="A10" s="6580">
        <f>IF(Captura_Pegaso!A11="", "", "Pegaso")</f>
        <v/>
      </c>
      <c r="B10" s="6581">
        <f>IF(Captura_Pegaso!A11="", "", Captura_Pegaso!N11)</f>
        <v/>
      </c>
      <c r="C10" s="6582">
        <f>IF(Captura_Pegaso!A11="", "", IFERROR(LOOKUP(2, 1/((Captura_Obra!$A$5:$A$1000=E10)*(Captura_Obra!$B$5:$B$1000=F10)*(Captura_Obra!$D$5:$D$1000=G10)), Captura_Obra!$N$5:$N$1000), "No Reportado"))</f>
        <v/>
      </c>
      <c r="D10" s="6583">
        <f>IF(Captura_Pegaso!A11="", "", IF(J10=0, "✅ Cuadrado", IF(I10=0, "❌ Falta en Obra", "⚠️ Dif")))</f>
        <v/>
      </c>
      <c r="E10" s="6584">
        <f>IF(Captura_Pegaso!A11="", "", Captura_Pegaso!A11)</f>
        <v/>
      </c>
      <c r="F10" s="6585">
        <f>IF(Captura_Pegaso!A11="", "", Captura_Pegaso!D11)</f>
        <v/>
      </c>
      <c r="G10" s="6586">
        <f>IF(Captura_Pegaso!A11="", "", Captura_Pegaso!E11)</f>
        <v/>
      </c>
      <c r="H10" s="6587">
        <f>IF(Captura_Pegaso!A11="", "", Captura_Pegaso!H11)</f>
        <v/>
      </c>
      <c r="I10" s="6588">
        <f>IF(Captura_Pegaso!A11="", "", SUMIFS(Captura_Obra!$F:$F, Captura_Obra!$A:$A, E10, Captura_Obra!$B:$B, F10, Captura_Obra!$D:$D, G10))</f>
        <v/>
      </c>
      <c r="J10" s="6589">
        <f>IF(Captura_Pegaso!A11="", "", H10 - I10)</f>
        <v/>
      </c>
      <c r="K10" s="3819" t="n"/>
    </row>
    <row r="11">
      <c r="A11" s="6590">
        <f>IF(Captura_Pegaso!A12="", "", "Pegaso")</f>
        <v/>
      </c>
      <c r="B11" s="6591">
        <f>IF(Captura_Pegaso!A12="", "", Captura_Pegaso!N12)</f>
        <v/>
      </c>
      <c r="C11" s="6592">
        <f>IF(Captura_Pegaso!A12="", "", IFERROR(LOOKUP(2, 1/((Captura_Obra!$A$5:$A$1000=E11)*(Captura_Obra!$B$5:$B$1000=F11)*(Captura_Obra!$D$5:$D$1000=G11)), Captura_Obra!$N$5:$N$1000), "No Reportado"))</f>
        <v/>
      </c>
      <c r="D11" s="6593">
        <f>IF(Captura_Pegaso!A12="", "", IF(J11=0, "✅ Cuadrado", IF(I11=0, "❌ Falta en Obra", "⚠️ Dif")))</f>
        <v/>
      </c>
      <c r="E11" s="6594">
        <f>IF(Captura_Pegaso!A12="", "", Captura_Pegaso!A12)</f>
        <v/>
      </c>
      <c r="F11" s="6595">
        <f>IF(Captura_Pegaso!A12="", "", Captura_Pegaso!D12)</f>
        <v/>
      </c>
      <c r="G11" s="6596">
        <f>IF(Captura_Pegaso!A12="", "", Captura_Pegaso!E12)</f>
        <v/>
      </c>
      <c r="H11" s="6597">
        <f>IF(Captura_Pegaso!A12="", "", Captura_Pegaso!H12)</f>
        <v/>
      </c>
      <c r="I11" s="6598">
        <f>IF(Captura_Pegaso!A12="", "", SUMIFS(Captura_Obra!$F:$F, Captura_Obra!$A:$A, E11, Captura_Obra!$B:$B, F11, Captura_Obra!$D:$D, G11))</f>
        <v/>
      </c>
      <c r="J11" s="6599">
        <f>IF(Captura_Pegaso!A12="", "", H11 - I11)</f>
        <v/>
      </c>
      <c r="K11" s="3820" t="n"/>
    </row>
    <row r="12">
      <c r="A12" s="6600">
        <f>IF(Captura_Pegaso!A13="", "", "Pegaso")</f>
        <v/>
      </c>
      <c r="B12" s="6601">
        <f>IF(Captura_Pegaso!A13="", "", Captura_Pegaso!N13)</f>
        <v/>
      </c>
      <c r="C12" s="6602">
        <f>IF(Captura_Pegaso!A13="", "", IFERROR(LOOKUP(2, 1/((Captura_Obra!$A$5:$A$1000=E12)*(Captura_Obra!$B$5:$B$1000=F12)*(Captura_Obra!$D$5:$D$1000=G12)), Captura_Obra!$N$5:$N$1000), "No Reportado"))</f>
        <v/>
      </c>
      <c r="D12" s="6603">
        <f>IF(Captura_Pegaso!A13="", "", IF(J12=0, "✅ Cuadrado", IF(I12=0, "❌ Falta en Obra", "⚠️ Dif")))</f>
        <v/>
      </c>
      <c r="E12" s="6604">
        <f>IF(Captura_Pegaso!A13="", "", Captura_Pegaso!A13)</f>
        <v/>
      </c>
      <c r="F12" s="6605">
        <f>IF(Captura_Pegaso!A13="", "", Captura_Pegaso!D13)</f>
        <v/>
      </c>
      <c r="G12" s="6606">
        <f>IF(Captura_Pegaso!A13="", "", Captura_Pegaso!E13)</f>
        <v/>
      </c>
      <c r="H12" s="6607">
        <f>IF(Captura_Pegaso!A13="", "", Captura_Pegaso!H13)</f>
        <v/>
      </c>
      <c r="I12" s="6608">
        <f>IF(Captura_Pegaso!A13="", "", SUMIFS(Captura_Obra!$F:$F, Captura_Obra!$A:$A, E12, Captura_Obra!$B:$B, F12, Captura_Obra!$D:$D, G12))</f>
        <v/>
      </c>
      <c r="J12" s="6609">
        <f>IF(Captura_Pegaso!A13="", "", H12 - I12)</f>
        <v/>
      </c>
      <c r="K12" s="3821" t="n"/>
    </row>
    <row r="13">
      <c r="A13" s="6610">
        <f>IF(Captura_Pegaso!A14="", "", "Pegaso")</f>
        <v/>
      </c>
      <c r="B13" s="6611">
        <f>IF(Captura_Pegaso!A14="", "", Captura_Pegaso!N14)</f>
        <v/>
      </c>
      <c r="C13" s="6612">
        <f>IF(Captura_Pegaso!A14="", "", IFERROR(LOOKUP(2, 1/((Captura_Obra!$A$5:$A$1000=E13)*(Captura_Obra!$B$5:$B$1000=F13)*(Captura_Obra!$D$5:$D$1000=G13)), Captura_Obra!$N$5:$N$1000), "No Reportado"))</f>
        <v/>
      </c>
      <c r="D13" s="6613">
        <f>IF(Captura_Pegaso!A14="", "", IF(J13=0, "✅ Cuadrado", IF(I13=0, "❌ Falta en Obra", "⚠️ Dif")))</f>
        <v/>
      </c>
      <c r="E13" s="6614">
        <f>IF(Captura_Pegaso!A14="", "", Captura_Pegaso!A14)</f>
        <v/>
      </c>
      <c r="F13" s="6615">
        <f>IF(Captura_Pegaso!A14="", "", Captura_Pegaso!D14)</f>
        <v/>
      </c>
      <c r="G13" s="6616">
        <f>IF(Captura_Pegaso!A14="", "", Captura_Pegaso!E14)</f>
        <v/>
      </c>
      <c r="H13" s="6617">
        <f>IF(Captura_Pegaso!A14="", "", Captura_Pegaso!H14)</f>
        <v/>
      </c>
      <c r="I13" s="6618">
        <f>IF(Captura_Pegaso!A14="", "", SUMIFS(Captura_Obra!$F:$F, Captura_Obra!$A:$A, E13, Captura_Obra!$B:$B, F13, Captura_Obra!$D:$D, G13))</f>
        <v/>
      </c>
      <c r="J13" s="6619">
        <f>IF(Captura_Pegaso!A14="", "", H13 - I13)</f>
        <v/>
      </c>
      <c r="K13" s="3822" t="n"/>
    </row>
    <row r="14">
      <c r="A14" s="6620">
        <f>IF(Captura_Pegaso!A15="", "", "Pegaso")</f>
        <v/>
      </c>
      <c r="B14" s="6621">
        <f>IF(Captura_Pegaso!A15="", "", Captura_Pegaso!N15)</f>
        <v/>
      </c>
      <c r="C14" s="6622">
        <f>IF(Captura_Pegaso!A15="", "", IFERROR(LOOKUP(2, 1/((Captura_Obra!$A$5:$A$1000=E14)*(Captura_Obra!$B$5:$B$1000=F14)*(Captura_Obra!$D$5:$D$1000=G14)), Captura_Obra!$N$5:$N$1000), "No Reportado"))</f>
        <v/>
      </c>
      <c r="D14" s="6623">
        <f>IF(Captura_Pegaso!A15="", "", IF(J14=0, "✅ Cuadrado", IF(I14=0, "❌ Falta en Obra", "⚠️ Dif")))</f>
        <v/>
      </c>
      <c r="E14" s="6624">
        <f>IF(Captura_Pegaso!A15="", "", Captura_Pegaso!A15)</f>
        <v/>
      </c>
      <c r="F14" s="6625">
        <f>IF(Captura_Pegaso!A15="", "", Captura_Pegaso!D15)</f>
        <v/>
      </c>
      <c r="G14" s="6626">
        <f>IF(Captura_Pegaso!A15="", "", Captura_Pegaso!E15)</f>
        <v/>
      </c>
      <c r="H14" s="6627">
        <f>IF(Captura_Pegaso!A15="", "", Captura_Pegaso!H15)</f>
        <v/>
      </c>
      <c r="I14" s="6628">
        <f>IF(Captura_Pegaso!A15="", "", SUMIFS(Captura_Obra!$F:$F, Captura_Obra!$A:$A, E14, Captura_Obra!$B:$B, F14, Captura_Obra!$D:$D, G14))</f>
        <v/>
      </c>
      <c r="J14" s="6629">
        <f>IF(Captura_Pegaso!A15="", "", H14 - I14)</f>
        <v/>
      </c>
      <c r="K14" s="3823" t="n"/>
    </row>
    <row r="15">
      <c r="A15" s="6630">
        <f>IF(Captura_Pegaso!A16="", "", "Pegaso")</f>
        <v/>
      </c>
      <c r="B15" s="6631">
        <f>IF(Captura_Pegaso!A16="", "", Captura_Pegaso!N16)</f>
        <v/>
      </c>
      <c r="C15" s="6632">
        <f>IF(Captura_Pegaso!A16="", "", IFERROR(LOOKUP(2, 1/((Captura_Obra!$A$5:$A$1000=E15)*(Captura_Obra!$B$5:$B$1000=F15)*(Captura_Obra!$D$5:$D$1000=G15)), Captura_Obra!$N$5:$N$1000), "No Reportado"))</f>
        <v/>
      </c>
      <c r="D15" s="6633">
        <f>IF(Captura_Pegaso!A16="", "", IF(J15=0, "✅ Cuadrado", IF(I15=0, "❌ Falta en Obra", "⚠️ Dif")))</f>
        <v/>
      </c>
      <c r="E15" s="6634">
        <f>IF(Captura_Pegaso!A16="", "", Captura_Pegaso!A16)</f>
        <v/>
      </c>
      <c r="F15" s="6635">
        <f>IF(Captura_Pegaso!A16="", "", Captura_Pegaso!D16)</f>
        <v/>
      </c>
      <c r="G15" s="6636">
        <f>IF(Captura_Pegaso!A16="", "", Captura_Pegaso!E16)</f>
        <v/>
      </c>
      <c r="H15" s="6637">
        <f>IF(Captura_Pegaso!A16="", "", Captura_Pegaso!H16)</f>
        <v/>
      </c>
      <c r="I15" s="6638">
        <f>IF(Captura_Pegaso!A16="", "", SUMIFS(Captura_Obra!$F:$F, Captura_Obra!$A:$A, E15, Captura_Obra!$B:$B, F15, Captura_Obra!$D:$D, G15))</f>
        <v/>
      </c>
      <c r="J15" s="6639">
        <f>IF(Captura_Pegaso!A16="", "", H15 - I15)</f>
        <v/>
      </c>
      <c r="K15" s="3824" t="n"/>
    </row>
    <row r="16">
      <c r="A16" s="6640">
        <f>IF(Captura_Pegaso!A17="", "", "Pegaso")</f>
        <v/>
      </c>
      <c r="B16" s="6641">
        <f>IF(Captura_Pegaso!A17="", "", Captura_Pegaso!N17)</f>
        <v/>
      </c>
      <c r="C16" s="6642">
        <f>IF(Captura_Pegaso!A17="", "", IFERROR(LOOKUP(2, 1/((Captura_Obra!$A$5:$A$1000=E16)*(Captura_Obra!$B$5:$B$1000=F16)*(Captura_Obra!$D$5:$D$1000=G16)), Captura_Obra!$N$5:$N$1000), "No Reportado"))</f>
        <v/>
      </c>
      <c r="D16" s="6643">
        <f>IF(Captura_Pegaso!A17="", "", IF(J16=0, "✅ Cuadrado", IF(I16=0, "❌ Falta en Obra", "⚠️ Dif")))</f>
        <v/>
      </c>
      <c r="E16" s="6644">
        <f>IF(Captura_Pegaso!A17="", "", Captura_Pegaso!A17)</f>
        <v/>
      </c>
      <c r="F16" s="6645">
        <f>IF(Captura_Pegaso!A17="", "", Captura_Pegaso!D17)</f>
        <v/>
      </c>
      <c r="G16" s="6646">
        <f>IF(Captura_Pegaso!A17="", "", Captura_Pegaso!E17)</f>
        <v/>
      </c>
      <c r="H16" s="6647">
        <f>IF(Captura_Pegaso!A17="", "", Captura_Pegaso!H17)</f>
        <v/>
      </c>
      <c r="I16" s="6648">
        <f>IF(Captura_Pegaso!A17="", "", SUMIFS(Captura_Obra!$F:$F, Captura_Obra!$A:$A, E16, Captura_Obra!$B:$B, F16, Captura_Obra!$D:$D, G16))</f>
        <v/>
      </c>
      <c r="J16" s="6649">
        <f>IF(Captura_Pegaso!A17="", "", H16 - I16)</f>
        <v/>
      </c>
      <c r="K16" s="3825" t="n"/>
    </row>
    <row r="17">
      <c r="A17" s="6650">
        <f>IF(Captura_Pegaso!A18="", "", "Pegaso")</f>
        <v/>
      </c>
      <c r="B17" s="6651">
        <f>IF(Captura_Pegaso!A18="", "", Captura_Pegaso!N18)</f>
        <v/>
      </c>
      <c r="C17" s="6652">
        <f>IF(Captura_Pegaso!A18="", "", IFERROR(LOOKUP(2, 1/((Captura_Obra!$A$5:$A$1000=E17)*(Captura_Obra!$B$5:$B$1000=F17)*(Captura_Obra!$D$5:$D$1000=G17)), Captura_Obra!$N$5:$N$1000), "No Reportado"))</f>
        <v/>
      </c>
      <c r="D17" s="6653">
        <f>IF(Captura_Pegaso!A18="", "", IF(J17=0, "✅ Cuadrado", IF(I17=0, "❌ Falta en Obra", "⚠️ Dif")))</f>
        <v/>
      </c>
      <c r="E17" s="6654">
        <f>IF(Captura_Pegaso!A18="", "", Captura_Pegaso!A18)</f>
        <v/>
      </c>
      <c r="F17" s="6655">
        <f>IF(Captura_Pegaso!A18="", "", Captura_Pegaso!D18)</f>
        <v/>
      </c>
      <c r="G17" s="6656">
        <f>IF(Captura_Pegaso!A18="", "", Captura_Pegaso!E18)</f>
        <v/>
      </c>
      <c r="H17" s="6657">
        <f>IF(Captura_Pegaso!A18="", "", Captura_Pegaso!H18)</f>
        <v/>
      </c>
      <c r="I17" s="6658">
        <f>IF(Captura_Pegaso!A18="", "", SUMIFS(Captura_Obra!$F:$F, Captura_Obra!$A:$A, E17, Captura_Obra!$B:$B, F17, Captura_Obra!$D:$D, G17))</f>
        <v/>
      </c>
      <c r="J17" s="6659">
        <f>IF(Captura_Pegaso!A18="", "", H17 - I17)</f>
        <v/>
      </c>
      <c r="K17" s="3826" t="n"/>
    </row>
    <row r="18">
      <c r="A18" s="6660">
        <f>IF(Captura_Pegaso!A19="", "", "Pegaso")</f>
        <v/>
      </c>
      <c r="B18" s="6661">
        <f>IF(Captura_Pegaso!A19="", "", Captura_Pegaso!N19)</f>
        <v/>
      </c>
      <c r="C18" s="6662">
        <f>IF(Captura_Pegaso!A19="", "", IFERROR(LOOKUP(2, 1/((Captura_Obra!$A$5:$A$1000=E18)*(Captura_Obra!$B$5:$B$1000=F18)*(Captura_Obra!$D$5:$D$1000=G18)), Captura_Obra!$N$5:$N$1000), "No Reportado"))</f>
        <v/>
      </c>
      <c r="D18" s="6663">
        <f>IF(Captura_Pegaso!A19="", "", IF(J18=0, "✅ Cuadrado", IF(I18=0, "❌ Falta en Obra", "⚠️ Dif")))</f>
        <v/>
      </c>
      <c r="E18" s="6664">
        <f>IF(Captura_Pegaso!A19="", "", Captura_Pegaso!A19)</f>
        <v/>
      </c>
      <c r="F18" s="6665">
        <f>IF(Captura_Pegaso!A19="", "", Captura_Pegaso!D19)</f>
        <v/>
      </c>
      <c r="G18" s="6666">
        <f>IF(Captura_Pegaso!A19="", "", Captura_Pegaso!E19)</f>
        <v/>
      </c>
      <c r="H18" s="6667">
        <f>IF(Captura_Pegaso!A19="", "", Captura_Pegaso!H19)</f>
        <v/>
      </c>
      <c r="I18" s="6668">
        <f>IF(Captura_Pegaso!A19="", "", SUMIFS(Captura_Obra!$F:$F, Captura_Obra!$A:$A, E18, Captura_Obra!$B:$B, F18, Captura_Obra!$D:$D, G18))</f>
        <v/>
      </c>
      <c r="J18" s="6669">
        <f>IF(Captura_Pegaso!A19="", "", H18 - I18)</f>
        <v/>
      </c>
      <c r="K18" s="3827" t="n"/>
    </row>
    <row r="19">
      <c r="A19" s="6670">
        <f>IF(Captura_Pegaso!A20="", "", "Pegaso")</f>
        <v/>
      </c>
      <c r="B19" s="6671">
        <f>IF(Captura_Pegaso!A20="", "", Captura_Pegaso!N20)</f>
        <v/>
      </c>
      <c r="C19" s="6672">
        <f>IF(Captura_Pegaso!A20="", "", IFERROR(LOOKUP(2, 1/((Captura_Obra!$A$5:$A$1000=E19)*(Captura_Obra!$B$5:$B$1000=F19)*(Captura_Obra!$D$5:$D$1000=G19)), Captura_Obra!$N$5:$N$1000), "No Reportado"))</f>
        <v/>
      </c>
      <c r="D19" s="6673">
        <f>IF(Captura_Pegaso!A20="", "", IF(J19=0, "✅ Cuadrado", IF(I19=0, "❌ Falta en Obra", "⚠️ Dif")))</f>
        <v/>
      </c>
      <c r="E19" s="6674">
        <f>IF(Captura_Pegaso!A20="", "", Captura_Pegaso!A20)</f>
        <v/>
      </c>
      <c r="F19" s="6675">
        <f>IF(Captura_Pegaso!A20="", "", Captura_Pegaso!D20)</f>
        <v/>
      </c>
      <c r="G19" s="6676">
        <f>IF(Captura_Pegaso!A20="", "", Captura_Pegaso!E20)</f>
        <v/>
      </c>
      <c r="H19" s="6677">
        <f>IF(Captura_Pegaso!A20="", "", Captura_Pegaso!H20)</f>
        <v/>
      </c>
      <c r="I19" s="6678">
        <f>IF(Captura_Pegaso!A20="", "", SUMIFS(Captura_Obra!$F:$F, Captura_Obra!$A:$A, E19, Captura_Obra!$B:$B, F19, Captura_Obra!$D:$D, G19))</f>
        <v/>
      </c>
      <c r="J19" s="6679">
        <f>IF(Captura_Pegaso!A20="", "", H19 - I19)</f>
        <v/>
      </c>
      <c r="K19" s="3828" t="n"/>
    </row>
    <row r="20">
      <c r="A20" s="6680">
        <f>IF(Captura_Pegaso!A21="", "", "Pegaso")</f>
        <v/>
      </c>
      <c r="B20" s="6681">
        <f>IF(Captura_Pegaso!A21="", "", Captura_Pegaso!N21)</f>
        <v/>
      </c>
      <c r="C20" s="6682">
        <f>IF(Captura_Pegaso!A21="", "", IFERROR(LOOKUP(2, 1/((Captura_Obra!$A$5:$A$1000=E20)*(Captura_Obra!$B$5:$B$1000=F20)*(Captura_Obra!$D$5:$D$1000=G20)), Captura_Obra!$N$5:$N$1000), "No Reportado"))</f>
        <v/>
      </c>
      <c r="D20" s="6683">
        <f>IF(Captura_Pegaso!A21="", "", IF(J20=0, "✅ Cuadrado", IF(I20=0, "❌ Falta en Obra", "⚠️ Dif")))</f>
        <v/>
      </c>
      <c r="E20" s="6684">
        <f>IF(Captura_Pegaso!A21="", "", Captura_Pegaso!A21)</f>
        <v/>
      </c>
      <c r="F20" s="6685">
        <f>IF(Captura_Pegaso!A21="", "", Captura_Pegaso!D21)</f>
        <v/>
      </c>
      <c r="G20" s="6686">
        <f>IF(Captura_Pegaso!A21="", "", Captura_Pegaso!E21)</f>
        <v/>
      </c>
      <c r="H20" s="6687">
        <f>IF(Captura_Pegaso!A21="", "", Captura_Pegaso!H21)</f>
        <v/>
      </c>
      <c r="I20" s="6688">
        <f>IF(Captura_Pegaso!A21="", "", SUMIFS(Captura_Obra!$F:$F, Captura_Obra!$A:$A, E20, Captura_Obra!$B:$B, F20, Captura_Obra!$D:$D, G20))</f>
        <v/>
      </c>
      <c r="J20" s="6689">
        <f>IF(Captura_Pegaso!A21="", "", H20 - I20)</f>
        <v/>
      </c>
      <c r="K20" s="3829" t="n"/>
    </row>
    <row r="21">
      <c r="A21" s="6690">
        <f>IF(Captura_Pegaso!A22="", "", "Pegaso")</f>
        <v/>
      </c>
      <c r="B21" s="6691">
        <f>IF(Captura_Pegaso!A22="", "", Captura_Pegaso!N22)</f>
        <v/>
      </c>
      <c r="C21" s="6692">
        <f>IF(Captura_Pegaso!A22="", "", IFERROR(LOOKUP(2, 1/((Captura_Obra!$A$5:$A$1000=E21)*(Captura_Obra!$B$5:$B$1000=F21)*(Captura_Obra!$D$5:$D$1000=G21)), Captura_Obra!$N$5:$N$1000), "No Reportado"))</f>
        <v/>
      </c>
      <c r="D21" s="6693">
        <f>IF(Captura_Pegaso!A22="", "", IF(J21=0, "✅ Cuadrado", IF(I21=0, "❌ Falta en Obra", "⚠️ Dif")))</f>
        <v/>
      </c>
      <c r="E21" s="6694">
        <f>IF(Captura_Pegaso!A22="", "", Captura_Pegaso!A22)</f>
        <v/>
      </c>
      <c r="F21" s="6695">
        <f>IF(Captura_Pegaso!A22="", "", Captura_Pegaso!D22)</f>
        <v/>
      </c>
      <c r="G21" s="6696">
        <f>IF(Captura_Pegaso!A22="", "", Captura_Pegaso!E22)</f>
        <v/>
      </c>
      <c r="H21" s="6697">
        <f>IF(Captura_Pegaso!A22="", "", Captura_Pegaso!H22)</f>
        <v/>
      </c>
      <c r="I21" s="6698">
        <f>IF(Captura_Pegaso!A22="", "", SUMIFS(Captura_Obra!$F:$F, Captura_Obra!$A:$A, E21, Captura_Obra!$B:$B, F21, Captura_Obra!$D:$D, G21))</f>
        <v/>
      </c>
      <c r="J21" s="6699">
        <f>IF(Captura_Pegaso!A22="", "", H21 - I21)</f>
        <v/>
      </c>
      <c r="K21" s="3830" t="n"/>
    </row>
    <row r="22">
      <c r="A22" s="6700">
        <f>IF(Captura_Pegaso!A23="", "", "Pegaso")</f>
        <v/>
      </c>
      <c r="B22" s="6701">
        <f>IF(Captura_Pegaso!A23="", "", Captura_Pegaso!N23)</f>
        <v/>
      </c>
      <c r="C22" s="6702">
        <f>IF(Captura_Pegaso!A23="", "", IFERROR(LOOKUP(2, 1/((Captura_Obra!$A$5:$A$1000=E22)*(Captura_Obra!$B$5:$B$1000=F22)*(Captura_Obra!$D$5:$D$1000=G22)), Captura_Obra!$N$5:$N$1000), "No Reportado"))</f>
        <v/>
      </c>
      <c r="D22" s="6703">
        <f>IF(Captura_Pegaso!A23="", "", IF(J22=0, "✅ Cuadrado", IF(I22=0, "❌ Falta en Obra", "⚠️ Dif")))</f>
        <v/>
      </c>
      <c r="E22" s="6704">
        <f>IF(Captura_Pegaso!A23="", "", Captura_Pegaso!A23)</f>
        <v/>
      </c>
      <c r="F22" s="6705">
        <f>IF(Captura_Pegaso!A23="", "", Captura_Pegaso!D23)</f>
        <v/>
      </c>
      <c r="G22" s="6706">
        <f>IF(Captura_Pegaso!A23="", "", Captura_Pegaso!E23)</f>
        <v/>
      </c>
      <c r="H22" s="6707">
        <f>IF(Captura_Pegaso!A23="", "", Captura_Pegaso!H23)</f>
        <v/>
      </c>
      <c r="I22" s="6708">
        <f>IF(Captura_Pegaso!A23="", "", SUMIFS(Captura_Obra!$F:$F, Captura_Obra!$A:$A, E22, Captura_Obra!$B:$B, F22, Captura_Obra!$D:$D, G22))</f>
        <v/>
      </c>
      <c r="J22" s="6709">
        <f>IF(Captura_Pegaso!A23="", "", H22 - I22)</f>
        <v/>
      </c>
      <c r="K22" s="3831" t="n"/>
    </row>
    <row r="23">
      <c r="A23" s="6710">
        <f>IF(Captura_Pegaso!A24="", "", "Pegaso")</f>
        <v/>
      </c>
      <c r="B23" s="6711">
        <f>IF(Captura_Pegaso!A24="", "", Captura_Pegaso!N24)</f>
        <v/>
      </c>
      <c r="C23" s="6712">
        <f>IF(Captura_Pegaso!A24="", "", IFERROR(LOOKUP(2, 1/((Captura_Obra!$A$5:$A$1000=E23)*(Captura_Obra!$B$5:$B$1000=F23)*(Captura_Obra!$D$5:$D$1000=G23)), Captura_Obra!$N$5:$N$1000), "No Reportado"))</f>
        <v/>
      </c>
      <c r="D23" s="6713">
        <f>IF(Captura_Pegaso!A24="", "", IF(J23=0, "✅ Cuadrado", IF(I23=0, "❌ Falta en Obra", "⚠️ Dif")))</f>
        <v/>
      </c>
      <c r="E23" s="6714">
        <f>IF(Captura_Pegaso!A24="", "", Captura_Pegaso!A24)</f>
        <v/>
      </c>
      <c r="F23" s="6715">
        <f>IF(Captura_Pegaso!A24="", "", Captura_Pegaso!D24)</f>
        <v/>
      </c>
      <c r="G23" s="6716">
        <f>IF(Captura_Pegaso!A24="", "", Captura_Pegaso!E24)</f>
        <v/>
      </c>
      <c r="H23" s="6717">
        <f>IF(Captura_Pegaso!A24="", "", Captura_Pegaso!H24)</f>
        <v/>
      </c>
      <c r="I23" s="6718">
        <f>IF(Captura_Pegaso!A24="", "", SUMIFS(Captura_Obra!$F:$F, Captura_Obra!$A:$A, E23, Captura_Obra!$B:$B, F23, Captura_Obra!$D:$D, G23))</f>
        <v/>
      </c>
      <c r="J23" s="6719">
        <f>IF(Captura_Pegaso!A24="", "", H23 - I23)</f>
        <v/>
      </c>
      <c r="K23" s="3832" t="n"/>
    </row>
    <row r="24">
      <c r="A24" s="6720">
        <f>IF(Captura_Pegaso!A25="", "", "Pegaso")</f>
        <v/>
      </c>
      <c r="B24" s="6721">
        <f>IF(Captura_Pegaso!A25="", "", Captura_Pegaso!N25)</f>
        <v/>
      </c>
      <c r="C24" s="6722">
        <f>IF(Captura_Pegaso!A25="", "", IFERROR(LOOKUP(2, 1/((Captura_Obra!$A$5:$A$1000=E24)*(Captura_Obra!$B$5:$B$1000=F24)*(Captura_Obra!$D$5:$D$1000=G24)), Captura_Obra!$N$5:$N$1000), "No Reportado"))</f>
        <v/>
      </c>
      <c r="D24" s="6723">
        <f>IF(Captura_Pegaso!A25="", "", IF(J24=0, "✅ Cuadrado", IF(I24=0, "❌ Falta en Obra", "⚠️ Dif")))</f>
        <v/>
      </c>
      <c r="E24" s="6724">
        <f>IF(Captura_Pegaso!A25="", "", Captura_Pegaso!A25)</f>
        <v/>
      </c>
      <c r="F24" s="6725">
        <f>IF(Captura_Pegaso!A25="", "", Captura_Pegaso!D25)</f>
        <v/>
      </c>
      <c r="G24" s="6726">
        <f>IF(Captura_Pegaso!A25="", "", Captura_Pegaso!E25)</f>
        <v/>
      </c>
      <c r="H24" s="6727">
        <f>IF(Captura_Pegaso!A25="", "", Captura_Pegaso!H25)</f>
        <v/>
      </c>
      <c r="I24" s="6728">
        <f>IF(Captura_Pegaso!A25="", "", SUMIFS(Captura_Obra!$F:$F, Captura_Obra!$A:$A, E24, Captura_Obra!$B:$B, F24, Captura_Obra!$D:$D, G24))</f>
        <v/>
      </c>
      <c r="J24" s="6729">
        <f>IF(Captura_Pegaso!A25="", "", H24 - I24)</f>
        <v/>
      </c>
      <c r="K24" s="3833" t="n"/>
    </row>
    <row r="25">
      <c r="A25" s="6730">
        <f>IF(Captura_Pegaso!A26="", "", "Pegaso")</f>
        <v/>
      </c>
      <c r="B25" s="6731">
        <f>IF(Captura_Pegaso!A26="", "", Captura_Pegaso!N26)</f>
        <v/>
      </c>
      <c r="C25" s="6732">
        <f>IF(Captura_Pegaso!A26="", "", IFERROR(LOOKUP(2, 1/((Captura_Obra!$A$5:$A$1000=E25)*(Captura_Obra!$B$5:$B$1000=F25)*(Captura_Obra!$D$5:$D$1000=G25)), Captura_Obra!$N$5:$N$1000), "No Reportado"))</f>
        <v/>
      </c>
      <c r="D25" s="6733">
        <f>IF(Captura_Pegaso!A26="", "", IF(J25=0, "✅ Cuadrado", IF(I25=0, "❌ Falta en Obra", "⚠️ Dif")))</f>
        <v/>
      </c>
      <c r="E25" s="6734">
        <f>IF(Captura_Pegaso!A26="", "", Captura_Pegaso!A26)</f>
        <v/>
      </c>
      <c r="F25" s="6735">
        <f>IF(Captura_Pegaso!A26="", "", Captura_Pegaso!D26)</f>
        <v/>
      </c>
      <c r="G25" s="6736">
        <f>IF(Captura_Pegaso!A26="", "", Captura_Pegaso!E26)</f>
        <v/>
      </c>
      <c r="H25" s="6737">
        <f>IF(Captura_Pegaso!A26="", "", Captura_Pegaso!H26)</f>
        <v/>
      </c>
      <c r="I25" s="6738">
        <f>IF(Captura_Pegaso!A26="", "", SUMIFS(Captura_Obra!$F:$F, Captura_Obra!$A:$A, E25, Captura_Obra!$B:$B, F25, Captura_Obra!$D:$D, G25))</f>
        <v/>
      </c>
      <c r="J25" s="6739">
        <f>IF(Captura_Pegaso!A26="", "", H25 - I25)</f>
        <v/>
      </c>
      <c r="K25" s="3834" t="n"/>
    </row>
    <row r="26">
      <c r="A26" s="6740">
        <f>IF(Captura_Pegaso!A27="", "", "Pegaso")</f>
        <v/>
      </c>
      <c r="B26" s="6741">
        <f>IF(Captura_Pegaso!A27="", "", Captura_Pegaso!N27)</f>
        <v/>
      </c>
      <c r="C26" s="6742">
        <f>IF(Captura_Pegaso!A27="", "", IFERROR(LOOKUP(2, 1/((Captura_Obra!$A$5:$A$1000=E26)*(Captura_Obra!$B$5:$B$1000=F26)*(Captura_Obra!$D$5:$D$1000=G26)), Captura_Obra!$N$5:$N$1000), "No Reportado"))</f>
        <v/>
      </c>
      <c r="D26" s="6743">
        <f>IF(Captura_Pegaso!A27="", "", IF(J26=0, "✅ Cuadrado", IF(I26=0, "❌ Falta en Obra", "⚠️ Dif")))</f>
        <v/>
      </c>
      <c r="E26" s="6744">
        <f>IF(Captura_Pegaso!A27="", "", Captura_Pegaso!A27)</f>
        <v/>
      </c>
      <c r="F26" s="6745">
        <f>IF(Captura_Pegaso!A27="", "", Captura_Pegaso!D27)</f>
        <v/>
      </c>
      <c r="G26" s="6746">
        <f>IF(Captura_Pegaso!A27="", "", Captura_Pegaso!E27)</f>
        <v/>
      </c>
      <c r="H26" s="6747">
        <f>IF(Captura_Pegaso!A27="", "", Captura_Pegaso!H27)</f>
        <v/>
      </c>
      <c r="I26" s="6748">
        <f>IF(Captura_Pegaso!A27="", "", SUMIFS(Captura_Obra!$F:$F, Captura_Obra!$A:$A, E26, Captura_Obra!$B:$B, F26, Captura_Obra!$D:$D, G26))</f>
        <v/>
      </c>
      <c r="J26" s="6749">
        <f>IF(Captura_Pegaso!A27="", "", H26 - I26)</f>
        <v/>
      </c>
      <c r="K26" s="3835" t="n"/>
    </row>
    <row r="27">
      <c r="A27" s="6750">
        <f>IF(Captura_Pegaso!A28="", "", "Pegaso")</f>
        <v/>
      </c>
      <c r="B27" s="6751">
        <f>IF(Captura_Pegaso!A28="", "", Captura_Pegaso!N28)</f>
        <v/>
      </c>
      <c r="C27" s="6752">
        <f>IF(Captura_Pegaso!A28="", "", IFERROR(LOOKUP(2, 1/((Captura_Obra!$A$5:$A$1000=E27)*(Captura_Obra!$B$5:$B$1000=F27)*(Captura_Obra!$D$5:$D$1000=G27)), Captura_Obra!$N$5:$N$1000), "No Reportado"))</f>
        <v/>
      </c>
      <c r="D27" s="6753">
        <f>IF(Captura_Pegaso!A28="", "", IF(J27=0, "✅ Cuadrado", IF(I27=0, "❌ Falta en Obra", "⚠️ Dif")))</f>
        <v/>
      </c>
      <c r="E27" s="6754">
        <f>IF(Captura_Pegaso!A28="", "", Captura_Pegaso!A28)</f>
        <v/>
      </c>
      <c r="F27" s="6755">
        <f>IF(Captura_Pegaso!A28="", "", Captura_Pegaso!D28)</f>
        <v/>
      </c>
      <c r="G27" s="6756">
        <f>IF(Captura_Pegaso!A28="", "", Captura_Pegaso!E28)</f>
        <v/>
      </c>
      <c r="H27" s="6757">
        <f>IF(Captura_Pegaso!A28="", "", Captura_Pegaso!H28)</f>
        <v/>
      </c>
      <c r="I27" s="6758">
        <f>IF(Captura_Pegaso!A28="", "", SUMIFS(Captura_Obra!$F:$F, Captura_Obra!$A:$A, E27, Captura_Obra!$B:$B, F27, Captura_Obra!$D:$D, G27))</f>
        <v/>
      </c>
      <c r="J27" s="6759">
        <f>IF(Captura_Pegaso!A28="", "", H27 - I27)</f>
        <v/>
      </c>
      <c r="K27" s="3836" t="n"/>
    </row>
    <row r="28">
      <c r="A28" s="6760">
        <f>IF(Captura_Pegaso!A29="", "", "Pegaso")</f>
        <v/>
      </c>
      <c r="B28" s="6761">
        <f>IF(Captura_Pegaso!A29="", "", Captura_Pegaso!N29)</f>
        <v/>
      </c>
      <c r="C28" s="6762">
        <f>IF(Captura_Pegaso!A29="", "", IFERROR(LOOKUP(2, 1/((Captura_Obra!$A$5:$A$1000=E28)*(Captura_Obra!$B$5:$B$1000=F28)*(Captura_Obra!$D$5:$D$1000=G28)), Captura_Obra!$N$5:$N$1000), "No Reportado"))</f>
        <v/>
      </c>
      <c r="D28" s="6763">
        <f>IF(Captura_Pegaso!A29="", "", IF(J28=0, "✅ Cuadrado", IF(I28=0, "❌ Falta en Obra", "⚠️ Dif")))</f>
        <v/>
      </c>
      <c r="E28" s="6764">
        <f>IF(Captura_Pegaso!A29="", "", Captura_Pegaso!A29)</f>
        <v/>
      </c>
      <c r="F28" s="6765">
        <f>IF(Captura_Pegaso!A29="", "", Captura_Pegaso!D29)</f>
        <v/>
      </c>
      <c r="G28" s="6766">
        <f>IF(Captura_Pegaso!A29="", "", Captura_Pegaso!E29)</f>
        <v/>
      </c>
      <c r="H28" s="6767">
        <f>IF(Captura_Pegaso!A29="", "", Captura_Pegaso!H29)</f>
        <v/>
      </c>
      <c r="I28" s="6768">
        <f>IF(Captura_Pegaso!A29="", "", SUMIFS(Captura_Obra!$F:$F, Captura_Obra!$A:$A, E28, Captura_Obra!$B:$B, F28, Captura_Obra!$D:$D, G28))</f>
        <v/>
      </c>
      <c r="J28" s="6769">
        <f>IF(Captura_Pegaso!A29="", "", H28 - I28)</f>
        <v/>
      </c>
      <c r="K28" s="3837" t="n"/>
    </row>
    <row r="29">
      <c r="A29" s="6770">
        <f>IF(Captura_Pegaso!A30="", "", "Pegaso")</f>
        <v/>
      </c>
      <c r="B29" s="6771">
        <f>IF(Captura_Pegaso!A30="", "", Captura_Pegaso!N30)</f>
        <v/>
      </c>
      <c r="C29" s="6772">
        <f>IF(Captura_Pegaso!A30="", "", IFERROR(LOOKUP(2, 1/((Captura_Obra!$A$5:$A$1000=E29)*(Captura_Obra!$B$5:$B$1000=F29)*(Captura_Obra!$D$5:$D$1000=G29)), Captura_Obra!$N$5:$N$1000), "No Reportado"))</f>
        <v/>
      </c>
      <c r="D29" s="6773">
        <f>IF(Captura_Pegaso!A30="", "", IF(J29=0, "✅ Cuadrado", IF(I29=0, "❌ Falta en Obra", "⚠️ Dif")))</f>
        <v/>
      </c>
      <c r="E29" s="6774">
        <f>IF(Captura_Pegaso!A30="", "", Captura_Pegaso!A30)</f>
        <v/>
      </c>
      <c r="F29" s="6775">
        <f>IF(Captura_Pegaso!A30="", "", Captura_Pegaso!D30)</f>
        <v/>
      </c>
      <c r="G29" s="6776">
        <f>IF(Captura_Pegaso!A30="", "", Captura_Pegaso!E30)</f>
        <v/>
      </c>
      <c r="H29" s="6777">
        <f>IF(Captura_Pegaso!A30="", "", Captura_Pegaso!H30)</f>
        <v/>
      </c>
      <c r="I29" s="6778">
        <f>IF(Captura_Pegaso!A30="", "", SUMIFS(Captura_Obra!$F:$F, Captura_Obra!$A:$A, E29, Captura_Obra!$B:$B, F29, Captura_Obra!$D:$D, G29))</f>
        <v/>
      </c>
      <c r="J29" s="6779">
        <f>IF(Captura_Pegaso!A30="", "", H29 - I29)</f>
        <v/>
      </c>
      <c r="K29" s="3838" t="n"/>
    </row>
    <row r="30">
      <c r="A30" s="6780">
        <f>IF(Captura_Pegaso!A31="", "", "Pegaso")</f>
        <v/>
      </c>
      <c r="B30" s="6781">
        <f>IF(Captura_Pegaso!A31="", "", Captura_Pegaso!N31)</f>
        <v/>
      </c>
      <c r="C30" s="6782">
        <f>IF(Captura_Pegaso!A31="", "", IFERROR(LOOKUP(2, 1/((Captura_Obra!$A$5:$A$1000=E30)*(Captura_Obra!$B$5:$B$1000=F30)*(Captura_Obra!$D$5:$D$1000=G30)), Captura_Obra!$N$5:$N$1000), "No Reportado"))</f>
        <v/>
      </c>
      <c r="D30" s="6783">
        <f>IF(Captura_Pegaso!A31="", "", IF(J30=0, "✅ Cuadrado", IF(I30=0, "❌ Falta en Obra", "⚠️ Dif")))</f>
        <v/>
      </c>
      <c r="E30" s="6784">
        <f>IF(Captura_Pegaso!A31="", "", Captura_Pegaso!A31)</f>
        <v/>
      </c>
      <c r="F30" s="6785">
        <f>IF(Captura_Pegaso!A31="", "", Captura_Pegaso!D31)</f>
        <v/>
      </c>
      <c r="G30" s="6786">
        <f>IF(Captura_Pegaso!A31="", "", Captura_Pegaso!E31)</f>
        <v/>
      </c>
      <c r="H30" s="6787">
        <f>IF(Captura_Pegaso!A31="", "", Captura_Pegaso!H31)</f>
        <v/>
      </c>
      <c r="I30" s="6788">
        <f>IF(Captura_Pegaso!A31="", "", SUMIFS(Captura_Obra!$F:$F, Captura_Obra!$A:$A, E30, Captura_Obra!$B:$B, F30, Captura_Obra!$D:$D, G30))</f>
        <v/>
      </c>
      <c r="J30" s="6789">
        <f>IF(Captura_Pegaso!A31="", "", H30 - I30)</f>
        <v/>
      </c>
      <c r="K30" s="3839" t="n"/>
    </row>
    <row r="31">
      <c r="A31" s="6790">
        <f>IF(Captura_Pegaso!A32="", "", "Pegaso")</f>
        <v/>
      </c>
      <c r="B31" s="6791">
        <f>IF(Captura_Pegaso!A32="", "", Captura_Pegaso!N32)</f>
        <v/>
      </c>
      <c r="C31" s="6792">
        <f>IF(Captura_Pegaso!A32="", "", IFERROR(LOOKUP(2, 1/((Captura_Obra!$A$5:$A$1000=E31)*(Captura_Obra!$B$5:$B$1000=F31)*(Captura_Obra!$D$5:$D$1000=G31)), Captura_Obra!$N$5:$N$1000), "No Reportado"))</f>
        <v/>
      </c>
      <c r="D31" s="6793">
        <f>IF(Captura_Pegaso!A32="", "", IF(J31=0, "✅ Cuadrado", IF(I31=0, "❌ Falta en Obra", "⚠️ Dif")))</f>
        <v/>
      </c>
      <c r="E31" s="6794">
        <f>IF(Captura_Pegaso!A32="", "", Captura_Pegaso!A32)</f>
        <v/>
      </c>
      <c r="F31" s="6795">
        <f>IF(Captura_Pegaso!A32="", "", Captura_Pegaso!D32)</f>
        <v/>
      </c>
      <c r="G31" s="6796">
        <f>IF(Captura_Pegaso!A32="", "", Captura_Pegaso!E32)</f>
        <v/>
      </c>
      <c r="H31" s="6797">
        <f>IF(Captura_Pegaso!A32="", "", Captura_Pegaso!H32)</f>
        <v/>
      </c>
      <c r="I31" s="6798">
        <f>IF(Captura_Pegaso!A32="", "", SUMIFS(Captura_Obra!$F:$F, Captura_Obra!$A:$A, E31, Captura_Obra!$B:$B, F31, Captura_Obra!$D:$D, G31))</f>
        <v/>
      </c>
      <c r="J31" s="6799">
        <f>IF(Captura_Pegaso!A32="", "", H31 - I31)</f>
        <v/>
      </c>
      <c r="K31" s="3840" t="n"/>
    </row>
    <row r="32">
      <c r="A32" s="6800">
        <f>IF(Captura_Pegaso!A33="", "", "Pegaso")</f>
        <v/>
      </c>
      <c r="B32" s="6801">
        <f>IF(Captura_Pegaso!A33="", "", Captura_Pegaso!N33)</f>
        <v/>
      </c>
      <c r="C32" s="6802">
        <f>IF(Captura_Pegaso!A33="", "", IFERROR(LOOKUP(2, 1/((Captura_Obra!$A$5:$A$1000=E32)*(Captura_Obra!$B$5:$B$1000=F32)*(Captura_Obra!$D$5:$D$1000=G32)), Captura_Obra!$N$5:$N$1000), "No Reportado"))</f>
        <v/>
      </c>
      <c r="D32" s="6803">
        <f>IF(Captura_Pegaso!A33="", "", IF(J32=0, "✅ Cuadrado", IF(I32=0, "❌ Falta en Obra", "⚠️ Dif")))</f>
        <v/>
      </c>
      <c r="E32" s="6804">
        <f>IF(Captura_Pegaso!A33="", "", Captura_Pegaso!A33)</f>
        <v/>
      </c>
      <c r="F32" s="6805">
        <f>IF(Captura_Pegaso!A33="", "", Captura_Pegaso!D33)</f>
        <v/>
      </c>
      <c r="G32" s="6806">
        <f>IF(Captura_Pegaso!A33="", "", Captura_Pegaso!E33)</f>
        <v/>
      </c>
      <c r="H32" s="6807">
        <f>IF(Captura_Pegaso!A33="", "", Captura_Pegaso!H33)</f>
        <v/>
      </c>
      <c r="I32" s="6808">
        <f>IF(Captura_Pegaso!A33="", "", SUMIFS(Captura_Obra!$F:$F, Captura_Obra!$A:$A, E32, Captura_Obra!$B:$B, F32, Captura_Obra!$D:$D, G32))</f>
        <v/>
      </c>
      <c r="J32" s="6809">
        <f>IF(Captura_Pegaso!A33="", "", H32 - I32)</f>
        <v/>
      </c>
      <c r="K32" s="3841" t="n"/>
    </row>
    <row r="33">
      <c r="A33" s="6810">
        <f>IF(Captura_Pegaso!A34="", "", "Pegaso")</f>
        <v/>
      </c>
      <c r="B33" s="6811">
        <f>IF(Captura_Pegaso!A34="", "", Captura_Pegaso!N34)</f>
        <v/>
      </c>
      <c r="C33" s="6812">
        <f>IF(Captura_Pegaso!A34="", "", IFERROR(LOOKUP(2, 1/((Captura_Obra!$A$5:$A$1000=E33)*(Captura_Obra!$B$5:$B$1000=F33)*(Captura_Obra!$D$5:$D$1000=G33)), Captura_Obra!$N$5:$N$1000), "No Reportado"))</f>
        <v/>
      </c>
      <c r="D33" s="6813">
        <f>IF(Captura_Pegaso!A34="", "", IF(J33=0, "✅ Cuadrado", IF(I33=0, "❌ Falta en Obra", "⚠️ Dif")))</f>
        <v/>
      </c>
      <c r="E33" s="6814">
        <f>IF(Captura_Pegaso!A34="", "", Captura_Pegaso!A34)</f>
        <v/>
      </c>
      <c r="F33" s="6815">
        <f>IF(Captura_Pegaso!A34="", "", Captura_Pegaso!D34)</f>
        <v/>
      </c>
      <c r="G33" s="6816">
        <f>IF(Captura_Pegaso!A34="", "", Captura_Pegaso!E34)</f>
        <v/>
      </c>
      <c r="H33" s="6817">
        <f>IF(Captura_Pegaso!A34="", "", Captura_Pegaso!H34)</f>
        <v/>
      </c>
      <c r="I33" s="6818">
        <f>IF(Captura_Pegaso!A34="", "", SUMIFS(Captura_Obra!$F:$F, Captura_Obra!$A:$A, E33, Captura_Obra!$B:$B, F33, Captura_Obra!$D:$D, G33))</f>
        <v/>
      </c>
      <c r="J33" s="6819">
        <f>IF(Captura_Pegaso!A34="", "", H33 - I33)</f>
        <v/>
      </c>
      <c r="K33" s="3842" t="n"/>
    </row>
    <row r="34">
      <c r="A34" s="6820">
        <f>IF(Captura_Pegaso!A35="", "", "Pegaso")</f>
        <v/>
      </c>
      <c r="B34" s="6821">
        <f>IF(Captura_Pegaso!A35="", "", Captura_Pegaso!N35)</f>
        <v/>
      </c>
      <c r="C34" s="6822">
        <f>IF(Captura_Pegaso!A35="", "", IFERROR(LOOKUP(2, 1/((Captura_Obra!$A$5:$A$1000=E34)*(Captura_Obra!$B$5:$B$1000=F34)*(Captura_Obra!$D$5:$D$1000=G34)), Captura_Obra!$N$5:$N$1000), "No Reportado"))</f>
        <v/>
      </c>
      <c r="D34" s="6823">
        <f>IF(Captura_Pegaso!A35="", "", IF(J34=0, "✅ Cuadrado", IF(I34=0, "❌ Falta en Obra", "⚠️ Dif")))</f>
        <v/>
      </c>
      <c r="E34" s="6824">
        <f>IF(Captura_Pegaso!A35="", "", Captura_Pegaso!A35)</f>
        <v/>
      </c>
      <c r="F34" s="6825">
        <f>IF(Captura_Pegaso!A35="", "", Captura_Pegaso!D35)</f>
        <v/>
      </c>
      <c r="G34" s="6826">
        <f>IF(Captura_Pegaso!A35="", "", Captura_Pegaso!E35)</f>
        <v/>
      </c>
      <c r="H34" s="6827">
        <f>IF(Captura_Pegaso!A35="", "", Captura_Pegaso!H35)</f>
        <v/>
      </c>
      <c r="I34" s="6828">
        <f>IF(Captura_Pegaso!A35="", "", SUMIFS(Captura_Obra!$F:$F, Captura_Obra!$A:$A, E34, Captura_Obra!$B:$B, F34, Captura_Obra!$D:$D, G34))</f>
        <v/>
      </c>
      <c r="J34" s="6829">
        <f>IF(Captura_Pegaso!A35="", "", H34 - I34)</f>
        <v/>
      </c>
      <c r="K34" s="3843" t="n"/>
    </row>
    <row r="35">
      <c r="A35" s="6830">
        <f>IF(Captura_Pegaso!A36="", "", "Pegaso")</f>
        <v/>
      </c>
      <c r="B35" s="6831">
        <f>IF(Captura_Pegaso!A36="", "", Captura_Pegaso!N36)</f>
        <v/>
      </c>
      <c r="C35" s="6832">
        <f>IF(Captura_Pegaso!A36="", "", IFERROR(LOOKUP(2, 1/((Captura_Obra!$A$5:$A$1000=E35)*(Captura_Obra!$B$5:$B$1000=F35)*(Captura_Obra!$D$5:$D$1000=G35)), Captura_Obra!$N$5:$N$1000), "No Reportado"))</f>
        <v/>
      </c>
      <c r="D35" s="6833">
        <f>IF(Captura_Pegaso!A36="", "", IF(J35=0, "✅ Cuadrado", IF(I35=0, "❌ Falta en Obra", "⚠️ Dif")))</f>
        <v/>
      </c>
      <c r="E35" s="6834">
        <f>IF(Captura_Pegaso!A36="", "", Captura_Pegaso!A36)</f>
        <v/>
      </c>
      <c r="F35" s="6835">
        <f>IF(Captura_Pegaso!A36="", "", Captura_Pegaso!D36)</f>
        <v/>
      </c>
      <c r="G35" s="6836">
        <f>IF(Captura_Pegaso!A36="", "", Captura_Pegaso!E36)</f>
        <v/>
      </c>
      <c r="H35" s="6837">
        <f>IF(Captura_Pegaso!A36="", "", Captura_Pegaso!H36)</f>
        <v/>
      </c>
      <c r="I35" s="6838">
        <f>IF(Captura_Pegaso!A36="", "", SUMIFS(Captura_Obra!$F:$F, Captura_Obra!$A:$A, E35, Captura_Obra!$B:$B, F35, Captura_Obra!$D:$D, G35))</f>
        <v/>
      </c>
      <c r="J35" s="6839">
        <f>IF(Captura_Pegaso!A36="", "", H35 - I35)</f>
        <v/>
      </c>
      <c r="K35" s="3844" t="n"/>
    </row>
    <row r="36">
      <c r="A36" s="6840">
        <f>IF(Captura_Pegaso!A37="", "", "Pegaso")</f>
        <v/>
      </c>
      <c r="B36" s="6841">
        <f>IF(Captura_Pegaso!A37="", "", Captura_Pegaso!N37)</f>
        <v/>
      </c>
      <c r="C36" s="6842">
        <f>IF(Captura_Pegaso!A37="", "", IFERROR(LOOKUP(2, 1/((Captura_Obra!$A$5:$A$1000=E36)*(Captura_Obra!$B$5:$B$1000=F36)*(Captura_Obra!$D$5:$D$1000=G36)), Captura_Obra!$N$5:$N$1000), "No Reportado"))</f>
        <v/>
      </c>
      <c r="D36" s="6843">
        <f>IF(Captura_Pegaso!A37="", "", IF(J36=0, "✅ Cuadrado", IF(I36=0, "❌ Falta en Obra", "⚠️ Dif")))</f>
        <v/>
      </c>
      <c r="E36" s="6844">
        <f>IF(Captura_Pegaso!A37="", "", Captura_Pegaso!A37)</f>
        <v/>
      </c>
      <c r="F36" s="6845">
        <f>IF(Captura_Pegaso!A37="", "", Captura_Pegaso!D37)</f>
        <v/>
      </c>
      <c r="G36" s="6846">
        <f>IF(Captura_Pegaso!A37="", "", Captura_Pegaso!E37)</f>
        <v/>
      </c>
      <c r="H36" s="6847">
        <f>IF(Captura_Pegaso!A37="", "", Captura_Pegaso!H37)</f>
        <v/>
      </c>
      <c r="I36" s="6848">
        <f>IF(Captura_Pegaso!A37="", "", SUMIFS(Captura_Obra!$F:$F, Captura_Obra!$A:$A, E36, Captura_Obra!$B:$B, F36, Captura_Obra!$D:$D, G36))</f>
        <v/>
      </c>
      <c r="J36" s="6849">
        <f>IF(Captura_Pegaso!A37="", "", H36 - I36)</f>
        <v/>
      </c>
      <c r="K36" s="3845" t="n"/>
    </row>
    <row r="37">
      <c r="A37" s="6850">
        <f>IF(Captura_Pegaso!A38="", "", "Pegaso")</f>
        <v/>
      </c>
      <c r="B37" s="6851">
        <f>IF(Captura_Pegaso!A38="", "", Captura_Pegaso!N38)</f>
        <v/>
      </c>
      <c r="C37" s="6852">
        <f>IF(Captura_Pegaso!A38="", "", IFERROR(LOOKUP(2, 1/((Captura_Obra!$A$5:$A$1000=E37)*(Captura_Obra!$B$5:$B$1000=F37)*(Captura_Obra!$D$5:$D$1000=G37)), Captura_Obra!$N$5:$N$1000), "No Reportado"))</f>
        <v/>
      </c>
      <c r="D37" s="6853">
        <f>IF(Captura_Pegaso!A38="", "", IF(J37=0, "✅ Cuadrado", IF(I37=0, "❌ Falta en Obra", "⚠️ Dif")))</f>
        <v/>
      </c>
      <c r="E37" s="6854">
        <f>IF(Captura_Pegaso!A38="", "", Captura_Pegaso!A38)</f>
        <v/>
      </c>
      <c r="F37" s="6855">
        <f>IF(Captura_Pegaso!A38="", "", Captura_Pegaso!D38)</f>
        <v/>
      </c>
      <c r="G37" s="6856">
        <f>IF(Captura_Pegaso!A38="", "", Captura_Pegaso!E38)</f>
        <v/>
      </c>
      <c r="H37" s="6857">
        <f>IF(Captura_Pegaso!A38="", "", Captura_Pegaso!H38)</f>
        <v/>
      </c>
      <c r="I37" s="6858">
        <f>IF(Captura_Pegaso!A38="", "", SUMIFS(Captura_Obra!$F:$F, Captura_Obra!$A:$A, E37, Captura_Obra!$B:$B, F37, Captura_Obra!$D:$D, G37))</f>
        <v/>
      </c>
      <c r="J37" s="6859">
        <f>IF(Captura_Pegaso!A38="", "", H37 - I37)</f>
        <v/>
      </c>
      <c r="K37" s="3846" t="n"/>
    </row>
    <row r="38">
      <c r="A38" s="6860">
        <f>IF(Captura_Pegaso!A39="", "", "Pegaso")</f>
        <v/>
      </c>
      <c r="B38" s="6861">
        <f>IF(Captura_Pegaso!A39="", "", Captura_Pegaso!N39)</f>
        <v/>
      </c>
      <c r="C38" s="6862">
        <f>IF(Captura_Pegaso!A39="", "", IFERROR(LOOKUP(2, 1/((Captura_Obra!$A$5:$A$1000=E38)*(Captura_Obra!$B$5:$B$1000=F38)*(Captura_Obra!$D$5:$D$1000=G38)), Captura_Obra!$N$5:$N$1000), "No Reportado"))</f>
        <v/>
      </c>
      <c r="D38" s="6863">
        <f>IF(Captura_Pegaso!A39="", "", IF(J38=0, "✅ Cuadrado", IF(I38=0, "❌ Falta en Obra", "⚠️ Dif")))</f>
        <v/>
      </c>
      <c r="E38" s="6864">
        <f>IF(Captura_Pegaso!A39="", "", Captura_Pegaso!A39)</f>
        <v/>
      </c>
      <c r="F38" s="6865">
        <f>IF(Captura_Pegaso!A39="", "", Captura_Pegaso!D39)</f>
        <v/>
      </c>
      <c r="G38" s="6866">
        <f>IF(Captura_Pegaso!A39="", "", Captura_Pegaso!E39)</f>
        <v/>
      </c>
      <c r="H38" s="6867">
        <f>IF(Captura_Pegaso!A39="", "", Captura_Pegaso!H39)</f>
        <v/>
      </c>
      <c r="I38" s="6868">
        <f>IF(Captura_Pegaso!A39="", "", SUMIFS(Captura_Obra!$F:$F, Captura_Obra!$A:$A, E38, Captura_Obra!$B:$B, F38, Captura_Obra!$D:$D, G38))</f>
        <v/>
      </c>
      <c r="J38" s="6869">
        <f>IF(Captura_Pegaso!A39="", "", H38 - I38)</f>
        <v/>
      </c>
      <c r="K38" s="3847" t="n"/>
    </row>
    <row r="39">
      <c r="A39" s="6870">
        <f>IF(Captura_Pegaso!A40="", "", "Pegaso")</f>
        <v/>
      </c>
      <c r="B39" s="6871">
        <f>IF(Captura_Pegaso!A40="", "", Captura_Pegaso!N40)</f>
        <v/>
      </c>
      <c r="C39" s="6872">
        <f>IF(Captura_Pegaso!A40="", "", IFERROR(LOOKUP(2, 1/((Captura_Obra!$A$5:$A$1000=E39)*(Captura_Obra!$B$5:$B$1000=F39)*(Captura_Obra!$D$5:$D$1000=G39)), Captura_Obra!$N$5:$N$1000), "No Reportado"))</f>
        <v/>
      </c>
      <c r="D39" s="6873">
        <f>IF(Captura_Pegaso!A40="", "", IF(J39=0, "✅ Cuadrado", IF(I39=0, "❌ Falta en Obra", "⚠️ Dif")))</f>
        <v/>
      </c>
      <c r="E39" s="6874">
        <f>IF(Captura_Pegaso!A40="", "", Captura_Pegaso!A40)</f>
        <v/>
      </c>
      <c r="F39" s="6875">
        <f>IF(Captura_Pegaso!A40="", "", Captura_Pegaso!D40)</f>
        <v/>
      </c>
      <c r="G39" s="6876">
        <f>IF(Captura_Pegaso!A40="", "", Captura_Pegaso!E40)</f>
        <v/>
      </c>
      <c r="H39" s="6877">
        <f>IF(Captura_Pegaso!A40="", "", Captura_Pegaso!H40)</f>
        <v/>
      </c>
      <c r="I39" s="6878">
        <f>IF(Captura_Pegaso!A40="", "", SUMIFS(Captura_Obra!$F:$F, Captura_Obra!$A:$A, E39, Captura_Obra!$B:$B, F39, Captura_Obra!$D:$D, G39))</f>
        <v/>
      </c>
      <c r="J39" s="6879">
        <f>IF(Captura_Pegaso!A40="", "", H39 - I39)</f>
        <v/>
      </c>
      <c r="K39" s="3848" t="n"/>
    </row>
    <row r="40">
      <c r="A40" s="6880">
        <f>IF(Captura_Pegaso!A41="", "", "Pegaso")</f>
        <v/>
      </c>
      <c r="B40" s="6881">
        <f>IF(Captura_Pegaso!A41="", "", Captura_Pegaso!N41)</f>
        <v/>
      </c>
      <c r="C40" s="6882">
        <f>IF(Captura_Pegaso!A41="", "", IFERROR(LOOKUP(2, 1/((Captura_Obra!$A$5:$A$1000=E40)*(Captura_Obra!$B$5:$B$1000=F40)*(Captura_Obra!$D$5:$D$1000=G40)), Captura_Obra!$N$5:$N$1000), "No Reportado"))</f>
        <v/>
      </c>
      <c r="D40" s="6883">
        <f>IF(Captura_Pegaso!A41="", "", IF(J40=0, "✅ Cuadrado", IF(I40=0, "❌ Falta en Obra", "⚠️ Dif")))</f>
        <v/>
      </c>
      <c r="E40" s="6884">
        <f>IF(Captura_Pegaso!A41="", "", Captura_Pegaso!A41)</f>
        <v/>
      </c>
      <c r="F40" s="6885">
        <f>IF(Captura_Pegaso!A41="", "", Captura_Pegaso!D41)</f>
        <v/>
      </c>
      <c r="G40" s="6886">
        <f>IF(Captura_Pegaso!A41="", "", Captura_Pegaso!E41)</f>
        <v/>
      </c>
      <c r="H40" s="6887">
        <f>IF(Captura_Pegaso!A41="", "", Captura_Pegaso!H41)</f>
        <v/>
      </c>
      <c r="I40" s="6888">
        <f>IF(Captura_Pegaso!A41="", "", SUMIFS(Captura_Obra!$F:$F, Captura_Obra!$A:$A, E40, Captura_Obra!$B:$B, F40, Captura_Obra!$D:$D, G40))</f>
        <v/>
      </c>
      <c r="J40" s="6889">
        <f>IF(Captura_Pegaso!A41="", "", H40 - I40)</f>
        <v/>
      </c>
      <c r="K40" s="3849" t="n"/>
    </row>
    <row r="41">
      <c r="A41" s="6890">
        <f>IF(Captura_Pegaso!A42="", "", "Pegaso")</f>
        <v/>
      </c>
      <c r="B41" s="6891">
        <f>IF(Captura_Pegaso!A42="", "", Captura_Pegaso!N42)</f>
        <v/>
      </c>
      <c r="C41" s="6892">
        <f>IF(Captura_Pegaso!A42="", "", IFERROR(LOOKUP(2, 1/((Captura_Obra!$A$5:$A$1000=E41)*(Captura_Obra!$B$5:$B$1000=F41)*(Captura_Obra!$D$5:$D$1000=G41)), Captura_Obra!$N$5:$N$1000), "No Reportado"))</f>
        <v/>
      </c>
      <c r="D41" s="6893">
        <f>IF(Captura_Pegaso!A42="", "", IF(J41=0, "✅ Cuadrado", IF(I41=0, "❌ Falta en Obra", "⚠️ Dif")))</f>
        <v/>
      </c>
      <c r="E41" s="6894">
        <f>IF(Captura_Pegaso!A42="", "", Captura_Pegaso!A42)</f>
        <v/>
      </c>
      <c r="F41" s="6895">
        <f>IF(Captura_Pegaso!A42="", "", Captura_Pegaso!D42)</f>
        <v/>
      </c>
      <c r="G41" s="6896">
        <f>IF(Captura_Pegaso!A42="", "", Captura_Pegaso!E42)</f>
        <v/>
      </c>
      <c r="H41" s="6897">
        <f>IF(Captura_Pegaso!A42="", "", Captura_Pegaso!H42)</f>
        <v/>
      </c>
      <c r="I41" s="6898">
        <f>IF(Captura_Pegaso!A42="", "", SUMIFS(Captura_Obra!$F:$F, Captura_Obra!$A:$A, E41, Captura_Obra!$B:$B, F41, Captura_Obra!$D:$D, G41))</f>
        <v/>
      </c>
      <c r="J41" s="6899">
        <f>IF(Captura_Pegaso!A42="", "", H41 - I41)</f>
        <v/>
      </c>
      <c r="K41" s="3850" t="n"/>
    </row>
    <row r="42">
      <c r="A42" s="6900">
        <f>IF(Captura_Pegaso!A43="", "", "Pegaso")</f>
        <v/>
      </c>
      <c r="B42" s="6901">
        <f>IF(Captura_Pegaso!A43="", "", Captura_Pegaso!N43)</f>
        <v/>
      </c>
      <c r="C42" s="6902">
        <f>IF(Captura_Pegaso!A43="", "", IFERROR(LOOKUP(2, 1/((Captura_Obra!$A$5:$A$1000=E42)*(Captura_Obra!$B$5:$B$1000=F42)*(Captura_Obra!$D$5:$D$1000=G42)), Captura_Obra!$N$5:$N$1000), "No Reportado"))</f>
        <v/>
      </c>
      <c r="D42" s="6903">
        <f>IF(Captura_Pegaso!A43="", "", IF(J42=0, "✅ Cuadrado", IF(I42=0, "❌ Falta en Obra", "⚠️ Dif")))</f>
        <v/>
      </c>
      <c r="E42" s="6904">
        <f>IF(Captura_Pegaso!A43="", "", Captura_Pegaso!A43)</f>
        <v/>
      </c>
      <c r="F42" s="6905">
        <f>IF(Captura_Pegaso!A43="", "", Captura_Pegaso!D43)</f>
        <v/>
      </c>
      <c r="G42" s="6906">
        <f>IF(Captura_Pegaso!A43="", "", Captura_Pegaso!E43)</f>
        <v/>
      </c>
      <c r="H42" s="6907">
        <f>IF(Captura_Pegaso!A43="", "", Captura_Pegaso!H43)</f>
        <v/>
      </c>
      <c r="I42" s="6908">
        <f>IF(Captura_Pegaso!A43="", "", SUMIFS(Captura_Obra!$F:$F, Captura_Obra!$A:$A, E42, Captura_Obra!$B:$B, F42, Captura_Obra!$D:$D, G42))</f>
        <v/>
      </c>
      <c r="J42" s="6909">
        <f>IF(Captura_Pegaso!A43="", "", H42 - I42)</f>
        <v/>
      </c>
      <c r="K42" s="3851" t="n"/>
    </row>
    <row r="43">
      <c r="A43" s="6910">
        <f>IF(Captura_Pegaso!A44="", "", "Pegaso")</f>
        <v/>
      </c>
      <c r="B43" s="6911">
        <f>IF(Captura_Pegaso!A44="", "", Captura_Pegaso!N44)</f>
        <v/>
      </c>
      <c r="C43" s="6912">
        <f>IF(Captura_Pegaso!A44="", "", IFERROR(LOOKUP(2, 1/((Captura_Obra!$A$5:$A$1000=E43)*(Captura_Obra!$B$5:$B$1000=F43)*(Captura_Obra!$D$5:$D$1000=G43)), Captura_Obra!$N$5:$N$1000), "No Reportado"))</f>
        <v/>
      </c>
      <c r="D43" s="6913">
        <f>IF(Captura_Pegaso!A44="", "", IF(J43=0, "✅ Cuadrado", IF(I43=0, "❌ Falta en Obra", "⚠️ Dif")))</f>
        <v/>
      </c>
      <c r="E43" s="6914">
        <f>IF(Captura_Pegaso!A44="", "", Captura_Pegaso!A44)</f>
        <v/>
      </c>
      <c r="F43" s="6915">
        <f>IF(Captura_Pegaso!A44="", "", Captura_Pegaso!D44)</f>
        <v/>
      </c>
      <c r="G43" s="6916">
        <f>IF(Captura_Pegaso!A44="", "", Captura_Pegaso!E44)</f>
        <v/>
      </c>
      <c r="H43" s="6917">
        <f>IF(Captura_Pegaso!A44="", "", Captura_Pegaso!H44)</f>
        <v/>
      </c>
      <c r="I43" s="6918">
        <f>IF(Captura_Pegaso!A44="", "", SUMIFS(Captura_Obra!$F:$F, Captura_Obra!$A:$A, E43, Captura_Obra!$B:$B, F43, Captura_Obra!$D:$D, G43))</f>
        <v/>
      </c>
      <c r="J43" s="6919">
        <f>IF(Captura_Pegaso!A44="", "", H43 - I43)</f>
        <v/>
      </c>
      <c r="K43" s="3852" t="n"/>
    </row>
    <row r="44">
      <c r="A44" s="6920">
        <f>IF(Captura_Pegaso!A45="", "", "Pegaso")</f>
        <v/>
      </c>
      <c r="B44" s="6921">
        <f>IF(Captura_Pegaso!A45="", "", Captura_Pegaso!N45)</f>
        <v/>
      </c>
      <c r="C44" s="6922">
        <f>IF(Captura_Pegaso!A45="", "", IFERROR(LOOKUP(2, 1/((Captura_Obra!$A$5:$A$1000=E44)*(Captura_Obra!$B$5:$B$1000=F44)*(Captura_Obra!$D$5:$D$1000=G44)), Captura_Obra!$N$5:$N$1000), "No Reportado"))</f>
        <v/>
      </c>
      <c r="D44" s="6923">
        <f>IF(Captura_Pegaso!A45="", "", IF(J44=0, "✅ Cuadrado", IF(I44=0, "❌ Falta en Obra", "⚠️ Dif")))</f>
        <v/>
      </c>
      <c r="E44" s="6924">
        <f>IF(Captura_Pegaso!A45="", "", Captura_Pegaso!A45)</f>
        <v/>
      </c>
      <c r="F44" s="6925">
        <f>IF(Captura_Pegaso!A45="", "", Captura_Pegaso!D45)</f>
        <v/>
      </c>
      <c r="G44" s="6926">
        <f>IF(Captura_Pegaso!A45="", "", Captura_Pegaso!E45)</f>
        <v/>
      </c>
      <c r="H44" s="6927">
        <f>IF(Captura_Pegaso!A45="", "", Captura_Pegaso!H45)</f>
        <v/>
      </c>
      <c r="I44" s="6928">
        <f>IF(Captura_Pegaso!A45="", "", SUMIFS(Captura_Obra!$F:$F, Captura_Obra!$A:$A, E44, Captura_Obra!$B:$B, F44, Captura_Obra!$D:$D, G44))</f>
        <v/>
      </c>
      <c r="J44" s="6929">
        <f>IF(Captura_Pegaso!A45="", "", H44 - I44)</f>
        <v/>
      </c>
      <c r="K44" s="3853" t="n"/>
    </row>
    <row r="45">
      <c r="A45" s="6930">
        <f>IF(Captura_Pegaso!A46="", "", "Pegaso")</f>
        <v/>
      </c>
      <c r="B45" s="6931">
        <f>IF(Captura_Pegaso!A46="", "", Captura_Pegaso!N46)</f>
        <v/>
      </c>
      <c r="C45" s="6932">
        <f>IF(Captura_Pegaso!A46="", "", IFERROR(LOOKUP(2, 1/((Captura_Obra!$A$5:$A$1000=E45)*(Captura_Obra!$B$5:$B$1000=F45)*(Captura_Obra!$D$5:$D$1000=G45)), Captura_Obra!$N$5:$N$1000), "No Reportado"))</f>
        <v/>
      </c>
      <c r="D45" s="6933">
        <f>IF(Captura_Pegaso!A46="", "", IF(J45=0, "✅ Cuadrado", IF(I45=0, "❌ Falta en Obra", "⚠️ Dif")))</f>
        <v/>
      </c>
      <c r="E45" s="6934">
        <f>IF(Captura_Pegaso!A46="", "", Captura_Pegaso!A46)</f>
        <v/>
      </c>
      <c r="F45" s="6935">
        <f>IF(Captura_Pegaso!A46="", "", Captura_Pegaso!D46)</f>
        <v/>
      </c>
      <c r="G45" s="6936">
        <f>IF(Captura_Pegaso!A46="", "", Captura_Pegaso!E46)</f>
        <v/>
      </c>
      <c r="H45" s="6937">
        <f>IF(Captura_Pegaso!A46="", "", Captura_Pegaso!H46)</f>
        <v/>
      </c>
      <c r="I45" s="6938">
        <f>IF(Captura_Pegaso!A46="", "", SUMIFS(Captura_Obra!$F:$F, Captura_Obra!$A:$A, E45, Captura_Obra!$B:$B, F45, Captura_Obra!$D:$D, G45))</f>
        <v/>
      </c>
      <c r="J45" s="6939">
        <f>IF(Captura_Pegaso!A46="", "", H45 - I45)</f>
        <v/>
      </c>
      <c r="K45" s="3854" t="n"/>
    </row>
    <row r="46">
      <c r="A46" s="6940">
        <f>IF(Captura_Pegaso!A47="", "", "Pegaso")</f>
        <v/>
      </c>
      <c r="B46" s="6941">
        <f>IF(Captura_Pegaso!A47="", "", Captura_Pegaso!N47)</f>
        <v/>
      </c>
      <c r="C46" s="6942">
        <f>IF(Captura_Pegaso!A47="", "", IFERROR(LOOKUP(2, 1/((Captura_Obra!$A$5:$A$1000=E46)*(Captura_Obra!$B$5:$B$1000=F46)*(Captura_Obra!$D$5:$D$1000=G46)), Captura_Obra!$N$5:$N$1000), "No Reportado"))</f>
        <v/>
      </c>
      <c r="D46" s="6943">
        <f>IF(Captura_Pegaso!A47="", "", IF(J46=0, "✅ Cuadrado", IF(I46=0, "❌ Falta en Obra", "⚠️ Dif")))</f>
        <v/>
      </c>
      <c r="E46" s="6944">
        <f>IF(Captura_Pegaso!A47="", "", Captura_Pegaso!A47)</f>
        <v/>
      </c>
      <c r="F46" s="6945">
        <f>IF(Captura_Pegaso!A47="", "", Captura_Pegaso!D47)</f>
        <v/>
      </c>
      <c r="G46" s="6946">
        <f>IF(Captura_Pegaso!A47="", "", Captura_Pegaso!E47)</f>
        <v/>
      </c>
      <c r="H46" s="6947">
        <f>IF(Captura_Pegaso!A47="", "", Captura_Pegaso!H47)</f>
        <v/>
      </c>
      <c r="I46" s="6948">
        <f>IF(Captura_Pegaso!A47="", "", SUMIFS(Captura_Obra!$F:$F, Captura_Obra!$A:$A, E46, Captura_Obra!$B:$B, F46, Captura_Obra!$D:$D, G46))</f>
        <v/>
      </c>
      <c r="J46" s="6949">
        <f>IF(Captura_Pegaso!A47="", "", H46 - I46)</f>
        <v/>
      </c>
      <c r="K46" s="3855" t="n"/>
    </row>
    <row r="47">
      <c r="A47" s="6950">
        <f>IF(Captura_Pegaso!A48="", "", "Pegaso")</f>
        <v/>
      </c>
      <c r="B47" s="6951">
        <f>IF(Captura_Pegaso!A48="", "", Captura_Pegaso!N48)</f>
        <v/>
      </c>
      <c r="C47" s="6952">
        <f>IF(Captura_Pegaso!A48="", "", IFERROR(LOOKUP(2, 1/((Captura_Obra!$A$5:$A$1000=E47)*(Captura_Obra!$B$5:$B$1000=F47)*(Captura_Obra!$D$5:$D$1000=G47)), Captura_Obra!$N$5:$N$1000), "No Reportado"))</f>
        <v/>
      </c>
      <c r="D47" s="6953">
        <f>IF(Captura_Pegaso!A48="", "", IF(J47=0, "✅ Cuadrado", IF(I47=0, "❌ Falta en Obra", "⚠️ Dif")))</f>
        <v/>
      </c>
      <c r="E47" s="6954">
        <f>IF(Captura_Pegaso!A48="", "", Captura_Pegaso!A48)</f>
        <v/>
      </c>
      <c r="F47" s="6955">
        <f>IF(Captura_Pegaso!A48="", "", Captura_Pegaso!D48)</f>
        <v/>
      </c>
      <c r="G47" s="6956">
        <f>IF(Captura_Pegaso!A48="", "", Captura_Pegaso!E48)</f>
        <v/>
      </c>
      <c r="H47" s="6957">
        <f>IF(Captura_Pegaso!A48="", "", Captura_Pegaso!H48)</f>
        <v/>
      </c>
      <c r="I47" s="6958">
        <f>IF(Captura_Pegaso!A48="", "", SUMIFS(Captura_Obra!$F:$F, Captura_Obra!$A:$A, E47, Captura_Obra!$B:$B, F47, Captura_Obra!$D:$D, G47))</f>
        <v/>
      </c>
      <c r="J47" s="6959">
        <f>IF(Captura_Pegaso!A48="", "", H47 - I47)</f>
        <v/>
      </c>
      <c r="K47" s="3856" t="n"/>
    </row>
    <row r="48">
      <c r="A48" s="6960">
        <f>IF(Captura_Pegaso!A49="", "", "Pegaso")</f>
        <v/>
      </c>
      <c r="B48" s="6961">
        <f>IF(Captura_Pegaso!A49="", "", Captura_Pegaso!N49)</f>
        <v/>
      </c>
      <c r="C48" s="6962">
        <f>IF(Captura_Pegaso!A49="", "", IFERROR(LOOKUP(2, 1/((Captura_Obra!$A$5:$A$1000=E48)*(Captura_Obra!$B$5:$B$1000=F48)*(Captura_Obra!$D$5:$D$1000=G48)), Captura_Obra!$N$5:$N$1000), "No Reportado"))</f>
        <v/>
      </c>
      <c r="D48" s="6963">
        <f>IF(Captura_Pegaso!A49="", "", IF(J48=0, "✅ Cuadrado", IF(I48=0, "❌ Falta en Obra", "⚠️ Dif")))</f>
        <v/>
      </c>
      <c r="E48" s="6964">
        <f>IF(Captura_Pegaso!A49="", "", Captura_Pegaso!A49)</f>
        <v/>
      </c>
      <c r="F48" s="6965">
        <f>IF(Captura_Pegaso!A49="", "", Captura_Pegaso!D49)</f>
        <v/>
      </c>
      <c r="G48" s="6966">
        <f>IF(Captura_Pegaso!A49="", "", Captura_Pegaso!E49)</f>
        <v/>
      </c>
      <c r="H48" s="6967">
        <f>IF(Captura_Pegaso!A49="", "", Captura_Pegaso!H49)</f>
        <v/>
      </c>
      <c r="I48" s="6968">
        <f>IF(Captura_Pegaso!A49="", "", SUMIFS(Captura_Obra!$F:$F, Captura_Obra!$A:$A, E48, Captura_Obra!$B:$B, F48, Captura_Obra!$D:$D, G48))</f>
        <v/>
      </c>
      <c r="J48" s="6969">
        <f>IF(Captura_Pegaso!A49="", "", H48 - I48)</f>
        <v/>
      </c>
      <c r="K48" s="3857" t="n"/>
    </row>
    <row r="49">
      <c r="A49" s="6970">
        <f>IF(Captura_Pegaso!A50="", "", "Pegaso")</f>
        <v/>
      </c>
      <c r="B49" s="6971">
        <f>IF(Captura_Pegaso!A50="", "", Captura_Pegaso!N50)</f>
        <v/>
      </c>
      <c r="C49" s="6972">
        <f>IF(Captura_Pegaso!A50="", "", IFERROR(LOOKUP(2, 1/((Captura_Obra!$A$5:$A$1000=E49)*(Captura_Obra!$B$5:$B$1000=F49)*(Captura_Obra!$D$5:$D$1000=G49)), Captura_Obra!$N$5:$N$1000), "No Reportado"))</f>
        <v/>
      </c>
      <c r="D49" s="6973">
        <f>IF(Captura_Pegaso!A50="", "", IF(J49=0, "✅ Cuadrado", IF(I49=0, "❌ Falta en Obra", "⚠️ Dif")))</f>
        <v/>
      </c>
      <c r="E49" s="6974">
        <f>IF(Captura_Pegaso!A50="", "", Captura_Pegaso!A50)</f>
        <v/>
      </c>
      <c r="F49" s="6975">
        <f>IF(Captura_Pegaso!A50="", "", Captura_Pegaso!D50)</f>
        <v/>
      </c>
      <c r="G49" s="6976">
        <f>IF(Captura_Pegaso!A50="", "", Captura_Pegaso!E50)</f>
        <v/>
      </c>
      <c r="H49" s="6977">
        <f>IF(Captura_Pegaso!A50="", "", Captura_Pegaso!H50)</f>
        <v/>
      </c>
      <c r="I49" s="6978">
        <f>IF(Captura_Pegaso!A50="", "", SUMIFS(Captura_Obra!$F:$F, Captura_Obra!$A:$A, E49, Captura_Obra!$B:$B, F49, Captura_Obra!$D:$D, G49))</f>
        <v/>
      </c>
      <c r="J49" s="6979">
        <f>IF(Captura_Pegaso!A50="", "", H49 - I49)</f>
        <v/>
      </c>
      <c r="K49" s="3858" t="n"/>
    </row>
    <row r="50">
      <c r="A50" s="6980">
        <f>IF(Captura_Pegaso!A51="", "", "Pegaso")</f>
        <v/>
      </c>
      <c r="B50" s="6981">
        <f>IF(Captura_Pegaso!A51="", "", Captura_Pegaso!N51)</f>
        <v/>
      </c>
      <c r="C50" s="6982">
        <f>IF(Captura_Pegaso!A51="", "", IFERROR(LOOKUP(2, 1/((Captura_Obra!$A$5:$A$1000=E50)*(Captura_Obra!$B$5:$B$1000=F50)*(Captura_Obra!$D$5:$D$1000=G50)), Captura_Obra!$N$5:$N$1000), "No Reportado"))</f>
        <v/>
      </c>
      <c r="D50" s="6983">
        <f>IF(Captura_Pegaso!A51="", "", IF(J50=0, "✅ Cuadrado", IF(I50=0, "❌ Falta en Obra", "⚠️ Dif")))</f>
        <v/>
      </c>
      <c r="E50" s="6984">
        <f>IF(Captura_Pegaso!A51="", "", Captura_Pegaso!A51)</f>
        <v/>
      </c>
      <c r="F50" s="6985">
        <f>IF(Captura_Pegaso!A51="", "", Captura_Pegaso!D51)</f>
        <v/>
      </c>
      <c r="G50" s="6986">
        <f>IF(Captura_Pegaso!A51="", "", Captura_Pegaso!E51)</f>
        <v/>
      </c>
      <c r="H50" s="6987">
        <f>IF(Captura_Pegaso!A51="", "", Captura_Pegaso!H51)</f>
        <v/>
      </c>
      <c r="I50" s="6988">
        <f>IF(Captura_Pegaso!A51="", "", SUMIFS(Captura_Obra!$F:$F, Captura_Obra!$A:$A, E50, Captura_Obra!$B:$B, F50, Captura_Obra!$D:$D, G50))</f>
        <v/>
      </c>
      <c r="J50" s="6989">
        <f>IF(Captura_Pegaso!A51="", "", H50 - I50)</f>
        <v/>
      </c>
      <c r="K50" s="3859" t="n"/>
    </row>
    <row r="51">
      <c r="A51" s="6990">
        <f>IF(Captura_Pegaso!A52="", "", "Pegaso")</f>
        <v/>
      </c>
      <c r="B51" s="6991">
        <f>IF(Captura_Pegaso!A52="", "", Captura_Pegaso!N52)</f>
        <v/>
      </c>
      <c r="C51" s="6992">
        <f>IF(Captura_Pegaso!A52="", "", IFERROR(LOOKUP(2, 1/((Captura_Obra!$A$5:$A$1000=E51)*(Captura_Obra!$B$5:$B$1000=F51)*(Captura_Obra!$D$5:$D$1000=G51)), Captura_Obra!$N$5:$N$1000), "No Reportado"))</f>
        <v/>
      </c>
      <c r="D51" s="6993">
        <f>IF(Captura_Pegaso!A52="", "", IF(J51=0, "✅ Cuadrado", IF(I51=0, "❌ Falta en Obra", "⚠️ Dif")))</f>
        <v/>
      </c>
      <c r="E51" s="6994">
        <f>IF(Captura_Pegaso!A52="", "", Captura_Pegaso!A52)</f>
        <v/>
      </c>
      <c r="F51" s="6995">
        <f>IF(Captura_Pegaso!A52="", "", Captura_Pegaso!D52)</f>
        <v/>
      </c>
      <c r="G51" s="6996">
        <f>IF(Captura_Pegaso!A52="", "", Captura_Pegaso!E52)</f>
        <v/>
      </c>
      <c r="H51" s="6997">
        <f>IF(Captura_Pegaso!A52="", "", Captura_Pegaso!H52)</f>
        <v/>
      </c>
      <c r="I51" s="6998">
        <f>IF(Captura_Pegaso!A52="", "", SUMIFS(Captura_Obra!$F:$F, Captura_Obra!$A:$A, E51, Captura_Obra!$B:$B, F51, Captura_Obra!$D:$D, G51))</f>
        <v/>
      </c>
      <c r="J51" s="6999">
        <f>IF(Captura_Pegaso!A52="", "", H51 - I51)</f>
        <v/>
      </c>
      <c r="K51" s="3860" t="n"/>
    </row>
    <row r="52">
      <c r="A52" s="7000">
        <f>IF(Captura_Pegaso!A53="", "", "Pegaso")</f>
        <v/>
      </c>
      <c r="B52" s="7001">
        <f>IF(Captura_Pegaso!A53="", "", Captura_Pegaso!N53)</f>
        <v/>
      </c>
      <c r="C52" s="7002">
        <f>IF(Captura_Pegaso!A53="", "", IFERROR(LOOKUP(2, 1/((Captura_Obra!$A$5:$A$1000=E52)*(Captura_Obra!$B$5:$B$1000=F52)*(Captura_Obra!$D$5:$D$1000=G52)), Captura_Obra!$N$5:$N$1000), "No Reportado"))</f>
        <v/>
      </c>
      <c r="D52" s="7003">
        <f>IF(Captura_Pegaso!A53="", "", IF(J52=0, "✅ Cuadrado", IF(I52=0, "❌ Falta en Obra", "⚠️ Dif")))</f>
        <v/>
      </c>
      <c r="E52" s="7004">
        <f>IF(Captura_Pegaso!A53="", "", Captura_Pegaso!A53)</f>
        <v/>
      </c>
      <c r="F52" s="7005">
        <f>IF(Captura_Pegaso!A53="", "", Captura_Pegaso!D53)</f>
        <v/>
      </c>
      <c r="G52" s="7006">
        <f>IF(Captura_Pegaso!A53="", "", Captura_Pegaso!E53)</f>
        <v/>
      </c>
      <c r="H52" s="7007">
        <f>IF(Captura_Pegaso!A53="", "", Captura_Pegaso!H53)</f>
        <v/>
      </c>
      <c r="I52" s="7008">
        <f>IF(Captura_Pegaso!A53="", "", SUMIFS(Captura_Obra!$F:$F, Captura_Obra!$A:$A, E52, Captura_Obra!$B:$B, F52, Captura_Obra!$D:$D, G52))</f>
        <v/>
      </c>
      <c r="J52" s="7009">
        <f>IF(Captura_Pegaso!A53="", "", H52 - I52)</f>
        <v/>
      </c>
      <c r="K52" s="3861" t="n"/>
    </row>
    <row r="53">
      <c r="A53" s="7010">
        <f>IF(Captura_Pegaso!A54="", "", "Pegaso")</f>
        <v/>
      </c>
      <c r="B53" s="7011">
        <f>IF(Captura_Pegaso!A54="", "", Captura_Pegaso!N54)</f>
        <v/>
      </c>
      <c r="C53" s="7012">
        <f>IF(Captura_Pegaso!A54="", "", IFERROR(LOOKUP(2, 1/((Captura_Obra!$A$5:$A$1000=E53)*(Captura_Obra!$B$5:$B$1000=F53)*(Captura_Obra!$D$5:$D$1000=G53)), Captura_Obra!$N$5:$N$1000), "No Reportado"))</f>
        <v/>
      </c>
      <c r="D53" s="7013">
        <f>IF(Captura_Pegaso!A54="", "", IF(J53=0, "✅ Cuadrado", IF(I53=0, "❌ Falta en Obra", "⚠️ Dif")))</f>
        <v/>
      </c>
      <c r="E53" s="7014">
        <f>IF(Captura_Pegaso!A54="", "", Captura_Pegaso!A54)</f>
        <v/>
      </c>
      <c r="F53" s="7015">
        <f>IF(Captura_Pegaso!A54="", "", Captura_Pegaso!D54)</f>
        <v/>
      </c>
      <c r="G53" s="7016">
        <f>IF(Captura_Pegaso!A54="", "", Captura_Pegaso!E54)</f>
        <v/>
      </c>
      <c r="H53" s="7017">
        <f>IF(Captura_Pegaso!A54="", "", Captura_Pegaso!H54)</f>
        <v/>
      </c>
      <c r="I53" s="7018">
        <f>IF(Captura_Pegaso!A54="", "", SUMIFS(Captura_Obra!$F:$F, Captura_Obra!$A:$A, E53, Captura_Obra!$B:$B, F53, Captura_Obra!$D:$D, G53))</f>
        <v/>
      </c>
      <c r="J53" s="7019">
        <f>IF(Captura_Pegaso!A54="", "", H53 - I53)</f>
        <v/>
      </c>
      <c r="K53" s="3862" t="n"/>
    </row>
    <row r="54">
      <c r="A54" s="7020">
        <f>IF(Captura_Pegaso!A55="", "", "Pegaso")</f>
        <v/>
      </c>
      <c r="B54" s="7021">
        <f>IF(Captura_Pegaso!A55="", "", Captura_Pegaso!N55)</f>
        <v/>
      </c>
      <c r="C54" s="7022">
        <f>IF(Captura_Pegaso!A55="", "", IFERROR(LOOKUP(2, 1/((Captura_Obra!$A$5:$A$1000=E54)*(Captura_Obra!$B$5:$B$1000=F54)*(Captura_Obra!$D$5:$D$1000=G54)), Captura_Obra!$N$5:$N$1000), "No Reportado"))</f>
        <v/>
      </c>
      <c r="D54" s="7023">
        <f>IF(Captura_Pegaso!A55="", "", IF(J54=0, "✅ Cuadrado", IF(I54=0, "❌ Falta en Obra", "⚠️ Dif")))</f>
        <v/>
      </c>
      <c r="E54" s="7024">
        <f>IF(Captura_Pegaso!A55="", "", Captura_Pegaso!A55)</f>
        <v/>
      </c>
      <c r="F54" s="7025">
        <f>IF(Captura_Pegaso!A55="", "", Captura_Pegaso!D55)</f>
        <v/>
      </c>
      <c r="G54" s="7026">
        <f>IF(Captura_Pegaso!A55="", "", Captura_Pegaso!E55)</f>
        <v/>
      </c>
      <c r="H54" s="7027">
        <f>IF(Captura_Pegaso!A55="", "", Captura_Pegaso!H55)</f>
        <v/>
      </c>
      <c r="I54" s="7028">
        <f>IF(Captura_Pegaso!A55="", "", SUMIFS(Captura_Obra!$F:$F, Captura_Obra!$A:$A, E54, Captura_Obra!$B:$B, F54, Captura_Obra!$D:$D, G54))</f>
        <v/>
      </c>
      <c r="J54" s="7029">
        <f>IF(Captura_Pegaso!A55="", "", H54 - I54)</f>
        <v/>
      </c>
      <c r="K54" s="3863" t="n"/>
    </row>
    <row r="55">
      <c r="A55" s="7030">
        <f>IF(Captura_Pegaso!A56="", "", "Pegaso")</f>
        <v/>
      </c>
      <c r="B55" s="7031">
        <f>IF(Captura_Pegaso!A56="", "", Captura_Pegaso!N56)</f>
        <v/>
      </c>
      <c r="C55" s="7032">
        <f>IF(Captura_Pegaso!A56="", "", IFERROR(LOOKUP(2, 1/((Captura_Obra!$A$5:$A$1000=E55)*(Captura_Obra!$B$5:$B$1000=F55)*(Captura_Obra!$D$5:$D$1000=G55)), Captura_Obra!$N$5:$N$1000), "No Reportado"))</f>
        <v/>
      </c>
      <c r="D55" s="7033">
        <f>IF(Captura_Pegaso!A56="", "", IF(J55=0, "✅ Cuadrado", IF(I55=0, "❌ Falta en Obra", "⚠️ Dif")))</f>
        <v/>
      </c>
      <c r="E55" s="7034">
        <f>IF(Captura_Pegaso!A56="", "", Captura_Pegaso!A56)</f>
        <v/>
      </c>
      <c r="F55" s="7035">
        <f>IF(Captura_Pegaso!A56="", "", Captura_Pegaso!D56)</f>
        <v/>
      </c>
      <c r="G55" s="7036">
        <f>IF(Captura_Pegaso!A56="", "", Captura_Pegaso!E56)</f>
        <v/>
      </c>
      <c r="H55" s="7037">
        <f>IF(Captura_Pegaso!A56="", "", Captura_Pegaso!H56)</f>
        <v/>
      </c>
      <c r="I55" s="7038">
        <f>IF(Captura_Pegaso!A56="", "", SUMIFS(Captura_Obra!$F:$F, Captura_Obra!$A:$A, E55, Captura_Obra!$B:$B, F55, Captura_Obra!$D:$D, G55))</f>
        <v/>
      </c>
      <c r="J55" s="7039">
        <f>IF(Captura_Pegaso!A56="", "", H55 - I55)</f>
        <v/>
      </c>
      <c r="K55" s="3864" t="n"/>
    </row>
    <row r="56">
      <c r="A56" s="7040">
        <f>IF(Captura_Pegaso!A57="", "", "Pegaso")</f>
        <v/>
      </c>
      <c r="B56" s="7041">
        <f>IF(Captura_Pegaso!A57="", "", Captura_Pegaso!N57)</f>
        <v/>
      </c>
      <c r="C56" s="7042">
        <f>IF(Captura_Pegaso!A57="", "", IFERROR(LOOKUP(2, 1/((Captura_Obra!$A$5:$A$1000=E56)*(Captura_Obra!$B$5:$B$1000=F56)*(Captura_Obra!$D$5:$D$1000=G56)), Captura_Obra!$N$5:$N$1000), "No Reportado"))</f>
        <v/>
      </c>
      <c r="D56" s="7043">
        <f>IF(Captura_Pegaso!A57="", "", IF(J56=0, "✅ Cuadrado", IF(I56=0, "❌ Falta en Obra", "⚠️ Dif")))</f>
        <v/>
      </c>
      <c r="E56" s="7044">
        <f>IF(Captura_Pegaso!A57="", "", Captura_Pegaso!A57)</f>
        <v/>
      </c>
      <c r="F56" s="7045">
        <f>IF(Captura_Pegaso!A57="", "", Captura_Pegaso!D57)</f>
        <v/>
      </c>
      <c r="G56" s="7046">
        <f>IF(Captura_Pegaso!A57="", "", Captura_Pegaso!E57)</f>
        <v/>
      </c>
      <c r="H56" s="7047">
        <f>IF(Captura_Pegaso!A57="", "", Captura_Pegaso!H57)</f>
        <v/>
      </c>
      <c r="I56" s="7048">
        <f>IF(Captura_Pegaso!A57="", "", SUMIFS(Captura_Obra!$F:$F, Captura_Obra!$A:$A, E56, Captura_Obra!$B:$B, F56, Captura_Obra!$D:$D, G56))</f>
        <v/>
      </c>
      <c r="J56" s="7049">
        <f>IF(Captura_Pegaso!A57="", "", H56 - I56)</f>
        <v/>
      </c>
      <c r="K56" s="3865" t="n"/>
    </row>
    <row r="57">
      <c r="A57" s="7050">
        <f>IF(Captura_Pegaso!A58="", "", "Pegaso")</f>
        <v/>
      </c>
      <c r="B57" s="7051">
        <f>IF(Captura_Pegaso!A58="", "", Captura_Pegaso!N58)</f>
        <v/>
      </c>
      <c r="C57" s="7052">
        <f>IF(Captura_Pegaso!A58="", "", IFERROR(LOOKUP(2, 1/((Captura_Obra!$A$5:$A$1000=E57)*(Captura_Obra!$B$5:$B$1000=F57)*(Captura_Obra!$D$5:$D$1000=G57)), Captura_Obra!$N$5:$N$1000), "No Reportado"))</f>
        <v/>
      </c>
      <c r="D57" s="7053">
        <f>IF(Captura_Pegaso!A58="", "", IF(J57=0, "✅ Cuadrado", IF(I57=0, "❌ Falta en Obra", "⚠️ Dif")))</f>
        <v/>
      </c>
      <c r="E57" s="7054">
        <f>IF(Captura_Pegaso!A58="", "", Captura_Pegaso!A58)</f>
        <v/>
      </c>
      <c r="F57" s="7055">
        <f>IF(Captura_Pegaso!A58="", "", Captura_Pegaso!D58)</f>
        <v/>
      </c>
      <c r="G57" s="7056">
        <f>IF(Captura_Pegaso!A58="", "", Captura_Pegaso!E58)</f>
        <v/>
      </c>
      <c r="H57" s="7057">
        <f>IF(Captura_Pegaso!A58="", "", Captura_Pegaso!H58)</f>
        <v/>
      </c>
      <c r="I57" s="7058">
        <f>IF(Captura_Pegaso!A58="", "", SUMIFS(Captura_Obra!$F:$F, Captura_Obra!$A:$A, E57, Captura_Obra!$B:$B, F57, Captura_Obra!$D:$D, G57))</f>
        <v/>
      </c>
      <c r="J57" s="7059">
        <f>IF(Captura_Pegaso!A58="", "", H57 - I57)</f>
        <v/>
      </c>
      <c r="K57" s="3866" t="n"/>
    </row>
    <row r="58">
      <c r="A58" s="7060">
        <f>IF(Captura_Pegaso!A59="", "", "Pegaso")</f>
        <v/>
      </c>
      <c r="B58" s="7061">
        <f>IF(Captura_Pegaso!A59="", "", Captura_Pegaso!N59)</f>
        <v/>
      </c>
      <c r="C58" s="7062">
        <f>IF(Captura_Pegaso!A59="", "", IFERROR(LOOKUP(2, 1/((Captura_Obra!$A$5:$A$1000=E58)*(Captura_Obra!$B$5:$B$1000=F58)*(Captura_Obra!$D$5:$D$1000=G58)), Captura_Obra!$N$5:$N$1000), "No Reportado"))</f>
        <v/>
      </c>
      <c r="D58" s="7063">
        <f>IF(Captura_Pegaso!A59="", "", IF(J58=0, "✅ Cuadrado", IF(I58=0, "❌ Falta en Obra", "⚠️ Dif")))</f>
        <v/>
      </c>
      <c r="E58" s="7064">
        <f>IF(Captura_Pegaso!A59="", "", Captura_Pegaso!A59)</f>
        <v/>
      </c>
      <c r="F58" s="7065">
        <f>IF(Captura_Pegaso!A59="", "", Captura_Pegaso!D59)</f>
        <v/>
      </c>
      <c r="G58" s="7066">
        <f>IF(Captura_Pegaso!A59="", "", Captura_Pegaso!E59)</f>
        <v/>
      </c>
      <c r="H58" s="7067">
        <f>IF(Captura_Pegaso!A59="", "", Captura_Pegaso!H59)</f>
        <v/>
      </c>
      <c r="I58" s="7068">
        <f>IF(Captura_Pegaso!A59="", "", SUMIFS(Captura_Obra!$F:$F, Captura_Obra!$A:$A, E58, Captura_Obra!$B:$B, F58, Captura_Obra!$D:$D, G58))</f>
        <v/>
      </c>
      <c r="J58" s="7069">
        <f>IF(Captura_Pegaso!A59="", "", H58 - I58)</f>
        <v/>
      </c>
      <c r="K58" s="3867" t="n"/>
    </row>
    <row r="59">
      <c r="A59" s="7070">
        <f>IF(Captura_Pegaso!A60="", "", "Pegaso")</f>
        <v/>
      </c>
      <c r="B59" s="7071">
        <f>IF(Captura_Pegaso!A60="", "", Captura_Pegaso!N60)</f>
        <v/>
      </c>
      <c r="C59" s="7072">
        <f>IF(Captura_Pegaso!A60="", "", IFERROR(LOOKUP(2, 1/((Captura_Obra!$A$5:$A$1000=E59)*(Captura_Obra!$B$5:$B$1000=F59)*(Captura_Obra!$D$5:$D$1000=G59)), Captura_Obra!$N$5:$N$1000), "No Reportado"))</f>
        <v/>
      </c>
      <c r="D59" s="7073">
        <f>IF(Captura_Pegaso!A60="", "", IF(J59=0, "✅ Cuadrado", IF(I59=0, "❌ Falta en Obra", "⚠️ Dif")))</f>
        <v/>
      </c>
      <c r="E59" s="7074">
        <f>IF(Captura_Pegaso!A60="", "", Captura_Pegaso!A60)</f>
        <v/>
      </c>
      <c r="F59" s="7075">
        <f>IF(Captura_Pegaso!A60="", "", Captura_Pegaso!D60)</f>
        <v/>
      </c>
      <c r="G59" s="7076">
        <f>IF(Captura_Pegaso!A60="", "", Captura_Pegaso!E60)</f>
        <v/>
      </c>
      <c r="H59" s="7077">
        <f>IF(Captura_Pegaso!A60="", "", Captura_Pegaso!H60)</f>
        <v/>
      </c>
      <c r="I59" s="7078">
        <f>IF(Captura_Pegaso!A60="", "", SUMIFS(Captura_Obra!$F:$F, Captura_Obra!$A:$A, E59, Captura_Obra!$B:$B, F59, Captura_Obra!$D:$D, G59))</f>
        <v/>
      </c>
      <c r="J59" s="7079">
        <f>IF(Captura_Pegaso!A60="", "", H59 - I59)</f>
        <v/>
      </c>
      <c r="K59" s="3868" t="n"/>
    </row>
    <row r="60">
      <c r="A60" s="7080">
        <f>IF(Captura_Pegaso!A61="", "", "Pegaso")</f>
        <v/>
      </c>
      <c r="B60" s="7081">
        <f>IF(Captura_Pegaso!A61="", "", Captura_Pegaso!N61)</f>
        <v/>
      </c>
      <c r="C60" s="7082">
        <f>IF(Captura_Pegaso!A61="", "", IFERROR(LOOKUP(2, 1/((Captura_Obra!$A$5:$A$1000=E60)*(Captura_Obra!$B$5:$B$1000=F60)*(Captura_Obra!$D$5:$D$1000=G60)), Captura_Obra!$N$5:$N$1000), "No Reportado"))</f>
        <v/>
      </c>
      <c r="D60" s="7083">
        <f>IF(Captura_Pegaso!A61="", "", IF(J60=0, "✅ Cuadrado", IF(I60=0, "❌ Falta en Obra", "⚠️ Dif")))</f>
        <v/>
      </c>
      <c r="E60" s="7084">
        <f>IF(Captura_Pegaso!A61="", "", Captura_Pegaso!A61)</f>
        <v/>
      </c>
      <c r="F60" s="7085">
        <f>IF(Captura_Pegaso!A61="", "", Captura_Pegaso!D61)</f>
        <v/>
      </c>
      <c r="G60" s="7086">
        <f>IF(Captura_Pegaso!A61="", "", Captura_Pegaso!E61)</f>
        <v/>
      </c>
      <c r="H60" s="7087">
        <f>IF(Captura_Pegaso!A61="", "", Captura_Pegaso!H61)</f>
        <v/>
      </c>
      <c r="I60" s="7088">
        <f>IF(Captura_Pegaso!A61="", "", SUMIFS(Captura_Obra!$F:$F, Captura_Obra!$A:$A, E60, Captura_Obra!$B:$B, F60, Captura_Obra!$D:$D, G60))</f>
        <v/>
      </c>
      <c r="J60" s="7089">
        <f>IF(Captura_Pegaso!A61="", "", H60 - I60)</f>
        <v/>
      </c>
      <c r="K60" s="3869" t="n"/>
    </row>
    <row r="61">
      <c r="A61" s="7090">
        <f>IF(Captura_Pegaso!A62="", "", "Pegaso")</f>
        <v/>
      </c>
      <c r="B61" s="7091">
        <f>IF(Captura_Pegaso!A62="", "", Captura_Pegaso!N62)</f>
        <v/>
      </c>
      <c r="C61" s="7092">
        <f>IF(Captura_Pegaso!A62="", "", IFERROR(LOOKUP(2, 1/((Captura_Obra!$A$5:$A$1000=E61)*(Captura_Obra!$B$5:$B$1000=F61)*(Captura_Obra!$D$5:$D$1000=G61)), Captura_Obra!$N$5:$N$1000), "No Reportado"))</f>
        <v/>
      </c>
      <c r="D61" s="7093">
        <f>IF(Captura_Pegaso!A62="", "", IF(J61=0, "✅ Cuadrado", IF(I61=0, "❌ Falta en Obra", "⚠️ Dif")))</f>
        <v/>
      </c>
      <c r="E61" s="7094">
        <f>IF(Captura_Pegaso!A62="", "", Captura_Pegaso!A62)</f>
        <v/>
      </c>
      <c r="F61" s="7095">
        <f>IF(Captura_Pegaso!A62="", "", Captura_Pegaso!D62)</f>
        <v/>
      </c>
      <c r="G61" s="7096">
        <f>IF(Captura_Pegaso!A62="", "", Captura_Pegaso!E62)</f>
        <v/>
      </c>
      <c r="H61" s="7097">
        <f>IF(Captura_Pegaso!A62="", "", Captura_Pegaso!H62)</f>
        <v/>
      </c>
      <c r="I61" s="7098">
        <f>IF(Captura_Pegaso!A62="", "", SUMIFS(Captura_Obra!$F:$F, Captura_Obra!$A:$A, E61, Captura_Obra!$B:$B, F61, Captura_Obra!$D:$D, G61))</f>
        <v/>
      </c>
      <c r="J61" s="7099">
        <f>IF(Captura_Pegaso!A62="", "", H61 - I61)</f>
        <v/>
      </c>
      <c r="K61" s="3870" t="n"/>
    </row>
    <row r="62">
      <c r="A62" s="7100">
        <f>IF(Captura_Pegaso!A63="", "", "Pegaso")</f>
        <v/>
      </c>
      <c r="B62" s="7101">
        <f>IF(Captura_Pegaso!A63="", "", Captura_Pegaso!N63)</f>
        <v/>
      </c>
      <c r="C62" s="7102">
        <f>IF(Captura_Pegaso!A63="", "", IFERROR(LOOKUP(2, 1/((Captura_Obra!$A$5:$A$1000=E62)*(Captura_Obra!$B$5:$B$1000=F62)*(Captura_Obra!$D$5:$D$1000=G62)), Captura_Obra!$N$5:$N$1000), "No Reportado"))</f>
        <v/>
      </c>
      <c r="D62" s="7103">
        <f>IF(Captura_Pegaso!A63="", "", IF(J62=0, "✅ Cuadrado", IF(I62=0, "❌ Falta en Obra", "⚠️ Dif")))</f>
        <v/>
      </c>
      <c r="E62" s="7104">
        <f>IF(Captura_Pegaso!A63="", "", Captura_Pegaso!A63)</f>
        <v/>
      </c>
      <c r="F62" s="7105">
        <f>IF(Captura_Pegaso!A63="", "", Captura_Pegaso!D63)</f>
        <v/>
      </c>
      <c r="G62" s="7106">
        <f>IF(Captura_Pegaso!A63="", "", Captura_Pegaso!E63)</f>
        <v/>
      </c>
      <c r="H62" s="7107">
        <f>IF(Captura_Pegaso!A63="", "", Captura_Pegaso!H63)</f>
        <v/>
      </c>
      <c r="I62" s="7108">
        <f>IF(Captura_Pegaso!A63="", "", SUMIFS(Captura_Obra!$F:$F, Captura_Obra!$A:$A, E62, Captura_Obra!$B:$B, F62, Captura_Obra!$D:$D, G62))</f>
        <v/>
      </c>
      <c r="J62" s="7109">
        <f>IF(Captura_Pegaso!A63="", "", H62 - I62)</f>
        <v/>
      </c>
      <c r="K62" s="3871" t="n"/>
    </row>
    <row r="63">
      <c r="A63" s="7110">
        <f>IF(Captura_Pegaso!A64="", "", "Pegaso")</f>
        <v/>
      </c>
      <c r="B63" s="7111">
        <f>IF(Captura_Pegaso!A64="", "", Captura_Pegaso!N64)</f>
        <v/>
      </c>
      <c r="C63" s="7112">
        <f>IF(Captura_Pegaso!A64="", "", IFERROR(LOOKUP(2, 1/((Captura_Obra!$A$5:$A$1000=E63)*(Captura_Obra!$B$5:$B$1000=F63)*(Captura_Obra!$D$5:$D$1000=G63)), Captura_Obra!$N$5:$N$1000), "No Reportado"))</f>
        <v/>
      </c>
      <c r="D63" s="7113">
        <f>IF(Captura_Pegaso!A64="", "", IF(J63=0, "✅ Cuadrado", IF(I63=0, "❌ Falta en Obra", "⚠️ Dif")))</f>
        <v/>
      </c>
      <c r="E63" s="7114">
        <f>IF(Captura_Pegaso!A64="", "", Captura_Pegaso!A64)</f>
        <v/>
      </c>
      <c r="F63" s="7115">
        <f>IF(Captura_Pegaso!A64="", "", Captura_Pegaso!D64)</f>
        <v/>
      </c>
      <c r="G63" s="7116">
        <f>IF(Captura_Pegaso!A64="", "", Captura_Pegaso!E64)</f>
        <v/>
      </c>
      <c r="H63" s="7117">
        <f>IF(Captura_Pegaso!A64="", "", Captura_Pegaso!H64)</f>
        <v/>
      </c>
      <c r="I63" s="7118">
        <f>IF(Captura_Pegaso!A64="", "", SUMIFS(Captura_Obra!$F:$F, Captura_Obra!$A:$A, E63, Captura_Obra!$B:$B, F63, Captura_Obra!$D:$D, G63))</f>
        <v/>
      </c>
      <c r="J63" s="7119">
        <f>IF(Captura_Pegaso!A64="", "", H63 - I63)</f>
        <v/>
      </c>
      <c r="K63" s="3872" t="n"/>
    </row>
    <row r="64">
      <c r="A64" s="7120">
        <f>IF(Captura_Pegaso!A65="", "", "Pegaso")</f>
        <v/>
      </c>
      <c r="B64" s="7121">
        <f>IF(Captura_Pegaso!A65="", "", Captura_Pegaso!N65)</f>
        <v/>
      </c>
      <c r="C64" s="7122">
        <f>IF(Captura_Pegaso!A65="", "", IFERROR(LOOKUP(2, 1/((Captura_Obra!$A$5:$A$1000=E64)*(Captura_Obra!$B$5:$B$1000=F64)*(Captura_Obra!$D$5:$D$1000=G64)), Captura_Obra!$N$5:$N$1000), "No Reportado"))</f>
        <v/>
      </c>
      <c r="D64" s="7123">
        <f>IF(Captura_Pegaso!A65="", "", IF(J64=0, "✅ Cuadrado", IF(I64=0, "❌ Falta en Obra", "⚠️ Dif")))</f>
        <v/>
      </c>
      <c r="E64" s="7124">
        <f>IF(Captura_Pegaso!A65="", "", Captura_Pegaso!A65)</f>
        <v/>
      </c>
      <c r="F64" s="7125">
        <f>IF(Captura_Pegaso!A65="", "", Captura_Pegaso!D65)</f>
        <v/>
      </c>
      <c r="G64" s="7126">
        <f>IF(Captura_Pegaso!A65="", "", Captura_Pegaso!E65)</f>
        <v/>
      </c>
      <c r="H64" s="7127">
        <f>IF(Captura_Pegaso!A65="", "", Captura_Pegaso!H65)</f>
        <v/>
      </c>
      <c r="I64" s="7128">
        <f>IF(Captura_Pegaso!A65="", "", SUMIFS(Captura_Obra!$F:$F, Captura_Obra!$A:$A, E64, Captura_Obra!$B:$B, F64, Captura_Obra!$D:$D, G64))</f>
        <v/>
      </c>
      <c r="J64" s="7129">
        <f>IF(Captura_Pegaso!A65="", "", H64 - I64)</f>
        <v/>
      </c>
      <c r="K64" s="3873" t="n"/>
    </row>
    <row r="65">
      <c r="A65" s="7130">
        <f>IF(Captura_Pegaso!A66="", "", "Pegaso")</f>
        <v/>
      </c>
      <c r="B65" s="7131">
        <f>IF(Captura_Pegaso!A66="", "", Captura_Pegaso!N66)</f>
        <v/>
      </c>
      <c r="C65" s="7132">
        <f>IF(Captura_Pegaso!A66="", "", IFERROR(LOOKUP(2, 1/((Captura_Obra!$A$5:$A$1000=E65)*(Captura_Obra!$B$5:$B$1000=F65)*(Captura_Obra!$D$5:$D$1000=G65)), Captura_Obra!$N$5:$N$1000), "No Reportado"))</f>
        <v/>
      </c>
      <c r="D65" s="7133">
        <f>IF(Captura_Pegaso!A66="", "", IF(J65=0, "✅ Cuadrado", IF(I65=0, "❌ Falta en Obra", "⚠️ Dif")))</f>
        <v/>
      </c>
      <c r="E65" s="7134">
        <f>IF(Captura_Pegaso!A66="", "", Captura_Pegaso!A66)</f>
        <v/>
      </c>
      <c r="F65" s="7135">
        <f>IF(Captura_Pegaso!A66="", "", Captura_Pegaso!D66)</f>
        <v/>
      </c>
      <c r="G65" s="7136">
        <f>IF(Captura_Pegaso!A66="", "", Captura_Pegaso!E66)</f>
        <v/>
      </c>
      <c r="H65" s="7137">
        <f>IF(Captura_Pegaso!A66="", "", Captura_Pegaso!H66)</f>
        <v/>
      </c>
      <c r="I65" s="7138">
        <f>IF(Captura_Pegaso!A66="", "", SUMIFS(Captura_Obra!$F:$F, Captura_Obra!$A:$A, E65, Captura_Obra!$B:$B, F65, Captura_Obra!$D:$D, G65))</f>
        <v/>
      </c>
      <c r="J65" s="7139">
        <f>IF(Captura_Pegaso!A66="", "", H65 - I65)</f>
        <v/>
      </c>
      <c r="K65" s="3874" t="n"/>
    </row>
    <row r="66">
      <c r="A66" s="7140">
        <f>IF(Captura_Pegaso!A67="", "", "Pegaso")</f>
        <v/>
      </c>
      <c r="B66" s="7141">
        <f>IF(Captura_Pegaso!A67="", "", Captura_Pegaso!N67)</f>
        <v/>
      </c>
      <c r="C66" s="7142">
        <f>IF(Captura_Pegaso!A67="", "", IFERROR(LOOKUP(2, 1/((Captura_Obra!$A$5:$A$1000=E66)*(Captura_Obra!$B$5:$B$1000=F66)*(Captura_Obra!$D$5:$D$1000=G66)), Captura_Obra!$N$5:$N$1000), "No Reportado"))</f>
        <v/>
      </c>
      <c r="D66" s="7143">
        <f>IF(Captura_Pegaso!A67="", "", IF(J66=0, "✅ Cuadrado", IF(I66=0, "❌ Falta en Obra", "⚠️ Dif")))</f>
        <v/>
      </c>
      <c r="E66" s="7144">
        <f>IF(Captura_Pegaso!A67="", "", Captura_Pegaso!A67)</f>
        <v/>
      </c>
      <c r="F66" s="7145">
        <f>IF(Captura_Pegaso!A67="", "", Captura_Pegaso!D67)</f>
        <v/>
      </c>
      <c r="G66" s="7146">
        <f>IF(Captura_Pegaso!A67="", "", Captura_Pegaso!E67)</f>
        <v/>
      </c>
      <c r="H66" s="7147">
        <f>IF(Captura_Pegaso!A67="", "", Captura_Pegaso!H67)</f>
        <v/>
      </c>
      <c r="I66" s="7148">
        <f>IF(Captura_Pegaso!A67="", "", SUMIFS(Captura_Obra!$F:$F, Captura_Obra!$A:$A, E66, Captura_Obra!$B:$B, F66, Captura_Obra!$D:$D, G66))</f>
        <v/>
      </c>
      <c r="J66" s="7149">
        <f>IF(Captura_Pegaso!A67="", "", H66 - I66)</f>
        <v/>
      </c>
      <c r="K66" s="3875" t="n"/>
    </row>
    <row r="67">
      <c r="A67" s="7150">
        <f>IF(Captura_Pegaso!A68="", "", "Pegaso")</f>
        <v/>
      </c>
      <c r="B67" s="7151">
        <f>IF(Captura_Pegaso!A68="", "", Captura_Pegaso!N68)</f>
        <v/>
      </c>
      <c r="C67" s="7152">
        <f>IF(Captura_Pegaso!A68="", "", IFERROR(LOOKUP(2, 1/((Captura_Obra!$A$5:$A$1000=E67)*(Captura_Obra!$B$5:$B$1000=F67)*(Captura_Obra!$D$5:$D$1000=G67)), Captura_Obra!$N$5:$N$1000), "No Reportado"))</f>
        <v/>
      </c>
      <c r="D67" s="7153">
        <f>IF(Captura_Pegaso!A68="", "", IF(J67=0, "✅ Cuadrado", IF(I67=0, "❌ Falta en Obra", "⚠️ Dif")))</f>
        <v/>
      </c>
      <c r="E67" s="7154">
        <f>IF(Captura_Pegaso!A68="", "", Captura_Pegaso!A68)</f>
        <v/>
      </c>
      <c r="F67" s="7155">
        <f>IF(Captura_Pegaso!A68="", "", Captura_Pegaso!D68)</f>
        <v/>
      </c>
      <c r="G67" s="7156">
        <f>IF(Captura_Pegaso!A68="", "", Captura_Pegaso!E68)</f>
        <v/>
      </c>
      <c r="H67" s="7157">
        <f>IF(Captura_Pegaso!A68="", "", Captura_Pegaso!H68)</f>
        <v/>
      </c>
      <c r="I67" s="7158">
        <f>IF(Captura_Pegaso!A68="", "", SUMIFS(Captura_Obra!$F:$F, Captura_Obra!$A:$A, E67, Captura_Obra!$B:$B, F67, Captura_Obra!$D:$D, G67))</f>
        <v/>
      </c>
      <c r="J67" s="7159">
        <f>IF(Captura_Pegaso!A68="", "", H67 - I67)</f>
        <v/>
      </c>
      <c r="K67" s="3876" t="n"/>
    </row>
    <row r="68">
      <c r="A68" s="7160">
        <f>IF(Captura_Pegaso!A69="", "", "Pegaso")</f>
        <v/>
      </c>
      <c r="B68" s="7161">
        <f>IF(Captura_Pegaso!A69="", "", Captura_Pegaso!N69)</f>
        <v/>
      </c>
      <c r="C68" s="7162">
        <f>IF(Captura_Pegaso!A69="", "", IFERROR(LOOKUP(2, 1/((Captura_Obra!$A$5:$A$1000=E68)*(Captura_Obra!$B$5:$B$1000=F68)*(Captura_Obra!$D$5:$D$1000=G68)), Captura_Obra!$N$5:$N$1000), "No Reportado"))</f>
        <v/>
      </c>
      <c r="D68" s="7163">
        <f>IF(Captura_Pegaso!A69="", "", IF(J68=0, "✅ Cuadrado", IF(I68=0, "❌ Falta en Obra", "⚠️ Dif")))</f>
        <v/>
      </c>
      <c r="E68" s="7164">
        <f>IF(Captura_Pegaso!A69="", "", Captura_Pegaso!A69)</f>
        <v/>
      </c>
      <c r="F68" s="7165">
        <f>IF(Captura_Pegaso!A69="", "", Captura_Pegaso!D69)</f>
        <v/>
      </c>
      <c r="G68" s="7166">
        <f>IF(Captura_Pegaso!A69="", "", Captura_Pegaso!E69)</f>
        <v/>
      </c>
      <c r="H68" s="7167">
        <f>IF(Captura_Pegaso!A69="", "", Captura_Pegaso!H69)</f>
        <v/>
      </c>
      <c r="I68" s="7168">
        <f>IF(Captura_Pegaso!A69="", "", SUMIFS(Captura_Obra!$F:$F, Captura_Obra!$A:$A, E68, Captura_Obra!$B:$B, F68, Captura_Obra!$D:$D, G68))</f>
        <v/>
      </c>
      <c r="J68" s="7169">
        <f>IF(Captura_Pegaso!A69="", "", H68 - I68)</f>
        <v/>
      </c>
      <c r="K68" s="3877" t="n"/>
    </row>
    <row r="69">
      <c r="A69" s="7170">
        <f>IF(Captura_Pegaso!A70="", "", "Pegaso")</f>
        <v/>
      </c>
      <c r="B69" s="7171">
        <f>IF(Captura_Pegaso!A70="", "", Captura_Pegaso!N70)</f>
        <v/>
      </c>
      <c r="C69" s="7172">
        <f>IF(Captura_Pegaso!A70="", "", IFERROR(LOOKUP(2, 1/((Captura_Obra!$A$5:$A$1000=E69)*(Captura_Obra!$B$5:$B$1000=F69)*(Captura_Obra!$D$5:$D$1000=G69)), Captura_Obra!$N$5:$N$1000), "No Reportado"))</f>
        <v/>
      </c>
      <c r="D69" s="7173">
        <f>IF(Captura_Pegaso!A70="", "", IF(J69=0, "✅ Cuadrado", IF(I69=0, "❌ Falta en Obra", "⚠️ Dif")))</f>
        <v/>
      </c>
      <c r="E69" s="7174">
        <f>IF(Captura_Pegaso!A70="", "", Captura_Pegaso!A70)</f>
        <v/>
      </c>
      <c r="F69" s="7175">
        <f>IF(Captura_Pegaso!A70="", "", Captura_Pegaso!D70)</f>
        <v/>
      </c>
      <c r="G69" s="7176">
        <f>IF(Captura_Pegaso!A70="", "", Captura_Pegaso!E70)</f>
        <v/>
      </c>
      <c r="H69" s="7177">
        <f>IF(Captura_Pegaso!A70="", "", Captura_Pegaso!H70)</f>
        <v/>
      </c>
      <c r="I69" s="7178">
        <f>IF(Captura_Pegaso!A70="", "", SUMIFS(Captura_Obra!$F:$F, Captura_Obra!$A:$A, E69, Captura_Obra!$B:$B, F69, Captura_Obra!$D:$D, G69))</f>
        <v/>
      </c>
      <c r="J69" s="7179">
        <f>IF(Captura_Pegaso!A70="", "", H69 - I69)</f>
        <v/>
      </c>
      <c r="K69" s="3878" t="n"/>
    </row>
    <row r="70">
      <c r="A70" s="7180">
        <f>IF(Captura_Pegaso!A71="", "", "Pegaso")</f>
        <v/>
      </c>
      <c r="B70" s="7181">
        <f>IF(Captura_Pegaso!A71="", "", Captura_Pegaso!N71)</f>
        <v/>
      </c>
      <c r="C70" s="7182">
        <f>IF(Captura_Pegaso!A71="", "", IFERROR(LOOKUP(2, 1/((Captura_Obra!$A$5:$A$1000=E70)*(Captura_Obra!$B$5:$B$1000=F70)*(Captura_Obra!$D$5:$D$1000=G70)), Captura_Obra!$N$5:$N$1000), "No Reportado"))</f>
        <v/>
      </c>
      <c r="D70" s="7183">
        <f>IF(Captura_Pegaso!A71="", "", IF(J70=0, "✅ Cuadrado", IF(I70=0, "❌ Falta en Obra", "⚠️ Dif")))</f>
        <v/>
      </c>
      <c r="E70" s="7184">
        <f>IF(Captura_Pegaso!A71="", "", Captura_Pegaso!A71)</f>
        <v/>
      </c>
      <c r="F70" s="7185">
        <f>IF(Captura_Pegaso!A71="", "", Captura_Pegaso!D71)</f>
        <v/>
      </c>
      <c r="G70" s="7186">
        <f>IF(Captura_Pegaso!A71="", "", Captura_Pegaso!E71)</f>
        <v/>
      </c>
      <c r="H70" s="7187">
        <f>IF(Captura_Pegaso!A71="", "", Captura_Pegaso!H71)</f>
        <v/>
      </c>
      <c r="I70" s="7188">
        <f>IF(Captura_Pegaso!A71="", "", SUMIFS(Captura_Obra!$F:$F, Captura_Obra!$A:$A, E70, Captura_Obra!$B:$B, F70, Captura_Obra!$D:$D, G70))</f>
        <v/>
      </c>
      <c r="J70" s="7189">
        <f>IF(Captura_Pegaso!A71="", "", H70 - I70)</f>
        <v/>
      </c>
      <c r="K70" s="3879" t="n"/>
    </row>
    <row r="71">
      <c r="A71" s="7190">
        <f>IF(Captura_Pegaso!A72="", "", "Pegaso")</f>
        <v/>
      </c>
      <c r="B71" s="7191">
        <f>IF(Captura_Pegaso!A72="", "", Captura_Pegaso!N72)</f>
        <v/>
      </c>
      <c r="C71" s="7192">
        <f>IF(Captura_Pegaso!A72="", "", IFERROR(LOOKUP(2, 1/((Captura_Obra!$A$5:$A$1000=E71)*(Captura_Obra!$B$5:$B$1000=F71)*(Captura_Obra!$D$5:$D$1000=G71)), Captura_Obra!$N$5:$N$1000), "No Reportado"))</f>
        <v/>
      </c>
      <c r="D71" s="7193">
        <f>IF(Captura_Pegaso!A72="", "", IF(J71=0, "✅ Cuadrado", IF(I71=0, "❌ Falta en Obra", "⚠️ Dif")))</f>
        <v/>
      </c>
      <c r="E71" s="7194">
        <f>IF(Captura_Pegaso!A72="", "", Captura_Pegaso!A72)</f>
        <v/>
      </c>
      <c r="F71" s="7195">
        <f>IF(Captura_Pegaso!A72="", "", Captura_Pegaso!D72)</f>
        <v/>
      </c>
      <c r="G71" s="7196">
        <f>IF(Captura_Pegaso!A72="", "", Captura_Pegaso!E72)</f>
        <v/>
      </c>
      <c r="H71" s="7197">
        <f>IF(Captura_Pegaso!A72="", "", Captura_Pegaso!H72)</f>
        <v/>
      </c>
      <c r="I71" s="7198">
        <f>IF(Captura_Pegaso!A72="", "", SUMIFS(Captura_Obra!$F:$F, Captura_Obra!$A:$A, E71, Captura_Obra!$B:$B, F71, Captura_Obra!$D:$D, G71))</f>
        <v/>
      </c>
      <c r="J71" s="7199">
        <f>IF(Captura_Pegaso!A72="", "", H71 - I71)</f>
        <v/>
      </c>
      <c r="K71" s="3880" t="n"/>
    </row>
    <row r="72">
      <c r="A72" s="7200">
        <f>IF(Captura_Pegaso!A73="", "", "Pegaso")</f>
        <v/>
      </c>
      <c r="B72" s="7201">
        <f>IF(Captura_Pegaso!A73="", "", Captura_Pegaso!N73)</f>
        <v/>
      </c>
      <c r="C72" s="7202">
        <f>IF(Captura_Pegaso!A73="", "", IFERROR(LOOKUP(2, 1/((Captura_Obra!$A$5:$A$1000=E72)*(Captura_Obra!$B$5:$B$1000=F72)*(Captura_Obra!$D$5:$D$1000=G72)), Captura_Obra!$N$5:$N$1000), "No Reportado"))</f>
        <v/>
      </c>
      <c r="D72" s="7203">
        <f>IF(Captura_Pegaso!A73="", "", IF(J72=0, "✅ Cuadrado", IF(I72=0, "❌ Falta en Obra", "⚠️ Dif")))</f>
        <v/>
      </c>
      <c r="E72" s="7204">
        <f>IF(Captura_Pegaso!A73="", "", Captura_Pegaso!A73)</f>
        <v/>
      </c>
      <c r="F72" s="7205">
        <f>IF(Captura_Pegaso!A73="", "", Captura_Pegaso!D73)</f>
        <v/>
      </c>
      <c r="G72" s="7206">
        <f>IF(Captura_Pegaso!A73="", "", Captura_Pegaso!E73)</f>
        <v/>
      </c>
      <c r="H72" s="7207">
        <f>IF(Captura_Pegaso!A73="", "", Captura_Pegaso!H73)</f>
        <v/>
      </c>
      <c r="I72" s="7208">
        <f>IF(Captura_Pegaso!A73="", "", SUMIFS(Captura_Obra!$F:$F, Captura_Obra!$A:$A, E72, Captura_Obra!$B:$B, F72, Captura_Obra!$D:$D, G72))</f>
        <v/>
      </c>
      <c r="J72" s="7209">
        <f>IF(Captura_Pegaso!A73="", "", H72 - I72)</f>
        <v/>
      </c>
      <c r="K72" s="3881" t="n"/>
    </row>
    <row r="73">
      <c r="A73" s="7210">
        <f>IF(Captura_Pegaso!A74="", "", "Pegaso")</f>
        <v/>
      </c>
      <c r="B73" s="7211">
        <f>IF(Captura_Pegaso!A74="", "", Captura_Pegaso!N74)</f>
        <v/>
      </c>
      <c r="C73" s="7212">
        <f>IF(Captura_Pegaso!A74="", "", IFERROR(LOOKUP(2, 1/((Captura_Obra!$A$5:$A$1000=E73)*(Captura_Obra!$B$5:$B$1000=F73)*(Captura_Obra!$D$5:$D$1000=G73)), Captura_Obra!$N$5:$N$1000), "No Reportado"))</f>
        <v/>
      </c>
      <c r="D73" s="7213">
        <f>IF(Captura_Pegaso!A74="", "", IF(J73=0, "✅ Cuadrado", IF(I73=0, "❌ Falta en Obra", "⚠️ Dif")))</f>
        <v/>
      </c>
      <c r="E73" s="7214">
        <f>IF(Captura_Pegaso!A74="", "", Captura_Pegaso!A74)</f>
        <v/>
      </c>
      <c r="F73" s="7215">
        <f>IF(Captura_Pegaso!A74="", "", Captura_Pegaso!D74)</f>
        <v/>
      </c>
      <c r="G73" s="7216">
        <f>IF(Captura_Pegaso!A74="", "", Captura_Pegaso!E74)</f>
        <v/>
      </c>
      <c r="H73" s="7217">
        <f>IF(Captura_Pegaso!A74="", "", Captura_Pegaso!H74)</f>
        <v/>
      </c>
      <c r="I73" s="7218">
        <f>IF(Captura_Pegaso!A74="", "", SUMIFS(Captura_Obra!$F:$F, Captura_Obra!$A:$A, E73, Captura_Obra!$B:$B, F73, Captura_Obra!$D:$D, G73))</f>
        <v/>
      </c>
      <c r="J73" s="7219">
        <f>IF(Captura_Pegaso!A74="", "", H73 - I73)</f>
        <v/>
      </c>
      <c r="K73" s="3882" t="n"/>
    </row>
    <row r="74">
      <c r="A74" s="7220">
        <f>IF(Captura_Pegaso!A75="", "", "Pegaso")</f>
        <v/>
      </c>
      <c r="B74" s="7221">
        <f>IF(Captura_Pegaso!A75="", "", Captura_Pegaso!N75)</f>
        <v/>
      </c>
      <c r="C74" s="7222">
        <f>IF(Captura_Pegaso!A75="", "", IFERROR(LOOKUP(2, 1/((Captura_Obra!$A$5:$A$1000=E74)*(Captura_Obra!$B$5:$B$1000=F74)*(Captura_Obra!$D$5:$D$1000=G74)), Captura_Obra!$N$5:$N$1000), "No Reportado"))</f>
        <v/>
      </c>
      <c r="D74" s="7223">
        <f>IF(Captura_Pegaso!A75="", "", IF(J74=0, "✅ Cuadrado", IF(I74=0, "❌ Falta en Obra", "⚠️ Dif")))</f>
        <v/>
      </c>
      <c r="E74" s="7224">
        <f>IF(Captura_Pegaso!A75="", "", Captura_Pegaso!A75)</f>
        <v/>
      </c>
      <c r="F74" s="7225">
        <f>IF(Captura_Pegaso!A75="", "", Captura_Pegaso!D75)</f>
        <v/>
      </c>
      <c r="G74" s="7226">
        <f>IF(Captura_Pegaso!A75="", "", Captura_Pegaso!E75)</f>
        <v/>
      </c>
      <c r="H74" s="7227">
        <f>IF(Captura_Pegaso!A75="", "", Captura_Pegaso!H75)</f>
        <v/>
      </c>
      <c r="I74" s="7228">
        <f>IF(Captura_Pegaso!A75="", "", SUMIFS(Captura_Obra!$F:$F, Captura_Obra!$A:$A, E74, Captura_Obra!$B:$B, F74, Captura_Obra!$D:$D, G74))</f>
        <v/>
      </c>
      <c r="J74" s="7229">
        <f>IF(Captura_Pegaso!A75="", "", H74 - I74)</f>
        <v/>
      </c>
      <c r="K74" s="3883" t="n"/>
    </row>
    <row r="75">
      <c r="A75" s="7230">
        <f>IF(Captura_Pegaso!A76="", "", "Pegaso")</f>
        <v/>
      </c>
      <c r="B75" s="7231">
        <f>IF(Captura_Pegaso!A76="", "", Captura_Pegaso!N76)</f>
        <v/>
      </c>
      <c r="C75" s="7232">
        <f>IF(Captura_Pegaso!A76="", "", IFERROR(LOOKUP(2, 1/((Captura_Obra!$A$5:$A$1000=E75)*(Captura_Obra!$B$5:$B$1000=F75)*(Captura_Obra!$D$5:$D$1000=G75)), Captura_Obra!$N$5:$N$1000), "No Reportado"))</f>
        <v/>
      </c>
      <c r="D75" s="7233">
        <f>IF(Captura_Pegaso!A76="", "", IF(J75=0, "✅ Cuadrado", IF(I75=0, "❌ Falta en Obra", "⚠️ Dif")))</f>
        <v/>
      </c>
      <c r="E75" s="7234">
        <f>IF(Captura_Pegaso!A76="", "", Captura_Pegaso!A76)</f>
        <v/>
      </c>
      <c r="F75" s="7235">
        <f>IF(Captura_Pegaso!A76="", "", Captura_Pegaso!D76)</f>
        <v/>
      </c>
      <c r="G75" s="7236">
        <f>IF(Captura_Pegaso!A76="", "", Captura_Pegaso!E76)</f>
        <v/>
      </c>
      <c r="H75" s="7237">
        <f>IF(Captura_Pegaso!A76="", "", Captura_Pegaso!H76)</f>
        <v/>
      </c>
      <c r="I75" s="7238">
        <f>IF(Captura_Pegaso!A76="", "", SUMIFS(Captura_Obra!$F:$F, Captura_Obra!$A:$A, E75, Captura_Obra!$B:$B, F75, Captura_Obra!$D:$D, G75))</f>
        <v/>
      </c>
      <c r="J75" s="7239">
        <f>IF(Captura_Pegaso!A76="", "", H75 - I75)</f>
        <v/>
      </c>
      <c r="K75" s="3884" t="n"/>
    </row>
    <row r="76">
      <c r="A76" s="7240">
        <f>IF(Captura_Pegaso!A77="", "", "Pegaso")</f>
        <v/>
      </c>
      <c r="B76" s="7241">
        <f>IF(Captura_Pegaso!A77="", "", Captura_Pegaso!N77)</f>
        <v/>
      </c>
      <c r="C76" s="7242">
        <f>IF(Captura_Pegaso!A77="", "", IFERROR(LOOKUP(2, 1/((Captura_Obra!$A$5:$A$1000=E76)*(Captura_Obra!$B$5:$B$1000=F76)*(Captura_Obra!$D$5:$D$1000=G76)), Captura_Obra!$N$5:$N$1000), "No Reportado"))</f>
        <v/>
      </c>
      <c r="D76" s="7243">
        <f>IF(Captura_Pegaso!A77="", "", IF(J76=0, "✅ Cuadrado", IF(I76=0, "❌ Falta en Obra", "⚠️ Dif")))</f>
        <v/>
      </c>
      <c r="E76" s="7244">
        <f>IF(Captura_Pegaso!A77="", "", Captura_Pegaso!A77)</f>
        <v/>
      </c>
      <c r="F76" s="7245">
        <f>IF(Captura_Pegaso!A77="", "", Captura_Pegaso!D77)</f>
        <v/>
      </c>
      <c r="G76" s="7246">
        <f>IF(Captura_Pegaso!A77="", "", Captura_Pegaso!E77)</f>
        <v/>
      </c>
      <c r="H76" s="7247">
        <f>IF(Captura_Pegaso!A77="", "", Captura_Pegaso!H77)</f>
        <v/>
      </c>
      <c r="I76" s="7248">
        <f>IF(Captura_Pegaso!A77="", "", SUMIFS(Captura_Obra!$F:$F, Captura_Obra!$A:$A, E76, Captura_Obra!$B:$B, F76, Captura_Obra!$D:$D, G76))</f>
        <v/>
      </c>
      <c r="J76" s="7249">
        <f>IF(Captura_Pegaso!A77="", "", H76 - I76)</f>
        <v/>
      </c>
      <c r="K76" s="3885" t="n"/>
    </row>
    <row r="77">
      <c r="A77" s="7250">
        <f>IF(Captura_Pegaso!A78="", "", "Pegaso")</f>
        <v/>
      </c>
      <c r="B77" s="7251">
        <f>IF(Captura_Pegaso!A78="", "", Captura_Pegaso!N78)</f>
        <v/>
      </c>
      <c r="C77" s="7252">
        <f>IF(Captura_Pegaso!A78="", "", IFERROR(LOOKUP(2, 1/((Captura_Obra!$A$5:$A$1000=E77)*(Captura_Obra!$B$5:$B$1000=F77)*(Captura_Obra!$D$5:$D$1000=G77)), Captura_Obra!$N$5:$N$1000), "No Reportado"))</f>
        <v/>
      </c>
      <c r="D77" s="7253">
        <f>IF(Captura_Pegaso!A78="", "", IF(J77=0, "✅ Cuadrado", IF(I77=0, "❌ Falta en Obra", "⚠️ Dif")))</f>
        <v/>
      </c>
      <c r="E77" s="7254">
        <f>IF(Captura_Pegaso!A78="", "", Captura_Pegaso!A78)</f>
        <v/>
      </c>
      <c r="F77" s="7255">
        <f>IF(Captura_Pegaso!A78="", "", Captura_Pegaso!D78)</f>
        <v/>
      </c>
      <c r="G77" s="7256">
        <f>IF(Captura_Pegaso!A78="", "", Captura_Pegaso!E78)</f>
        <v/>
      </c>
      <c r="H77" s="7257">
        <f>IF(Captura_Pegaso!A78="", "", Captura_Pegaso!H78)</f>
        <v/>
      </c>
      <c r="I77" s="7258">
        <f>IF(Captura_Pegaso!A78="", "", SUMIFS(Captura_Obra!$F:$F, Captura_Obra!$A:$A, E77, Captura_Obra!$B:$B, F77, Captura_Obra!$D:$D, G77))</f>
        <v/>
      </c>
      <c r="J77" s="7259">
        <f>IF(Captura_Pegaso!A78="", "", H77 - I77)</f>
        <v/>
      </c>
      <c r="K77" s="3886" t="n"/>
    </row>
    <row r="78">
      <c r="A78" s="7260">
        <f>IF(Captura_Pegaso!A79="", "", "Pegaso")</f>
        <v/>
      </c>
      <c r="B78" s="7261">
        <f>IF(Captura_Pegaso!A79="", "", Captura_Pegaso!N79)</f>
        <v/>
      </c>
      <c r="C78" s="7262">
        <f>IF(Captura_Pegaso!A79="", "", IFERROR(LOOKUP(2, 1/((Captura_Obra!$A$5:$A$1000=E78)*(Captura_Obra!$B$5:$B$1000=F78)*(Captura_Obra!$D$5:$D$1000=G78)), Captura_Obra!$N$5:$N$1000), "No Reportado"))</f>
        <v/>
      </c>
      <c r="D78" s="7263">
        <f>IF(Captura_Pegaso!A79="", "", IF(J78=0, "✅ Cuadrado", IF(I78=0, "❌ Falta en Obra", "⚠️ Dif")))</f>
        <v/>
      </c>
      <c r="E78" s="7264">
        <f>IF(Captura_Pegaso!A79="", "", Captura_Pegaso!A79)</f>
        <v/>
      </c>
      <c r="F78" s="7265">
        <f>IF(Captura_Pegaso!A79="", "", Captura_Pegaso!D79)</f>
        <v/>
      </c>
      <c r="G78" s="7266">
        <f>IF(Captura_Pegaso!A79="", "", Captura_Pegaso!E79)</f>
        <v/>
      </c>
      <c r="H78" s="7267">
        <f>IF(Captura_Pegaso!A79="", "", Captura_Pegaso!H79)</f>
        <v/>
      </c>
      <c r="I78" s="7268">
        <f>IF(Captura_Pegaso!A79="", "", SUMIFS(Captura_Obra!$F:$F, Captura_Obra!$A:$A, E78, Captura_Obra!$B:$B, F78, Captura_Obra!$D:$D, G78))</f>
        <v/>
      </c>
      <c r="J78" s="7269">
        <f>IF(Captura_Pegaso!A79="", "", H78 - I78)</f>
        <v/>
      </c>
      <c r="K78" s="3887" t="n"/>
    </row>
    <row r="79">
      <c r="A79" s="7270">
        <f>IF(Captura_Pegaso!A80="", "", "Pegaso")</f>
        <v/>
      </c>
      <c r="B79" s="7271">
        <f>IF(Captura_Pegaso!A80="", "", Captura_Pegaso!N80)</f>
        <v/>
      </c>
      <c r="C79" s="7272">
        <f>IF(Captura_Pegaso!A80="", "", IFERROR(LOOKUP(2, 1/((Captura_Obra!$A$5:$A$1000=E79)*(Captura_Obra!$B$5:$B$1000=F79)*(Captura_Obra!$D$5:$D$1000=G79)), Captura_Obra!$N$5:$N$1000), "No Reportado"))</f>
        <v/>
      </c>
      <c r="D79" s="7273">
        <f>IF(Captura_Pegaso!A80="", "", IF(J79=0, "✅ Cuadrado", IF(I79=0, "❌ Falta en Obra", "⚠️ Dif")))</f>
        <v/>
      </c>
      <c r="E79" s="7274">
        <f>IF(Captura_Pegaso!A80="", "", Captura_Pegaso!A80)</f>
        <v/>
      </c>
      <c r="F79" s="7275">
        <f>IF(Captura_Pegaso!A80="", "", Captura_Pegaso!D80)</f>
        <v/>
      </c>
      <c r="G79" s="7276">
        <f>IF(Captura_Pegaso!A80="", "", Captura_Pegaso!E80)</f>
        <v/>
      </c>
      <c r="H79" s="7277">
        <f>IF(Captura_Pegaso!A80="", "", Captura_Pegaso!H80)</f>
        <v/>
      </c>
      <c r="I79" s="7278">
        <f>IF(Captura_Pegaso!A80="", "", SUMIFS(Captura_Obra!$F:$F, Captura_Obra!$A:$A, E79, Captura_Obra!$B:$B, F79, Captura_Obra!$D:$D, G79))</f>
        <v/>
      </c>
      <c r="J79" s="7279">
        <f>IF(Captura_Pegaso!A80="", "", H79 - I79)</f>
        <v/>
      </c>
      <c r="K79" s="3888" t="n"/>
    </row>
    <row r="80">
      <c r="A80" s="7280">
        <f>IF(Captura_Pegaso!A81="", "", "Pegaso")</f>
        <v/>
      </c>
      <c r="B80" s="7281">
        <f>IF(Captura_Pegaso!A81="", "", Captura_Pegaso!N81)</f>
        <v/>
      </c>
      <c r="C80" s="7282">
        <f>IF(Captura_Pegaso!A81="", "", IFERROR(LOOKUP(2, 1/((Captura_Obra!$A$5:$A$1000=E80)*(Captura_Obra!$B$5:$B$1000=F80)*(Captura_Obra!$D$5:$D$1000=G80)), Captura_Obra!$N$5:$N$1000), "No Reportado"))</f>
        <v/>
      </c>
      <c r="D80" s="7283">
        <f>IF(Captura_Pegaso!A81="", "", IF(J80=0, "✅ Cuadrado", IF(I80=0, "❌ Falta en Obra", "⚠️ Dif")))</f>
        <v/>
      </c>
      <c r="E80" s="7284">
        <f>IF(Captura_Pegaso!A81="", "", Captura_Pegaso!A81)</f>
        <v/>
      </c>
      <c r="F80" s="7285">
        <f>IF(Captura_Pegaso!A81="", "", Captura_Pegaso!D81)</f>
        <v/>
      </c>
      <c r="G80" s="7286">
        <f>IF(Captura_Pegaso!A81="", "", Captura_Pegaso!E81)</f>
        <v/>
      </c>
      <c r="H80" s="7287">
        <f>IF(Captura_Pegaso!A81="", "", Captura_Pegaso!H81)</f>
        <v/>
      </c>
      <c r="I80" s="7288">
        <f>IF(Captura_Pegaso!A81="", "", SUMIFS(Captura_Obra!$F:$F, Captura_Obra!$A:$A, E80, Captura_Obra!$B:$B, F80, Captura_Obra!$D:$D, G80))</f>
        <v/>
      </c>
      <c r="J80" s="7289">
        <f>IF(Captura_Pegaso!A81="", "", H80 - I80)</f>
        <v/>
      </c>
      <c r="K80" s="3889" t="n"/>
    </row>
    <row r="81">
      <c r="A81" s="7290">
        <f>IF(Captura_Pegaso!A82="", "", "Pegaso")</f>
        <v/>
      </c>
      <c r="B81" s="7291">
        <f>IF(Captura_Pegaso!A82="", "", Captura_Pegaso!N82)</f>
        <v/>
      </c>
      <c r="C81" s="7292">
        <f>IF(Captura_Pegaso!A82="", "", IFERROR(LOOKUP(2, 1/((Captura_Obra!$A$5:$A$1000=E81)*(Captura_Obra!$B$5:$B$1000=F81)*(Captura_Obra!$D$5:$D$1000=G81)), Captura_Obra!$N$5:$N$1000), "No Reportado"))</f>
        <v/>
      </c>
      <c r="D81" s="7293">
        <f>IF(Captura_Pegaso!A82="", "", IF(J81=0, "✅ Cuadrado", IF(I81=0, "❌ Falta en Obra", "⚠️ Dif")))</f>
        <v/>
      </c>
      <c r="E81" s="7294">
        <f>IF(Captura_Pegaso!A82="", "", Captura_Pegaso!A82)</f>
        <v/>
      </c>
      <c r="F81" s="7295">
        <f>IF(Captura_Pegaso!A82="", "", Captura_Pegaso!D82)</f>
        <v/>
      </c>
      <c r="G81" s="7296">
        <f>IF(Captura_Pegaso!A82="", "", Captura_Pegaso!E82)</f>
        <v/>
      </c>
      <c r="H81" s="7297">
        <f>IF(Captura_Pegaso!A82="", "", Captura_Pegaso!H82)</f>
        <v/>
      </c>
      <c r="I81" s="7298">
        <f>IF(Captura_Pegaso!A82="", "", SUMIFS(Captura_Obra!$F:$F, Captura_Obra!$A:$A, E81, Captura_Obra!$B:$B, F81, Captura_Obra!$D:$D, G81))</f>
        <v/>
      </c>
      <c r="J81" s="7299">
        <f>IF(Captura_Pegaso!A82="", "", H81 - I81)</f>
        <v/>
      </c>
      <c r="K81" s="3890" t="n"/>
    </row>
    <row r="82">
      <c r="A82" s="7300">
        <f>IF(Captura_Pegaso!A83="", "", "Pegaso")</f>
        <v/>
      </c>
      <c r="B82" s="7301">
        <f>IF(Captura_Pegaso!A83="", "", Captura_Pegaso!N83)</f>
        <v/>
      </c>
      <c r="C82" s="7302">
        <f>IF(Captura_Pegaso!A83="", "", IFERROR(LOOKUP(2, 1/((Captura_Obra!$A$5:$A$1000=E82)*(Captura_Obra!$B$5:$B$1000=F82)*(Captura_Obra!$D$5:$D$1000=G82)), Captura_Obra!$N$5:$N$1000), "No Reportado"))</f>
        <v/>
      </c>
      <c r="D82" s="7303">
        <f>IF(Captura_Pegaso!A83="", "", IF(J82=0, "✅ Cuadrado", IF(I82=0, "❌ Falta en Obra", "⚠️ Dif")))</f>
        <v/>
      </c>
      <c r="E82" s="7304">
        <f>IF(Captura_Pegaso!A83="", "", Captura_Pegaso!A83)</f>
        <v/>
      </c>
      <c r="F82" s="7305">
        <f>IF(Captura_Pegaso!A83="", "", Captura_Pegaso!D83)</f>
        <v/>
      </c>
      <c r="G82" s="7306">
        <f>IF(Captura_Pegaso!A83="", "", Captura_Pegaso!E83)</f>
        <v/>
      </c>
      <c r="H82" s="7307">
        <f>IF(Captura_Pegaso!A83="", "", Captura_Pegaso!H83)</f>
        <v/>
      </c>
      <c r="I82" s="7308">
        <f>IF(Captura_Pegaso!A83="", "", SUMIFS(Captura_Obra!$F:$F, Captura_Obra!$A:$A, E82, Captura_Obra!$B:$B, F82, Captura_Obra!$D:$D, G82))</f>
        <v/>
      </c>
      <c r="J82" s="7309">
        <f>IF(Captura_Pegaso!A83="", "", H82 - I82)</f>
        <v/>
      </c>
      <c r="K82" s="3891" t="n"/>
    </row>
    <row r="83">
      <c r="A83" s="7310">
        <f>IF(Captura_Pegaso!A84="", "", "Pegaso")</f>
        <v/>
      </c>
      <c r="B83" s="7311">
        <f>IF(Captura_Pegaso!A84="", "", Captura_Pegaso!N84)</f>
        <v/>
      </c>
      <c r="C83" s="7312">
        <f>IF(Captura_Pegaso!A84="", "", IFERROR(LOOKUP(2, 1/((Captura_Obra!$A$5:$A$1000=E83)*(Captura_Obra!$B$5:$B$1000=F83)*(Captura_Obra!$D$5:$D$1000=G83)), Captura_Obra!$N$5:$N$1000), "No Reportado"))</f>
        <v/>
      </c>
      <c r="D83" s="7313">
        <f>IF(Captura_Pegaso!A84="", "", IF(J83=0, "✅ Cuadrado", IF(I83=0, "❌ Falta en Obra", "⚠️ Dif")))</f>
        <v/>
      </c>
      <c r="E83" s="7314">
        <f>IF(Captura_Pegaso!A84="", "", Captura_Pegaso!A84)</f>
        <v/>
      </c>
      <c r="F83" s="7315">
        <f>IF(Captura_Pegaso!A84="", "", Captura_Pegaso!D84)</f>
        <v/>
      </c>
      <c r="G83" s="7316">
        <f>IF(Captura_Pegaso!A84="", "", Captura_Pegaso!E84)</f>
        <v/>
      </c>
      <c r="H83" s="7317">
        <f>IF(Captura_Pegaso!A84="", "", Captura_Pegaso!H84)</f>
        <v/>
      </c>
      <c r="I83" s="7318">
        <f>IF(Captura_Pegaso!A84="", "", SUMIFS(Captura_Obra!$F:$F, Captura_Obra!$A:$A, E83, Captura_Obra!$B:$B, F83, Captura_Obra!$D:$D, G83))</f>
        <v/>
      </c>
      <c r="J83" s="7319">
        <f>IF(Captura_Pegaso!A84="", "", H83 - I83)</f>
        <v/>
      </c>
      <c r="K83" s="3892" t="n"/>
    </row>
    <row r="84">
      <c r="A84" s="7320">
        <f>IF(Captura_Pegaso!A85="", "", "Pegaso")</f>
        <v/>
      </c>
      <c r="B84" s="7321">
        <f>IF(Captura_Pegaso!A85="", "", Captura_Pegaso!N85)</f>
        <v/>
      </c>
      <c r="C84" s="7322">
        <f>IF(Captura_Pegaso!A85="", "", IFERROR(LOOKUP(2, 1/((Captura_Obra!$A$5:$A$1000=E84)*(Captura_Obra!$B$5:$B$1000=F84)*(Captura_Obra!$D$5:$D$1000=G84)), Captura_Obra!$N$5:$N$1000), "No Reportado"))</f>
        <v/>
      </c>
      <c r="D84" s="7323">
        <f>IF(Captura_Pegaso!A85="", "", IF(J84=0, "✅ Cuadrado", IF(I84=0, "❌ Falta en Obra", "⚠️ Dif")))</f>
        <v/>
      </c>
      <c r="E84" s="7324">
        <f>IF(Captura_Pegaso!A85="", "", Captura_Pegaso!A85)</f>
        <v/>
      </c>
      <c r="F84" s="7325">
        <f>IF(Captura_Pegaso!A85="", "", Captura_Pegaso!D85)</f>
        <v/>
      </c>
      <c r="G84" s="7326">
        <f>IF(Captura_Pegaso!A85="", "", Captura_Pegaso!E85)</f>
        <v/>
      </c>
      <c r="H84" s="7327">
        <f>IF(Captura_Pegaso!A85="", "", Captura_Pegaso!H85)</f>
        <v/>
      </c>
      <c r="I84" s="7328">
        <f>IF(Captura_Pegaso!A85="", "", SUMIFS(Captura_Obra!$F:$F, Captura_Obra!$A:$A, E84, Captura_Obra!$B:$B, F84, Captura_Obra!$D:$D, G84))</f>
        <v/>
      </c>
      <c r="J84" s="7329">
        <f>IF(Captura_Pegaso!A85="", "", H84 - I84)</f>
        <v/>
      </c>
      <c r="K84" s="3893" t="n"/>
    </row>
    <row r="85">
      <c r="A85" s="7330">
        <f>IF(Captura_Pegaso!A86="", "", "Pegaso")</f>
        <v/>
      </c>
      <c r="B85" s="7331">
        <f>IF(Captura_Pegaso!A86="", "", Captura_Pegaso!N86)</f>
        <v/>
      </c>
      <c r="C85" s="7332">
        <f>IF(Captura_Pegaso!A86="", "", IFERROR(LOOKUP(2, 1/((Captura_Obra!$A$5:$A$1000=E85)*(Captura_Obra!$B$5:$B$1000=F85)*(Captura_Obra!$D$5:$D$1000=G85)), Captura_Obra!$N$5:$N$1000), "No Reportado"))</f>
        <v/>
      </c>
      <c r="D85" s="7333">
        <f>IF(Captura_Pegaso!A86="", "", IF(J85=0, "✅ Cuadrado", IF(I85=0, "❌ Falta en Obra", "⚠️ Dif")))</f>
        <v/>
      </c>
      <c r="E85" s="7334">
        <f>IF(Captura_Pegaso!A86="", "", Captura_Pegaso!A86)</f>
        <v/>
      </c>
      <c r="F85" s="7335">
        <f>IF(Captura_Pegaso!A86="", "", Captura_Pegaso!D86)</f>
        <v/>
      </c>
      <c r="G85" s="7336">
        <f>IF(Captura_Pegaso!A86="", "", Captura_Pegaso!E86)</f>
        <v/>
      </c>
      <c r="H85" s="7337">
        <f>IF(Captura_Pegaso!A86="", "", Captura_Pegaso!H86)</f>
        <v/>
      </c>
      <c r="I85" s="7338">
        <f>IF(Captura_Pegaso!A86="", "", SUMIFS(Captura_Obra!$F:$F, Captura_Obra!$A:$A, E85, Captura_Obra!$B:$B, F85, Captura_Obra!$D:$D, G85))</f>
        <v/>
      </c>
      <c r="J85" s="7339">
        <f>IF(Captura_Pegaso!A86="", "", H85 - I85)</f>
        <v/>
      </c>
      <c r="K85" s="3894" t="n"/>
    </row>
    <row r="86">
      <c r="A86" s="7340">
        <f>IF(Captura_Pegaso!A87="", "", "Pegaso")</f>
        <v/>
      </c>
      <c r="B86" s="7341">
        <f>IF(Captura_Pegaso!A87="", "", Captura_Pegaso!N87)</f>
        <v/>
      </c>
      <c r="C86" s="7342">
        <f>IF(Captura_Pegaso!A87="", "", IFERROR(LOOKUP(2, 1/((Captura_Obra!$A$5:$A$1000=E86)*(Captura_Obra!$B$5:$B$1000=F86)*(Captura_Obra!$D$5:$D$1000=G86)), Captura_Obra!$N$5:$N$1000), "No Reportado"))</f>
        <v/>
      </c>
      <c r="D86" s="7343">
        <f>IF(Captura_Pegaso!A87="", "", IF(J86=0, "✅ Cuadrado", IF(I86=0, "❌ Falta en Obra", "⚠️ Dif")))</f>
        <v/>
      </c>
      <c r="E86" s="7344">
        <f>IF(Captura_Pegaso!A87="", "", Captura_Pegaso!A87)</f>
        <v/>
      </c>
      <c r="F86" s="7345">
        <f>IF(Captura_Pegaso!A87="", "", Captura_Pegaso!D87)</f>
        <v/>
      </c>
      <c r="G86" s="7346">
        <f>IF(Captura_Pegaso!A87="", "", Captura_Pegaso!E87)</f>
        <v/>
      </c>
      <c r="H86" s="7347">
        <f>IF(Captura_Pegaso!A87="", "", Captura_Pegaso!H87)</f>
        <v/>
      </c>
      <c r="I86" s="7348">
        <f>IF(Captura_Pegaso!A87="", "", SUMIFS(Captura_Obra!$F:$F, Captura_Obra!$A:$A, E86, Captura_Obra!$B:$B, F86, Captura_Obra!$D:$D, G86))</f>
        <v/>
      </c>
      <c r="J86" s="7349">
        <f>IF(Captura_Pegaso!A87="", "", H86 - I86)</f>
        <v/>
      </c>
      <c r="K86" s="3895" t="n"/>
    </row>
    <row r="87">
      <c r="A87" s="7350">
        <f>IF(Captura_Pegaso!A88="", "", "Pegaso")</f>
        <v/>
      </c>
      <c r="B87" s="7351">
        <f>IF(Captura_Pegaso!A88="", "", Captura_Pegaso!N88)</f>
        <v/>
      </c>
      <c r="C87" s="7352">
        <f>IF(Captura_Pegaso!A88="", "", IFERROR(LOOKUP(2, 1/((Captura_Obra!$A$5:$A$1000=E87)*(Captura_Obra!$B$5:$B$1000=F87)*(Captura_Obra!$D$5:$D$1000=G87)), Captura_Obra!$N$5:$N$1000), "No Reportado"))</f>
        <v/>
      </c>
      <c r="D87" s="7353">
        <f>IF(Captura_Pegaso!A88="", "", IF(J87=0, "✅ Cuadrado", IF(I87=0, "❌ Falta en Obra", "⚠️ Dif")))</f>
        <v/>
      </c>
      <c r="E87" s="7354">
        <f>IF(Captura_Pegaso!A88="", "", Captura_Pegaso!A88)</f>
        <v/>
      </c>
      <c r="F87" s="7355">
        <f>IF(Captura_Pegaso!A88="", "", Captura_Pegaso!D88)</f>
        <v/>
      </c>
      <c r="G87" s="7356">
        <f>IF(Captura_Pegaso!A88="", "", Captura_Pegaso!E88)</f>
        <v/>
      </c>
      <c r="H87" s="7357">
        <f>IF(Captura_Pegaso!A88="", "", Captura_Pegaso!H88)</f>
        <v/>
      </c>
      <c r="I87" s="7358">
        <f>IF(Captura_Pegaso!A88="", "", SUMIFS(Captura_Obra!$F:$F, Captura_Obra!$A:$A, E87, Captura_Obra!$B:$B, F87, Captura_Obra!$D:$D, G87))</f>
        <v/>
      </c>
      <c r="J87" s="7359">
        <f>IF(Captura_Pegaso!A88="", "", H87 - I87)</f>
        <v/>
      </c>
      <c r="K87" s="3896" t="n"/>
    </row>
    <row r="88">
      <c r="A88" s="7360">
        <f>IF(Captura_Pegaso!A89="", "", "Pegaso")</f>
        <v/>
      </c>
      <c r="B88" s="7361">
        <f>IF(Captura_Pegaso!A89="", "", Captura_Pegaso!N89)</f>
        <v/>
      </c>
      <c r="C88" s="7362">
        <f>IF(Captura_Pegaso!A89="", "", IFERROR(LOOKUP(2, 1/((Captura_Obra!$A$5:$A$1000=E88)*(Captura_Obra!$B$5:$B$1000=F88)*(Captura_Obra!$D$5:$D$1000=G88)), Captura_Obra!$N$5:$N$1000), "No Reportado"))</f>
        <v/>
      </c>
      <c r="D88" s="7363">
        <f>IF(Captura_Pegaso!A89="", "", IF(J88=0, "✅ Cuadrado", IF(I88=0, "❌ Falta en Obra", "⚠️ Dif")))</f>
        <v/>
      </c>
      <c r="E88" s="7364">
        <f>IF(Captura_Pegaso!A89="", "", Captura_Pegaso!A89)</f>
        <v/>
      </c>
      <c r="F88" s="7365">
        <f>IF(Captura_Pegaso!A89="", "", Captura_Pegaso!D89)</f>
        <v/>
      </c>
      <c r="G88" s="7366">
        <f>IF(Captura_Pegaso!A89="", "", Captura_Pegaso!E89)</f>
        <v/>
      </c>
      <c r="H88" s="7367">
        <f>IF(Captura_Pegaso!A89="", "", Captura_Pegaso!H89)</f>
        <v/>
      </c>
      <c r="I88" s="7368">
        <f>IF(Captura_Pegaso!A89="", "", SUMIFS(Captura_Obra!$F:$F, Captura_Obra!$A:$A, E88, Captura_Obra!$B:$B, F88, Captura_Obra!$D:$D, G88))</f>
        <v/>
      </c>
      <c r="J88" s="7369">
        <f>IF(Captura_Pegaso!A89="", "", H88 - I88)</f>
        <v/>
      </c>
      <c r="K88" s="3897" t="n"/>
    </row>
    <row r="89">
      <c r="A89" s="7370">
        <f>IF(Captura_Pegaso!A90="", "", "Pegaso")</f>
        <v/>
      </c>
      <c r="B89" s="7371">
        <f>IF(Captura_Pegaso!A90="", "", Captura_Pegaso!N90)</f>
        <v/>
      </c>
      <c r="C89" s="7372">
        <f>IF(Captura_Pegaso!A90="", "", IFERROR(LOOKUP(2, 1/((Captura_Obra!$A$5:$A$1000=E89)*(Captura_Obra!$B$5:$B$1000=F89)*(Captura_Obra!$D$5:$D$1000=G89)), Captura_Obra!$N$5:$N$1000), "No Reportado"))</f>
        <v/>
      </c>
      <c r="D89" s="7373">
        <f>IF(Captura_Pegaso!A90="", "", IF(J89=0, "✅ Cuadrado", IF(I89=0, "❌ Falta en Obra", "⚠️ Dif")))</f>
        <v/>
      </c>
      <c r="E89" s="7374">
        <f>IF(Captura_Pegaso!A90="", "", Captura_Pegaso!A90)</f>
        <v/>
      </c>
      <c r="F89" s="7375">
        <f>IF(Captura_Pegaso!A90="", "", Captura_Pegaso!D90)</f>
        <v/>
      </c>
      <c r="G89" s="7376">
        <f>IF(Captura_Pegaso!A90="", "", Captura_Pegaso!E90)</f>
        <v/>
      </c>
      <c r="H89" s="7377">
        <f>IF(Captura_Pegaso!A90="", "", Captura_Pegaso!H90)</f>
        <v/>
      </c>
      <c r="I89" s="7378">
        <f>IF(Captura_Pegaso!A90="", "", SUMIFS(Captura_Obra!$F:$F, Captura_Obra!$A:$A, E89, Captura_Obra!$B:$B, F89, Captura_Obra!$D:$D, G89))</f>
        <v/>
      </c>
      <c r="J89" s="7379">
        <f>IF(Captura_Pegaso!A90="", "", H89 - I89)</f>
        <v/>
      </c>
      <c r="K89" s="3898" t="n"/>
    </row>
    <row r="90">
      <c r="A90" s="7380">
        <f>IF(Captura_Pegaso!A91="", "", "Pegaso")</f>
        <v/>
      </c>
      <c r="B90" s="7381">
        <f>IF(Captura_Pegaso!A91="", "", Captura_Pegaso!N91)</f>
        <v/>
      </c>
      <c r="C90" s="7382">
        <f>IF(Captura_Pegaso!A91="", "", IFERROR(LOOKUP(2, 1/((Captura_Obra!$A$5:$A$1000=E90)*(Captura_Obra!$B$5:$B$1000=F90)*(Captura_Obra!$D$5:$D$1000=G90)), Captura_Obra!$N$5:$N$1000), "No Reportado"))</f>
        <v/>
      </c>
      <c r="D90" s="7383">
        <f>IF(Captura_Pegaso!A91="", "", IF(J90=0, "✅ Cuadrado", IF(I90=0, "❌ Falta en Obra", "⚠️ Dif")))</f>
        <v/>
      </c>
      <c r="E90" s="7384">
        <f>IF(Captura_Pegaso!A91="", "", Captura_Pegaso!A91)</f>
        <v/>
      </c>
      <c r="F90" s="7385">
        <f>IF(Captura_Pegaso!A91="", "", Captura_Pegaso!D91)</f>
        <v/>
      </c>
      <c r="G90" s="7386">
        <f>IF(Captura_Pegaso!A91="", "", Captura_Pegaso!E91)</f>
        <v/>
      </c>
      <c r="H90" s="7387">
        <f>IF(Captura_Pegaso!A91="", "", Captura_Pegaso!H91)</f>
        <v/>
      </c>
      <c r="I90" s="7388">
        <f>IF(Captura_Pegaso!A91="", "", SUMIFS(Captura_Obra!$F:$F, Captura_Obra!$A:$A, E90, Captura_Obra!$B:$B, F90, Captura_Obra!$D:$D, G90))</f>
        <v/>
      </c>
      <c r="J90" s="7389">
        <f>IF(Captura_Pegaso!A91="", "", H90 - I90)</f>
        <v/>
      </c>
      <c r="K90" s="3899" t="n"/>
    </row>
    <row r="91">
      <c r="A91" s="7390">
        <f>IF(Captura_Pegaso!A92="", "", "Pegaso")</f>
        <v/>
      </c>
      <c r="B91" s="7391">
        <f>IF(Captura_Pegaso!A92="", "", Captura_Pegaso!N92)</f>
        <v/>
      </c>
      <c r="C91" s="7392">
        <f>IF(Captura_Pegaso!A92="", "", IFERROR(LOOKUP(2, 1/((Captura_Obra!$A$5:$A$1000=E91)*(Captura_Obra!$B$5:$B$1000=F91)*(Captura_Obra!$D$5:$D$1000=G91)), Captura_Obra!$N$5:$N$1000), "No Reportado"))</f>
        <v/>
      </c>
      <c r="D91" s="7393">
        <f>IF(Captura_Pegaso!A92="", "", IF(J91=0, "✅ Cuadrado", IF(I91=0, "❌ Falta en Obra", "⚠️ Dif")))</f>
        <v/>
      </c>
      <c r="E91" s="7394">
        <f>IF(Captura_Pegaso!A92="", "", Captura_Pegaso!A92)</f>
        <v/>
      </c>
      <c r="F91" s="7395">
        <f>IF(Captura_Pegaso!A92="", "", Captura_Pegaso!D92)</f>
        <v/>
      </c>
      <c r="G91" s="7396">
        <f>IF(Captura_Pegaso!A92="", "", Captura_Pegaso!E92)</f>
        <v/>
      </c>
      <c r="H91" s="7397">
        <f>IF(Captura_Pegaso!A92="", "", Captura_Pegaso!H92)</f>
        <v/>
      </c>
      <c r="I91" s="7398">
        <f>IF(Captura_Pegaso!A92="", "", SUMIFS(Captura_Obra!$F:$F, Captura_Obra!$A:$A, E91, Captura_Obra!$B:$B, F91, Captura_Obra!$D:$D, G91))</f>
        <v/>
      </c>
      <c r="J91" s="7399">
        <f>IF(Captura_Pegaso!A92="", "", H91 - I91)</f>
        <v/>
      </c>
      <c r="K91" s="3900" t="n"/>
    </row>
    <row r="92">
      <c r="A92" s="7400">
        <f>IF(Captura_Pegaso!A93="", "", "Pegaso")</f>
        <v/>
      </c>
      <c r="B92" s="7401">
        <f>IF(Captura_Pegaso!A93="", "", Captura_Pegaso!N93)</f>
        <v/>
      </c>
      <c r="C92" s="7402">
        <f>IF(Captura_Pegaso!A93="", "", IFERROR(LOOKUP(2, 1/((Captura_Obra!$A$5:$A$1000=E92)*(Captura_Obra!$B$5:$B$1000=F92)*(Captura_Obra!$D$5:$D$1000=G92)), Captura_Obra!$N$5:$N$1000), "No Reportado"))</f>
        <v/>
      </c>
      <c r="D92" s="7403">
        <f>IF(Captura_Pegaso!A93="", "", IF(J92=0, "✅ Cuadrado", IF(I92=0, "❌ Falta en Obra", "⚠️ Dif")))</f>
        <v/>
      </c>
      <c r="E92" s="7404">
        <f>IF(Captura_Pegaso!A93="", "", Captura_Pegaso!A93)</f>
        <v/>
      </c>
      <c r="F92" s="7405">
        <f>IF(Captura_Pegaso!A93="", "", Captura_Pegaso!D93)</f>
        <v/>
      </c>
      <c r="G92" s="7406">
        <f>IF(Captura_Pegaso!A93="", "", Captura_Pegaso!E93)</f>
        <v/>
      </c>
      <c r="H92" s="7407">
        <f>IF(Captura_Pegaso!A93="", "", Captura_Pegaso!H93)</f>
        <v/>
      </c>
      <c r="I92" s="7408">
        <f>IF(Captura_Pegaso!A93="", "", SUMIFS(Captura_Obra!$F:$F, Captura_Obra!$A:$A, E92, Captura_Obra!$B:$B, F92, Captura_Obra!$D:$D, G92))</f>
        <v/>
      </c>
      <c r="J92" s="7409">
        <f>IF(Captura_Pegaso!A93="", "", H92 - I92)</f>
        <v/>
      </c>
      <c r="K92" s="3901" t="n"/>
    </row>
    <row r="93">
      <c r="A93" s="7410">
        <f>IF(Captura_Pegaso!A94="", "", "Pegaso")</f>
        <v/>
      </c>
      <c r="B93" s="7411">
        <f>IF(Captura_Pegaso!A94="", "", Captura_Pegaso!N94)</f>
        <v/>
      </c>
      <c r="C93" s="7412">
        <f>IF(Captura_Pegaso!A94="", "", IFERROR(LOOKUP(2, 1/((Captura_Obra!$A$5:$A$1000=E93)*(Captura_Obra!$B$5:$B$1000=F93)*(Captura_Obra!$D$5:$D$1000=G93)), Captura_Obra!$N$5:$N$1000), "No Reportado"))</f>
        <v/>
      </c>
      <c r="D93" s="7413">
        <f>IF(Captura_Pegaso!A94="", "", IF(J93=0, "✅ Cuadrado", IF(I93=0, "❌ Falta en Obra", "⚠️ Dif")))</f>
        <v/>
      </c>
      <c r="E93" s="7414">
        <f>IF(Captura_Pegaso!A94="", "", Captura_Pegaso!A94)</f>
        <v/>
      </c>
      <c r="F93" s="7415">
        <f>IF(Captura_Pegaso!A94="", "", Captura_Pegaso!D94)</f>
        <v/>
      </c>
      <c r="G93" s="7416">
        <f>IF(Captura_Pegaso!A94="", "", Captura_Pegaso!E94)</f>
        <v/>
      </c>
      <c r="H93" s="7417">
        <f>IF(Captura_Pegaso!A94="", "", Captura_Pegaso!H94)</f>
        <v/>
      </c>
      <c r="I93" s="7418">
        <f>IF(Captura_Pegaso!A94="", "", SUMIFS(Captura_Obra!$F:$F, Captura_Obra!$A:$A, E93, Captura_Obra!$B:$B, F93, Captura_Obra!$D:$D, G93))</f>
        <v/>
      </c>
      <c r="J93" s="7419">
        <f>IF(Captura_Pegaso!A94="", "", H93 - I93)</f>
        <v/>
      </c>
      <c r="K93" s="3902" t="n"/>
    </row>
    <row r="94">
      <c r="A94" s="7420">
        <f>IF(Captura_Pegaso!A95="", "", "Pegaso")</f>
        <v/>
      </c>
      <c r="B94" s="7421">
        <f>IF(Captura_Pegaso!A95="", "", Captura_Pegaso!N95)</f>
        <v/>
      </c>
      <c r="C94" s="7422">
        <f>IF(Captura_Pegaso!A95="", "", IFERROR(LOOKUP(2, 1/((Captura_Obra!$A$5:$A$1000=E94)*(Captura_Obra!$B$5:$B$1000=F94)*(Captura_Obra!$D$5:$D$1000=G94)), Captura_Obra!$N$5:$N$1000), "No Reportado"))</f>
        <v/>
      </c>
      <c r="D94" s="7423">
        <f>IF(Captura_Pegaso!A95="", "", IF(J94=0, "✅ Cuadrado", IF(I94=0, "❌ Falta en Obra", "⚠️ Dif")))</f>
        <v/>
      </c>
      <c r="E94" s="7424">
        <f>IF(Captura_Pegaso!A95="", "", Captura_Pegaso!A95)</f>
        <v/>
      </c>
      <c r="F94" s="7425">
        <f>IF(Captura_Pegaso!A95="", "", Captura_Pegaso!D95)</f>
        <v/>
      </c>
      <c r="G94" s="7426">
        <f>IF(Captura_Pegaso!A95="", "", Captura_Pegaso!E95)</f>
        <v/>
      </c>
      <c r="H94" s="7427">
        <f>IF(Captura_Pegaso!A95="", "", Captura_Pegaso!H95)</f>
        <v/>
      </c>
      <c r="I94" s="7428">
        <f>IF(Captura_Pegaso!A95="", "", SUMIFS(Captura_Obra!$F:$F, Captura_Obra!$A:$A, E94, Captura_Obra!$B:$B, F94, Captura_Obra!$D:$D, G94))</f>
        <v/>
      </c>
      <c r="J94" s="7429">
        <f>IF(Captura_Pegaso!A95="", "", H94 - I94)</f>
        <v/>
      </c>
      <c r="K94" s="3903" t="n"/>
    </row>
    <row r="95">
      <c r="A95" s="7430">
        <f>IF(Captura_Pegaso!A96="", "", "Pegaso")</f>
        <v/>
      </c>
      <c r="B95" s="7431">
        <f>IF(Captura_Pegaso!A96="", "", Captura_Pegaso!N96)</f>
        <v/>
      </c>
      <c r="C95" s="7432">
        <f>IF(Captura_Pegaso!A96="", "", IFERROR(LOOKUP(2, 1/((Captura_Obra!$A$5:$A$1000=E95)*(Captura_Obra!$B$5:$B$1000=F95)*(Captura_Obra!$D$5:$D$1000=G95)), Captura_Obra!$N$5:$N$1000), "No Reportado"))</f>
        <v/>
      </c>
      <c r="D95" s="7433">
        <f>IF(Captura_Pegaso!A96="", "", IF(J95=0, "✅ Cuadrado", IF(I95=0, "❌ Falta en Obra", "⚠️ Dif")))</f>
        <v/>
      </c>
      <c r="E95" s="7434">
        <f>IF(Captura_Pegaso!A96="", "", Captura_Pegaso!A96)</f>
        <v/>
      </c>
      <c r="F95" s="7435">
        <f>IF(Captura_Pegaso!A96="", "", Captura_Pegaso!D96)</f>
        <v/>
      </c>
      <c r="G95" s="7436">
        <f>IF(Captura_Pegaso!A96="", "", Captura_Pegaso!E96)</f>
        <v/>
      </c>
      <c r="H95" s="7437">
        <f>IF(Captura_Pegaso!A96="", "", Captura_Pegaso!H96)</f>
        <v/>
      </c>
      <c r="I95" s="7438">
        <f>IF(Captura_Pegaso!A96="", "", SUMIFS(Captura_Obra!$F:$F, Captura_Obra!$A:$A, E95, Captura_Obra!$B:$B, F95, Captura_Obra!$D:$D, G95))</f>
        <v/>
      </c>
      <c r="J95" s="7439">
        <f>IF(Captura_Pegaso!A96="", "", H95 - I95)</f>
        <v/>
      </c>
      <c r="K95" s="3904" t="n"/>
    </row>
    <row r="96">
      <c r="A96" s="7440">
        <f>IF(Captura_Pegaso!A97="", "", "Pegaso")</f>
        <v/>
      </c>
      <c r="B96" s="7441">
        <f>IF(Captura_Pegaso!A97="", "", Captura_Pegaso!N97)</f>
        <v/>
      </c>
      <c r="C96" s="7442">
        <f>IF(Captura_Pegaso!A97="", "", IFERROR(LOOKUP(2, 1/((Captura_Obra!$A$5:$A$1000=E96)*(Captura_Obra!$B$5:$B$1000=F96)*(Captura_Obra!$D$5:$D$1000=G96)), Captura_Obra!$N$5:$N$1000), "No Reportado"))</f>
        <v/>
      </c>
      <c r="D96" s="7443">
        <f>IF(Captura_Pegaso!A97="", "", IF(J96=0, "✅ Cuadrado", IF(I96=0, "❌ Falta en Obra", "⚠️ Dif")))</f>
        <v/>
      </c>
      <c r="E96" s="7444">
        <f>IF(Captura_Pegaso!A97="", "", Captura_Pegaso!A97)</f>
        <v/>
      </c>
      <c r="F96" s="7445">
        <f>IF(Captura_Pegaso!A97="", "", Captura_Pegaso!D97)</f>
        <v/>
      </c>
      <c r="G96" s="7446">
        <f>IF(Captura_Pegaso!A97="", "", Captura_Pegaso!E97)</f>
        <v/>
      </c>
      <c r="H96" s="7447">
        <f>IF(Captura_Pegaso!A97="", "", Captura_Pegaso!H97)</f>
        <v/>
      </c>
      <c r="I96" s="7448">
        <f>IF(Captura_Pegaso!A97="", "", SUMIFS(Captura_Obra!$F:$F, Captura_Obra!$A:$A, E96, Captura_Obra!$B:$B, F96, Captura_Obra!$D:$D, G96))</f>
        <v/>
      </c>
      <c r="J96" s="7449">
        <f>IF(Captura_Pegaso!A97="", "", H96 - I96)</f>
        <v/>
      </c>
      <c r="K96" s="3905" t="n"/>
    </row>
    <row r="97">
      <c r="A97" s="7450">
        <f>IF(Captura_Pegaso!A98="", "", "Pegaso")</f>
        <v/>
      </c>
      <c r="B97" s="7451">
        <f>IF(Captura_Pegaso!A98="", "", Captura_Pegaso!N98)</f>
        <v/>
      </c>
      <c r="C97" s="7452">
        <f>IF(Captura_Pegaso!A98="", "", IFERROR(LOOKUP(2, 1/((Captura_Obra!$A$5:$A$1000=E97)*(Captura_Obra!$B$5:$B$1000=F97)*(Captura_Obra!$D$5:$D$1000=G97)), Captura_Obra!$N$5:$N$1000), "No Reportado"))</f>
        <v/>
      </c>
      <c r="D97" s="7453">
        <f>IF(Captura_Pegaso!A98="", "", IF(J97=0, "✅ Cuadrado", IF(I97=0, "❌ Falta en Obra", "⚠️ Dif")))</f>
        <v/>
      </c>
      <c r="E97" s="7454">
        <f>IF(Captura_Pegaso!A98="", "", Captura_Pegaso!A98)</f>
        <v/>
      </c>
      <c r="F97" s="7455">
        <f>IF(Captura_Pegaso!A98="", "", Captura_Pegaso!D98)</f>
        <v/>
      </c>
      <c r="G97" s="7456">
        <f>IF(Captura_Pegaso!A98="", "", Captura_Pegaso!E98)</f>
        <v/>
      </c>
      <c r="H97" s="7457">
        <f>IF(Captura_Pegaso!A98="", "", Captura_Pegaso!H98)</f>
        <v/>
      </c>
      <c r="I97" s="7458">
        <f>IF(Captura_Pegaso!A98="", "", SUMIFS(Captura_Obra!$F:$F, Captura_Obra!$A:$A, E97, Captura_Obra!$B:$B, F97, Captura_Obra!$D:$D, G97))</f>
        <v/>
      </c>
      <c r="J97" s="7459">
        <f>IF(Captura_Pegaso!A98="", "", H97 - I97)</f>
        <v/>
      </c>
      <c r="K97" s="3906" t="n"/>
    </row>
    <row r="98">
      <c r="A98" s="7460">
        <f>IF(Captura_Pegaso!A99="", "", "Pegaso")</f>
        <v/>
      </c>
      <c r="B98" s="7461">
        <f>IF(Captura_Pegaso!A99="", "", Captura_Pegaso!N99)</f>
        <v/>
      </c>
      <c r="C98" s="7462">
        <f>IF(Captura_Pegaso!A99="", "", IFERROR(LOOKUP(2, 1/((Captura_Obra!$A$5:$A$1000=E98)*(Captura_Obra!$B$5:$B$1000=F98)*(Captura_Obra!$D$5:$D$1000=G98)), Captura_Obra!$N$5:$N$1000), "No Reportado"))</f>
        <v/>
      </c>
      <c r="D98" s="7463">
        <f>IF(Captura_Pegaso!A99="", "", IF(J98=0, "✅ Cuadrado", IF(I98=0, "❌ Falta en Obra", "⚠️ Dif")))</f>
        <v/>
      </c>
      <c r="E98" s="7464">
        <f>IF(Captura_Pegaso!A99="", "", Captura_Pegaso!A99)</f>
        <v/>
      </c>
      <c r="F98" s="7465">
        <f>IF(Captura_Pegaso!A99="", "", Captura_Pegaso!D99)</f>
        <v/>
      </c>
      <c r="G98" s="7466">
        <f>IF(Captura_Pegaso!A99="", "", Captura_Pegaso!E99)</f>
        <v/>
      </c>
      <c r="H98" s="7467">
        <f>IF(Captura_Pegaso!A99="", "", Captura_Pegaso!H99)</f>
        <v/>
      </c>
      <c r="I98" s="7468">
        <f>IF(Captura_Pegaso!A99="", "", SUMIFS(Captura_Obra!$F:$F, Captura_Obra!$A:$A, E98, Captura_Obra!$B:$B, F98, Captura_Obra!$D:$D, G98))</f>
        <v/>
      </c>
      <c r="J98" s="7469">
        <f>IF(Captura_Pegaso!A99="", "", H98 - I98)</f>
        <v/>
      </c>
      <c r="K98" s="3907" t="n"/>
    </row>
    <row r="99">
      <c r="A99" s="7470">
        <f>IF(Captura_Pegaso!A100="", "", "Pegaso")</f>
        <v/>
      </c>
      <c r="B99" s="7471">
        <f>IF(Captura_Pegaso!A100="", "", Captura_Pegaso!N100)</f>
        <v/>
      </c>
      <c r="C99" s="7472">
        <f>IF(Captura_Pegaso!A100="", "", IFERROR(LOOKUP(2, 1/((Captura_Obra!$A$5:$A$1000=E99)*(Captura_Obra!$B$5:$B$1000=F99)*(Captura_Obra!$D$5:$D$1000=G99)), Captura_Obra!$N$5:$N$1000), "No Reportado"))</f>
        <v/>
      </c>
      <c r="D99" s="7473">
        <f>IF(Captura_Pegaso!A100="", "", IF(J99=0, "✅ Cuadrado", IF(I99=0, "❌ Falta en Obra", "⚠️ Dif")))</f>
        <v/>
      </c>
      <c r="E99" s="7474">
        <f>IF(Captura_Pegaso!A100="", "", Captura_Pegaso!A100)</f>
        <v/>
      </c>
      <c r="F99" s="7475">
        <f>IF(Captura_Pegaso!A100="", "", Captura_Pegaso!D100)</f>
        <v/>
      </c>
      <c r="G99" s="7476">
        <f>IF(Captura_Pegaso!A100="", "", Captura_Pegaso!E100)</f>
        <v/>
      </c>
      <c r="H99" s="7477">
        <f>IF(Captura_Pegaso!A100="", "", Captura_Pegaso!H100)</f>
        <v/>
      </c>
      <c r="I99" s="7478">
        <f>IF(Captura_Pegaso!A100="", "", SUMIFS(Captura_Obra!$F:$F, Captura_Obra!$A:$A, E99, Captura_Obra!$B:$B, F99, Captura_Obra!$D:$D, G99))</f>
        <v/>
      </c>
      <c r="J99" s="7479">
        <f>IF(Captura_Pegaso!A100="", "", H99 - I99)</f>
        <v/>
      </c>
      <c r="K99" s="3908" t="n"/>
    </row>
    <row r="100">
      <c r="A100" s="7480">
        <f>IF(Captura_Pegaso!A101="", "", "Pegaso")</f>
        <v/>
      </c>
      <c r="B100" s="7481">
        <f>IF(Captura_Pegaso!A101="", "", Captura_Pegaso!N101)</f>
        <v/>
      </c>
      <c r="C100" s="7482">
        <f>IF(Captura_Pegaso!A101="", "", IFERROR(LOOKUP(2, 1/((Captura_Obra!$A$5:$A$1000=E100)*(Captura_Obra!$B$5:$B$1000=F100)*(Captura_Obra!$D$5:$D$1000=G100)), Captura_Obra!$N$5:$N$1000), "No Reportado"))</f>
        <v/>
      </c>
      <c r="D100" s="7483">
        <f>IF(Captura_Pegaso!A101="", "", IF(J100=0, "✅ Cuadrado", IF(I100=0, "❌ Falta en Obra", "⚠️ Dif")))</f>
        <v/>
      </c>
      <c r="E100" s="7484">
        <f>IF(Captura_Pegaso!A101="", "", Captura_Pegaso!A101)</f>
        <v/>
      </c>
      <c r="F100" s="7485">
        <f>IF(Captura_Pegaso!A101="", "", Captura_Pegaso!D101)</f>
        <v/>
      </c>
      <c r="G100" s="7486">
        <f>IF(Captura_Pegaso!A101="", "", Captura_Pegaso!E101)</f>
        <v/>
      </c>
      <c r="H100" s="7487">
        <f>IF(Captura_Pegaso!A101="", "", Captura_Pegaso!H101)</f>
        <v/>
      </c>
      <c r="I100" s="7488">
        <f>IF(Captura_Pegaso!A101="", "", SUMIFS(Captura_Obra!$F:$F, Captura_Obra!$A:$A, E100, Captura_Obra!$B:$B, F100, Captura_Obra!$D:$D, G100))</f>
        <v/>
      </c>
      <c r="J100" s="7489">
        <f>IF(Captura_Pegaso!A101="", "", H100 - I100)</f>
        <v/>
      </c>
      <c r="K100" s="3909" t="n"/>
    </row>
    <row r="101">
      <c r="A101" s="7490">
        <f>IF(Captura_Pegaso!A102="", "", "Pegaso")</f>
        <v/>
      </c>
      <c r="B101" s="7491">
        <f>IF(Captura_Pegaso!A102="", "", Captura_Pegaso!N102)</f>
        <v/>
      </c>
      <c r="C101" s="7492">
        <f>IF(Captura_Pegaso!A102="", "", IFERROR(LOOKUP(2, 1/((Captura_Obra!$A$5:$A$1000=E101)*(Captura_Obra!$B$5:$B$1000=F101)*(Captura_Obra!$D$5:$D$1000=G101)), Captura_Obra!$N$5:$N$1000), "No Reportado"))</f>
        <v/>
      </c>
      <c r="D101" s="7493">
        <f>IF(Captura_Pegaso!A102="", "", IF(J101=0, "✅ Cuadrado", IF(I101=0, "❌ Falta en Obra", "⚠️ Dif")))</f>
        <v/>
      </c>
      <c r="E101" s="7494">
        <f>IF(Captura_Pegaso!A102="", "", Captura_Pegaso!A102)</f>
        <v/>
      </c>
      <c r="F101" s="7495">
        <f>IF(Captura_Pegaso!A102="", "", Captura_Pegaso!D102)</f>
        <v/>
      </c>
      <c r="G101" s="7496">
        <f>IF(Captura_Pegaso!A102="", "", Captura_Pegaso!E102)</f>
        <v/>
      </c>
      <c r="H101" s="7497">
        <f>IF(Captura_Pegaso!A102="", "", Captura_Pegaso!H102)</f>
        <v/>
      </c>
      <c r="I101" s="7498">
        <f>IF(Captura_Pegaso!A102="", "", SUMIFS(Captura_Obra!$F:$F, Captura_Obra!$A:$A, E101, Captura_Obra!$B:$B, F101, Captura_Obra!$D:$D, G101))</f>
        <v/>
      </c>
      <c r="J101" s="7499">
        <f>IF(Captura_Pegaso!A102="", "", H101 - I101)</f>
        <v/>
      </c>
      <c r="K101" s="3910" t="n"/>
    </row>
    <row r="102">
      <c r="A102" s="7500">
        <f>IF(Captura_Pegaso!A103="", "", "Pegaso")</f>
        <v/>
      </c>
      <c r="B102" s="7501">
        <f>IF(Captura_Pegaso!A103="", "", Captura_Pegaso!N103)</f>
        <v/>
      </c>
      <c r="C102" s="7502">
        <f>IF(Captura_Pegaso!A103="", "", IFERROR(LOOKUP(2, 1/((Captura_Obra!$A$5:$A$1000=E102)*(Captura_Obra!$B$5:$B$1000=F102)*(Captura_Obra!$D$5:$D$1000=G102)), Captura_Obra!$N$5:$N$1000), "No Reportado"))</f>
        <v/>
      </c>
      <c r="D102" s="7503">
        <f>IF(Captura_Pegaso!A103="", "", IF(J102=0, "✅ Cuadrado", IF(I102=0, "❌ Falta en Obra", "⚠️ Dif")))</f>
        <v/>
      </c>
      <c r="E102" s="7504">
        <f>IF(Captura_Pegaso!A103="", "", Captura_Pegaso!A103)</f>
        <v/>
      </c>
      <c r="F102" s="7505">
        <f>IF(Captura_Pegaso!A103="", "", Captura_Pegaso!D103)</f>
        <v/>
      </c>
      <c r="G102" s="7506">
        <f>IF(Captura_Pegaso!A103="", "", Captura_Pegaso!E103)</f>
        <v/>
      </c>
      <c r="H102" s="7507">
        <f>IF(Captura_Pegaso!A103="", "", Captura_Pegaso!H103)</f>
        <v/>
      </c>
      <c r="I102" s="7508">
        <f>IF(Captura_Pegaso!A103="", "", SUMIFS(Captura_Obra!$F:$F, Captura_Obra!$A:$A, E102, Captura_Obra!$B:$B, F102, Captura_Obra!$D:$D, G102))</f>
        <v/>
      </c>
      <c r="J102" s="7509">
        <f>IF(Captura_Pegaso!A103="", "", H102 - I102)</f>
        <v/>
      </c>
      <c r="K102" s="3911" t="n"/>
    </row>
    <row r="103">
      <c r="A103" s="7510">
        <f>IF(Captura_Pegaso!A104="", "", "Pegaso")</f>
        <v/>
      </c>
      <c r="B103" s="7511">
        <f>IF(Captura_Pegaso!A104="", "", Captura_Pegaso!N104)</f>
        <v/>
      </c>
      <c r="C103" s="7512">
        <f>IF(Captura_Pegaso!A104="", "", IFERROR(LOOKUP(2, 1/((Captura_Obra!$A$5:$A$1000=E103)*(Captura_Obra!$B$5:$B$1000=F103)*(Captura_Obra!$D$5:$D$1000=G103)), Captura_Obra!$N$5:$N$1000), "No Reportado"))</f>
        <v/>
      </c>
      <c r="D103" s="7513">
        <f>IF(Captura_Pegaso!A104="", "", IF(J103=0, "✅ Cuadrado", IF(I103=0, "❌ Falta en Obra", "⚠️ Dif")))</f>
        <v/>
      </c>
      <c r="E103" s="7514">
        <f>IF(Captura_Pegaso!A104="", "", Captura_Pegaso!A104)</f>
        <v/>
      </c>
      <c r="F103" s="7515">
        <f>IF(Captura_Pegaso!A104="", "", Captura_Pegaso!D104)</f>
        <v/>
      </c>
      <c r="G103" s="7516">
        <f>IF(Captura_Pegaso!A104="", "", Captura_Pegaso!E104)</f>
        <v/>
      </c>
      <c r="H103" s="7517">
        <f>IF(Captura_Pegaso!A104="", "", Captura_Pegaso!H104)</f>
        <v/>
      </c>
      <c r="I103" s="7518">
        <f>IF(Captura_Pegaso!A104="", "", SUMIFS(Captura_Obra!$F:$F, Captura_Obra!$A:$A, E103, Captura_Obra!$B:$B, F103, Captura_Obra!$D:$D, G103))</f>
        <v/>
      </c>
      <c r="J103" s="7519">
        <f>IF(Captura_Pegaso!A104="", "", H103 - I103)</f>
        <v/>
      </c>
      <c r="K103" s="3912" t="n"/>
    </row>
    <row r="104">
      <c r="A104" s="7520">
        <f>IF(Captura_Pegaso!A105="", "", "Pegaso")</f>
        <v/>
      </c>
      <c r="B104" s="7521">
        <f>IF(Captura_Pegaso!A105="", "", Captura_Pegaso!N105)</f>
        <v/>
      </c>
      <c r="C104" s="7522">
        <f>IF(Captura_Pegaso!A105="", "", IFERROR(LOOKUP(2, 1/((Captura_Obra!$A$5:$A$1000=E104)*(Captura_Obra!$B$5:$B$1000=F104)*(Captura_Obra!$D$5:$D$1000=G104)), Captura_Obra!$N$5:$N$1000), "No Reportado"))</f>
        <v/>
      </c>
      <c r="D104" s="7523">
        <f>IF(Captura_Pegaso!A105="", "", IF(J104=0, "✅ Cuadrado", IF(I104=0, "❌ Falta en Obra", "⚠️ Dif")))</f>
        <v/>
      </c>
      <c r="E104" s="7524">
        <f>IF(Captura_Pegaso!A105="", "", Captura_Pegaso!A105)</f>
        <v/>
      </c>
      <c r="F104" s="7525">
        <f>IF(Captura_Pegaso!A105="", "", Captura_Pegaso!D105)</f>
        <v/>
      </c>
      <c r="G104" s="7526">
        <f>IF(Captura_Pegaso!A105="", "", Captura_Pegaso!E105)</f>
        <v/>
      </c>
      <c r="H104" s="7527">
        <f>IF(Captura_Pegaso!A105="", "", Captura_Pegaso!H105)</f>
        <v/>
      </c>
      <c r="I104" s="7528">
        <f>IF(Captura_Pegaso!A105="", "", SUMIFS(Captura_Obra!$F:$F, Captura_Obra!$A:$A, E104, Captura_Obra!$B:$B, F104, Captura_Obra!$D:$D, G104))</f>
        <v/>
      </c>
      <c r="J104" s="7529">
        <f>IF(Captura_Pegaso!A105="", "", H104 - I104)</f>
        <v/>
      </c>
      <c r="K104" s="3913" t="n"/>
    </row>
    <row r="105">
      <c r="A105" s="7530">
        <f>IF(Captura_Pegaso!A106="", "", "Pegaso")</f>
        <v/>
      </c>
      <c r="B105" s="7531">
        <f>IF(Captura_Pegaso!A106="", "", Captura_Pegaso!N106)</f>
        <v/>
      </c>
      <c r="C105" s="7532">
        <f>IF(Captura_Pegaso!A106="", "", IFERROR(LOOKUP(2, 1/((Captura_Obra!$A$5:$A$1000=E105)*(Captura_Obra!$B$5:$B$1000=F105)*(Captura_Obra!$D$5:$D$1000=G105)), Captura_Obra!$N$5:$N$1000), "No Reportado"))</f>
        <v/>
      </c>
      <c r="D105" s="7533">
        <f>IF(Captura_Pegaso!A106="", "", IF(J105=0, "✅ Cuadrado", IF(I105=0, "❌ Falta en Obra", "⚠️ Dif")))</f>
        <v/>
      </c>
      <c r="E105" s="7534">
        <f>IF(Captura_Pegaso!A106="", "", Captura_Pegaso!A106)</f>
        <v/>
      </c>
      <c r="F105" s="7535">
        <f>IF(Captura_Pegaso!A106="", "", Captura_Pegaso!D106)</f>
        <v/>
      </c>
      <c r="G105" s="7536">
        <f>IF(Captura_Pegaso!A106="", "", Captura_Pegaso!E106)</f>
        <v/>
      </c>
      <c r="H105" s="7537">
        <f>IF(Captura_Pegaso!A106="", "", Captura_Pegaso!H106)</f>
        <v/>
      </c>
      <c r="I105" s="7538">
        <f>IF(Captura_Pegaso!A106="", "", SUMIFS(Captura_Obra!$F:$F, Captura_Obra!$A:$A, E105, Captura_Obra!$B:$B, F105, Captura_Obra!$D:$D, G105))</f>
        <v/>
      </c>
      <c r="J105" s="7539">
        <f>IF(Captura_Pegaso!A106="", "", H105 - I105)</f>
        <v/>
      </c>
      <c r="K105" s="3914" t="n"/>
    </row>
    <row r="106">
      <c r="A106" s="7540">
        <f>IF(Captura_Pegaso!A107="", "", "Pegaso")</f>
        <v/>
      </c>
      <c r="B106" s="7541">
        <f>IF(Captura_Pegaso!A107="", "", Captura_Pegaso!N107)</f>
        <v/>
      </c>
      <c r="C106" s="7542">
        <f>IF(Captura_Pegaso!A107="", "", IFERROR(LOOKUP(2, 1/((Captura_Obra!$A$5:$A$1000=E106)*(Captura_Obra!$B$5:$B$1000=F106)*(Captura_Obra!$D$5:$D$1000=G106)), Captura_Obra!$N$5:$N$1000), "No Reportado"))</f>
        <v/>
      </c>
      <c r="D106" s="7543">
        <f>IF(Captura_Pegaso!A107="", "", IF(J106=0, "✅ Cuadrado", IF(I106=0, "❌ Falta en Obra", "⚠️ Dif")))</f>
        <v/>
      </c>
      <c r="E106" s="7544">
        <f>IF(Captura_Pegaso!A107="", "", Captura_Pegaso!A107)</f>
        <v/>
      </c>
      <c r="F106" s="7545">
        <f>IF(Captura_Pegaso!A107="", "", Captura_Pegaso!D107)</f>
        <v/>
      </c>
      <c r="G106" s="7546">
        <f>IF(Captura_Pegaso!A107="", "", Captura_Pegaso!E107)</f>
        <v/>
      </c>
      <c r="H106" s="7547">
        <f>IF(Captura_Pegaso!A107="", "", Captura_Pegaso!H107)</f>
        <v/>
      </c>
      <c r="I106" s="7548">
        <f>IF(Captura_Pegaso!A107="", "", SUMIFS(Captura_Obra!$F:$F, Captura_Obra!$A:$A, E106, Captura_Obra!$B:$B, F106, Captura_Obra!$D:$D, G106))</f>
        <v/>
      </c>
      <c r="J106" s="7549">
        <f>IF(Captura_Pegaso!A107="", "", H106 - I106)</f>
        <v/>
      </c>
      <c r="K106" s="3915" t="n"/>
    </row>
    <row r="107">
      <c r="A107" s="7550">
        <f>IF(Captura_Pegaso!A108="", "", "Pegaso")</f>
        <v/>
      </c>
      <c r="B107" s="7551">
        <f>IF(Captura_Pegaso!A108="", "", Captura_Pegaso!N108)</f>
        <v/>
      </c>
      <c r="C107" s="7552">
        <f>IF(Captura_Pegaso!A108="", "", IFERROR(LOOKUP(2, 1/((Captura_Obra!$A$5:$A$1000=E107)*(Captura_Obra!$B$5:$B$1000=F107)*(Captura_Obra!$D$5:$D$1000=G107)), Captura_Obra!$N$5:$N$1000), "No Reportado"))</f>
        <v/>
      </c>
      <c r="D107" s="7553">
        <f>IF(Captura_Pegaso!A108="", "", IF(J107=0, "✅ Cuadrado", IF(I107=0, "❌ Falta en Obra", "⚠️ Dif")))</f>
        <v/>
      </c>
      <c r="E107" s="7554">
        <f>IF(Captura_Pegaso!A108="", "", Captura_Pegaso!A108)</f>
        <v/>
      </c>
      <c r="F107" s="7555">
        <f>IF(Captura_Pegaso!A108="", "", Captura_Pegaso!D108)</f>
        <v/>
      </c>
      <c r="G107" s="7556">
        <f>IF(Captura_Pegaso!A108="", "", Captura_Pegaso!E108)</f>
        <v/>
      </c>
      <c r="H107" s="7557">
        <f>IF(Captura_Pegaso!A108="", "", Captura_Pegaso!H108)</f>
        <v/>
      </c>
      <c r="I107" s="7558">
        <f>IF(Captura_Pegaso!A108="", "", SUMIFS(Captura_Obra!$F:$F, Captura_Obra!$A:$A, E107, Captura_Obra!$B:$B, F107, Captura_Obra!$D:$D, G107))</f>
        <v/>
      </c>
      <c r="J107" s="7559">
        <f>IF(Captura_Pegaso!A108="", "", H107 - I107)</f>
        <v/>
      </c>
      <c r="K107" s="3916" t="n"/>
    </row>
    <row r="108">
      <c r="A108" s="7560">
        <f>IF(Captura_Pegaso!A109="", "", "Pegaso")</f>
        <v/>
      </c>
      <c r="B108" s="7561">
        <f>IF(Captura_Pegaso!A109="", "", Captura_Pegaso!N109)</f>
        <v/>
      </c>
      <c r="C108" s="7562">
        <f>IF(Captura_Pegaso!A109="", "", IFERROR(LOOKUP(2, 1/((Captura_Obra!$A$5:$A$1000=E108)*(Captura_Obra!$B$5:$B$1000=F108)*(Captura_Obra!$D$5:$D$1000=G108)), Captura_Obra!$N$5:$N$1000), "No Reportado"))</f>
        <v/>
      </c>
      <c r="D108" s="7563">
        <f>IF(Captura_Pegaso!A109="", "", IF(J108=0, "✅ Cuadrado", IF(I108=0, "❌ Falta en Obra", "⚠️ Dif")))</f>
        <v/>
      </c>
      <c r="E108" s="7564">
        <f>IF(Captura_Pegaso!A109="", "", Captura_Pegaso!A109)</f>
        <v/>
      </c>
      <c r="F108" s="7565">
        <f>IF(Captura_Pegaso!A109="", "", Captura_Pegaso!D109)</f>
        <v/>
      </c>
      <c r="G108" s="7566">
        <f>IF(Captura_Pegaso!A109="", "", Captura_Pegaso!E109)</f>
        <v/>
      </c>
      <c r="H108" s="7567">
        <f>IF(Captura_Pegaso!A109="", "", Captura_Pegaso!H109)</f>
        <v/>
      </c>
      <c r="I108" s="7568">
        <f>IF(Captura_Pegaso!A109="", "", SUMIFS(Captura_Obra!$F:$F, Captura_Obra!$A:$A, E108, Captura_Obra!$B:$B, F108, Captura_Obra!$D:$D, G108))</f>
        <v/>
      </c>
      <c r="J108" s="7569">
        <f>IF(Captura_Pegaso!A109="", "", H108 - I108)</f>
        <v/>
      </c>
      <c r="K108" s="3917" t="n"/>
    </row>
    <row r="109">
      <c r="A109" s="7570">
        <f>IF(Captura_Pegaso!A110="", "", "Pegaso")</f>
        <v/>
      </c>
      <c r="B109" s="7571">
        <f>IF(Captura_Pegaso!A110="", "", Captura_Pegaso!N110)</f>
        <v/>
      </c>
      <c r="C109" s="7572">
        <f>IF(Captura_Pegaso!A110="", "", IFERROR(LOOKUP(2, 1/((Captura_Obra!$A$5:$A$1000=E109)*(Captura_Obra!$B$5:$B$1000=F109)*(Captura_Obra!$D$5:$D$1000=G109)), Captura_Obra!$N$5:$N$1000), "No Reportado"))</f>
        <v/>
      </c>
      <c r="D109" s="7573">
        <f>IF(Captura_Pegaso!A110="", "", IF(J109=0, "✅ Cuadrado", IF(I109=0, "❌ Falta en Obra", "⚠️ Dif")))</f>
        <v/>
      </c>
      <c r="E109" s="7574">
        <f>IF(Captura_Pegaso!A110="", "", Captura_Pegaso!A110)</f>
        <v/>
      </c>
      <c r="F109" s="7575">
        <f>IF(Captura_Pegaso!A110="", "", Captura_Pegaso!D110)</f>
        <v/>
      </c>
      <c r="G109" s="7576">
        <f>IF(Captura_Pegaso!A110="", "", Captura_Pegaso!E110)</f>
        <v/>
      </c>
      <c r="H109" s="7577">
        <f>IF(Captura_Pegaso!A110="", "", Captura_Pegaso!H110)</f>
        <v/>
      </c>
      <c r="I109" s="7578">
        <f>IF(Captura_Pegaso!A110="", "", SUMIFS(Captura_Obra!$F:$F, Captura_Obra!$A:$A, E109, Captura_Obra!$B:$B, F109, Captura_Obra!$D:$D, G109))</f>
        <v/>
      </c>
      <c r="J109" s="7579">
        <f>IF(Captura_Pegaso!A110="", "", H109 - I109)</f>
        <v/>
      </c>
      <c r="K109" s="3918" t="n"/>
    </row>
    <row r="110">
      <c r="A110" s="7580">
        <f>IF(Captura_Pegaso!A111="", "", "Pegaso")</f>
        <v/>
      </c>
      <c r="B110" s="7581">
        <f>IF(Captura_Pegaso!A111="", "", Captura_Pegaso!N111)</f>
        <v/>
      </c>
      <c r="C110" s="7582">
        <f>IF(Captura_Pegaso!A111="", "", IFERROR(LOOKUP(2, 1/((Captura_Obra!$A$5:$A$1000=E110)*(Captura_Obra!$B$5:$B$1000=F110)*(Captura_Obra!$D$5:$D$1000=G110)), Captura_Obra!$N$5:$N$1000), "No Reportado"))</f>
        <v/>
      </c>
      <c r="D110" s="7583">
        <f>IF(Captura_Pegaso!A111="", "", IF(J110=0, "✅ Cuadrado", IF(I110=0, "❌ Falta en Obra", "⚠️ Dif")))</f>
        <v/>
      </c>
      <c r="E110" s="7584">
        <f>IF(Captura_Pegaso!A111="", "", Captura_Pegaso!A111)</f>
        <v/>
      </c>
      <c r="F110" s="7585">
        <f>IF(Captura_Pegaso!A111="", "", Captura_Pegaso!D111)</f>
        <v/>
      </c>
      <c r="G110" s="7586">
        <f>IF(Captura_Pegaso!A111="", "", Captura_Pegaso!E111)</f>
        <v/>
      </c>
      <c r="H110" s="7587">
        <f>IF(Captura_Pegaso!A111="", "", Captura_Pegaso!H111)</f>
        <v/>
      </c>
      <c r="I110" s="7588">
        <f>IF(Captura_Pegaso!A111="", "", SUMIFS(Captura_Obra!$F:$F, Captura_Obra!$A:$A, E110, Captura_Obra!$B:$B, F110, Captura_Obra!$D:$D, G110))</f>
        <v/>
      </c>
      <c r="J110" s="7589">
        <f>IF(Captura_Pegaso!A111="", "", H110 - I110)</f>
        <v/>
      </c>
      <c r="K110" s="3919" t="n"/>
    </row>
    <row r="111">
      <c r="A111" s="7590">
        <f>IF(Captura_Pegaso!A112="", "", "Pegaso")</f>
        <v/>
      </c>
      <c r="B111" s="7591">
        <f>IF(Captura_Pegaso!A112="", "", Captura_Pegaso!N112)</f>
        <v/>
      </c>
      <c r="C111" s="7592">
        <f>IF(Captura_Pegaso!A112="", "", IFERROR(LOOKUP(2, 1/((Captura_Obra!$A$5:$A$1000=E111)*(Captura_Obra!$B$5:$B$1000=F111)*(Captura_Obra!$D$5:$D$1000=G111)), Captura_Obra!$N$5:$N$1000), "No Reportado"))</f>
        <v/>
      </c>
      <c r="D111" s="7593">
        <f>IF(Captura_Pegaso!A112="", "", IF(J111=0, "✅ Cuadrado", IF(I111=0, "❌ Falta en Obra", "⚠️ Dif")))</f>
        <v/>
      </c>
      <c r="E111" s="7594">
        <f>IF(Captura_Pegaso!A112="", "", Captura_Pegaso!A112)</f>
        <v/>
      </c>
      <c r="F111" s="7595">
        <f>IF(Captura_Pegaso!A112="", "", Captura_Pegaso!D112)</f>
        <v/>
      </c>
      <c r="G111" s="7596">
        <f>IF(Captura_Pegaso!A112="", "", Captura_Pegaso!E112)</f>
        <v/>
      </c>
      <c r="H111" s="7597">
        <f>IF(Captura_Pegaso!A112="", "", Captura_Pegaso!H112)</f>
        <v/>
      </c>
      <c r="I111" s="7598">
        <f>IF(Captura_Pegaso!A112="", "", SUMIFS(Captura_Obra!$F:$F, Captura_Obra!$A:$A, E111, Captura_Obra!$B:$B, F111, Captura_Obra!$D:$D, G111))</f>
        <v/>
      </c>
      <c r="J111" s="7599">
        <f>IF(Captura_Pegaso!A112="", "", H111 - I111)</f>
        <v/>
      </c>
      <c r="K111" s="3920" t="n"/>
    </row>
    <row r="112">
      <c r="A112" s="7600">
        <f>IF(Captura_Pegaso!A113="", "", "Pegaso")</f>
        <v/>
      </c>
      <c r="B112" s="7601">
        <f>IF(Captura_Pegaso!A113="", "", Captura_Pegaso!N113)</f>
        <v/>
      </c>
      <c r="C112" s="7602">
        <f>IF(Captura_Pegaso!A113="", "", IFERROR(LOOKUP(2, 1/((Captura_Obra!$A$5:$A$1000=E112)*(Captura_Obra!$B$5:$B$1000=F112)*(Captura_Obra!$D$5:$D$1000=G112)), Captura_Obra!$N$5:$N$1000), "No Reportado"))</f>
        <v/>
      </c>
      <c r="D112" s="7603">
        <f>IF(Captura_Pegaso!A113="", "", IF(J112=0, "✅ Cuadrado", IF(I112=0, "❌ Falta en Obra", "⚠️ Dif")))</f>
        <v/>
      </c>
      <c r="E112" s="7604">
        <f>IF(Captura_Pegaso!A113="", "", Captura_Pegaso!A113)</f>
        <v/>
      </c>
      <c r="F112" s="7605">
        <f>IF(Captura_Pegaso!A113="", "", Captura_Pegaso!D113)</f>
        <v/>
      </c>
      <c r="G112" s="7606">
        <f>IF(Captura_Pegaso!A113="", "", Captura_Pegaso!E113)</f>
        <v/>
      </c>
      <c r="H112" s="7607">
        <f>IF(Captura_Pegaso!A113="", "", Captura_Pegaso!H113)</f>
        <v/>
      </c>
      <c r="I112" s="7608">
        <f>IF(Captura_Pegaso!A113="", "", SUMIFS(Captura_Obra!$F:$F, Captura_Obra!$A:$A, E112, Captura_Obra!$B:$B, F112, Captura_Obra!$D:$D, G112))</f>
        <v/>
      </c>
      <c r="J112" s="7609">
        <f>IF(Captura_Pegaso!A113="", "", H112 - I112)</f>
        <v/>
      </c>
      <c r="K112" s="3921" t="n"/>
    </row>
    <row r="113">
      <c r="A113" s="7610">
        <f>IF(Captura_Pegaso!A114="", "", "Pegaso")</f>
        <v/>
      </c>
      <c r="B113" s="7611">
        <f>IF(Captura_Pegaso!A114="", "", Captura_Pegaso!N114)</f>
        <v/>
      </c>
      <c r="C113" s="7612">
        <f>IF(Captura_Pegaso!A114="", "", IFERROR(LOOKUP(2, 1/((Captura_Obra!$A$5:$A$1000=E113)*(Captura_Obra!$B$5:$B$1000=F113)*(Captura_Obra!$D$5:$D$1000=G113)), Captura_Obra!$N$5:$N$1000), "No Reportado"))</f>
        <v/>
      </c>
      <c r="D113" s="7613">
        <f>IF(Captura_Pegaso!A114="", "", IF(J113=0, "✅ Cuadrado", IF(I113=0, "❌ Falta en Obra", "⚠️ Dif")))</f>
        <v/>
      </c>
      <c r="E113" s="7614">
        <f>IF(Captura_Pegaso!A114="", "", Captura_Pegaso!A114)</f>
        <v/>
      </c>
      <c r="F113" s="7615">
        <f>IF(Captura_Pegaso!A114="", "", Captura_Pegaso!D114)</f>
        <v/>
      </c>
      <c r="G113" s="7616">
        <f>IF(Captura_Pegaso!A114="", "", Captura_Pegaso!E114)</f>
        <v/>
      </c>
      <c r="H113" s="7617">
        <f>IF(Captura_Pegaso!A114="", "", Captura_Pegaso!H114)</f>
        <v/>
      </c>
      <c r="I113" s="7618">
        <f>IF(Captura_Pegaso!A114="", "", SUMIFS(Captura_Obra!$F:$F, Captura_Obra!$A:$A, E113, Captura_Obra!$B:$B, F113, Captura_Obra!$D:$D, G113))</f>
        <v/>
      </c>
      <c r="J113" s="7619">
        <f>IF(Captura_Pegaso!A114="", "", H113 - I113)</f>
        <v/>
      </c>
      <c r="K113" s="3922" t="n"/>
    </row>
    <row r="114">
      <c r="A114" s="7620">
        <f>IF(Captura_Pegaso!A115="", "", "Pegaso")</f>
        <v/>
      </c>
      <c r="B114" s="7621">
        <f>IF(Captura_Pegaso!A115="", "", Captura_Pegaso!N115)</f>
        <v/>
      </c>
      <c r="C114" s="7622">
        <f>IF(Captura_Pegaso!A115="", "", IFERROR(LOOKUP(2, 1/((Captura_Obra!$A$5:$A$1000=E114)*(Captura_Obra!$B$5:$B$1000=F114)*(Captura_Obra!$D$5:$D$1000=G114)), Captura_Obra!$N$5:$N$1000), "No Reportado"))</f>
        <v/>
      </c>
      <c r="D114" s="7623">
        <f>IF(Captura_Pegaso!A115="", "", IF(J114=0, "✅ Cuadrado", IF(I114=0, "❌ Falta en Obra", "⚠️ Dif")))</f>
        <v/>
      </c>
      <c r="E114" s="7624">
        <f>IF(Captura_Pegaso!A115="", "", Captura_Pegaso!A115)</f>
        <v/>
      </c>
      <c r="F114" s="7625">
        <f>IF(Captura_Pegaso!A115="", "", Captura_Pegaso!D115)</f>
        <v/>
      </c>
      <c r="G114" s="7626">
        <f>IF(Captura_Pegaso!A115="", "", Captura_Pegaso!E115)</f>
        <v/>
      </c>
      <c r="H114" s="7627">
        <f>IF(Captura_Pegaso!A115="", "", Captura_Pegaso!H115)</f>
        <v/>
      </c>
      <c r="I114" s="7628">
        <f>IF(Captura_Pegaso!A115="", "", SUMIFS(Captura_Obra!$F:$F, Captura_Obra!$A:$A, E114, Captura_Obra!$B:$B, F114, Captura_Obra!$D:$D, G114))</f>
        <v/>
      </c>
      <c r="J114" s="7629">
        <f>IF(Captura_Pegaso!A115="", "", H114 - I114)</f>
        <v/>
      </c>
      <c r="K114" s="3923" t="n"/>
    </row>
    <row r="115">
      <c r="A115" s="7630">
        <f>IF(Captura_Pegaso!A116="", "", "Pegaso")</f>
        <v/>
      </c>
      <c r="B115" s="7631">
        <f>IF(Captura_Pegaso!A116="", "", Captura_Pegaso!N116)</f>
        <v/>
      </c>
      <c r="C115" s="7632">
        <f>IF(Captura_Pegaso!A116="", "", IFERROR(LOOKUP(2, 1/((Captura_Obra!$A$5:$A$1000=E115)*(Captura_Obra!$B$5:$B$1000=F115)*(Captura_Obra!$D$5:$D$1000=G115)), Captura_Obra!$N$5:$N$1000), "No Reportado"))</f>
        <v/>
      </c>
      <c r="D115" s="7633">
        <f>IF(Captura_Pegaso!A116="", "", IF(J115=0, "✅ Cuadrado", IF(I115=0, "❌ Falta en Obra", "⚠️ Dif")))</f>
        <v/>
      </c>
      <c r="E115" s="7634">
        <f>IF(Captura_Pegaso!A116="", "", Captura_Pegaso!A116)</f>
        <v/>
      </c>
      <c r="F115" s="7635">
        <f>IF(Captura_Pegaso!A116="", "", Captura_Pegaso!D116)</f>
        <v/>
      </c>
      <c r="G115" s="7636">
        <f>IF(Captura_Pegaso!A116="", "", Captura_Pegaso!E116)</f>
        <v/>
      </c>
      <c r="H115" s="7637">
        <f>IF(Captura_Pegaso!A116="", "", Captura_Pegaso!H116)</f>
        <v/>
      </c>
      <c r="I115" s="7638">
        <f>IF(Captura_Pegaso!A116="", "", SUMIFS(Captura_Obra!$F:$F, Captura_Obra!$A:$A, E115, Captura_Obra!$B:$B, F115, Captura_Obra!$D:$D, G115))</f>
        <v/>
      </c>
      <c r="J115" s="7639">
        <f>IF(Captura_Pegaso!A116="", "", H115 - I115)</f>
        <v/>
      </c>
      <c r="K115" s="3924" t="n"/>
    </row>
    <row r="116">
      <c r="A116" s="7640">
        <f>IF(Captura_Pegaso!A117="", "", "Pegaso")</f>
        <v/>
      </c>
      <c r="B116" s="7641">
        <f>IF(Captura_Pegaso!A117="", "", Captura_Pegaso!N117)</f>
        <v/>
      </c>
      <c r="C116" s="7642">
        <f>IF(Captura_Pegaso!A117="", "", IFERROR(LOOKUP(2, 1/((Captura_Obra!$A$5:$A$1000=E116)*(Captura_Obra!$B$5:$B$1000=F116)*(Captura_Obra!$D$5:$D$1000=G116)), Captura_Obra!$N$5:$N$1000), "No Reportado"))</f>
        <v/>
      </c>
      <c r="D116" s="7643">
        <f>IF(Captura_Pegaso!A117="", "", IF(J116=0, "✅ Cuadrado", IF(I116=0, "❌ Falta en Obra", "⚠️ Dif")))</f>
        <v/>
      </c>
      <c r="E116" s="7644">
        <f>IF(Captura_Pegaso!A117="", "", Captura_Pegaso!A117)</f>
        <v/>
      </c>
      <c r="F116" s="7645">
        <f>IF(Captura_Pegaso!A117="", "", Captura_Pegaso!D117)</f>
        <v/>
      </c>
      <c r="G116" s="7646">
        <f>IF(Captura_Pegaso!A117="", "", Captura_Pegaso!E117)</f>
        <v/>
      </c>
      <c r="H116" s="7647">
        <f>IF(Captura_Pegaso!A117="", "", Captura_Pegaso!H117)</f>
        <v/>
      </c>
      <c r="I116" s="7648">
        <f>IF(Captura_Pegaso!A117="", "", SUMIFS(Captura_Obra!$F:$F, Captura_Obra!$A:$A, E116, Captura_Obra!$B:$B, F116, Captura_Obra!$D:$D, G116))</f>
        <v/>
      </c>
      <c r="J116" s="7649">
        <f>IF(Captura_Pegaso!A117="", "", H116 - I116)</f>
        <v/>
      </c>
      <c r="K116" s="3925" t="n"/>
    </row>
    <row r="117">
      <c r="A117" s="7650">
        <f>IF(Captura_Pegaso!A118="", "", "Pegaso")</f>
        <v/>
      </c>
      <c r="B117" s="7651">
        <f>IF(Captura_Pegaso!A118="", "", Captura_Pegaso!N118)</f>
        <v/>
      </c>
      <c r="C117" s="7652">
        <f>IF(Captura_Pegaso!A118="", "", IFERROR(LOOKUP(2, 1/((Captura_Obra!$A$5:$A$1000=E117)*(Captura_Obra!$B$5:$B$1000=F117)*(Captura_Obra!$D$5:$D$1000=G117)), Captura_Obra!$N$5:$N$1000), "No Reportado"))</f>
        <v/>
      </c>
      <c r="D117" s="7653">
        <f>IF(Captura_Pegaso!A118="", "", IF(J117=0, "✅ Cuadrado", IF(I117=0, "❌ Falta en Obra", "⚠️ Dif")))</f>
        <v/>
      </c>
      <c r="E117" s="7654">
        <f>IF(Captura_Pegaso!A118="", "", Captura_Pegaso!A118)</f>
        <v/>
      </c>
      <c r="F117" s="7655">
        <f>IF(Captura_Pegaso!A118="", "", Captura_Pegaso!D118)</f>
        <v/>
      </c>
      <c r="G117" s="7656">
        <f>IF(Captura_Pegaso!A118="", "", Captura_Pegaso!E118)</f>
        <v/>
      </c>
      <c r="H117" s="7657">
        <f>IF(Captura_Pegaso!A118="", "", Captura_Pegaso!H118)</f>
        <v/>
      </c>
      <c r="I117" s="7658">
        <f>IF(Captura_Pegaso!A118="", "", SUMIFS(Captura_Obra!$F:$F, Captura_Obra!$A:$A, E117, Captura_Obra!$B:$B, F117, Captura_Obra!$D:$D, G117))</f>
        <v/>
      </c>
      <c r="J117" s="7659">
        <f>IF(Captura_Pegaso!A118="", "", H117 - I117)</f>
        <v/>
      </c>
      <c r="K117" s="3926" t="n"/>
    </row>
    <row r="118">
      <c r="A118" s="7660">
        <f>IF(Captura_Pegaso!A119="", "", "Pegaso")</f>
        <v/>
      </c>
      <c r="B118" s="7661">
        <f>IF(Captura_Pegaso!A119="", "", Captura_Pegaso!N119)</f>
        <v/>
      </c>
      <c r="C118" s="7662">
        <f>IF(Captura_Pegaso!A119="", "", IFERROR(LOOKUP(2, 1/((Captura_Obra!$A$5:$A$1000=E118)*(Captura_Obra!$B$5:$B$1000=F118)*(Captura_Obra!$D$5:$D$1000=G118)), Captura_Obra!$N$5:$N$1000), "No Reportado"))</f>
        <v/>
      </c>
      <c r="D118" s="7663">
        <f>IF(Captura_Pegaso!A119="", "", IF(J118=0, "✅ Cuadrado", IF(I118=0, "❌ Falta en Obra", "⚠️ Dif")))</f>
        <v/>
      </c>
      <c r="E118" s="7664">
        <f>IF(Captura_Pegaso!A119="", "", Captura_Pegaso!A119)</f>
        <v/>
      </c>
      <c r="F118" s="7665">
        <f>IF(Captura_Pegaso!A119="", "", Captura_Pegaso!D119)</f>
        <v/>
      </c>
      <c r="G118" s="7666">
        <f>IF(Captura_Pegaso!A119="", "", Captura_Pegaso!E119)</f>
        <v/>
      </c>
      <c r="H118" s="7667">
        <f>IF(Captura_Pegaso!A119="", "", Captura_Pegaso!H119)</f>
        <v/>
      </c>
      <c r="I118" s="7668">
        <f>IF(Captura_Pegaso!A119="", "", SUMIFS(Captura_Obra!$F:$F, Captura_Obra!$A:$A, E118, Captura_Obra!$B:$B, F118, Captura_Obra!$D:$D, G118))</f>
        <v/>
      </c>
      <c r="J118" s="7669">
        <f>IF(Captura_Pegaso!A119="", "", H118 - I118)</f>
        <v/>
      </c>
      <c r="K118" s="3927" t="n"/>
    </row>
    <row r="119">
      <c r="A119" s="7670">
        <f>IF(Captura_Pegaso!A120="", "", "Pegaso")</f>
        <v/>
      </c>
      <c r="B119" s="7671">
        <f>IF(Captura_Pegaso!A120="", "", Captura_Pegaso!N120)</f>
        <v/>
      </c>
      <c r="C119" s="7672">
        <f>IF(Captura_Pegaso!A120="", "", IFERROR(LOOKUP(2, 1/((Captura_Obra!$A$5:$A$1000=E119)*(Captura_Obra!$B$5:$B$1000=F119)*(Captura_Obra!$D$5:$D$1000=G119)), Captura_Obra!$N$5:$N$1000), "No Reportado"))</f>
        <v/>
      </c>
      <c r="D119" s="7673">
        <f>IF(Captura_Pegaso!A120="", "", IF(J119=0, "✅ Cuadrado", IF(I119=0, "❌ Falta en Obra", "⚠️ Dif")))</f>
        <v/>
      </c>
      <c r="E119" s="7674">
        <f>IF(Captura_Pegaso!A120="", "", Captura_Pegaso!A120)</f>
        <v/>
      </c>
      <c r="F119" s="7675">
        <f>IF(Captura_Pegaso!A120="", "", Captura_Pegaso!D120)</f>
        <v/>
      </c>
      <c r="G119" s="7676">
        <f>IF(Captura_Pegaso!A120="", "", Captura_Pegaso!E120)</f>
        <v/>
      </c>
      <c r="H119" s="7677">
        <f>IF(Captura_Pegaso!A120="", "", Captura_Pegaso!H120)</f>
        <v/>
      </c>
      <c r="I119" s="7678">
        <f>IF(Captura_Pegaso!A120="", "", SUMIFS(Captura_Obra!$F:$F, Captura_Obra!$A:$A, E119, Captura_Obra!$B:$B, F119, Captura_Obra!$D:$D, G119))</f>
        <v/>
      </c>
      <c r="J119" s="7679">
        <f>IF(Captura_Pegaso!A120="", "", H119 - I119)</f>
        <v/>
      </c>
      <c r="K119" s="3928" t="n"/>
    </row>
    <row r="120">
      <c r="A120" s="7680">
        <f>IF(Captura_Pegaso!A121="", "", "Pegaso")</f>
        <v/>
      </c>
      <c r="B120" s="7681">
        <f>IF(Captura_Pegaso!A121="", "", Captura_Pegaso!N121)</f>
        <v/>
      </c>
      <c r="C120" s="7682">
        <f>IF(Captura_Pegaso!A121="", "", IFERROR(LOOKUP(2, 1/((Captura_Obra!$A$5:$A$1000=E120)*(Captura_Obra!$B$5:$B$1000=F120)*(Captura_Obra!$D$5:$D$1000=G120)), Captura_Obra!$N$5:$N$1000), "No Reportado"))</f>
        <v/>
      </c>
      <c r="D120" s="7683">
        <f>IF(Captura_Pegaso!A121="", "", IF(J120=0, "✅ Cuadrado", IF(I120=0, "❌ Falta en Obra", "⚠️ Dif")))</f>
        <v/>
      </c>
      <c r="E120" s="7684">
        <f>IF(Captura_Pegaso!A121="", "", Captura_Pegaso!A121)</f>
        <v/>
      </c>
      <c r="F120" s="7685">
        <f>IF(Captura_Pegaso!A121="", "", Captura_Pegaso!D121)</f>
        <v/>
      </c>
      <c r="G120" s="7686">
        <f>IF(Captura_Pegaso!A121="", "", Captura_Pegaso!E121)</f>
        <v/>
      </c>
      <c r="H120" s="7687">
        <f>IF(Captura_Pegaso!A121="", "", Captura_Pegaso!H121)</f>
        <v/>
      </c>
      <c r="I120" s="7688">
        <f>IF(Captura_Pegaso!A121="", "", SUMIFS(Captura_Obra!$F:$F, Captura_Obra!$A:$A, E120, Captura_Obra!$B:$B, F120, Captura_Obra!$D:$D, G120))</f>
        <v/>
      </c>
      <c r="J120" s="7689">
        <f>IF(Captura_Pegaso!A121="", "", H120 - I120)</f>
        <v/>
      </c>
      <c r="K120" s="3929" t="n"/>
    </row>
    <row r="121">
      <c r="A121" s="7690">
        <f>IF(Captura_Pegaso!A122="", "", "Pegaso")</f>
        <v/>
      </c>
      <c r="B121" s="7691">
        <f>IF(Captura_Pegaso!A122="", "", Captura_Pegaso!N122)</f>
        <v/>
      </c>
      <c r="C121" s="7692">
        <f>IF(Captura_Pegaso!A122="", "", IFERROR(LOOKUP(2, 1/((Captura_Obra!$A$5:$A$1000=E121)*(Captura_Obra!$B$5:$B$1000=F121)*(Captura_Obra!$D$5:$D$1000=G121)), Captura_Obra!$N$5:$N$1000), "No Reportado"))</f>
        <v/>
      </c>
      <c r="D121" s="7693">
        <f>IF(Captura_Pegaso!A122="", "", IF(J121=0, "✅ Cuadrado", IF(I121=0, "❌ Falta en Obra", "⚠️ Dif")))</f>
        <v/>
      </c>
      <c r="E121" s="7694">
        <f>IF(Captura_Pegaso!A122="", "", Captura_Pegaso!A122)</f>
        <v/>
      </c>
      <c r="F121" s="7695">
        <f>IF(Captura_Pegaso!A122="", "", Captura_Pegaso!D122)</f>
        <v/>
      </c>
      <c r="G121" s="7696">
        <f>IF(Captura_Pegaso!A122="", "", Captura_Pegaso!E122)</f>
        <v/>
      </c>
      <c r="H121" s="7697">
        <f>IF(Captura_Pegaso!A122="", "", Captura_Pegaso!H122)</f>
        <v/>
      </c>
      <c r="I121" s="7698">
        <f>IF(Captura_Pegaso!A122="", "", SUMIFS(Captura_Obra!$F:$F, Captura_Obra!$A:$A, E121, Captura_Obra!$B:$B, F121, Captura_Obra!$D:$D, G121))</f>
        <v/>
      </c>
      <c r="J121" s="7699">
        <f>IF(Captura_Pegaso!A122="", "", H121 - I121)</f>
        <v/>
      </c>
      <c r="K121" s="3930" t="n"/>
    </row>
    <row r="122">
      <c r="A122" s="7700">
        <f>IF(Captura_Pegaso!A123="", "", "Pegaso")</f>
        <v/>
      </c>
      <c r="B122" s="7701">
        <f>IF(Captura_Pegaso!A123="", "", Captura_Pegaso!N123)</f>
        <v/>
      </c>
      <c r="C122" s="7702">
        <f>IF(Captura_Pegaso!A123="", "", IFERROR(LOOKUP(2, 1/((Captura_Obra!$A$5:$A$1000=E122)*(Captura_Obra!$B$5:$B$1000=F122)*(Captura_Obra!$D$5:$D$1000=G122)), Captura_Obra!$N$5:$N$1000), "No Reportado"))</f>
        <v/>
      </c>
      <c r="D122" s="7703">
        <f>IF(Captura_Pegaso!A123="", "", IF(J122=0, "✅ Cuadrado", IF(I122=0, "❌ Falta en Obra", "⚠️ Dif")))</f>
        <v/>
      </c>
      <c r="E122" s="7704">
        <f>IF(Captura_Pegaso!A123="", "", Captura_Pegaso!A123)</f>
        <v/>
      </c>
      <c r="F122" s="7705">
        <f>IF(Captura_Pegaso!A123="", "", Captura_Pegaso!D123)</f>
        <v/>
      </c>
      <c r="G122" s="7706">
        <f>IF(Captura_Pegaso!A123="", "", Captura_Pegaso!E123)</f>
        <v/>
      </c>
      <c r="H122" s="7707">
        <f>IF(Captura_Pegaso!A123="", "", Captura_Pegaso!H123)</f>
        <v/>
      </c>
      <c r="I122" s="7708">
        <f>IF(Captura_Pegaso!A123="", "", SUMIFS(Captura_Obra!$F:$F, Captura_Obra!$A:$A, E122, Captura_Obra!$B:$B, F122, Captura_Obra!$D:$D, G122))</f>
        <v/>
      </c>
      <c r="J122" s="7709">
        <f>IF(Captura_Pegaso!A123="", "", H122 - I122)</f>
        <v/>
      </c>
      <c r="K122" s="3931" t="n"/>
    </row>
    <row r="123">
      <c r="A123" s="7710">
        <f>IF(Captura_Pegaso!A124="", "", "Pegaso")</f>
        <v/>
      </c>
      <c r="B123" s="7711">
        <f>IF(Captura_Pegaso!A124="", "", Captura_Pegaso!N124)</f>
        <v/>
      </c>
      <c r="C123" s="7712">
        <f>IF(Captura_Pegaso!A124="", "", IFERROR(LOOKUP(2, 1/((Captura_Obra!$A$5:$A$1000=E123)*(Captura_Obra!$B$5:$B$1000=F123)*(Captura_Obra!$D$5:$D$1000=G123)), Captura_Obra!$N$5:$N$1000), "No Reportado"))</f>
        <v/>
      </c>
      <c r="D123" s="7713">
        <f>IF(Captura_Pegaso!A124="", "", IF(J123=0, "✅ Cuadrado", IF(I123=0, "❌ Falta en Obra", "⚠️ Dif")))</f>
        <v/>
      </c>
      <c r="E123" s="7714">
        <f>IF(Captura_Pegaso!A124="", "", Captura_Pegaso!A124)</f>
        <v/>
      </c>
      <c r="F123" s="7715">
        <f>IF(Captura_Pegaso!A124="", "", Captura_Pegaso!D124)</f>
        <v/>
      </c>
      <c r="G123" s="7716">
        <f>IF(Captura_Pegaso!A124="", "", Captura_Pegaso!E124)</f>
        <v/>
      </c>
      <c r="H123" s="7717">
        <f>IF(Captura_Pegaso!A124="", "", Captura_Pegaso!H124)</f>
        <v/>
      </c>
      <c r="I123" s="7718">
        <f>IF(Captura_Pegaso!A124="", "", SUMIFS(Captura_Obra!$F:$F, Captura_Obra!$A:$A, E123, Captura_Obra!$B:$B, F123, Captura_Obra!$D:$D, G123))</f>
        <v/>
      </c>
      <c r="J123" s="7719">
        <f>IF(Captura_Pegaso!A124="", "", H123 - I123)</f>
        <v/>
      </c>
      <c r="K123" s="3932" t="n"/>
    </row>
    <row r="124">
      <c r="A124" s="7720">
        <f>IF(Captura_Pegaso!A125="", "", "Pegaso")</f>
        <v/>
      </c>
      <c r="B124" s="7721">
        <f>IF(Captura_Pegaso!A125="", "", Captura_Pegaso!N125)</f>
        <v/>
      </c>
      <c r="C124" s="7722">
        <f>IF(Captura_Pegaso!A125="", "", IFERROR(LOOKUP(2, 1/((Captura_Obra!$A$5:$A$1000=E124)*(Captura_Obra!$B$5:$B$1000=F124)*(Captura_Obra!$D$5:$D$1000=G124)), Captura_Obra!$N$5:$N$1000), "No Reportado"))</f>
        <v/>
      </c>
      <c r="D124" s="7723">
        <f>IF(Captura_Pegaso!A125="", "", IF(J124=0, "✅ Cuadrado", IF(I124=0, "❌ Falta en Obra", "⚠️ Dif")))</f>
        <v/>
      </c>
      <c r="E124" s="7724">
        <f>IF(Captura_Pegaso!A125="", "", Captura_Pegaso!A125)</f>
        <v/>
      </c>
      <c r="F124" s="7725">
        <f>IF(Captura_Pegaso!A125="", "", Captura_Pegaso!D125)</f>
        <v/>
      </c>
      <c r="G124" s="7726">
        <f>IF(Captura_Pegaso!A125="", "", Captura_Pegaso!E125)</f>
        <v/>
      </c>
      <c r="H124" s="7727">
        <f>IF(Captura_Pegaso!A125="", "", Captura_Pegaso!H125)</f>
        <v/>
      </c>
      <c r="I124" s="7728">
        <f>IF(Captura_Pegaso!A125="", "", SUMIFS(Captura_Obra!$F:$F, Captura_Obra!$A:$A, E124, Captura_Obra!$B:$B, F124, Captura_Obra!$D:$D, G124))</f>
        <v/>
      </c>
      <c r="J124" s="7729">
        <f>IF(Captura_Pegaso!A125="", "", H124 - I124)</f>
        <v/>
      </c>
      <c r="K124" s="3933" t="n"/>
    </row>
    <row r="125">
      <c r="A125" s="7730">
        <f>IF(Captura_Pegaso!A126="", "", "Pegaso")</f>
        <v/>
      </c>
      <c r="B125" s="7731">
        <f>IF(Captura_Pegaso!A126="", "", Captura_Pegaso!N126)</f>
        <v/>
      </c>
      <c r="C125" s="7732">
        <f>IF(Captura_Pegaso!A126="", "", IFERROR(LOOKUP(2, 1/((Captura_Obra!$A$5:$A$1000=E125)*(Captura_Obra!$B$5:$B$1000=F125)*(Captura_Obra!$D$5:$D$1000=G125)), Captura_Obra!$N$5:$N$1000), "No Reportado"))</f>
        <v/>
      </c>
      <c r="D125" s="7733">
        <f>IF(Captura_Pegaso!A126="", "", IF(J125=0, "✅ Cuadrado", IF(I125=0, "❌ Falta en Obra", "⚠️ Dif")))</f>
        <v/>
      </c>
      <c r="E125" s="7734">
        <f>IF(Captura_Pegaso!A126="", "", Captura_Pegaso!A126)</f>
        <v/>
      </c>
      <c r="F125" s="7735">
        <f>IF(Captura_Pegaso!A126="", "", Captura_Pegaso!D126)</f>
        <v/>
      </c>
      <c r="G125" s="7736">
        <f>IF(Captura_Pegaso!A126="", "", Captura_Pegaso!E126)</f>
        <v/>
      </c>
      <c r="H125" s="7737">
        <f>IF(Captura_Pegaso!A126="", "", Captura_Pegaso!H126)</f>
        <v/>
      </c>
      <c r="I125" s="7738">
        <f>IF(Captura_Pegaso!A126="", "", SUMIFS(Captura_Obra!$F:$F, Captura_Obra!$A:$A, E125, Captura_Obra!$B:$B, F125, Captura_Obra!$D:$D, G125))</f>
        <v/>
      </c>
      <c r="J125" s="7739">
        <f>IF(Captura_Pegaso!A126="", "", H125 - I125)</f>
        <v/>
      </c>
      <c r="K125" s="3934" t="n"/>
    </row>
    <row r="126">
      <c r="A126" s="7740">
        <f>IF(Captura_Pegaso!A127="", "", "Pegaso")</f>
        <v/>
      </c>
      <c r="B126" s="7741">
        <f>IF(Captura_Pegaso!A127="", "", Captura_Pegaso!N127)</f>
        <v/>
      </c>
      <c r="C126" s="7742">
        <f>IF(Captura_Pegaso!A127="", "", IFERROR(LOOKUP(2, 1/((Captura_Obra!$A$5:$A$1000=E126)*(Captura_Obra!$B$5:$B$1000=F126)*(Captura_Obra!$D$5:$D$1000=G126)), Captura_Obra!$N$5:$N$1000), "No Reportado"))</f>
        <v/>
      </c>
      <c r="D126" s="7743">
        <f>IF(Captura_Pegaso!A127="", "", IF(J126=0, "✅ Cuadrado", IF(I126=0, "❌ Falta en Obra", "⚠️ Dif")))</f>
        <v/>
      </c>
      <c r="E126" s="7744">
        <f>IF(Captura_Pegaso!A127="", "", Captura_Pegaso!A127)</f>
        <v/>
      </c>
      <c r="F126" s="7745">
        <f>IF(Captura_Pegaso!A127="", "", Captura_Pegaso!D127)</f>
        <v/>
      </c>
      <c r="G126" s="7746">
        <f>IF(Captura_Pegaso!A127="", "", Captura_Pegaso!E127)</f>
        <v/>
      </c>
      <c r="H126" s="7747">
        <f>IF(Captura_Pegaso!A127="", "", Captura_Pegaso!H127)</f>
        <v/>
      </c>
      <c r="I126" s="7748">
        <f>IF(Captura_Pegaso!A127="", "", SUMIFS(Captura_Obra!$F:$F, Captura_Obra!$A:$A, E126, Captura_Obra!$B:$B, F126, Captura_Obra!$D:$D, G126))</f>
        <v/>
      </c>
      <c r="J126" s="7749">
        <f>IF(Captura_Pegaso!A127="", "", H126 - I126)</f>
        <v/>
      </c>
      <c r="K126" s="3935" t="n"/>
    </row>
    <row r="127">
      <c r="A127" s="7750">
        <f>IF(Captura_Pegaso!A128="", "", "Pegaso")</f>
        <v/>
      </c>
      <c r="B127" s="7751">
        <f>IF(Captura_Pegaso!A128="", "", Captura_Pegaso!N128)</f>
        <v/>
      </c>
      <c r="C127" s="7752">
        <f>IF(Captura_Pegaso!A128="", "", IFERROR(LOOKUP(2, 1/((Captura_Obra!$A$5:$A$1000=E127)*(Captura_Obra!$B$5:$B$1000=F127)*(Captura_Obra!$D$5:$D$1000=G127)), Captura_Obra!$N$5:$N$1000), "No Reportado"))</f>
        <v/>
      </c>
      <c r="D127" s="7753">
        <f>IF(Captura_Pegaso!A128="", "", IF(J127=0, "✅ Cuadrado", IF(I127=0, "❌ Falta en Obra", "⚠️ Dif")))</f>
        <v/>
      </c>
      <c r="E127" s="7754">
        <f>IF(Captura_Pegaso!A128="", "", Captura_Pegaso!A128)</f>
        <v/>
      </c>
      <c r="F127" s="7755">
        <f>IF(Captura_Pegaso!A128="", "", Captura_Pegaso!D128)</f>
        <v/>
      </c>
      <c r="G127" s="7756">
        <f>IF(Captura_Pegaso!A128="", "", Captura_Pegaso!E128)</f>
        <v/>
      </c>
      <c r="H127" s="7757">
        <f>IF(Captura_Pegaso!A128="", "", Captura_Pegaso!H128)</f>
        <v/>
      </c>
      <c r="I127" s="7758">
        <f>IF(Captura_Pegaso!A128="", "", SUMIFS(Captura_Obra!$F:$F, Captura_Obra!$A:$A, E127, Captura_Obra!$B:$B, F127, Captura_Obra!$D:$D, G127))</f>
        <v/>
      </c>
      <c r="J127" s="7759">
        <f>IF(Captura_Pegaso!A128="", "", H127 - I127)</f>
        <v/>
      </c>
      <c r="K127" s="3936" t="n"/>
    </row>
    <row r="128">
      <c r="A128" s="7760">
        <f>IF(Captura_Pegaso!A129="", "", "Pegaso")</f>
        <v/>
      </c>
      <c r="B128" s="7761">
        <f>IF(Captura_Pegaso!A129="", "", Captura_Pegaso!N129)</f>
        <v/>
      </c>
      <c r="C128" s="7762">
        <f>IF(Captura_Pegaso!A129="", "", IFERROR(LOOKUP(2, 1/((Captura_Obra!$A$5:$A$1000=E128)*(Captura_Obra!$B$5:$B$1000=F128)*(Captura_Obra!$D$5:$D$1000=G128)), Captura_Obra!$N$5:$N$1000), "No Reportado"))</f>
        <v/>
      </c>
      <c r="D128" s="7763">
        <f>IF(Captura_Pegaso!A129="", "", IF(J128=0, "✅ Cuadrado", IF(I128=0, "❌ Falta en Obra", "⚠️ Dif")))</f>
        <v/>
      </c>
      <c r="E128" s="7764">
        <f>IF(Captura_Pegaso!A129="", "", Captura_Pegaso!A129)</f>
        <v/>
      </c>
      <c r="F128" s="7765">
        <f>IF(Captura_Pegaso!A129="", "", Captura_Pegaso!D129)</f>
        <v/>
      </c>
      <c r="G128" s="7766">
        <f>IF(Captura_Pegaso!A129="", "", Captura_Pegaso!E129)</f>
        <v/>
      </c>
      <c r="H128" s="7767">
        <f>IF(Captura_Pegaso!A129="", "", Captura_Pegaso!H129)</f>
        <v/>
      </c>
      <c r="I128" s="7768">
        <f>IF(Captura_Pegaso!A129="", "", SUMIFS(Captura_Obra!$F:$F, Captura_Obra!$A:$A, E128, Captura_Obra!$B:$B, F128, Captura_Obra!$D:$D, G128))</f>
        <v/>
      </c>
      <c r="J128" s="7769">
        <f>IF(Captura_Pegaso!A129="", "", H128 - I128)</f>
        <v/>
      </c>
      <c r="K128" s="3937" t="n"/>
    </row>
    <row r="129">
      <c r="A129" s="7770">
        <f>IF(Captura_Pegaso!A130="", "", "Pegaso")</f>
        <v/>
      </c>
      <c r="B129" s="7771">
        <f>IF(Captura_Pegaso!A130="", "", Captura_Pegaso!N130)</f>
        <v/>
      </c>
      <c r="C129" s="7772">
        <f>IF(Captura_Pegaso!A130="", "", IFERROR(LOOKUP(2, 1/((Captura_Obra!$A$5:$A$1000=E129)*(Captura_Obra!$B$5:$B$1000=F129)*(Captura_Obra!$D$5:$D$1000=G129)), Captura_Obra!$N$5:$N$1000), "No Reportado"))</f>
        <v/>
      </c>
      <c r="D129" s="7773">
        <f>IF(Captura_Pegaso!A130="", "", IF(J129=0, "✅ Cuadrado", IF(I129=0, "❌ Falta en Obra", "⚠️ Dif")))</f>
        <v/>
      </c>
      <c r="E129" s="7774">
        <f>IF(Captura_Pegaso!A130="", "", Captura_Pegaso!A130)</f>
        <v/>
      </c>
      <c r="F129" s="7775">
        <f>IF(Captura_Pegaso!A130="", "", Captura_Pegaso!D130)</f>
        <v/>
      </c>
      <c r="G129" s="7776">
        <f>IF(Captura_Pegaso!A130="", "", Captura_Pegaso!E130)</f>
        <v/>
      </c>
      <c r="H129" s="7777">
        <f>IF(Captura_Pegaso!A130="", "", Captura_Pegaso!H130)</f>
        <v/>
      </c>
      <c r="I129" s="7778">
        <f>IF(Captura_Pegaso!A130="", "", SUMIFS(Captura_Obra!$F:$F, Captura_Obra!$A:$A, E129, Captura_Obra!$B:$B, F129, Captura_Obra!$D:$D, G129))</f>
        <v/>
      </c>
      <c r="J129" s="7779">
        <f>IF(Captura_Pegaso!A130="", "", H129 - I129)</f>
        <v/>
      </c>
      <c r="K129" s="3938" t="n"/>
    </row>
    <row r="130">
      <c r="A130" s="7780">
        <f>IF(Captura_Pegaso!A131="", "", "Pegaso")</f>
        <v/>
      </c>
      <c r="B130" s="7781">
        <f>IF(Captura_Pegaso!A131="", "", Captura_Pegaso!N131)</f>
        <v/>
      </c>
      <c r="C130" s="7782">
        <f>IF(Captura_Pegaso!A131="", "", IFERROR(LOOKUP(2, 1/((Captura_Obra!$A$5:$A$1000=E130)*(Captura_Obra!$B$5:$B$1000=F130)*(Captura_Obra!$D$5:$D$1000=G130)), Captura_Obra!$N$5:$N$1000), "No Reportado"))</f>
        <v/>
      </c>
      <c r="D130" s="7783">
        <f>IF(Captura_Pegaso!A131="", "", IF(J130=0, "✅ Cuadrado", IF(I130=0, "❌ Falta en Obra", "⚠️ Dif")))</f>
        <v/>
      </c>
      <c r="E130" s="7784">
        <f>IF(Captura_Pegaso!A131="", "", Captura_Pegaso!A131)</f>
        <v/>
      </c>
      <c r="F130" s="7785">
        <f>IF(Captura_Pegaso!A131="", "", Captura_Pegaso!D131)</f>
        <v/>
      </c>
      <c r="G130" s="7786">
        <f>IF(Captura_Pegaso!A131="", "", Captura_Pegaso!E131)</f>
        <v/>
      </c>
      <c r="H130" s="7787">
        <f>IF(Captura_Pegaso!A131="", "", Captura_Pegaso!H131)</f>
        <v/>
      </c>
      <c r="I130" s="7788">
        <f>IF(Captura_Pegaso!A131="", "", SUMIFS(Captura_Obra!$F:$F, Captura_Obra!$A:$A, E130, Captura_Obra!$B:$B, F130, Captura_Obra!$D:$D, G130))</f>
        <v/>
      </c>
      <c r="J130" s="7789">
        <f>IF(Captura_Pegaso!A131="", "", H130 - I130)</f>
        <v/>
      </c>
      <c r="K130" s="3939" t="n"/>
    </row>
    <row r="131">
      <c r="A131" s="7790">
        <f>IF(Captura_Pegaso!A132="", "", "Pegaso")</f>
        <v/>
      </c>
      <c r="B131" s="7791">
        <f>IF(Captura_Pegaso!A132="", "", Captura_Pegaso!N132)</f>
        <v/>
      </c>
      <c r="C131" s="7792">
        <f>IF(Captura_Pegaso!A132="", "", IFERROR(LOOKUP(2, 1/((Captura_Obra!$A$5:$A$1000=E131)*(Captura_Obra!$B$5:$B$1000=F131)*(Captura_Obra!$D$5:$D$1000=G131)), Captura_Obra!$N$5:$N$1000), "No Reportado"))</f>
        <v/>
      </c>
      <c r="D131" s="7793">
        <f>IF(Captura_Pegaso!A132="", "", IF(J131=0, "✅ Cuadrado", IF(I131=0, "❌ Falta en Obra", "⚠️ Dif")))</f>
        <v/>
      </c>
      <c r="E131" s="7794">
        <f>IF(Captura_Pegaso!A132="", "", Captura_Pegaso!A132)</f>
        <v/>
      </c>
      <c r="F131" s="7795">
        <f>IF(Captura_Pegaso!A132="", "", Captura_Pegaso!D132)</f>
        <v/>
      </c>
      <c r="G131" s="7796">
        <f>IF(Captura_Pegaso!A132="", "", Captura_Pegaso!E132)</f>
        <v/>
      </c>
      <c r="H131" s="7797">
        <f>IF(Captura_Pegaso!A132="", "", Captura_Pegaso!H132)</f>
        <v/>
      </c>
      <c r="I131" s="7798">
        <f>IF(Captura_Pegaso!A132="", "", SUMIFS(Captura_Obra!$F:$F, Captura_Obra!$A:$A, E131, Captura_Obra!$B:$B, F131, Captura_Obra!$D:$D, G131))</f>
        <v/>
      </c>
      <c r="J131" s="7799">
        <f>IF(Captura_Pegaso!A132="", "", H131 - I131)</f>
        <v/>
      </c>
      <c r="K131" s="3940" t="n"/>
    </row>
    <row r="132">
      <c r="A132" s="7800">
        <f>IF(Captura_Pegaso!A133="", "", "Pegaso")</f>
        <v/>
      </c>
      <c r="B132" s="7801">
        <f>IF(Captura_Pegaso!A133="", "", Captura_Pegaso!N133)</f>
        <v/>
      </c>
      <c r="C132" s="7802">
        <f>IF(Captura_Pegaso!A133="", "", IFERROR(LOOKUP(2, 1/((Captura_Obra!$A$5:$A$1000=E132)*(Captura_Obra!$B$5:$B$1000=F132)*(Captura_Obra!$D$5:$D$1000=G132)), Captura_Obra!$N$5:$N$1000), "No Reportado"))</f>
        <v/>
      </c>
      <c r="D132" s="7803">
        <f>IF(Captura_Pegaso!A133="", "", IF(J132=0, "✅ Cuadrado", IF(I132=0, "❌ Falta en Obra", "⚠️ Dif")))</f>
        <v/>
      </c>
      <c r="E132" s="7804">
        <f>IF(Captura_Pegaso!A133="", "", Captura_Pegaso!A133)</f>
        <v/>
      </c>
      <c r="F132" s="7805">
        <f>IF(Captura_Pegaso!A133="", "", Captura_Pegaso!D133)</f>
        <v/>
      </c>
      <c r="G132" s="7806">
        <f>IF(Captura_Pegaso!A133="", "", Captura_Pegaso!E133)</f>
        <v/>
      </c>
      <c r="H132" s="7807">
        <f>IF(Captura_Pegaso!A133="", "", Captura_Pegaso!H133)</f>
        <v/>
      </c>
      <c r="I132" s="7808">
        <f>IF(Captura_Pegaso!A133="", "", SUMIFS(Captura_Obra!$F:$F, Captura_Obra!$A:$A, E132, Captura_Obra!$B:$B, F132, Captura_Obra!$D:$D, G132))</f>
        <v/>
      </c>
      <c r="J132" s="7809">
        <f>IF(Captura_Pegaso!A133="", "", H132 - I132)</f>
        <v/>
      </c>
      <c r="K132" s="3941" t="n"/>
    </row>
    <row r="133">
      <c r="A133" s="7810">
        <f>IF(Captura_Pegaso!A134="", "", "Pegaso")</f>
        <v/>
      </c>
      <c r="B133" s="7811">
        <f>IF(Captura_Pegaso!A134="", "", Captura_Pegaso!N134)</f>
        <v/>
      </c>
      <c r="C133" s="7812">
        <f>IF(Captura_Pegaso!A134="", "", IFERROR(LOOKUP(2, 1/((Captura_Obra!$A$5:$A$1000=E133)*(Captura_Obra!$B$5:$B$1000=F133)*(Captura_Obra!$D$5:$D$1000=G133)), Captura_Obra!$N$5:$N$1000), "No Reportado"))</f>
        <v/>
      </c>
      <c r="D133" s="7813">
        <f>IF(Captura_Pegaso!A134="", "", IF(J133=0, "✅ Cuadrado", IF(I133=0, "❌ Falta en Obra", "⚠️ Dif")))</f>
        <v/>
      </c>
      <c r="E133" s="7814">
        <f>IF(Captura_Pegaso!A134="", "", Captura_Pegaso!A134)</f>
        <v/>
      </c>
      <c r="F133" s="7815">
        <f>IF(Captura_Pegaso!A134="", "", Captura_Pegaso!D134)</f>
        <v/>
      </c>
      <c r="G133" s="7816">
        <f>IF(Captura_Pegaso!A134="", "", Captura_Pegaso!E134)</f>
        <v/>
      </c>
      <c r="H133" s="7817">
        <f>IF(Captura_Pegaso!A134="", "", Captura_Pegaso!H134)</f>
        <v/>
      </c>
      <c r="I133" s="7818">
        <f>IF(Captura_Pegaso!A134="", "", SUMIFS(Captura_Obra!$F:$F, Captura_Obra!$A:$A, E133, Captura_Obra!$B:$B, F133, Captura_Obra!$D:$D, G133))</f>
        <v/>
      </c>
      <c r="J133" s="7819">
        <f>IF(Captura_Pegaso!A134="", "", H133 - I133)</f>
        <v/>
      </c>
      <c r="K133" s="3942" t="n"/>
    </row>
    <row r="134">
      <c r="A134" s="7820">
        <f>IF(Captura_Pegaso!A135="", "", "Pegaso")</f>
        <v/>
      </c>
      <c r="B134" s="7821">
        <f>IF(Captura_Pegaso!A135="", "", Captura_Pegaso!N135)</f>
        <v/>
      </c>
      <c r="C134" s="7822">
        <f>IF(Captura_Pegaso!A135="", "", IFERROR(LOOKUP(2, 1/((Captura_Obra!$A$5:$A$1000=E134)*(Captura_Obra!$B$5:$B$1000=F134)*(Captura_Obra!$D$5:$D$1000=G134)), Captura_Obra!$N$5:$N$1000), "No Reportado"))</f>
        <v/>
      </c>
      <c r="D134" s="7823">
        <f>IF(Captura_Pegaso!A135="", "", IF(J134=0, "✅ Cuadrado", IF(I134=0, "❌ Falta en Obra", "⚠️ Dif")))</f>
        <v/>
      </c>
      <c r="E134" s="7824">
        <f>IF(Captura_Pegaso!A135="", "", Captura_Pegaso!A135)</f>
        <v/>
      </c>
      <c r="F134" s="7825">
        <f>IF(Captura_Pegaso!A135="", "", Captura_Pegaso!D135)</f>
        <v/>
      </c>
      <c r="G134" s="7826">
        <f>IF(Captura_Pegaso!A135="", "", Captura_Pegaso!E135)</f>
        <v/>
      </c>
      <c r="H134" s="7827">
        <f>IF(Captura_Pegaso!A135="", "", Captura_Pegaso!H135)</f>
        <v/>
      </c>
      <c r="I134" s="7828">
        <f>IF(Captura_Pegaso!A135="", "", SUMIFS(Captura_Obra!$F:$F, Captura_Obra!$A:$A, E134, Captura_Obra!$B:$B, F134, Captura_Obra!$D:$D, G134))</f>
        <v/>
      </c>
      <c r="J134" s="7829">
        <f>IF(Captura_Pegaso!A135="", "", H134 - I134)</f>
        <v/>
      </c>
      <c r="K134" s="3943" t="n"/>
    </row>
    <row r="135">
      <c r="A135" s="7830">
        <f>IF(Captura_Pegaso!A136="", "", "Pegaso")</f>
        <v/>
      </c>
      <c r="B135" s="7831">
        <f>IF(Captura_Pegaso!A136="", "", Captura_Pegaso!N136)</f>
        <v/>
      </c>
      <c r="C135" s="7832">
        <f>IF(Captura_Pegaso!A136="", "", IFERROR(LOOKUP(2, 1/((Captura_Obra!$A$5:$A$1000=E135)*(Captura_Obra!$B$5:$B$1000=F135)*(Captura_Obra!$D$5:$D$1000=G135)), Captura_Obra!$N$5:$N$1000), "No Reportado"))</f>
        <v/>
      </c>
      <c r="D135" s="7833">
        <f>IF(Captura_Pegaso!A136="", "", IF(J135=0, "✅ Cuadrado", IF(I135=0, "❌ Falta en Obra", "⚠️ Dif")))</f>
        <v/>
      </c>
      <c r="E135" s="7834">
        <f>IF(Captura_Pegaso!A136="", "", Captura_Pegaso!A136)</f>
        <v/>
      </c>
      <c r="F135" s="7835">
        <f>IF(Captura_Pegaso!A136="", "", Captura_Pegaso!D136)</f>
        <v/>
      </c>
      <c r="G135" s="7836">
        <f>IF(Captura_Pegaso!A136="", "", Captura_Pegaso!E136)</f>
        <v/>
      </c>
      <c r="H135" s="7837">
        <f>IF(Captura_Pegaso!A136="", "", Captura_Pegaso!H136)</f>
        <v/>
      </c>
      <c r="I135" s="7838">
        <f>IF(Captura_Pegaso!A136="", "", SUMIFS(Captura_Obra!$F:$F, Captura_Obra!$A:$A, E135, Captura_Obra!$B:$B, F135, Captura_Obra!$D:$D, G135))</f>
        <v/>
      </c>
      <c r="J135" s="7839">
        <f>IF(Captura_Pegaso!A136="", "", H135 - I135)</f>
        <v/>
      </c>
      <c r="K135" s="3944" t="n"/>
    </row>
    <row r="136">
      <c r="A136" s="7840">
        <f>IF(Captura_Pegaso!A137="", "", "Pegaso")</f>
        <v/>
      </c>
      <c r="B136" s="7841">
        <f>IF(Captura_Pegaso!A137="", "", Captura_Pegaso!N137)</f>
        <v/>
      </c>
      <c r="C136" s="7842">
        <f>IF(Captura_Pegaso!A137="", "", IFERROR(LOOKUP(2, 1/((Captura_Obra!$A$5:$A$1000=E136)*(Captura_Obra!$B$5:$B$1000=F136)*(Captura_Obra!$D$5:$D$1000=G136)), Captura_Obra!$N$5:$N$1000), "No Reportado"))</f>
        <v/>
      </c>
      <c r="D136" s="7843">
        <f>IF(Captura_Pegaso!A137="", "", IF(J136=0, "✅ Cuadrado", IF(I136=0, "❌ Falta en Obra", "⚠️ Dif")))</f>
        <v/>
      </c>
      <c r="E136" s="7844">
        <f>IF(Captura_Pegaso!A137="", "", Captura_Pegaso!A137)</f>
        <v/>
      </c>
      <c r="F136" s="7845">
        <f>IF(Captura_Pegaso!A137="", "", Captura_Pegaso!D137)</f>
        <v/>
      </c>
      <c r="G136" s="7846">
        <f>IF(Captura_Pegaso!A137="", "", Captura_Pegaso!E137)</f>
        <v/>
      </c>
      <c r="H136" s="7847">
        <f>IF(Captura_Pegaso!A137="", "", Captura_Pegaso!H137)</f>
        <v/>
      </c>
      <c r="I136" s="7848">
        <f>IF(Captura_Pegaso!A137="", "", SUMIFS(Captura_Obra!$F:$F, Captura_Obra!$A:$A, E136, Captura_Obra!$B:$B, F136, Captura_Obra!$D:$D, G136))</f>
        <v/>
      </c>
      <c r="J136" s="7849">
        <f>IF(Captura_Pegaso!A137="", "", H136 - I136)</f>
        <v/>
      </c>
      <c r="K136" s="3945" t="n"/>
    </row>
    <row r="137">
      <c r="A137" s="7850">
        <f>IF(Captura_Pegaso!A138="", "", "Pegaso")</f>
        <v/>
      </c>
      <c r="B137" s="7851">
        <f>IF(Captura_Pegaso!A138="", "", Captura_Pegaso!N138)</f>
        <v/>
      </c>
      <c r="C137" s="7852">
        <f>IF(Captura_Pegaso!A138="", "", IFERROR(LOOKUP(2, 1/((Captura_Obra!$A$5:$A$1000=E137)*(Captura_Obra!$B$5:$B$1000=F137)*(Captura_Obra!$D$5:$D$1000=G137)), Captura_Obra!$N$5:$N$1000), "No Reportado"))</f>
        <v/>
      </c>
      <c r="D137" s="7853">
        <f>IF(Captura_Pegaso!A138="", "", IF(J137=0, "✅ Cuadrado", IF(I137=0, "❌ Falta en Obra", "⚠️ Dif")))</f>
        <v/>
      </c>
      <c r="E137" s="7854">
        <f>IF(Captura_Pegaso!A138="", "", Captura_Pegaso!A138)</f>
        <v/>
      </c>
      <c r="F137" s="7855">
        <f>IF(Captura_Pegaso!A138="", "", Captura_Pegaso!D138)</f>
        <v/>
      </c>
      <c r="G137" s="7856">
        <f>IF(Captura_Pegaso!A138="", "", Captura_Pegaso!E138)</f>
        <v/>
      </c>
      <c r="H137" s="7857">
        <f>IF(Captura_Pegaso!A138="", "", Captura_Pegaso!H138)</f>
        <v/>
      </c>
      <c r="I137" s="7858">
        <f>IF(Captura_Pegaso!A138="", "", SUMIFS(Captura_Obra!$F:$F, Captura_Obra!$A:$A, E137, Captura_Obra!$B:$B, F137, Captura_Obra!$D:$D, G137))</f>
        <v/>
      </c>
      <c r="J137" s="7859">
        <f>IF(Captura_Pegaso!A138="", "", H137 - I137)</f>
        <v/>
      </c>
      <c r="K137" s="3946" t="n"/>
    </row>
    <row r="138">
      <c r="A138" s="7860">
        <f>IF(Captura_Pegaso!A139="", "", "Pegaso")</f>
        <v/>
      </c>
      <c r="B138" s="7861">
        <f>IF(Captura_Pegaso!A139="", "", Captura_Pegaso!N139)</f>
        <v/>
      </c>
      <c r="C138" s="7862">
        <f>IF(Captura_Pegaso!A139="", "", IFERROR(LOOKUP(2, 1/((Captura_Obra!$A$5:$A$1000=E138)*(Captura_Obra!$B$5:$B$1000=F138)*(Captura_Obra!$D$5:$D$1000=G138)), Captura_Obra!$N$5:$N$1000), "No Reportado"))</f>
        <v/>
      </c>
      <c r="D138" s="7863">
        <f>IF(Captura_Pegaso!A139="", "", IF(J138=0, "✅ Cuadrado", IF(I138=0, "❌ Falta en Obra", "⚠️ Dif")))</f>
        <v/>
      </c>
      <c r="E138" s="7864">
        <f>IF(Captura_Pegaso!A139="", "", Captura_Pegaso!A139)</f>
        <v/>
      </c>
      <c r="F138" s="7865">
        <f>IF(Captura_Pegaso!A139="", "", Captura_Pegaso!D139)</f>
        <v/>
      </c>
      <c r="G138" s="7866">
        <f>IF(Captura_Pegaso!A139="", "", Captura_Pegaso!E139)</f>
        <v/>
      </c>
      <c r="H138" s="7867">
        <f>IF(Captura_Pegaso!A139="", "", Captura_Pegaso!H139)</f>
        <v/>
      </c>
      <c r="I138" s="7868">
        <f>IF(Captura_Pegaso!A139="", "", SUMIFS(Captura_Obra!$F:$F, Captura_Obra!$A:$A, E138, Captura_Obra!$B:$B, F138, Captura_Obra!$D:$D, G138))</f>
        <v/>
      </c>
      <c r="J138" s="7869">
        <f>IF(Captura_Pegaso!A139="", "", H138 - I138)</f>
        <v/>
      </c>
      <c r="K138" s="3947" t="n"/>
    </row>
    <row r="139">
      <c r="A139" s="7870">
        <f>IF(Captura_Pegaso!A140="", "", "Pegaso")</f>
        <v/>
      </c>
      <c r="B139" s="7871">
        <f>IF(Captura_Pegaso!A140="", "", Captura_Pegaso!N140)</f>
        <v/>
      </c>
      <c r="C139" s="7872">
        <f>IF(Captura_Pegaso!A140="", "", IFERROR(LOOKUP(2, 1/((Captura_Obra!$A$5:$A$1000=E139)*(Captura_Obra!$B$5:$B$1000=F139)*(Captura_Obra!$D$5:$D$1000=G139)), Captura_Obra!$N$5:$N$1000), "No Reportado"))</f>
        <v/>
      </c>
      <c r="D139" s="7873">
        <f>IF(Captura_Pegaso!A140="", "", IF(J139=0, "✅ Cuadrado", IF(I139=0, "❌ Falta en Obra", "⚠️ Dif")))</f>
        <v/>
      </c>
      <c r="E139" s="7874">
        <f>IF(Captura_Pegaso!A140="", "", Captura_Pegaso!A140)</f>
        <v/>
      </c>
      <c r="F139" s="7875">
        <f>IF(Captura_Pegaso!A140="", "", Captura_Pegaso!D140)</f>
        <v/>
      </c>
      <c r="G139" s="7876">
        <f>IF(Captura_Pegaso!A140="", "", Captura_Pegaso!E140)</f>
        <v/>
      </c>
      <c r="H139" s="7877">
        <f>IF(Captura_Pegaso!A140="", "", Captura_Pegaso!H140)</f>
        <v/>
      </c>
      <c r="I139" s="7878">
        <f>IF(Captura_Pegaso!A140="", "", SUMIFS(Captura_Obra!$F:$F, Captura_Obra!$A:$A, E139, Captura_Obra!$B:$B, F139, Captura_Obra!$D:$D, G139))</f>
        <v/>
      </c>
      <c r="J139" s="7879">
        <f>IF(Captura_Pegaso!A140="", "", H139 - I139)</f>
        <v/>
      </c>
      <c r="K139" s="3948" t="n"/>
    </row>
    <row r="140">
      <c r="A140" s="7880">
        <f>IF(Captura_Pegaso!A141="", "", "Pegaso")</f>
        <v/>
      </c>
      <c r="B140" s="7881">
        <f>IF(Captura_Pegaso!A141="", "", Captura_Pegaso!N141)</f>
        <v/>
      </c>
      <c r="C140" s="7882">
        <f>IF(Captura_Pegaso!A141="", "", IFERROR(LOOKUP(2, 1/((Captura_Obra!$A$5:$A$1000=E140)*(Captura_Obra!$B$5:$B$1000=F140)*(Captura_Obra!$D$5:$D$1000=G140)), Captura_Obra!$N$5:$N$1000), "No Reportado"))</f>
        <v/>
      </c>
      <c r="D140" s="7883">
        <f>IF(Captura_Pegaso!A141="", "", IF(J140=0, "✅ Cuadrado", IF(I140=0, "❌ Falta en Obra", "⚠️ Dif")))</f>
        <v/>
      </c>
      <c r="E140" s="7884">
        <f>IF(Captura_Pegaso!A141="", "", Captura_Pegaso!A141)</f>
        <v/>
      </c>
      <c r="F140" s="7885">
        <f>IF(Captura_Pegaso!A141="", "", Captura_Pegaso!D141)</f>
        <v/>
      </c>
      <c r="G140" s="7886">
        <f>IF(Captura_Pegaso!A141="", "", Captura_Pegaso!E141)</f>
        <v/>
      </c>
      <c r="H140" s="7887">
        <f>IF(Captura_Pegaso!A141="", "", Captura_Pegaso!H141)</f>
        <v/>
      </c>
      <c r="I140" s="7888">
        <f>IF(Captura_Pegaso!A141="", "", SUMIFS(Captura_Obra!$F:$F, Captura_Obra!$A:$A, E140, Captura_Obra!$B:$B, F140, Captura_Obra!$D:$D, G140))</f>
        <v/>
      </c>
      <c r="J140" s="7889">
        <f>IF(Captura_Pegaso!A141="", "", H140 - I140)</f>
        <v/>
      </c>
      <c r="K140" s="3949" t="n"/>
    </row>
    <row r="141">
      <c r="A141" s="7890">
        <f>IF(Captura_Pegaso!A142="", "", "Pegaso")</f>
        <v/>
      </c>
      <c r="B141" s="7891">
        <f>IF(Captura_Pegaso!A142="", "", Captura_Pegaso!N142)</f>
        <v/>
      </c>
      <c r="C141" s="7892">
        <f>IF(Captura_Pegaso!A142="", "", IFERROR(LOOKUP(2, 1/((Captura_Obra!$A$5:$A$1000=E141)*(Captura_Obra!$B$5:$B$1000=F141)*(Captura_Obra!$D$5:$D$1000=G141)), Captura_Obra!$N$5:$N$1000), "No Reportado"))</f>
        <v/>
      </c>
      <c r="D141" s="7893">
        <f>IF(Captura_Pegaso!A142="", "", IF(J141=0, "✅ Cuadrado", IF(I141=0, "❌ Falta en Obra", "⚠️ Dif")))</f>
        <v/>
      </c>
      <c r="E141" s="7894">
        <f>IF(Captura_Pegaso!A142="", "", Captura_Pegaso!A142)</f>
        <v/>
      </c>
      <c r="F141" s="7895">
        <f>IF(Captura_Pegaso!A142="", "", Captura_Pegaso!D142)</f>
        <v/>
      </c>
      <c r="G141" s="7896">
        <f>IF(Captura_Pegaso!A142="", "", Captura_Pegaso!E142)</f>
        <v/>
      </c>
      <c r="H141" s="7897">
        <f>IF(Captura_Pegaso!A142="", "", Captura_Pegaso!H142)</f>
        <v/>
      </c>
      <c r="I141" s="7898">
        <f>IF(Captura_Pegaso!A142="", "", SUMIFS(Captura_Obra!$F:$F, Captura_Obra!$A:$A, E141, Captura_Obra!$B:$B, F141, Captura_Obra!$D:$D, G141))</f>
        <v/>
      </c>
      <c r="J141" s="7899">
        <f>IF(Captura_Pegaso!A142="", "", H141 - I141)</f>
        <v/>
      </c>
      <c r="K141" s="3950" t="n"/>
    </row>
    <row r="142">
      <c r="A142" s="7900">
        <f>IF(Captura_Pegaso!A143="", "", "Pegaso")</f>
        <v/>
      </c>
      <c r="B142" s="7901">
        <f>IF(Captura_Pegaso!A143="", "", Captura_Pegaso!N143)</f>
        <v/>
      </c>
      <c r="C142" s="7902">
        <f>IF(Captura_Pegaso!A143="", "", IFERROR(LOOKUP(2, 1/((Captura_Obra!$A$5:$A$1000=E142)*(Captura_Obra!$B$5:$B$1000=F142)*(Captura_Obra!$D$5:$D$1000=G142)), Captura_Obra!$N$5:$N$1000), "No Reportado"))</f>
        <v/>
      </c>
      <c r="D142" s="7903">
        <f>IF(Captura_Pegaso!A143="", "", IF(J142=0, "✅ Cuadrado", IF(I142=0, "❌ Falta en Obra", "⚠️ Dif")))</f>
        <v/>
      </c>
      <c r="E142" s="7904">
        <f>IF(Captura_Pegaso!A143="", "", Captura_Pegaso!A143)</f>
        <v/>
      </c>
      <c r="F142" s="7905">
        <f>IF(Captura_Pegaso!A143="", "", Captura_Pegaso!D143)</f>
        <v/>
      </c>
      <c r="G142" s="7906">
        <f>IF(Captura_Pegaso!A143="", "", Captura_Pegaso!E143)</f>
        <v/>
      </c>
      <c r="H142" s="7907">
        <f>IF(Captura_Pegaso!A143="", "", Captura_Pegaso!H143)</f>
        <v/>
      </c>
      <c r="I142" s="7908">
        <f>IF(Captura_Pegaso!A143="", "", SUMIFS(Captura_Obra!$F:$F, Captura_Obra!$A:$A, E142, Captura_Obra!$B:$B, F142, Captura_Obra!$D:$D, G142))</f>
        <v/>
      </c>
      <c r="J142" s="7909">
        <f>IF(Captura_Pegaso!A143="", "", H142 - I142)</f>
        <v/>
      </c>
      <c r="K142" s="3951" t="n"/>
    </row>
    <row r="143">
      <c r="A143" s="7910">
        <f>IF(Captura_Pegaso!A144="", "", "Pegaso")</f>
        <v/>
      </c>
      <c r="B143" s="7911">
        <f>IF(Captura_Pegaso!A144="", "", Captura_Pegaso!N144)</f>
        <v/>
      </c>
      <c r="C143" s="7912">
        <f>IF(Captura_Pegaso!A144="", "", IFERROR(LOOKUP(2, 1/((Captura_Obra!$A$5:$A$1000=E143)*(Captura_Obra!$B$5:$B$1000=F143)*(Captura_Obra!$D$5:$D$1000=G143)), Captura_Obra!$N$5:$N$1000), "No Reportado"))</f>
        <v/>
      </c>
      <c r="D143" s="7913">
        <f>IF(Captura_Pegaso!A144="", "", IF(J143=0, "✅ Cuadrado", IF(I143=0, "❌ Falta en Obra", "⚠️ Dif")))</f>
        <v/>
      </c>
      <c r="E143" s="7914">
        <f>IF(Captura_Pegaso!A144="", "", Captura_Pegaso!A144)</f>
        <v/>
      </c>
      <c r="F143" s="7915">
        <f>IF(Captura_Pegaso!A144="", "", Captura_Pegaso!D144)</f>
        <v/>
      </c>
      <c r="G143" s="7916">
        <f>IF(Captura_Pegaso!A144="", "", Captura_Pegaso!E144)</f>
        <v/>
      </c>
      <c r="H143" s="7917">
        <f>IF(Captura_Pegaso!A144="", "", Captura_Pegaso!H144)</f>
        <v/>
      </c>
      <c r="I143" s="7918">
        <f>IF(Captura_Pegaso!A144="", "", SUMIFS(Captura_Obra!$F:$F, Captura_Obra!$A:$A, E143, Captura_Obra!$B:$B, F143, Captura_Obra!$D:$D, G143))</f>
        <v/>
      </c>
      <c r="J143" s="7919">
        <f>IF(Captura_Pegaso!A144="", "", H143 - I143)</f>
        <v/>
      </c>
      <c r="K143" s="3952" t="n"/>
    </row>
    <row r="144">
      <c r="A144" s="7920">
        <f>IF(Captura_Pegaso!A145="", "", "Pegaso")</f>
        <v/>
      </c>
      <c r="B144" s="7921">
        <f>IF(Captura_Pegaso!A145="", "", Captura_Pegaso!N145)</f>
        <v/>
      </c>
      <c r="C144" s="7922">
        <f>IF(Captura_Pegaso!A145="", "", IFERROR(LOOKUP(2, 1/((Captura_Obra!$A$5:$A$1000=E144)*(Captura_Obra!$B$5:$B$1000=F144)*(Captura_Obra!$D$5:$D$1000=G144)), Captura_Obra!$N$5:$N$1000), "No Reportado"))</f>
        <v/>
      </c>
      <c r="D144" s="7923">
        <f>IF(Captura_Pegaso!A145="", "", IF(J144=0, "✅ Cuadrado", IF(I144=0, "❌ Falta en Obra", "⚠️ Dif")))</f>
        <v/>
      </c>
      <c r="E144" s="7924">
        <f>IF(Captura_Pegaso!A145="", "", Captura_Pegaso!A145)</f>
        <v/>
      </c>
      <c r="F144" s="7925">
        <f>IF(Captura_Pegaso!A145="", "", Captura_Pegaso!D145)</f>
        <v/>
      </c>
      <c r="G144" s="7926">
        <f>IF(Captura_Pegaso!A145="", "", Captura_Pegaso!E145)</f>
        <v/>
      </c>
      <c r="H144" s="7927">
        <f>IF(Captura_Pegaso!A145="", "", Captura_Pegaso!H145)</f>
        <v/>
      </c>
      <c r="I144" s="7928">
        <f>IF(Captura_Pegaso!A145="", "", SUMIFS(Captura_Obra!$F:$F, Captura_Obra!$A:$A, E144, Captura_Obra!$B:$B, F144, Captura_Obra!$D:$D, G144))</f>
        <v/>
      </c>
      <c r="J144" s="7929">
        <f>IF(Captura_Pegaso!A145="", "", H144 - I144)</f>
        <v/>
      </c>
      <c r="K144" s="3953" t="n"/>
    </row>
    <row r="145">
      <c r="A145" s="7930">
        <f>IF(Captura_Pegaso!A146="", "", "Pegaso")</f>
        <v/>
      </c>
      <c r="B145" s="7931">
        <f>IF(Captura_Pegaso!A146="", "", Captura_Pegaso!N146)</f>
        <v/>
      </c>
      <c r="C145" s="7932">
        <f>IF(Captura_Pegaso!A146="", "", IFERROR(LOOKUP(2, 1/((Captura_Obra!$A$5:$A$1000=E145)*(Captura_Obra!$B$5:$B$1000=F145)*(Captura_Obra!$D$5:$D$1000=G145)), Captura_Obra!$N$5:$N$1000), "No Reportado"))</f>
        <v/>
      </c>
      <c r="D145" s="7933">
        <f>IF(Captura_Pegaso!A146="", "", IF(J145=0, "✅ Cuadrado", IF(I145=0, "❌ Falta en Obra", "⚠️ Dif")))</f>
        <v/>
      </c>
      <c r="E145" s="7934">
        <f>IF(Captura_Pegaso!A146="", "", Captura_Pegaso!A146)</f>
        <v/>
      </c>
      <c r="F145" s="7935">
        <f>IF(Captura_Pegaso!A146="", "", Captura_Pegaso!D146)</f>
        <v/>
      </c>
      <c r="G145" s="7936">
        <f>IF(Captura_Pegaso!A146="", "", Captura_Pegaso!E146)</f>
        <v/>
      </c>
      <c r="H145" s="7937">
        <f>IF(Captura_Pegaso!A146="", "", Captura_Pegaso!H146)</f>
        <v/>
      </c>
      <c r="I145" s="7938">
        <f>IF(Captura_Pegaso!A146="", "", SUMIFS(Captura_Obra!$F:$F, Captura_Obra!$A:$A, E145, Captura_Obra!$B:$B, F145, Captura_Obra!$D:$D, G145))</f>
        <v/>
      </c>
      <c r="J145" s="7939">
        <f>IF(Captura_Pegaso!A146="", "", H145 - I145)</f>
        <v/>
      </c>
      <c r="K145" s="3954" t="n"/>
    </row>
    <row r="146">
      <c r="A146" s="7940">
        <f>IF(Captura_Pegaso!A147="", "", "Pegaso")</f>
        <v/>
      </c>
      <c r="B146" s="7941">
        <f>IF(Captura_Pegaso!A147="", "", Captura_Pegaso!N147)</f>
        <v/>
      </c>
      <c r="C146" s="7942">
        <f>IF(Captura_Pegaso!A147="", "", IFERROR(LOOKUP(2, 1/((Captura_Obra!$A$5:$A$1000=E146)*(Captura_Obra!$B$5:$B$1000=F146)*(Captura_Obra!$D$5:$D$1000=G146)), Captura_Obra!$N$5:$N$1000), "No Reportado"))</f>
        <v/>
      </c>
      <c r="D146" s="7943">
        <f>IF(Captura_Pegaso!A147="", "", IF(J146=0, "✅ Cuadrado", IF(I146=0, "❌ Falta en Obra", "⚠️ Dif")))</f>
        <v/>
      </c>
      <c r="E146" s="7944">
        <f>IF(Captura_Pegaso!A147="", "", Captura_Pegaso!A147)</f>
        <v/>
      </c>
      <c r="F146" s="7945">
        <f>IF(Captura_Pegaso!A147="", "", Captura_Pegaso!D147)</f>
        <v/>
      </c>
      <c r="G146" s="7946">
        <f>IF(Captura_Pegaso!A147="", "", Captura_Pegaso!E147)</f>
        <v/>
      </c>
      <c r="H146" s="7947">
        <f>IF(Captura_Pegaso!A147="", "", Captura_Pegaso!H147)</f>
        <v/>
      </c>
      <c r="I146" s="7948">
        <f>IF(Captura_Pegaso!A147="", "", SUMIFS(Captura_Obra!$F:$F, Captura_Obra!$A:$A, E146, Captura_Obra!$B:$B, F146, Captura_Obra!$D:$D, G146))</f>
        <v/>
      </c>
      <c r="J146" s="7949">
        <f>IF(Captura_Pegaso!A147="", "", H146 - I146)</f>
        <v/>
      </c>
      <c r="K146" s="3955" t="n"/>
    </row>
    <row r="147">
      <c r="A147" s="7950">
        <f>IF(Captura_Pegaso!A148="", "", "Pegaso")</f>
        <v/>
      </c>
      <c r="B147" s="7951">
        <f>IF(Captura_Pegaso!A148="", "", Captura_Pegaso!N148)</f>
        <v/>
      </c>
      <c r="C147" s="7952">
        <f>IF(Captura_Pegaso!A148="", "", IFERROR(LOOKUP(2, 1/((Captura_Obra!$A$5:$A$1000=E147)*(Captura_Obra!$B$5:$B$1000=F147)*(Captura_Obra!$D$5:$D$1000=G147)), Captura_Obra!$N$5:$N$1000), "No Reportado"))</f>
        <v/>
      </c>
      <c r="D147" s="7953">
        <f>IF(Captura_Pegaso!A148="", "", IF(J147=0, "✅ Cuadrado", IF(I147=0, "❌ Falta en Obra", "⚠️ Dif")))</f>
        <v/>
      </c>
      <c r="E147" s="7954">
        <f>IF(Captura_Pegaso!A148="", "", Captura_Pegaso!A148)</f>
        <v/>
      </c>
      <c r="F147" s="7955">
        <f>IF(Captura_Pegaso!A148="", "", Captura_Pegaso!D148)</f>
        <v/>
      </c>
      <c r="G147" s="7956">
        <f>IF(Captura_Pegaso!A148="", "", Captura_Pegaso!E148)</f>
        <v/>
      </c>
      <c r="H147" s="7957">
        <f>IF(Captura_Pegaso!A148="", "", Captura_Pegaso!H148)</f>
        <v/>
      </c>
      <c r="I147" s="7958">
        <f>IF(Captura_Pegaso!A148="", "", SUMIFS(Captura_Obra!$F:$F, Captura_Obra!$A:$A, E147, Captura_Obra!$B:$B, F147, Captura_Obra!$D:$D, G147))</f>
        <v/>
      </c>
      <c r="J147" s="7959">
        <f>IF(Captura_Pegaso!A148="", "", H147 - I147)</f>
        <v/>
      </c>
      <c r="K147" s="3956" t="n"/>
    </row>
    <row r="148">
      <c r="A148" s="7960">
        <f>IF(Captura_Pegaso!A149="", "", "Pegaso")</f>
        <v/>
      </c>
      <c r="B148" s="7961">
        <f>IF(Captura_Pegaso!A149="", "", Captura_Pegaso!N149)</f>
        <v/>
      </c>
      <c r="C148" s="7962">
        <f>IF(Captura_Pegaso!A149="", "", IFERROR(LOOKUP(2, 1/((Captura_Obra!$A$5:$A$1000=E148)*(Captura_Obra!$B$5:$B$1000=F148)*(Captura_Obra!$D$5:$D$1000=G148)), Captura_Obra!$N$5:$N$1000), "No Reportado"))</f>
        <v/>
      </c>
      <c r="D148" s="7963">
        <f>IF(Captura_Pegaso!A149="", "", IF(J148=0, "✅ Cuadrado", IF(I148=0, "❌ Falta en Obra", "⚠️ Dif")))</f>
        <v/>
      </c>
      <c r="E148" s="7964">
        <f>IF(Captura_Pegaso!A149="", "", Captura_Pegaso!A149)</f>
        <v/>
      </c>
      <c r="F148" s="7965">
        <f>IF(Captura_Pegaso!A149="", "", Captura_Pegaso!D149)</f>
        <v/>
      </c>
      <c r="G148" s="7966">
        <f>IF(Captura_Pegaso!A149="", "", Captura_Pegaso!E149)</f>
        <v/>
      </c>
      <c r="H148" s="7967">
        <f>IF(Captura_Pegaso!A149="", "", Captura_Pegaso!H149)</f>
        <v/>
      </c>
      <c r="I148" s="7968">
        <f>IF(Captura_Pegaso!A149="", "", SUMIFS(Captura_Obra!$F:$F, Captura_Obra!$A:$A, E148, Captura_Obra!$B:$B, F148, Captura_Obra!$D:$D, G148))</f>
        <v/>
      </c>
      <c r="J148" s="7969">
        <f>IF(Captura_Pegaso!A149="", "", H148 - I148)</f>
        <v/>
      </c>
      <c r="K148" s="3957" t="n"/>
    </row>
    <row r="149">
      <c r="A149" s="7970">
        <f>IF(Captura_Pegaso!A150="", "", "Pegaso")</f>
        <v/>
      </c>
      <c r="B149" s="7971">
        <f>IF(Captura_Pegaso!A150="", "", Captura_Pegaso!N150)</f>
        <v/>
      </c>
      <c r="C149" s="7972">
        <f>IF(Captura_Pegaso!A150="", "", IFERROR(LOOKUP(2, 1/((Captura_Obra!$A$5:$A$1000=E149)*(Captura_Obra!$B$5:$B$1000=F149)*(Captura_Obra!$D$5:$D$1000=G149)), Captura_Obra!$N$5:$N$1000), "No Reportado"))</f>
        <v/>
      </c>
      <c r="D149" s="7973">
        <f>IF(Captura_Pegaso!A150="", "", IF(J149=0, "✅ Cuadrado", IF(I149=0, "❌ Falta en Obra", "⚠️ Dif")))</f>
        <v/>
      </c>
      <c r="E149" s="7974">
        <f>IF(Captura_Pegaso!A150="", "", Captura_Pegaso!A150)</f>
        <v/>
      </c>
      <c r="F149" s="7975">
        <f>IF(Captura_Pegaso!A150="", "", Captura_Pegaso!D150)</f>
        <v/>
      </c>
      <c r="G149" s="7976">
        <f>IF(Captura_Pegaso!A150="", "", Captura_Pegaso!E150)</f>
        <v/>
      </c>
      <c r="H149" s="7977">
        <f>IF(Captura_Pegaso!A150="", "", Captura_Pegaso!H150)</f>
        <v/>
      </c>
      <c r="I149" s="7978">
        <f>IF(Captura_Pegaso!A150="", "", SUMIFS(Captura_Obra!$F:$F, Captura_Obra!$A:$A, E149, Captura_Obra!$B:$B, F149, Captura_Obra!$D:$D, G149))</f>
        <v/>
      </c>
      <c r="J149" s="7979">
        <f>IF(Captura_Pegaso!A150="", "", H149 - I149)</f>
        <v/>
      </c>
      <c r="K149" s="3958" t="n"/>
    </row>
    <row r="150">
      <c r="A150" s="7980">
        <f>IF(Captura_Pegaso!A151="", "", "Pegaso")</f>
        <v/>
      </c>
      <c r="B150" s="7981">
        <f>IF(Captura_Pegaso!A151="", "", Captura_Pegaso!N151)</f>
        <v/>
      </c>
      <c r="C150" s="7982">
        <f>IF(Captura_Pegaso!A151="", "", IFERROR(LOOKUP(2, 1/((Captura_Obra!$A$5:$A$1000=E150)*(Captura_Obra!$B$5:$B$1000=F150)*(Captura_Obra!$D$5:$D$1000=G150)), Captura_Obra!$N$5:$N$1000), "No Reportado"))</f>
        <v/>
      </c>
      <c r="D150" s="7983">
        <f>IF(Captura_Pegaso!A151="", "", IF(J150=0, "✅ Cuadrado", IF(I150=0, "❌ Falta en Obra", "⚠️ Dif")))</f>
        <v/>
      </c>
      <c r="E150" s="7984">
        <f>IF(Captura_Pegaso!A151="", "", Captura_Pegaso!A151)</f>
        <v/>
      </c>
      <c r="F150" s="7985">
        <f>IF(Captura_Pegaso!A151="", "", Captura_Pegaso!D151)</f>
        <v/>
      </c>
      <c r="G150" s="7986">
        <f>IF(Captura_Pegaso!A151="", "", Captura_Pegaso!E151)</f>
        <v/>
      </c>
      <c r="H150" s="7987">
        <f>IF(Captura_Pegaso!A151="", "", Captura_Pegaso!H151)</f>
        <v/>
      </c>
      <c r="I150" s="7988">
        <f>IF(Captura_Pegaso!A151="", "", SUMIFS(Captura_Obra!$F:$F, Captura_Obra!$A:$A, E150, Captura_Obra!$B:$B, F150, Captura_Obra!$D:$D, G150))</f>
        <v/>
      </c>
      <c r="J150" s="7989">
        <f>IF(Captura_Pegaso!A151="", "", H150 - I150)</f>
        <v/>
      </c>
      <c r="K150" s="3959" t="n"/>
    </row>
    <row r="151">
      <c r="A151" s="7990">
        <f>IF(Captura_Marimba_M01!A5="", "", "Marimba")</f>
        <v/>
      </c>
      <c r="B151" s="7991">
        <f>IF(Captura_Marimba_M01!A5="", "", Captura_Marimba_M01!N5)</f>
        <v/>
      </c>
      <c r="C151" s="7992">
        <f>IF(Captura_Marimba_M01!A5="", "", IFERROR(LOOKUP(2, 1/((Captura_Obra!$A$5:$A$1000=E151)*(Captura_Obra!$B$5:$B$1000=F151)*(Captura_Obra!$D$5:$D$1000=G151)), Captura_Obra!$N$5:$N$1000), "No Reportado"))</f>
        <v/>
      </c>
      <c r="D151" s="7993">
        <f>IF(Captura_Marimba_M01!A5="", "", IF(J151=0, "✅ Cuadrado", IF(I151=0, "❌ Falta en Obra", "⚠️ Dif")))</f>
        <v/>
      </c>
      <c r="E151" s="7994">
        <f>IF(Captura_Marimba_M01!A5="", "", Captura_Marimba_M01!A5)</f>
        <v/>
      </c>
      <c r="F151" s="7995">
        <f>IF(Captura_Marimba_M01!A5="", "", Captura_Marimba_M01!C5)</f>
        <v/>
      </c>
      <c r="G151" s="7996">
        <f>IF(Captura_Marimba_M01!A5="", "", Captura_Marimba_M01!D5)</f>
        <v/>
      </c>
      <c r="H151" s="7997">
        <f>IF(Captura_Marimba_M01!A5="", "", Captura_Marimba_M01!G5)</f>
        <v/>
      </c>
      <c r="I151" s="7998">
        <f>IF(Captura_Marimba_M01!A5="", "", SUMIFS(Captura_Obra!$F:$F, Captura_Obra!$A:$A, E151, Captura_Obra!$B:$B, F151, Captura_Obra!$D:$D, G151))</f>
        <v/>
      </c>
      <c r="J151" s="7999">
        <f>IF(Captura_Marimba_M01!A5="", "", H151 - I151)</f>
        <v/>
      </c>
      <c r="K151" s="3960" t="n"/>
    </row>
    <row r="152">
      <c r="A152" s="8000">
        <f>IF(Captura_Marimba_M01!A6="", "", "Marimba")</f>
        <v/>
      </c>
      <c r="B152" s="8001">
        <f>IF(Captura_Marimba_M01!A6="", "", Captura_Marimba_M01!N6)</f>
        <v/>
      </c>
      <c r="C152" s="8002">
        <f>IF(Captura_Marimba_M01!A6="", "", IFERROR(LOOKUP(2, 1/((Captura_Obra!$A$5:$A$1000=E152)*(Captura_Obra!$B$5:$B$1000=F152)*(Captura_Obra!$D$5:$D$1000=G152)), Captura_Obra!$N$5:$N$1000), "No Reportado"))</f>
        <v/>
      </c>
      <c r="D152" s="8003">
        <f>IF(Captura_Marimba_M01!A6="", "", IF(J152=0, "✅ Cuadrado", IF(I152=0, "❌ Falta en Obra", "⚠️ Dif")))</f>
        <v/>
      </c>
      <c r="E152" s="8004">
        <f>IF(Captura_Marimba_M01!A6="", "", Captura_Marimba_M01!A6)</f>
        <v/>
      </c>
      <c r="F152" s="8005">
        <f>IF(Captura_Marimba_M01!A6="", "", Captura_Marimba_M01!C6)</f>
        <v/>
      </c>
      <c r="G152" s="8006">
        <f>IF(Captura_Marimba_M01!A6="", "", Captura_Marimba_M01!D6)</f>
        <v/>
      </c>
      <c r="H152" s="8007">
        <f>IF(Captura_Marimba_M01!A6="", "", Captura_Marimba_M01!G6)</f>
        <v/>
      </c>
      <c r="I152" s="8008">
        <f>IF(Captura_Marimba_M01!A6="", "", SUMIFS(Captura_Obra!$F:$F, Captura_Obra!$A:$A, E152, Captura_Obra!$B:$B, F152, Captura_Obra!$D:$D, G152))</f>
        <v/>
      </c>
      <c r="J152" s="8009">
        <f>IF(Captura_Marimba_M01!A6="", "", H152 - I152)</f>
        <v/>
      </c>
      <c r="K152" s="3961" t="n"/>
    </row>
    <row r="153">
      <c r="A153" s="8010">
        <f>IF(Captura_Marimba_M01!A7="", "", "Marimba")</f>
        <v/>
      </c>
      <c r="B153" s="8011">
        <f>IF(Captura_Marimba_M01!A7="", "", Captura_Marimba_M01!N7)</f>
        <v/>
      </c>
      <c r="C153" s="8012">
        <f>IF(Captura_Marimba_M01!A7="", "", IFERROR(LOOKUP(2, 1/((Captura_Obra!$A$5:$A$1000=E153)*(Captura_Obra!$B$5:$B$1000=F153)*(Captura_Obra!$D$5:$D$1000=G153)), Captura_Obra!$N$5:$N$1000), "No Reportado"))</f>
        <v/>
      </c>
      <c r="D153" s="8013">
        <f>IF(Captura_Marimba_M01!A7="", "", IF(J153=0, "✅ Cuadrado", IF(I153=0, "❌ Falta en Obra", "⚠️ Dif")))</f>
        <v/>
      </c>
      <c r="E153" s="8014">
        <f>IF(Captura_Marimba_M01!A7="", "", Captura_Marimba_M01!A7)</f>
        <v/>
      </c>
      <c r="F153" s="8015">
        <f>IF(Captura_Marimba_M01!A7="", "", Captura_Marimba_M01!C7)</f>
        <v/>
      </c>
      <c r="G153" s="8016">
        <f>IF(Captura_Marimba_M01!A7="", "", Captura_Marimba_M01!D7)</f>
        <v/>
      </c>
      <c r="H153" s="8017">
        <f>IF(Captura_Marimba_M01!A7="", "", Captura_Marimba_M01!G7)</f>
        <v/>
      </c>
      <c r="I153" s="8018">
        <f>IF(Captura_Marimba_M01!A7="", "", SUMIFS(Captura_Obra!$F:$F, Captura_Obra!$A:$A, E153, Captura_Obra!$B:$B, F153, Captura_Obra!$D:$D, G153))</f>
        <v/>
      </c>
      <c r="J153" s="8019">
        <f>IF(Captura_Marimba_M01!A7="", "", H153 - I153)</f>
        <v/>
      </c>
      <c r="K153" s="3962" t="n"/>
    </row>
    <row r="154">
      <c r="A154" s="8020">
        <f>IF(Captura_Marimba_M01!A8="", "", "Marimba")</f>
        <v/>
      </c>
      <c r="B154" s="8021">
        <f>IF(Captura_Marimba_M01!A8="", "", Captura_Marimba_M01!N8)</f>
        <v/>
      </c>
      <c r="C154" s="8022">
        <f>IF(Captura_Marimba_M01!A8="", "", IFERROR(LOOKUP(2, 1/((Captura_Obra!$A$5:$A$1000=E154)*(Captura_Obra!$B$5:$B$1000=F154)*(Captura_Obra!$D$5:$D$1000=G154)), Captura_Obra!$N$5:$N$1000), "No Reportado"))</f>
        <v/>
      </c>
      <c r="D154" s="8023">
        <f>IF(Captura_Marimba_M01!A8="", "", IF(J154=0, "✅ Cuadrado", IF(I154=0, "❌ Falta en Obra", "⚠️ Dif")))</f>
        <v/>
      </c>
      <c r="E154" s="8024">
        <f>IF(Captura_Marimba_M01!A8="", "", Captura_Marimba_M01!A8)</f>
        <v/>
      </c>
      <c r="F154" s="8025">
        <f>IF(Captura_Marimba_M01!A8="", "", Captura_Marimba_M01!C8)</f>
        <v/>
      </c>
      <c r="G154" s="8026">
        <f>IF(Captura_Marimba_M01!A8="", "", Captura_Marimba_M01!D8)</f>
        <v/>
      </c>
      <c r="H154" s="8027">
        <f>IF(Captura_Marimba_M01!A8="", "", Captura_Marimba_M01!G8)</f>
        <v/>
      </c>
      <c r="I154" s="8028">
        <f>IF(Captura_Marimba_M01!A8="", "", SUMIFS(Captura_Obra!$F:$F, Captura_Obra!$A:$A, E154, Captura_Obra!$B:$B, F154, Captura_Obra!$D:$D, G154))</f>
        <v/>
      </c>
      <c r="J154" s="8029">
        <f>IF(Captura_Marimba_M01!A8="", "", H154 - I154)</f>
        <v/>
      </c>
      <c r="K154" s="3963" t="n"/>
    </row>
    <row r="155">
      <c r="A155" s="8030">
        <f>IF(Captura_Marimba_M01!A9="", "", "Marimba")</f>
        <v/>
      </c>
      <c r="B155" s="8031">
        <f>IF(Captura_Marimba_M01!A9="", "", Captura_Marimba_M01!N9)</f>
        <v/>
      </c>
      <c r="C155" s="8032">
        <f>IF(Captura_Marimba_M01!A9="", "", IFERROR(LOOKUP(2, 1/((Captura_Obra!$A$5:$A$1000=E155)*(Captura_Obra!$B$5:$B$1000=F155)*(Captura_Obra!$D$5:$D$1000=G155)), Captura_Obra!$N$5:$N$1000), "No Reportado"))</f>
        <v/>
      </c>
      <c r="D155" s="8033">
        <f>IF(Captura_Marimba_M01!A9="", "", IF(J155=0, "✅ Cuadrado", IF(I155=0, "❌ Falta en Obra", "⚠️ Dif")))</f>
        <v/>
      </c>
      <c r="E155" s="8034">
        <f>IF(Captura_Marimba_M01!A9="", "", Captura_Marimba_M01!A9)</f>
        <v/>
      </c>
      <c r="F155" s="8035">
        <f>IF(Captura_Marimba_M01!A9="", "", Captura_Marimba_M01!C9)</f>
        <v/>
      </c>
      <c r="G155" s="8036">
        <f>IF(Captura_Marimba_M01!A9="", "", Captura_Marimba_M01!D9)</f>
        <v/>
      </c>
      <c r="H155" s="8037">
        <f>IF(Captura_Marimba_M01!A9="", "", Captura_Marimba_M01!G9)</f>
        <v/>
      </c>
      <c r="I155" s="8038">
        <f>IF(Captura_Marimba_M01!A9="", "", SUMIFS(Captura_Obra!$F:$F, Captura_Obra!$A:$A, E155, Captura_Obra!$B:$B, F155, Captura_Obra!$D:$D, G155))</f>
        <v/>
      </c>
      <c r="J155" s="8039">
        <f>IF(Captura_Marimba_M01!A9="", "", H155 - I155)</f>
        <v/>
      </c>
      <c r="K155" s="3964" t="n"/>
    </row>
    <row r="156">
      <c r="A156" s="8040">
        <f>IF(Captura_Marimba_M01!A10="", "", "Marimba")</f>
        <v/>
      </c>
      <c r="B156" s="8041">
        <f>IF(Captura_Marimba_M01!A10="", "", Captura_Marimba_M01!N10)</f>
        <v/>
      </c>
      <c r="C156" s="8042">
        <f>IF(Captura_Marimba_M01!A10="", "", IFERROR(LOOKUP(2, 1/((Captura_Obra!$A$5:$A$1000=E156)*(Captura_Obra!$B$5:$B$1000=F156)*(Captura_Obra!$D$5:$D$1000=G156)), Captura_Obra!$N$5:$N$1000), "No Reportado"))</f>
        <v/>
      </c>
      <c r="D156" s="8043">
        <f>IF(Captura_Marimba_M01!A10="", "", IF(J156=0, "✅ Cuadrado", IF(I156=0, "❌ Falta en Obra", "⚠️ Dif")))</f>
        <v/>
      </c>
      <c r="E156" s="8044">
        <f>IF(Captura_Marimba_M01!A10="", "", Captura_Marimba_M01!A10)</f>
        <v/>
      </c>
      <c r="F156" s="8045">
        <f>IF(Captura_Marimba_M01!A10="", "", Captura_Marimba_M01!C10)</f>
        <v/>
      </c>
      <c r="G156" s="8046">
        <f>IF(Captura_Marimba_M01!A10="", "", Captura_Marimba_M01!D10)</f>
        <v/>
      </c>
      <c r="H156" s="8047">
        <f>IF(Captura_Marimba_M01!A10="", "", Captura_Marimba_M01!G10)</f>
        <v/>
      </c>
      <c r="I156" s="8048">
        <f>IF(Captura_Marimba_M01!A10="", "", SUMIFS(Captura_Obra!$F:$F, Captura_Obra!$A:$A, E156, Captura_Obra!$B:$B, F156, Captura_Obra!$D:$D, G156))</f>
        <v/>
      </c>
      <c r="J156" s="8049">
        <f>IF(Captura_Marimba_M01!A10="", "", H156 - I156)</f>
        <v/>
      </c>
      <c r="K156" s="3965" t="n"/>
    </row>
    <row r="157">
      <c r="A157" s="8050">
        <f>IF(Captura_Marimba_M01!A11="", "", "Marimba")</f>
        <v/>
      </c>
      <c r="B157" s="8051">
        <f>IF(Captura_Marimba_M01!A11="", "", Captura_Marimba_M01!N11)</f>
        <v/>
      </c>
      <c r="C157" s="8052">
        <f>IF(Captura_Marimba_M01!A11="", "", IFERROR(LOOKUP(2, 1/((Captura_Obra!$A$5:$A$1000=E157)*(Captura_Obra!$B$5:$B$1000=F157)*(Captura_Obra!$D$5:$D$1000=G157)), Captura_Obra!$N$5:$N$1000), "No Reportado"))</f>
        <v/>
      </c>
      <c r="D157" s="8053">
        <f>IF(Captura_Marimba_M01!A11="", "", IF(J157=0, "✅ Cuadrado", IF(I157=0, "❌ Falta en Obra", "⚠️ Dif")))</f>
        <v/>
      </c>
      <c r="E157" s="8054">
        <f>IF(Captura_Marimba_M01!A11="", "", Captura_Marimba_M01!A11)</f>
        <v/>
      </c>
      <c r="F157" s="8055">
        <f>IF(Captura_Marimba_M01!A11="", "", Captura_Marimba_M01!C11)</f>
        <v/>
      </c>
      <c r="G157" s="8056">
        <f>IF(Captura_Marimba_M01!A11="", "", Captura_Marimba_M01!D11)</f>
        <v/>
      </c>
      <c r="H157" s="8057">
        <f>IF(Captura_Marimba_M01!A11="", "", Captura_Marimba_M01!G11)</f>
        <v/>
      </c>
      <c r="I157" s="8058">
        <f>IF(Captura_Marimba_M01!A11="", "", SUMIFS(Captura_Obra!$F:$F, Captura_Obra!$A:$A, E157, Captura_Obra!$B:$B, F157, Captura_Obra!$D:$D, G157))</f>
        <v/>
      </c>
      <c r="J157" s="8059">
        <f>IF(Captura_Marimba_M01!A11="", "", H157 - I157)</f>
        <v/>
      </c>
      <c r="K157" s="3966" t="n"/>
    </row>
    <row r="158">
      <c r="A158" s="8060">
        <f>IF(Captura_Marimba_M01!A12="", "", "Marimba")</f>
        <v/>
      </c>
      <c r="B158" s="8061">
        <f>IF(Captura_Marimba_M01!A12="", "", Captura_Marimba_M01!N12)</f>
        <v/>
      </c>
      <c r="C158" s="8062">
        <f>IF(Captura_Marimba_M01!A12="", "", IFERROR(LOOKUP(2, 1/((Captura_Obra!$A$5:$A$1000=E158)*(Captura_Obra!$B$5:$B$1000=F158)*(Captura_Obra!$D$5:$D$1000=G158)), Captura_Obra!$N$5:$N$1000), "No Reportado"))</f>
        <v/>
      </c>
      <c r="D158" s="8063">
        <f>IF(Captura_Marimba_M01!A12="", "", IF(J158=0, "✅ Cuadrado", IF(I158=0, "❌ Falta en Obra", "⚠️ Dif")))</f>
        <v/>
      </c>
      <c r="E158" s="8064">
        <f>IF(Captura_Marimba_M01!A12="", "", Captura_Marimba_M01!A12)</f>
        <v/>
      </c>
      <c r="F158" s="8065">
        <f>IF(Captura_Marimba_M01!A12="", "", Captura_Marimba_M01!C12)</f>
        <v/>
      </c>
      <c r="G158" s="8066">
        <f>IF(Captura_Marimba_M01!A12="", "", Captura_Marimba_M01!D12)</f>
        <v/>
      </c>
      <c r="H158" s="8067">
        <f>IF(Captura_Marimba_M01!A12="", "", Captura_Marimba_M01!G12)</f>
        <v/>
      </c>
      <c r="I158" s="8068">
        <f>IF(Captura_Marimba_M01!A12="", "", SUMIFS(Captura_Obra!$F:$F, Captura_Obra!$A:$A, E158, Captura_Obra!$B:$B, F158, Captura_Obra!$D:$D, G158))</f>
        <v/>
      </c>
      <c r="J158" s="8069">
        <f>IF(Captura_Marimba_M01!A12="", "", H158 - I158)</f>
        <v/>
      </c>
      <c r="K158" s="3967" t="n"/>
    </row>
    <row r="159">
      <c r="A159" s="8070">
        <f>IF(Captura_Marimba_M01!A13="", "", "Marimba")</f>
        <v/>
      </c>
      <c r="B159" s="8071">
        <f>IF(Captura_Marimba_M01!A13="", "", Captura_Marimba_M01!N13)</f>
        <v/>
      </c>
      <c r="C159" s="8072">
        <f>IF(Captura_Marimba_M01!A13="", "", IFERROR(LOOKUP(2, 1/((Captura_Obra!$A$5:$A$1000=E159)*(Captura_Obra!$B$5:$B$1000=F159)*(Captura_Obra!$D$5:$D$1000=G159)), Captura_Obra!$N$5:$N$1000), "No Reportado"))</f>
        <v/>
      </c>
      <c r="D159" s="8073">
        <f>IF(Captura_Marimba_M01!A13="", "", IF(J159=0, "✅ Cuadrado", IF(I159=0, "❌ Falta en Obra", "⚠️ Dif")))</f>
        <v/>
      </c>
      <c r="E159" s="8074">
        <f>IF(Captura_Marimba_M01!A13="", "", Captura_Marimba_M01!A13)</f>
        <v/>
      </c>
      <c r="F159" s="8075">
        <f>IF(Captura_Marimba_M01!A13="", "", Captura_Marimba_M01!C13)</f>
        <v/>
      </c>
      <c r="G159" s="8076">
        <f>IF(Captura_Marimba_M01!A13="", "", Captura_Marimba_M01!D13)</f>
        <v/>
      </c>
      <c r="H159" s="8077">
        <f>IF(Captura_Marimba_M01!A13="", "", Captura_Marimba_M01!G13)</f>
        <v/>
      </c>
      <c r="I159" s="8078">
        <f>IF(Captura_Marimba_M01!A13="", "", SUMIFS(Captura_Obra!$F:$F, Captura_Obra!$A:$A, E159, Captura_Obra!$B:$B, F159, Captura_Obra!$D:$D, G159))</f>
        <v/>
      </c>
      <c r="J159" s="8079">
        <f>IF(Captura_Marimba_M01!A13="", "", H159 - I159)</f>
        <v/>
      </c>
      <c r="K159" s="3968" t="n"/>
    </row>
    <row r="160">
      <c r="A160" s="8080">
        <f>IF(Captura_Marimba_M01!A14="", "", "Marimba")</f>
        <v/>
      </c>
      <c r="B160" s="8081">
        <f>IF(Captura_Marimba_M01!A14="", "", Captura_Marimba_M01!N14)</f>
        <v/>
      </c>
      <c r="C160" s="8082">
        <f>IF(Captura_Marimba_M01!A14="", "", IFERROR(LOOKUP(2, 1/((Captura_Obra!$A$5:$A$1000=E160)*(Captura_Obra!$B$5:$B$1000=F160)*(Captura_Obra!$D$5:$D$1000=G160)), Captura_Obra!$N$5:$N$1000), "No Reportado"))</f>
        <v/>
      </c>
      <c r="D160" s="8083">
        <f>IF(Captura_Marimba_M01!A14="", "", IF(J160=0, "✅ Cuadrado", IF(I160=0, "❌ Falta en Obra", "⚠️ Dif")))</f>
        <v/>
      </c>
      <c r="E160" s="8084">
        <f>IF(Captura_Marimba_M01!A14="", "", Captura_Marimba_M01!A14)</f>
        <v/>
      </c>
      <c r="F160" s="8085">
        <f>IF(Captura_Marimba_M01!A14="", "", Captura_Marimba_M01!C14)</f>
        <v/>
      </c>
      <c r="G160" s="8086">
        <f>IF(Captura_Marimba_M01!A14="", "", Captura_Marimba_M01!D14)</f>
        <v/>
      </c>
      <c r="H160" s="8087">
        <f>IF(Captura_Marimba_M01!A14="", "", Captura_Marimba_M01!G14)</f>
        <v/>
      </c>
      <c r="I160" s="8088">
        <f>IF(Captura_Marimba_M01!A14="", "", SUMIFS(Captura_Obra!$F:$F, Captura_Obra!$A:$A, E160, Captura_Obra!$B:$B, F160, Captura_Obra!$D:$D, G160))</f>
        <v/>
      </c>
      <c r="J160" s="8089">
        <f>IF(Captura_Marimba_M01!A14="", "", H160 - I160)</f>
        <v/>
      </c>
      <c r="K160" s="3969" t="n"/>
    </row>
    <row r="161">
      <c r="A161" s="8090">
        <f>IF(Captura_Marimba_M01!A15="", "", "Marimba")</f>
        <v/>
      </c>
      <c r="B161" s="8091">
        <f>IF(Captura_Marimba_M01!A15="", "", Captura_Marimba_M01!N15)</f>
        <v/>
      </c>
      <c r="C161" s="8092">
        <f>IF(Captura_Marimba_M01!A15="", "", IFERROR(LOOKUP(2, 1/((Captura_Obra!$A$5:$A$1000=E161)*(Captura_Obra!$B$5:$B$1000=F161)*(Captura_Obra!$D$5:$D$1000=G161)), Captura_Obra!$N$5:$N$1000), "No Reportado"))</f>
        <v/>
      </c>
      <c r="D161" s="8093">
        <f>IF(Captura_Marimba_M01!A15="", "", IF(J161=0, "✅ Cuadrado", IF(I161=0, "❌ Falta en Obra", "⚠️ Dif")))</f>
        <v/>
      </c>
      <c r="E161" s="8094">
        <f>IF(Captura_Marimba_M01!A15="", "", Captura_Marimba_M01!A15)</f>
        <v/>
      </c>
      <c r="F161" s="8095">
        <f>IF(Captura_Marimba_M01!A15="", "", Captura_Marimba_M01!C15)</f>
        <v/>
      </c>
      <c r="G161" s="8096">
        <f>IF(Captura_Marimba_M01!A15="", "", Captura_Marimba_M01!D15)</f>
        <v/>
      </c>
      <c r="H161" s="8097">
        <f>IF(Captura_Marimba_M01!A15="", "", Captura_Marimba_M01!G15)</f>
        <v/>
      </c>
      <c r="I161" s="8098">
        <f>IF(Captura_Marimba_M01!A15="", "", SUMIFS(Captura_Obra!$F:$F, Captura_Obra!$A:$A, E161, Captura_Obra!$B:$B, F161, Captura_Obra!$D:$D, G161))</f>
        <v/>
      </c>
      <c r="J161" s="8099">
        <f>IF(Captura_Marimba_M01!A15="", "", H161 - I161)</f>
        <v/>
      </c>
      <c r="K161" s="3970" t="n"/>
    </row>
    <row r="162">
      <c r="A162" s="8100">
        <f>IF(Captura_Marimba_M01!A16="", "", "Marimba")</f>
        <v/>
      </c>
      <c r="B162" s="8101">
        <f>IF(Captura_Marimba_M01!A16="", "", Captura_Marimba_M01!N16)</f>
        <v/>
      </c>
      <c r="C162" s="8102">
        <f>IF(Captura_Marimba_M01!A16="", "", IFERROR(LOOKUP(2, 1/((Captura_Obra!$A$5:$A$1000=E162)*(Captura_Obra!$B$5:$B$1000=F162)*(Captura_Obra!$D$5:$D$1000=G162)), Captura_Obra!$N$5:$N$1000), "No Reportado"))</f>
        <v/>
      </c>
      <c r="D162" s="8103">
        <f>IF(Captura_Marimba_M01!A16="", "", IF(J162=0, "✅ Cuadrado", IF(I162=0, "❌ Falta en Obra", "⚠️ Dif")))</f>
        <v/>
      </c>
      <c r="E162" s="8104">
        <f>IF(Captura_Marimba_M01!A16="", "", Captura_Marimba_M01!A16)</f>
        <v/>
      </c>
      <c r="F162" s="8105">
        <f>IF(Captura_Marimba_M01!A16="", "", Captura_Marimba_M01!C16)</f>
        <v/>
      </c>
      <c r="G162" s="8106">
        <f>IF(Captura_Marimba_M01!A16="", "", Captura_Marimba_M01!D16)</f>
        <v/>
      </c>
      <c r="H162" s="8107">
        <f>IF(Captura_Marimba_M01!A16="", "", Captura_Marimba_M01!G16)</f>
        <v/>
      </c>
      <c r="I162" s="8108">
        <f>IF(Captura_Marimba_M01!A16="", "", SUMIFS(Captura_Obra!$F:$F, Captura_Obra!$A:$A, E162, Captura_Obra!$B:$B, F162, Captura_Obra!$D:$D, G162))</f>
        <v/>
      </c>
      <c r="J162" s="8109">
        <f>IF(Captura_Marimba_M01!A16="", "", H162 - I162)</f>
        <v/>
      </c>
      <c r="K162" s="3971" t="n"/>
    </row>
    <row r="163">
      <c r="A163" s="8110">
        <f>IF(Captura_Marimba_M01!A17="", "", "Marimba")</f>
        <v/>
      </c>
      <c r="B163" s="8111">
        <f>IF(Captura_Marimba_M01!A17="", "", Captura_Marimba_M01!N17)</f>
        <v/>
      </c>
      <c r="C163" s="8112">
        <f>IF(Captura_Marimba_M01!A17="", "", IFERROR(LOOKUP(2, 1/((Captura_Obra!$A$5:$A$1000=E163)*(Captura_Obra!$B$5:$B$1000=F163)*(Captura_Obra!$D$5:$D$1000=G163)), Captura_Obra!$N$5:$N$1000), "No Reportado"))</f>
        <v/>
      </c>
      <c r="D163" s="8113">
        <f>IF(Captura_Marimba_M01!A17="", "", IF(J163=0, "✅ Cuadrado", IF(I163=0, "❌ Falta en Obra", "⚠️ Dif")))</f>
        <v/>
      </c>
      <c r="E163" s="8114">
        <f>IF(Captura_Marimba_M01!A17="", "", Captura_Marimba_M01!A17)</f>
        <v/>
      </c>
      <c r="F163" s="8115">
        <f>IF(Captura_Marimba_M01!A17="", "", Captura_Marimba_M01!C17)</f>
        <v/>
      </c>
      <c r="G163" s="8116">
        <f>IF(Captura_Marimba_M01!A17="", "", Captura_Marimba_M01!D17)</f>
        <v/>
      </c>
      <c r="H163" s="8117">
        <f>IF(Captura_Marimba_M01!A17="", "", Captura_Marimba_M01!G17)</f>
        <v/>
      </c>
      <c r="I163" s="8118">
        <f>IF(Captura_Marimba_M01!A17="", "", SUMIFS(Captura_Obra!$F:$F, Captura_Obra!$A:$A, E163, Captura_Obra!$B:$B, F163, Captura_Obra!$D:$D, G163))</f>
        <v/>
      </c>
      <c r="J163" s="8119">
        <f>IF(Captura_Marimba_M01!A17="", "", H163 - I163)</f>
        <v/>
      </c>
      <c r="K163" s="3972" t="n"/>
    </row>
    <row r="164">
      <c r="A164" s="8120">
        <f>IF(Captura_Marimba_M01!A18="", "", "Marimba")</f>
        <v/>
      </c>
      <c r="B164" s="8121">
        <f>IF(Captura_Marimba_M01!A18="", "", Captura_Marimba_M01!N18)</f>
        <v/>
      </c>
      <c r="C164" s="8122">
        <f>IF(Captura_Marimba_M01!A18="", "", IFERROR(LOOKUP(2, 1/((Captura_Obra!$A$5:$A$1000=E164)*(Captura_Obra!$B$5:$B$1000=F164)*(Captura_Obra!$D$5:$D$1000=G164)), Captura_Obra!$N$5:$N$1000), "No Reportado"))</f>
        <v/>
      </c>
      <c r="D164" s="8123">
        <f>IF(Captura_Marimba_M01!A18="", "", IF(J164=0, "✅ Cuadrado", IF(I164=0, "❌ Falta en Obra", "⚠️ Dif")))</f>
        <v/>
      </c>
      <c r="E164" s="8124">
        <f>IF(Captura_Marimba_M01!A18="", "", Captura_Marimba_M01!A18)</f>
        <v/>
      </c>
      <c r="F164" s="8125">
        <f>IF(Captura_Marimba_M01!A18="", "", Captura_Marimba_M01!C18)</f>
        <v/>
      </c>
      <c r="G164" s="8126">
        <f>IF(Captura_Marimba_M01!A18="", "", Captura_Marimba_M01!D18)</f>
        <v/>
      </c>
      <c r="H164" s="8127">
        <f>IF(Captura_Marimba_M01!A18="", "", Captura_Marimba_M01!G18)</f>
        <v/>
      </c>
      <c r="I164" s="8128">
        <f>IF(Captura_Marimba_M01!A18="", "", SUMIFS(Captura_Obra!$F:$F, Captura_Obra!$A:$A, E164, Captura_Obra!$B:$B, F164, Captura_Obra!$D:$D, G164))</f>
        <v/>
      </c>
      <c r="J164" s="8129">
        <f>IF(Captura_Marimba_M01!A18="", "", H164 - I164)</f>
        <v/>
      </c>
      <c r="K164" s="3973" t="n"/>
    </row>
    <row r="165">
      <c r="A165" s="8130">
        <f>IF(Captura_Marimba_M01!A19="", "", "Marimba")</f>
        <v/>
      </c>
      <c r="B165" s="8131">
        <f>IF(Captura_Marimba_M01!A19="", "", Captura_Marimba_M01!N19)</f>
        <v/>
      </c>
      <c r="C165" s="8132">
        <f>IF(Captura_Marimba_M01!A19="", "", IFERROR(LOOKUP(2, 1/((Captura_Obra!$A$5:$A$1000=E165)*(Captura_Obra!$B$5:$B$1000=F165)*(Captura_Obra!$D$5:$D$1000=G165)), Captura_Obra!$N$5:$N$1000), "No Reportado"))</f>
        <v/>
      </c>
      <c r="D165" s="8133">
        <f>IF(Captura_Marimba_M01!A19="", "", IF(J165=0, "✅ Cuadrado", IF(I165=0, "❌ Falta en Obra", "⚠️ Dif")))</f>
        <v/>
      </c>
      <c r="E165" s="8134">
        <f>IF(Captura_Marimba_M01!A19="", "", Captura_Marimba_M01!A19)</f>
        <v/>
      </c>
      <c r="F165" s="8135">
        <f>IF(Captura_Marimba_M01!A19="", "", Captura_Marimba_M01!C19)</f>
        <v/>
      </c>
      <c r="G165" s="8136">
        <f>IF(Captura_Marimba_M01!A19="", "", Captura_Marimba_M01!D19)</f>
        <v/>
      </c>
      <c r="H165" s="8137">
        <f>IF(Captura_Marimba_M01!A19="", "", Captura_Marimba_M01!G19)</f>
        <v/>
      </c>
      <c r="I165" s="8138">
        <f>IF(Captura_Marimba_M01!A19="", "", SUMIFS(Captura_Obra!$F:$F, Captura_Obra!$A:$A, E165, Captura_Obra!$B:$B, F165, Captura_Obra!$D:$D, G165))</f>
        <v/>
      </c>
      <c r="J165" s="8139">
        <f>IF(Captura_Marimba_M01!A19="", "", H165 - I165)</f>
        <v/>
      </c>
      <c r="K165" s="3974" t="n"/>
    </row>
    <row r="166">
      <c r="A166" s="8140">
        <f>IF(Captura_Marimba_M01!A20="", "", "Marimba")</f>
        <v/>
      </c>
      <c r="B166" s="8141">
        <f>IF(Captura_Marimba_M01!A20="", "", Captura_Marimba_M01!N20)</f>
        <v/>
      </c>
      <c r="C166" s="8142">
        <f>IF(Captura_Marimba_M01!A20="", "", IFERROR(LOOKUP(2, 1/((Captura_Obra!$A$5:$A$1000=E166)*(Captura_Obra!$B$5:$B$1000=F166)*(Captura_Obra!$D$5:$D$1000=G166)), Captura_Obra!$N$5:$N$1000), "No Reportado"))</f>
        <v/>
      </c>
      <c r="D166" s="8143">
        <f>IF(Captura_Marimba_M01!A20="", "", IF(J166=0, "✅ Cuadrado", IF(I166=0, "❌ Falta en Obra", "⚠️ Dif")))</f>
        <v/>
      </c>
      <c r="E166" s="8144">
        <f>IF(Captura_Marimba_M01!A20="", "", Captura_Marimba_M01!A20)</f>
        <v/>
      </c>
      <c r="F166" s="8145">
        <f>IF(Captura_Marimba_M01!A20="", "", Captura_Marimba_M01!C20)</f>
        <v/>
      </c>
      <c r="G166" s="8146">
        <f>IF(Captura_Marimba_M01!A20="", "", Captura_Marimba_M01!D20)</f>
        <v/>
      </c>
      <c r="H166" s="8147">
        <f>IF(Captura_Marimba_M01!A20="", "", Captura_Marimba_M01!G20)</f>
        <v/>
      </c>
      <c r="I166" s="8148">
        <f>IF(Captura_Marimba_M01!A20="", "", SUMIFS(Captura_Obra!$F:$F, Captura_Obra!$A:$A, E166, Captura_Obra!$B:$B, F166, Captura_Obra!$D:$D, G166))</f>
        <v/>
      </c>
      <c r="J166" s="8149">
        <f>IF(Captura_Marimba_M01!A20="", "", H166 - I166)</f>
        <v/>
      </c>
      <c r="K166" s="3975" t="n"/>
    </row>
    <row r="167">
      <c r="A167" s="8150">
        <f>IF(Captura_Marimba_M01!A21="", "", "Marimba")</f>
        <v/>
      </c>
      <c r="B167" s="8151">
        <f>IF(Captura_Marimba_M01!A21="", "", Captura_Marimba_M01!N21)</f>
        <v/>
      </c>
      <c r="C167" s="8152">
        <f>IF(Captura_Marimba_M01!A21="", "", IFERROR(LOOKUP(2, 1/((Captura_Obra!$A$5:$A$1000=E167)*(Captura_Obra!$B$5:$B$1000=F167)*(Captura_Obra!$D$5:$D$1000=G167)), Captura_Obra!$N$5:$N$1000), "No Reportado"))</f>
        <v/>
      </c>
      <c r="D167" s="8153">
        <f>IF(Captura_Marimba_M01!A21="", "", IF(J167=0, "✅ Cuadrado", IF(I167=0, "❌ Falta en Obra", "⚠️ Dif")))</f>
        <v/>
      </c>
      <c r="E167" s="8154">
        <f>IF(Captura_Marimba_M01!A21="", "", Captura_Marimba_M01!A21)</f>
        <v/>
      </c>
      <c r="F167" s="8155">
        <f>IF(Captura_Marimba_M01!A21="", "", Captura_Marimba_M01!C21)</f>
        <v/>
      </c>
      <c r="G167" s="8156">
        <f>IF(Captura_Marimba_M01!A21="", "", Captura_Marimba_M01!D21)</f>
        <v/>
      </c>
      <c r="H167" s="8157">
        <f>IF(Captura_Marimba_M01!A21="", "", Captura_Marimba_M01!G21)</f>
        <v/>
      </c>
      <c r="I167" s="8158">
        <f>IF(Captura_Marimba_M01!A21="", "", SUMIFS(Captura_Obra!$F:$F, Captura_Obra!$A:$A, E167, Captura_Obra!$B:$B, F167, Captura_Obra!$D:$D, G167))</f>
        <v/>
      </c>
      <c r="J167" s="8159">
        <f>IF(Captura_Marimba_M01!A21="", "", H167 - I167)</f>
        <v/>
      </c>
      <c r="K167" s="3976" t="n"/>
    </row>
    <row r="168">
      <c r="A168" s="8160">
        <f>IF(Captura_Marimba_M01!A22="", "", "Marimba")</f>
        <v/>
      </c>
      <c r="B168" s="8161">
        <f>IF(Captura_Marimba_M01!A22="", "", Captura_Marimba_M01!N22)</f>
        <v/>
      </c>
      <c r="C168" s="8162">
        <f>IF(Captura_Marimba_M01!A22="", "", IFERROR(LOOKUP(2, 1/((Captura_Obra!$A$5:$A$1000=E168)*(Captura_Obra!$B$5:$B$1000=F168)*(Captura_Obra!$D$5:$D$1000=G168)), Captura_Obra!$N$5:$N$1000), "No Reportado"))</f>
        <v/>
      </c>
      <c r="D168" s="8163">
        <f>IF(Captura_Marimba_M01!A22="", "", IF(J168=0, "✅ Cuadrado", IF(I168=0, "❌ Falta en Obra", "⚠️ Dif")))</f>
        <v/>
      </c>
      <c r="E168" s="8164">
        <f>IF(Captura_Marimba_M01!A22="", "", Captura_Marimba_M01!A22)</f>
        <v/>
      </c>
      <c r="F168" s="8165">
        <f>IF(Captura_Marimba_M01!A22="", "", Captura_Marimba_M01!C22)</f>
        <v/>
      </c>
      <c r="G168" s="8166">
        <f>IF(Captura_Marimba_M01!A22="", "", Captura_Marimba_M01!D22)</f>
        <v/>
      </c>
      <c r="H168" s="8167">
        <f>IF(Captura_Marimba_M01!A22="", "", Captura_Marimba_M01!G22)</f>
        <v/>
      </c>
      <c r="I168" s="8168">
        <f>IF(Captura_Marimba_M01!A22="", "", SUMIFS(Captura_Obra!$F:$F, Captura_Obra!$A:$A, E168, Captura_Obra!$B:$B, F168, Captura_Obra!$D:$D, G168))</f>
        <v/>
      </c>
      <c r="J168" s="8169">
        <f>IF(Captura_Marimba_M01!A22="", "", H168 - I168)</f>
        <v/>
      </c>
      <c r="K168" s="3977" t="n"/>
    </row>
    <row r="169">
      <c r="A169" s="8170">
        <f>IF(Captura_Marimba_M01!A23="", "", "Marimba")</f>
        <v/>
      </c>
      <c r="B169" s="8171">
        <f>IF(Captura_Marimba_M01!A23="", "", Captura_Marimba_M01!N23)</f>
        <v/>
      </c>
      <c r="C169" s="8172">
        <f>IF(Captura_Marimba_M01!A23="", "", IFERROR(LOOKUP(2, 1/((Captura_Obra!$A$5:$A$1000=E169)*(Captura_Obra!$B$5:$B$1000=F169)*(Captura_Obra!$D$5:$D$1000=G169)), Captura_Obra!$N$5:$N$1000), "No Reportado"))</f>
        <v/>
      </c>
      <c r="D169" s="8173">
        <f>IF(Captura_Marimba_M01!A23="", "", IF(J169=0, "✅ Cuadrado", IF(I169=0, "❌ Falta en Obra", "⚠️ Dif")))</f>
        <v/>
      </c>
      <c r="E169" s="8174">
        <f>IF(Captura_Marimba_M01!A23="", "", Captura_Marimba_M01!A23)</f>
        <v/>
      </c>
      <c r="F169" s="8175">
        <f>IF(Captura_Marimba_M01!A23="", "", Captura_Marimba_M01!C23)</f>
        <v/>
      </c>
      <c r="G169" s="8176">
        <f>IF(Captura_Marimba_M01!A23="", "", Captura_Marimba_M01!D23)</f>
        <v/>
      </c>
      <c r="H169" s="8177">
        <f>IF(Captura_Marimba_M01!A23="", "", Captura_Marimba_M01!G23)</f>
        <v/>
      </c>
      <c r="I169" s="8178">
        <f>IF(Captura_Marimba_M01!A23="", "", SUMIFS(Captura_Obra!$F:$F, Captura_Obra!$A:$A, E169, Captura_Obra!$B:$B, F169, Captura_Obra!$D:$D, G169))</f>
        <v/>
      </c>
      <c r="J169" s="8179">
        <f>IF(Captura_Marimba_M01!A23="", "", H169 - I169)</f>
        <v/>
      </c>
      <c r="K169" s="3978" t="n"/>
    </row>
    <row r="170">
      <c r="A170" s="8180">
        <f>IF(Captura_Marimba_M01!A24="", "", "Marimba")</f>
        <v/>
      </c>
      <c r="B170" s="8181">
        <f>IF(Captura_Marimba_M01!A24="", "", Captura_Marimba_M01!N24)</f>
        <v/>
      </c>
      <c r="C170" s="8182">
        <f>IF(Captura_Marimba_M01!A24="", "", IFERROR(LOOKUP(2, 1/((Captura_Obra!$A$5:$A$1000=E170)*(Captura_Obra!$B$5:$B$1000=F170)*(Captura_Obra!$D$5:$D$1000=G170)), Captura_Obra!$N$5:$N$1000), "No Reportado"))</f>
        <v/>
      </c>
      <c r="D170" s="8183">
        <f>IF(Captura_Marimba_M01!A24="", "", IF(J170=0, "✅ Cuadrado", IF(I170=0, "❌ Falta en Obra", "⚠️ Dif")))</f>
        <v/>
      </c>
      <c r="E170" s="8184">
        <f>IF(Captura_Marimba_M01!A24="", "", Captura_Marimba_M01!A24)</f>
        <v/>
      </c>
      <c r="F170" s="8185">
        <f>IF(Captura_Marimba_M01!A24="", "", Captura_Marimba_M01!C24)</f>
        <v/>
      </c>
      <c r="G170" s="8186">
        <f>IF(Captura_Marimba_M01!A24="", "", Captura_Marimba_M01!D24)</f>
        <v/>
      </c>
      <c r="H170" s="8187">
        <f>IF(Captura_Marimba_M01!A24="", "", Captura_Marimba_M01!G24)</f>
        <v/>
      </c>
      <c r="I170" s="8188">
        <f>IF(Captura_Marimba_M01!A24="", "", SUMIFS(Captura_Obra!$F:$F, Captura_Obra!$A:$A, E170, Captura_Obra!$B:$B, F170, Captura_Obra!$D:$D, G170))</f>
        <v/>
      </c>
      <c r="J170" s="8189">
        <f>IF(Captura_Marimba_M01!A24="", "", H170 - I170)</f>
        <v/>
      </c>
      <c r="K170" s="3979" t="n"/>
    </row>
    <row r="171">
      <c r="A171" s="8190">
        <f>IF(Captura_Marimba_M01!A25="", "", "Marimba")</f>
        <v/>
      </c>
      <c r="B171" s="8191">
        <f>IF(Captura_Marimba_M01!A25="", "", Captura_Marimba_M01!N25)</f>
        <v/>
      </c>
      <c r="C171" s="8192">
        <f>IF(Captura_Marimba_M01!A25="", "", IFERROR(LOOKUP(2, 1/((Captura_Obra!$A$5:$A$1000=E171)*(Captura_Obra!$B$5:$B$1000=F171)*(Captura_Obra!$D$5:$D$1000=G171)), Captura_Obra!$N$5:$N$1000), "No Reportado"))</f>
        <v/>
      </c>
      <c r="D171" s="8193">
        <f>IF(Captura_Marimba_M01!A25="", "", IF(J171=0, "✅ Cuadrado", IF(I171=0, "❌ Falta en Obra", "⚠️ Dif")))</f>
        <v/>
      </c>
      <c r="E171" s="8194">
        <f>IF(Captura_Marimba_M01!A25="", "", Captura_Marimba_M01!A25)</f>
        <v/>
      </c>
      <c r="F171" s="8195">
        <f>IF(Captura_Marimba_M01!A25="", "", Captura_Marimba_M01!C25)</f>
        <v/>
      </c>
      <c r="G171" s="8196">
        <f>IF(Captura_Marimba_M01!A25="", "", Captura_Marimba_M01!D25)</f>
        <v/>
      </c>
      <c r="H171" s="8197">
        <f>IF(Captura_Marimba_M01!A25="", "", Captura_Marimba_M01!G25)</f>
        <v/>
      </c>
      <c r="I171" s="8198">
        <f>IF(Captura_Marimba_M01!A25="", "", SUMIFS(Captura_Obra!$F:$F, Captura_Obra!$A:$A, E171, Captura_Obra!$B:$B, F171, Captura_Obra!$D:$D, G171))</f>
        <v/>
      </c>
      <c r="J171" s="8199">
        <f>IF(Captura_Marimba_M01!A25="", "", H171 - I171)</f>
        <v/>
      </c>
      <c r="K171" s="3980" t="n"/>
    </row>
    <row r="172">
      <c r="A172" s="8200">
        <f>IF(Captura_Marimba_M01!A26="", "", "Marimba")</f>
        <v/>
      </c>
      <c r="B172" s="8201">
        <f>IF(Captura_Marimba_M01!A26="", "", Captura_Marimba_M01!N26)</f>
        <v/>
      </c>
      <c r="C172" s="8202">
        <f>IF(Captura_Marimba_M01!A26="", "", IFERROR(LOOKUP(2, 1/((Captura_Obra!$A$5:$A$1000=E172)*(Captura_Obra!$B$5:$B$1000=F172)*(Captura_Obra!$D$5:$D$1000=G172)), Captura_Obra!$N$5:$N$1000), "No Reportado"))</f>
        <v/>
      </c>
      <c r="D172" s="8203">
        <f>IF(Captura_Marimba_M01!A26="", "", IF(J172=0, "✅ Cuadrado", IF(I172=0, "❌ Falta en Obra", "⚠️ Dif")))</f>
        <v/>
      </c>
      <c r="E172" s="8204">
        <f>IF(Captura_Marimba_M01!A26="", "", Captura_Marimba_M01!A26)</f>
        <v/>
      </c>
      <c r="F172" s="8205">
        <f>IF(Captura_Marimba_M01!A26="", "", Captura_Marimba_M01!C26)</f>
        <v/>
      </c>
      <c r="G172" s="8206">
        <f>IF(Captura_Marimba_M01!A26="", "", Captura_Marimba_M01!D26)</f>
        <v/>
      </c>
      <c r="H172" s="8207">
        <f>IF(Captura_Marimba_M01!A26="", "", Captura_Marimba_M01!G26)</f>
        <v/>
      </c>
      <c r="I172" s="8208">
        <f>IF(Captura_Marimba_M01!A26="", "", SUMIFS(Captura_Obra!$F:$F, Captura_Obra!$A:$A, E172, Captura_Obra!$B:$B, F172, Captura_Obra!$D:$D, G172))</f>
        <v/>
      </c>
      <c r="J172" s="8209">
        <f>IF(Captura_Marimba_M01!A26="", "", H172 - I172)</f>
        <v/>
      </c>
      <c r="K172" s="3981" t="n"/>
    </row>
    <row r="173">
      <c r="A173" s="8210">
        <f>IF(Captura_Marimba_M01!A27="", "", "Marimba")</f>
        <v/>
      </c>
      <c r="B173" s="8211">
        <f>IF(Captura_Marimba_M01!A27="", "", Captura_Marimba_M01!N27)</f>
        <v/>
      </c>
      <c r="C173" s="8212">
        <f>IF(Captura_Marimba_M01!A27="", "", IFERROR(LOOKUP(2, 1/((Captura_Obra!$A$5:$A$1000=E173)*(Captura_Obra!$B$5:$B$1000=F173)*(Captura_Obra!$D$5:$D$1000=G173)), Captura_Obra!$N$5:$N$1000), "No Reportado"))</f>
        <v/>
      </c>
      <c r="D173" s="8213">
        <f>IF(Captura_Marimba_M01!A27="", "", IF(J173=0, "✅ Cuadrado", IF(I173=0, "❌ Falta en Obra", "⚠️ Dif")))</f>
        <v/>
      </c>
      <c r="E173" s="8214">
        <f>IF(Captura_Marimba_M01!A27="", "", Captura_Marimba_M01!A27)</f>
        <v/>
      </c>
      <c r="F173" s="8215">
        <f>IF(Captura_Marimba_M01!A27="", "", Captura_Marimba_M01!C27)</f>
        <v/>
      </c>
      <c r="G173" s="8216">
        <f>IF(Captura_Marimba_M01!A27="", "", Captura_Marimba_M01!D27)</f>
        <v/>
      </c>
      <c r="H173" s="8217">
        <f>IF(Captura_Marimba_M01!A27="", "", Captura_Marimba_M01!G27)</f>
        <v/>
      </c>
      <c r="I173" s="8218">
        <f>IF(Captura_Marimba_M01!A27="", "", SUMIFS(Captura_Obra!$F:$F, Captura_Obra!$A:$A, E173, Captura_Obra!$B:$B, F173, Captura_Obra!$D:$D, G173))</f>
        <v/>
      </c>
      <c r="J173" s="8219">
        <f>IF(Captura_Marimba_M01!A27="", "", H173 - I173)</f>
        <v/>
      </c>
      <c r="K173" s="3982" t="n"/>
    </row>
    <row r="174">
      <c r="A174" s="8220">
        <f>IF(Captura_Marimba_M01!A28="", "", "Marimba")</f>
        <v/>
      </c>
      <c r="B174" s="8221">
        <f>IF(Captura_Marimba_M01!A28="", "", Captura_Marimba_M01!N28)</f>
        <v/>
      </c>
      <c r="C174" s="8222">
        <f>IF(Captura_Marimba_M01!A28="", "", IFERROR(LOOKUP(2, 1/((Captura_Obra!$A$5:$A$1000=E174)*(Captura_Obra!$B$5:$B$1000=F174)*(Captura_Obra!$D$5:$D$1000=G174)), Captura_Obra!$N$5:$N$1000), "No Reportado"))</f>
        <v/>
      </c>
      <c r="D174" s="8223">
        <f>IF(Captura_Marimba_M01!A28="", "", IF(J174=0, "✅ Cuadrado", IF(I174=0, "❌ Falta en Obra", "⚠️ Dif")))</f>
        <v/>
      </c>
      <c r="E174" s="8224">
        <f>IF(Captura_Marimba_M01!A28="", "", Captura_Marimba_M01!A28)</f>
        <v/>
      </c>
      <c r="F174" s="8225">
        <f>IF(Captura_Marimba_M01!A28="", "", Captura_Marimba_M01!C28)</f>
        <v/>
      </c>
      <c r="G174" s="8226">
        <f>IF(Captura_Marimba_M01!A28="", "", Captura_Marimba_M01!D28)</f>
        <v/>
      </c>
      <c r="H174" s="8227">
        <f>IF(Captura_Marimba_M01!A28="", "", Captura_Marimba_M01!G28)</f>
        <v/>
      </c>
      <c r="I174" s="8228">
        <f>IF(Captura_Marimba_M01!A28="", "", SUMIFS(Captura_Obra!$F:$F, Captura_Obra!$A:$A, E174, Captura_Obra!$B:$B, F174, Captura_Obra!$D:$D, G174))</f>
        <v/>
      </c>
      <c r="J174" s="8229">
        <f>IF(Captura_Marimba_M01!A28="", "", H174 - I174)</f>
        <v/>
      </c>
      <c r="K174" s="3983" t="n"/>
    </row>
    <row r="175">
      <c r="A175" s="8230">
        <f>IF(Captura_Marimba_M01!A29="", "", "Marimba")</f>
        <v/>
      </c>
      <c r="B175" s="8231">
        <f>IF(Captura_Marimba_M01!A29="", "", Captura_Marimba_M01!N29)</f>
        <v/>
      </c>
      <c r="C175" s="8232">
        <f>IF(Captura_Marimba_M01!A29="", "", IFERROR(LOOKUP(2, 1/((Captura_Obra!$A$5:$A$1000=E175)*(Captura_Obra!$B$5:$B$1000=F175)*(Captura_Obra!$D$5:$D$1000=G175)), Captura_Obra!$N$5:$N$1000), "No Reportado"))</f>
        <v/>
      </c>
      <c r="D175" s="8233">
        <f>IF(Captura_Marimba_M01!A29="", "", IF(J175=0, "✅ Cuadrado", IF(I175=0, "❌ Falta en Obra", "⚠️ Dif")))</f>
        <v/>
      </c>
      <c r="E175" s="8234">
        <f>IF(Captura_Marimba_M01!A29="", "", Captura_Marimba_M01!A29)</f>
        <v/>
      </c>
      <c r="F175" s="8235">
        <f>IF(Captura_Marimba_M01!A29="", "", Captura_Marimba_M01!C29)</f>
        <v/>
      </c>
      <c r="G175" s="8236">
        <f>IF(Captura_Marimba_M01!A29="", "", Captura_Marimba_M01!D29)</f>
        <v/>
      </c>
      <c r="H175" s="8237">
        <f>IF(Captura_Marimba_M01!A29="", "", Captura_Marimba_M01!G29)</f>
        <v/>
      </c>
      <c r="I175" s="8238">
        <f>IF(Captura_Marimba_M01!A29="", "", SUMIFS(Captura_Obra!$F:$F, Captura_Obra!$A:$A, E175, Captura_Obra!$B:$B, F175, Captura_Obra!$D:$D, G175))</f>
        <v/>
      </c>
      <c r="J175" s="8239">
        <f>IF(Captura_Marimba_M01!A29="", "", H175 - I175)</f>
        <v/>
      </c>
      <c r="K175" s="3984" t="n"/>
    </row>
    <row r="176">
      <c r="A176" s="8240">
        <f>IF(Captura_Marimba_M01!A30="", "", "Marimba")</f>
        <v/>
      </c>
      <c r="B176" s="8241">
        <f>IF(Captura_Marimba_M01!A30="", "", Captura_Marimba_M01!N30)</f>
        <v/>
      </c>
      <c r="C176" s="8242">
        <f>IF(Captura_Marimba_M01!A30="", "", IFERROR(LOOKUP(2, 1/((Captura_Obra!$A$5:$A$1000=E176)*(Captura_Obra!$B$5:$B$1000=F176)*(Captura_Obra!$D$5:$D$1000=G176)), Captura_Obra!$N$5:$N$1000), "No Reportado"))</f>
        <v/>
      </c>
      <c r="D176" s="8243">
        <f>IF(Captura_Marimba_M01!A30="", "", IF(J176=0, "✅ Cuadrado", IF(I176=0, "❌ Falta en Obra", "⚠️ Dif")))</f>
        <v/>
      </c>
      <c r="E176" s="8244">
        <f>IF(Captura_Marimba_M01!A30="", "", Captura_Marimba_M01!A30)</f>
        <v/>
      </c>
      <c r="F176" s="8245">
        <f>IF(Captura_Marimba_M01!A30="", "", Captura_Marimba_M01!C30)</f>
        <v/>
      </c>
      <c r="G176" s="8246">
        <f>IF(Captura_Marimba_M01!A30="", "", Captura_Marimba_M01!D30)</f>
        <v/>
      </c>
      <c r="H176" s="8247">
        <f>IF(Captura_Marimba_M01!A30="", "", Captura_Marimba_M01!G30)</f>
        <v/>
      </c>
      <c r="I176" s="8248">
        <f>IF(Captura_Marimba_M01!A30="", "", SUMIFS(Captura_Obra!$F:$F, Captura_Obra!$A:$A, E176, Captura_Obra!$B:$B, F176, Captura_Obra!$D:$D, G176))</f>
        <v/>
      </c>
      <c r="J176" s="8249">
        <f>IF(Captura_Marimba_M01!A30="", "", H176 - I176)</f>
        <v/>
      </c>
      <c r="K176" s="3985" t="n"/>
    </row>
    <row r="177">
      <c r="A177" s="8250">
        <f>IF(Captura_Marimba_M01!A31="", "", "Marimba")</f>
        <v/>
      </c>
      <c r="B177" s="8251">
        <f>IF(Captura_Marimba_M01!A31="", "", Captura_Marimba_M01!N31)</f>
        <v/>
      </c>
      <c r="C177" s="8252">
        <f>IF(Captura_Marimba_M01!A31="", "", IFERROR(LOOKUP(2, 1/((Captura_Obra!$A$5:$A$1000=E177)*(Captura_Obra!$B$5:$B$1000=F177)*(Captura_Obra!$D$5:$D$1000=G177)), Captura_Obra!$N$5:$N$1000), "No Reportado"))</f>
        <v/>
      </c>
      <c r="D177" s="8253">
        <f>IF(Captura_Marimba_M01!A31="", "", IF(J177=0, "✅ Cuadrado", IF(I177=0, "❌ Falta en Obra", "⚠️ Dif")))</f>
        <v/>
      </c>
      <c r="E177" s="8254">
        <f>IF(Captura_Marimba_M01!A31="", "", Captura_Marimba_M01!A31)</f>
        <v/>
      </c>
      <c r="F177" s="8255">
        <f>IF(Captura_Marimba_M01!A31="", "", Captura_Marimba_M01!C31)</f>
        <v/>
      </c>
      <c r="G177" s="8256">
        <f>IF(Captura_Marimba_M01!A31="", "", Captura_Marimba_M01!D31)</f>
        <v/>
      </c>
      <c r="H177" s="8257">
        <f>IF(Captura_Marimba_M01!A31="", "", Captura_Marimba_M01!G31)</f>
        <v/>
      </c>
      <c r="I177" s="8258">
        <f>IF(Captura_Marimba_M01!A31="", "", SUMIFS(Captura_Obra!$F:$F, Captura_Obra!$A:$A, E177, Captura_Obra!$B:$B, F177, Captura_Obra!$D:$D, G177))</f>
        <v/>
      </c>
      <c r="J177" s="8259">
        <f>IF(Captura_Marimba_M01!A31="", "", H177 - I177)</f>
        <v/>
      </c>
      <c r="K177" s="3986" t="n"/>
    </row>
    <row r="178">
      <c r="A178" s="8260">
        <f>IF(Captura_Marimba_M01!A32="", "", "Marimba")</f>
        <v/>
      </c>
      <c r="B178" s="8261">
        <f>IF(Captura_Marimba_M01!A32="", "", Captura_Marimba_M01!N32)</f>
        <v/>
      </c>
      <c r="C178" s="8262">
        <f>IF(Captura_Marimba_M01!A32="", "", IFERROR(LOOKUP(2, 1/((Captura_Obra!$A$5:$A$1000=E178)*(Captura_Obra!$B$5:$B$1000=F178)*(Captura_Obra!$D$5:$D$1000=G178)), Captura_Obra!$N$5:$N$1000), "No Reportado"))</f>
        <v/>
      </c>
      <c r="D178" s="8263">
        <f>IF(Captura_Marimba_M01!A32="", "", IF(J178=0, "✅ Cuadrado", IF(I178=0, "❌ Falta en Obra", "⚠️ Dif")))</f>
        <v/>
      </c>
      <c r="E178" s="8264">
        <f>IF(Captura_Marimba_M01!A32="", "", Captura_Marimba_M01!A32)</f>
        <v/>
      </c>
      <c r="F178" s="8265">
        <f>IF(Captura_Marimba_M01!A32="", "", Captura_Marimba_M01!C32)</f>
        <v/>
      </c>
      <c r="G178" s="8266">
        <f>IF(Captura_Marimba_M01!A32="", "", Captura_Marimba_M01!D32)</f>
        <v/>
      </c>
      <c r="H178" s="8267">
        <f>IF(Captura_Marimba_M01!A32="", "", Captura_Marimba_M01!G32)</f>
        <v/>
      </c>
      <c r="I178" s="8268">
        <f>IF(Captura_Marimba_M01!A32="", "", SUMIFS(Captura_Obra!$F:$F, Captura_Obra!$A:$A, E178, Captura_Obra!$B:$B, F178, Captura_Obra!$D:$D, G178))</f>
        <v/>
      </c>
      <c r="J178" s="8269">
        <f>IF(Captura_Marimba_M01!A32="", "", H178 - I178)</f>
        <v/>
      </c>
      <c r="K178" s="3987" t="n"/>
    </row>
    <row r="179">
      <c r="A179" s="8270">
        <f>IF(Captura_Marimba_M01!A33="", "", "Marimba")</f>
        <v/>
      </c>
      <c r="B179" s="8271">
        <f>IF(Captura_Marimba_M01!A33="", "", Captura_Marimba_M01!N33)</f>
        <v/>
      </c>
      <c r="C179" s="8272">
        <f>IF(Captura_Marimba_M01!A33="", "", IFERROR(LOOKUP(2, 1/((Captura_Obra!$A$5:$A$1000=E179)*(Captura_Obra!$B$5:$B$1000=F179)*(Captura_Obra!$D$5:$D$1000=G179)), Captura_Obra!$N$5:$N$1000), "No Reportado"))</f>
        <v/>
      </c>
      <c r="D179" s="8273">
        <f>IF(Captura_Marimba_M01!A33="", "", IF(J179=0, "✅ Cuadrado", IF(I179=0, "❌ Falta en Obra", "⚠️ Dif")))</f>
        <v/>
      </c>
      <c r="E179" s="8274">
        <f>IF(Captura_Marimba_M01!A33="", "", Captura_Marimba_M01!A33)</f>
        <v/>
      </c>
      <c r="F179" s="8275">
        <f>IF(Captura_Marimba_M01!A33="", "", Captura_Marimba_M01!C33)</f>
        <v/>
      </c>
      <c r="G179" s="8276">
        <f>IF(Captura_Marimba_M01!A33="", "", Captura_Marimba_M01!D33)</f>
        <v/>
      </c>
      <c r="H179" s="8277">
        <f>IF(Captura_Marimba_M01!A33="", "", Captura_Marimba_M01!G33)</f>
        <v/>
      </c>
      <c r="I179" s="8278">
        <f>IF(Captura_Marimba_M01!A33="", "", SUMIFS(Captura_Obra!$F:$F, Captura_Obra!$A:$A, E179, Captura_Obra!$B:$B, F179, Captura_Obra!$D:$D, G179))</f>
        <v/>
      </c>
      <c r="J179" s="8279">
        <f>IF(Captura_Marimba_M01!A33="", "", H179 - I179)</f>
        <v/>
      </c>
      <c r="K179" s="3988" t="n"/>
    </row>
    <row r="180">
      <c r="A180" s="8280">
        <f>IF(Captura_Marimba_M01!A34="", "", "Marimba")</f>
        <v/>
      </c>
      <c r="B180" s="8281">
        <f>IF(Captura_Marimba_M01!A34="", "", Captura_Marimba_M01!N34)</f>
        <v/>
      </c>
      <c r="C180" s="8282">
        <f>IF(Captura_Marimba_M01!A34="", "", IFERROR(LOOKUP(2, 1/((Captura_Obra!$A$5:$A$1000=E180)*(Captura_Obra!$B$5:$B$1000=F180)*(Captura_Obra!$D$5:$D$1000=G180)), Captura_Obra!$N$5:$N$1000), "No Reportado"))</f>
        <v/>
      </c>
      <c r="D180" s="8283">
        <f>IF(Captura_Marimba_M01!A34="", "", IF(J180=0, "✅ Cuadrado", IF(I180=0, "❌ Falta en Obra", "⚠️ Dif")))</f>
        <v/>
      </c>
      <c r="E180" s="8284">
        <f>IF(Captura_Marimba_M01!A34="", "", Captura_Marimba_M01!A34)</f>
        <v/>
      </c>
      <c r="F180" s="8285">
        <f>IF(Captura_Marimba_M01!A34="", "", Captura_Marimba_M01!C34)</f>
        <v/>
      </c>
      <c r="G180" s="8286">
        <f>IF(Captura_Marimba_M01!A34="", "", Captura_Marimba_M01!D34)</f>
        <v/>
      </c>
      <c r="H180" s="8287">
        <f>IF(Captura_Marimba_M01!A34="", "", Captura_Marimba_M01!G34)</f>
        <v/>
      </c>
      <c r="I180" s="8288">
        <f>IF(Captura_Marimba_M01!A34="", "", SUMIFS(Captura_Obra!$F:$F, Captura_Obra!$A:$A, E180, Captura_Obra!$B:$B, F180, Captura_Obra!$D:$D, G180))</f>
        <v/>
      </c>
      <c r="J180" s="8289">
        <f>IF(Captura_Marimba_M01!A34="", "", H180 - I180)</f>
        <v/>
      </c>
      <c r="K180" s="3989" t="n"/>
    </row>
    <row r="181">
      <c r="A181" s="8290">
        <f>IF(Captura_Marimba_M01!A35="", "", "Marimba")</f>
        <v/>
      </c>
      <c r="B181" s="8291">
        <f>IF(Captura_Marimba_M01!A35="", "", Captura_Marimba_M01!N35)</f>
        <v/>
      </c>
      <c r="C181" s="8292">
        <f>IF(Captura_Marimba_M01!A35="", "", IFERROR(LOOKUP(2, 1/((Captura_Obra!$A$5:$A$1000=E181)*(Captura_Obra!$B$5:$B$1000=F181)*(Captura_Obra!$D$5:$D$1000=G181)), Captura_Obra!$N$5:$N$1000), "No Reportado"))</f>
        <v/>
      </c>
      <c r="D181" s="8293">
        <f>IF(Captura_Marimba_M01!A35="", "", IF(J181=0, "✅ Cuadrado", IF(I181=0, "❌ Falta en Obra", "⚠️ Dif")))</f>
        <v/>
      </c>
      <c r="E181" s="8294">
        <f>IF(Captura_Marimba_M01!A35="", "", Captura_Marimba_M01!A35)</f>
        <v/>
      </c>
      <c r="F181" s="8295">
        <f>IF(Captura_Marimba_M01!A35="", "", Captura_Marimba_M01!C35)</f>
        <v/>
      </c>
      <c r="G181" s="8296">
        <f>IF(Captura_Marimba_M01!A35="", "", Captura_Marimba_M01!D35)</f>
        <v/>
      </c>
      <c r="H181" s="8297">
        <f>IF(Captura_Marimba_M01!A35="", "", Captura_Marimba_M01!G35)</f>
        <v/>
      </c>
      <c r="I181" s="8298">
        <f>IF(Captura_Marimba_M01!A35="", "", SUMIFS(Captura_Obra!$F:$F, Captura_Obra!$A:$A, E181, Captura_Obra!$B:$B, F181, Captura_Obra!$D:$D, G181))</f>
        <v/>
      </c>
      <c r="J181" s="8299">
        <f>IF(Captura_Marimba_M01!A35="", "", H181 - I181)</f>
        <v/>
      </c>
      <c r="K181" s="3990" t="n"/>
    </row>
    <row r="182">
      <c r="A182" s="8300">
        <f>IF(Captura_Marimba_M01!A36="", "", "Marimba")</f>
        <v/>
      </c>
      <c r="B182" s="8301">
        <f>IF(Captura_Marimba_M01!A36="", "", Captura_Marimba_M01!N36)</f>
        <v/>
      </c>
      <c r="C182" s="8302">
        <f>IF(Captura_Marimba_M01!A36="", "", IFERROR(LOOKUP(2, 1/((Captura_Obra!$A$5:$A$1000=E182)*(Captura_Obra!$B$5:$B$1000=F182)*(Captura_Obra!$D$5:$D$1000=G182)), Captura_Obra!$N$5:$N$1000), "No Reportado"))</f>
        <v/>
      </c>
      <c r="D182" s="8303">
        <f>IF(Captura_Marimba_M01!A36="", "", IF(J182=0, "✅ Cuadrado", IF(I182=0, "❌ Falta en Obra", "⚠️ Dif")))</f>
        <v/>
      </c>
      <c r="E182" s="8304">
        <f>IF(Captura_Marimba_M01!A36="", "", Captura_Marimba_M01!A36)</f>
        <v/>
      </c>
      <c r="F182" s="8305">
        <f>IF(Captura_Marimba_M01!A36="", "", Captura_Marimba_M01!C36)</f>
        <v/>
      </c>
      <c r="G182" s="8306">
        <f>IF(Captura_Marimba_M01!A36="", "", Captura_Marimba_M01!D36)</f>
        <v/>
      </c>
      <c r="H182" s="8307">
        <f>IF(Captura_Marimba_M01!A36="", "", Captura_Marimba_M01!G36)</f>
        <v/>
      </c>
      <c r="I182" s="8308">
        <f>IF(Captura_Marimba_M01!A36="", "", SUMIFS(Captura_Obra!$F:$F, Captura_Obra!$A:$A, E182, Captura_Obra!$B:$B, F182, Captura_Obra!$D:$D, G182))</f>
        <v/>
      </c>
      <c r="J182" s="8309">
        <f>IF(Captura_Marimba_M01!A36="", "", H182 - I182)</f>
        <v/>
      </c>
      <c r="K182" s="3991" t="n"/>
    </row>
    <row r="183">
      <c r="A183" s="8310">
        <f>IF(Captura_Marimba_M01!A37="", "", "Marimba")</f>
        <v/>
      </c>
      <c r="B183" s="8311">
        <f>IF(Captura_Marimba_M01!A37="", "", Captura_Marimba_M01!N37)</f>
        <v/>
      </c>
      <c r="C183" s="8312">
        <f>IF(Captura_Marimba_M01!A37="", "", IFERROR(LOOKUP(2, 1/((Captura_Obra!$A$5:$A$1000=E183)*(Captura_Obra!$B$5:$B$1000=F183)*(Captura_Obra!$D$5:$D$1000=G183)), Captura_Obra!$N$5:$N$1000), "No Reportado"))</f>
        <v/>
      </c>
      <c r="D183" s="8313">
        <f>IF(Captura_Marimba_M01!A37="", "", IF(J183=0, "✅ Cuadrado", IF(I183=0, "❌ Falta en Obra", "⚠️ Dif")))</f>
        <v/>
      </c>
      <c r="E183" s="8314">
        <f>IF(Captura_Marimba_M01!A37="", "", Captura_Marimba_M01!A37)</f>
        <v/>
      </c>
      <c r="F183" s="8315">
        <f>IF(Captura_Marimba_M01!A37="", "", Captura_Marimba_M01!C37)</f>
        <v/>
      </c>
      <c r="G183" s="8316">
        <f>IF(Captura_Marimba_M01!A37="", "", Captura_Marimba_M01!D37)</f>
        <v/>
      </c>
      <c r="H183" s="8317">
        <f>IF(Captura_Marimba_M01!A37="", "", Captura_Marimba_M01!G37)</f>
        <v/>
      </c>
      <c r="I183" s="8318">
        <f>IF(Captura_Marimba_M01!A37="", "", SUMIFS(Captura_Obra!$F:$F, Captura_Obra!$A:$A, E183, Captura_Obra!$B:$B, F183, Captura_Obra!$D:$D, G183))</f>
        <v/>
      </c>
      <c r="J183" s="8319">
        <f>IF(Captura_Marimba_M01!A37="", "", H183 - I183)</f>
        <v/>
      </c>
      <c r="K183" s="3992" t="n"/>
    </row>
    <row r="184">
      <c r="A184" s="8320">
        <f>IF(Captura_Marimba_M01!A38="", "", "Marimba")</f>
        <v/>
      </c>
      <c r="B184" s="8321">
        <f>IF(Captura_Marimba_M01!A38="", "", Captura_Marimba_M01!N38)</f>
        <v/>
      </c>
      <c r="C184" s="8322">
        <f>IF(Captura_Marimba_M01!A38="", "", IFERROR(LOOKUP(2, 1/((Captura_Obra!$A$5:$A$1000=E184)*(Captura_Obra!$B$5:$B$1000=F184)*(Captura_Obra!$D$5:$D$1000=G184)), Captura_Obra!$N$5:$N$1000), "No Reportado"))</f>
        <v/>
      </c>
      <c r="D184" s="8323">
        <f>IF(Captura_Marimba_M01!A38="", "", IF(J184=0, "✅ Cuadrado", IF(I184=0, "❌ Falta en Obra", "⚠️ Dif")))</f>
        <v/>
      </c>
      <c r="E184" s="8324">
        <f>IF(Captura_Marimba_M01!A38="", "", Captura_Marimba_M01!A38)</f>
        <v/>
      </c>
      <c r="F184" s="8325">
        <f>IF(Captura_Marimba_M01!A38="", "", Captura_Marimba_M01!C38)</f>
        <v/>
      </c>
      <c r="G184" s="8326">
        <f>IF(Captura_Marimba_M01!A38="", "", Captura_Marimba_M01!D38)</f>
        <v/>
      </c>
      <c r="H184" s="8327">
        <f>IF(Captura_Marimba_M01!A38="", "", Captura_Marimba_M01!G38)</f>
        <v/>
      </c>
      <c r="I184" s="8328">
        <f>IF(Captura_Marimba_M01!A38="", "", SUMIFS(Captura_Obra!$F:$F, Captura_Obra!$A:$A, E184, Captura_Obra!$B:$B, F184, Captura_Obra!$D:$D, G184))</f>
        <v/>
      </c>
      <c r="J184" s="8329">
        <f>IF(Captura_Marimba_M01!A38="", "", H184 - I184)</f>
        <v/>
      </c>
      <c r="K184" s="3993" t="n"/>
    </row>
    <row r="185">
      <c r="A185" s="8330">
        <f>IF(Captura_Marimba_M01!A39="", "", "Marimba")</f>
        <v/>
      </c>
      <c r="B185" s="8331">
        <f>IF(Captura_Marimba_M01!A39="", "", Captura_Marimba_M01!N39)</f>
        <v/>
      </c>
      <c r="C185" s="8332">
        <f>IF(Captura_Marimba_M01!A39="", "", IFERROR(LOOKUP(2, 1/((Captura_Obra!$A$5:$A$1000=E185)*(Captura_Obra!$B$5:$B$1000=F185)*(Captura_Obra!$D$5:$D$1000=G185)), Captura_Obra!$N$5:$N$1000), "No Reportado"))</f>
        <v/>
      </c>
      <c r="D185" s="8333">
        <f>IF(Captura_Marimba_M01!A39="", "", IF(J185=0, "✅ Cuadrado", IF(I185=0, "❌ Falta en Obra", "⚠️ Dif")))</f>
        <v/>
      </c>
      <c r="E185" s="8334">
        <f>IF(Captura_Marimba_M01!A39="", "", Captura_Marimba_M01!A39)</f>
        <v/>
      </c>
      <c r="F185" s="8335">
        <f>IF(Captura_Marimba_M01!A39="", "", Captura_Marimba_M01!C39)</f>
        <v/>
      </c>
      <c r="G185" s="8336">
        <f>IF(Captura_Marimba_M01!A39="", "", Captura_Marimba_M01!D39)</f>
        <v/>
      </c>
      <c r="H185" s="8337">
        <f>IF(Captura_Marimba_M01!A39="", "", Captura_Marimba_M01!G39)</f>
        <v/>
      </c>
      <c r="I185" s="8338">
        <f>IF(Captura_Marimba_M01!A39="", "", SUMIFS(Captura_Obra!$F:$F, Captura_Obra!$A:$A, E185, Captura_Obra!$B:$B, F185, Captura_Obra!$D:$D, G185))</f>
        <v/>
      </c>
      <c r="J185" s="8339">
        <f>IF(Captura_Marimba_M01!A39="", "", H185 - I185)</f>
        <v/>
      </c>
      <c r="K185" s="3994" t="n"/>
    </row>
    <row r="186">
      <c r="A186" s="8340">
        <f>IF(Captura_Marimba_M01!A40="", "", "Marimba")</f>
        <v/>
      </c>
      <c r="B186" s="8341">
        <f>IF(Captura_Marimba_M01!A40="", "", Captura_Marimba_M01!N40)</f>
        <v/>
      </c>
      <c r="C186" s="8342">
        <f>IF(Captura_Marimba_M01!A40="", "", IFERROR(LOOKUP(2, 1/((Captura_Obra!$A$5:$A$1000=E186)*(Captura_Obra!$B$5:$B$1000=F186)*(Captura_Obra!$D$5:$D$1000=G186)), Captura_Obra!$N$5:$N$1000), "No Reportado"))</f>
        <v/>
      </c>
      <c r="D186" s="8343">
        <f>IF(Captura_Marimba_M01!A40="", "", IF(J186=0, "✅ Cuadrado", IF(I186=0, "❌ Falta en Obra", "⚠️ Dif")))</f>
        <v/>
      </c>
      <c r="E186" s="8344">
        <f>IF(Captura_Marimba_M01!A40="", "", Captura_Marimba_M01!A40)</f>
        <v/>
      </c>
      <c r="F186" s="8345">
        <f>IF(Captura_Marimba_M01!A40="", "", Captura_Marimba_M01!C40)</f>
        <v/>
      </c>
      <c r="G186" s="8346">
        <f>IF(Captura_Marimba_M01!A40="", "", Captura_Marimba_M01!D40)</f>
        <v/>
      </c>
      <c r="H186" s="8347">
        <f>IF(Captura_Marimba_M01!A40="", "", Captura_Marimba_M01!G40)</f>
        <v/>
      </c>
      <c r="I186" s="8348">
        <f>IF(Captura_Marimba_M01!A40="", "", SUMIFS(Captura_Obra!$F:$F, Captura_Obra!$A:$A, E186, Captura_Obra!$B:$B, F186, Captura_Obra!$D:$D, G186))</f>
        <v/>
      </c>
      <c r="J186" s="8349">
        <f>IF(Captura_Marimba_M01!A40="", "", H186 - I186)</f>
        <v/>
      </c>
      <c r="K186" s="3995" t="n"/>
    </row>
    <row r="187">
      <c r="A187" s="8350">
        <f>IF(Captura_Marimba_M01!A41="", "", "Marimba")</f>
        <v/>
      </c>
      <c r="B187" s="8351">
        <f>IF(Captura_Marimba_M01!A41="", "", Captura_Marimba_M01!N41)</f>
        <v/>
      </c>
      <c r="C187" s="8352">
        <f>IF(Captura_Marimba_M01!A41="", "", IFERROR(LOOKUP(2, 1/((Captura_Obra!$A$5:$A$1000=E187)*(Captura_Obra!$B$5:$B$1000=F187)*(Captura_Obra!$D$5:$D$1000=G187)), Captura_Obra!$N$5:$N$1000), "No Reportado"))</f>
        <v/>
      </c>
      <c r="D187" s="8353">
        <f>IF(Captura_Marimba_M01!A41="", "", IF(J187=0, "✅ Cuadrado", IF(I187=0, "❌ Falta en Obra", "⚠️ Dif")))</f>
        <v/>
      </c>
      <c r="E187" s="8354">
        <f>IF(Captura_Marimba_M01!A41="", "", Captura_Marimba_M01!A41)</f>
        <v/>
      </c>
      <c r="F187" s="8355">
        <f>IF(Captura_Marimba_M01!A41="", "", Captura_Marimba_M01!C41)</f>
        <v/>
      </c>
      <c r="G187" s="8356">
        <f>IF(Captura_Marimba_M01!A41="", "", Captura_Marimba_M01!D41)</f>
        <v/>
      </c>
      <c r="H187" s="8357">
        <f>IF(Captura_Marimba_M01!A41="", "", Captura_Marimba_M01!G41)</f>
        <v/>
      </c>
      <c r="I187" s="8358">
        <f>IF(Captura_Marimba_M01!A41="", "", SUMIFS(Captura_Obra!$F:$F, Captura_Obra!$A:$A, E187, Captura_Obra!$B:$B, F187, Captura_Obra!$D:$D, G187))</f>
        <v/>
      </c>
      <c r="J187" s="8359">
        <f>IF(Captura_Marimba_M01!A41="", "", H187 - I187)</f>
        <v/>
      </c>
      <c r="K187" s="3996" t="n"/>
    </row>
    <row r="188">
      <c r="A188" s="8360">
        <f>IF(Captura_Marimba_M01!A42="", "", "Marimba")</f>
        <v/>
      </c>
      <c r="B188" s="8361">
        <f>IF(Captura_Marimba_M01!A42="", "", Captura_Marimba_M01!N42)</f>
        <v/>
      </c>
      <c r="C188" s="8362">
        <f>IF(Captura_Marimba_M01!A42="", "", IFERROR(LOOKUP(2, 1/((Captura_Obra!$A$5:$A$1000=E188)*(Captura_Obra!$B$5:$B$1000=F188)*(Captura_Obra!$D$5:$D$1000=G188)), Captura_Obra!$N$5:$N$1000), "No Reportado"))</f>
        <v/>
      </c>
      <c r="D188" s="8363">
        <f>IF(Captura_Marimba_M01!A42="", "", IF(J188=0, "✅ Cuadrado", IF(I188=0, "❌ Falta en Obra", "⚠️ Dif")))</f>
        <v/>
      </c>
      <c r="E188" s="8364">
        <f>IF(Captura_Marimba_M01!A42="", "", Captura_Marimba_M01!A42)</f>
        <v/>
      </c>
      <c r="F188" s="8365">
        <f>IF(Captura_Marimba_M01!A42="", "", Captura_Marimba_M01!C42)</f>
        <v/>
      </c>
      <c r="G188" s="8366">
        <f>IF(Captura_Marimba_M01!A42="", "", Captura_Marimba_M01!D42)</f>
        <v/>
      </c>
      <c r="H188" s="8367">
        <f>IF(Captura_Marimba_M01!A42="", "", Captura_Marimba_M01!G42)</f>
        <v/>
      </c>
      <c r="I188" s="8368">
        <f>IF(Captura_Marimba_M01!A42="", "", SUMIFS(Captura_Obra!$F:$F, Captura_Obra!$A:$A, E188, Captura_Obra!$B:$B, F188, Captura_Obra!$D:$D, G188))</f>
        <v/>
      </c>
      <c r="J188" s="8369">
        <f>IF(Captura_Marimba_M01!A42="", "", H188 - I188)</f>
        <v/>
      </c>
      <c r="K188" s="3997" t="n"/>
    </row>
    <row r="189">
      <c r="A189" s="8370">
        <f>IF(Captura_Marimba_M01!A43="", "", "Marimba")</f>
        <v/>
      </c>
      <c r="B189" s="8371">
        <f>IF(Captura_Marimba_M01!A43="", "", Captura_Marimba_M01!N43)</f>
        <v/>
      </c>
      <c r="C189" s="8372">
        <f>IF(Captura_Marimba_M01!A43="", "", IFERROR(LOOKUP(2, 1/((Captura_Obra!$A$5:$A$1000=E189)*(Captura_Obra!$B$5:$B$1000=F189)*(Captura_Obra!$D$5:$D$1000=G189)), Captura_Obra!$N$5:$N$1000), "No Reportado"))</f>
        <v/>
      </c>
      <c r="D189" s="8373">
        <f>IF(Captura_Marimba_M01!A43="", "", IF(J189=0, "✅ Cuadrado", IF(I189=0, "❌ Falta en Obra", "⚠️ Dif")))</f>
        <v/>
      </c>
      <c r="E189" s="8374">
        <f>IF(Captura_Marimba_M01!A43="", "", Captura_Marimba_M01!A43)</f>
        <v/>
      </c>
      <c r="F189" s="8375">
        <f>IF(Captura_Marimba_M01!A43="", "", Captura_Marimba_M01!C43)</f>
        <v/>
      </c>
      <c r="G189" s="8376">
        <f>IF(Captura_Marimba_M01!A43="", "", Captura_Marimba_M01!D43)</f>
        <v/>
      </c>
      <c r="H189" s="8377">
        <f>IF(Captura_Marimba_M01!A43="", "", Captura_Marimba_M01!G43)</f>
        <v/>
      </c>
      <c r="I189" s="8378">
        <f>IF(Captura_Marimba_M01!A43="", "", SUMIFS(Captura_Obra!$F:$F, Captura_Obra!$A:$A, E189, Captura_Obra!$B:$B, F189, Captura_Obra!$D:$D, G189))</f>
        <v/>
      </c>
      <c r="J189" s="8379">
        <f>IF(Captura_Marimba_M01!A43="", "", H189 - I189)</f>
        <v/>
      </c>
      <c r="K189" s="3998" t="n"/>
    </row>
    <row r="190">
      <c r="A190" s="8380">
        <f>IF(Captura_Marimba_M01!A44="", "", "Marimba")</f>
        <v/>
      </c>
      <c r="B190" s="8381">
        <f>IF(Captura_Marimba_M01!A44="", "", Captura_Marimba_M01!N44)</f>
        <v/>
      </c>
      <c r="C190" s="8382">
        <f>IF(Captura_Marimba_M01!A44="", "", IFERROR(LOOKUP(2, 1/((Captura_Obra!$A$5:$A$1000=E190)*(Captura_Obra!$B$5:$B$1000=F190)*(Captura_Obra!$D$5:$D$1000=G190)), Captura_Obra!$N$5:$N$1000), "No Reportado"))</f>
        <v/>
      </c>
      <c r="D190" s="8383">
        <f>IF(Captura_Marimba_M01!A44="", "", IF(J190=0, "✅ Cuadrado", IF(I190=0, "❌ Falta en Obra", "⚠️ Dif")))</f>
        <v/>
      </c>
      <c r="E190" s="8384">
        <f>IF(Captura_Marimba_M01!A44="", "", Captura_Marimba_M01!A44)</f>
        <v/>
      </c>
      <c r="F190" s="8385">
        <f>IF(Captura_Marimba_M01!A44="", "", Captura_Marimba_M01!C44)</f>
        <v/>
      </c>
      <c r="G190" s="8386">
        <f>IF(Captura_Marimba_M01!A44="", "", Captura_Marimba_M01!D44)</f>
        <v/>
      </c>
      <c r="H190" s="8387">
        <f>IF(Captura_Marimba_M01!A44="", "", Captura_Marimba_M01!G44)</f>
        <v/>
      </c>
      <c r="I190" s="8388">
        <f>IF(Captura_Marimba_M01!A44="", "", SUMIFS(Captura_Obra!$F:$F, Captura_Obra!$A:$A, E190, Captura_Obra!$B:$B, F190, Captura_Obra!$D:$D, G190))</f>
        <v/>
      </c>
      <c r="J190" s="8389">
        <f>IF(Captura_Marimba_M01!A44="", "", H190 - I190)</f>
        <v/>
      </c>
      <c r="K190" s="3999" t="n"/>
    </row>
    <row r="191">
      <c r="A191" s="8390">
        <f>IF(Captura_Marimba_M01!A45="", "", "Marimba")</f>
        <v/>
      </c>
      <c r="B191" s="8391">
        <f>IF(Captura_Marimba_M01!A45="", "", Captura_Marimba_M01!N45)</f>
        <v/>
      </c>
      <c r="C191" s="8392">
        <f>IF(Captura_Marimba_M01!A45="", "", IFERROR(LOOKUP(2, 1/((Captura_Obra!$A$5:$A$1000=E191)*(Captura_Obra!$B$5:$B$1000=F191)*(Captura_Obra!$D$5:$D$1000=G191)), Captura_Obra!$N$5:$N$1000), "No Reportado"))</f>
        <v/>
      </c>
      <c r="D191" s="8393">
        <f>IF(Captura_Marimba_M01!A45="", "", IF(J191=0, "✅ Cuadrado", IF(I191=0, "❌ Falta en Obra", "⚠️ Dif")))</f>
        <v/>
      </c>
      <c r="E191" s="8394">
        <f>IF(Captura_Marimba_M01!A45="", "", Captura_Marimba_M01!A45)</f>
        <v/>
      </c>
      <c r="F191" s="8395">
        <f>IF(Captura_Marimba_M01!A45="", "", Captura_Marimba_M01!C45)</f>
        <v/>
      </c>
      <c r="G191" s="8396">
        <f>IF(Captura_Marimba_M01!A45="", "", Captura_Marimba_M01!D45)</f>
        <v/>
      </c>
      <c r="H191" s="8397">
        <f>IF(Captura_Marimba_M01!A45="", "", Captura_Marimba_M01!G45)</f>
        <v/>
      </c>
      <c r="I191" s="8398">
        <f>IF(Captura_Marimba_M01!A45="", "", SUMIFS(Captura_Obra!$F:$F, Captura_Obra!$A:$A, E191, Captura_Obra!$B:$B, F191, Captura_Obra!$D:$D, G191))</f>
        <v/>
      </c>
      <c r="J191" s="8399">
        <f>IF(Captura_Marimba_M01!A45="", "", H191 - I191)</f>
        <v/>
      </c>
      <c r="K191" s="4000" t="n"/>
    </row>
    <row r="192">
      <c r="A192" s="8400">
        <f>IF(Captura_Marimba_M01!A46="", "", "Marimba")</f>
        <v/>
      </c>
      <c r="B192" s="8401">
        <f>IF(Captura_Marimba_M01!A46="", "", Captura_Marimba_M01!N46)</f>
        <v/>
      </c>
      <c r="C192" s="8402">
        <f>IF(Captura_Marimba_M01!A46="", "", IFERROR(LOOKUP(2, 1/((Captura_Obra!$A$5:$A$1000=E192)*(Captura_Obra!$B$5:$B$1000=F192)*(Captura_Obra!$D$5:$D$1000=G192)), Captura_Obra!$N$5:$N$1000), "No Reportado"))</f>
        <v/>
      </c>
      <c r="D192" s="8403">
        <f>IF(Captura_Marimba_M01!A46="", "", IF(J192=0, "✅ Cuadrado", IF(I192=0, "❌ Falta en Obra", "⚠️ Dif")))</f>
        <v/>
      </c>
      <c r="E192" s="8404">
        <f>IF(Captura_Marimba_M01!A46="", "", Captura_Marimba_M01!A46)</f>
        <v/>
      </c>
      <c r="F192" s="8405">
        <f>IF(Captura_Marimba_M01!A46="", "", Captura_Marimba_M01!C46)</f>
        <v/>
      </c>
      <c r="G192" s="8406">
        <f>IF(Captura_Marimba_M01!A46="", "", Captura_Marimba_M01!D46)</f>
        <v/>
      </c>
      <c r="H192" s="8407">
        <f>IF(Captura_Marimba_M01!A46="", "", Captura_Marimba_M01!G46)</f>
        <v/>
      </c>
      <c r="I192" s="8408">
        <f>IF(Captura_Marimba_M01!A46="", "", SUMIFS(Captura_Obra!$F:$F, Captura_Obra!$A:$A, E192, Captura_Obra!$B:$B, F192, Captura_Obra!$D:$D, G192))</f>
        <v/>
      </c>
      <c r="J192" s="8409">
        <f>IF(Captura_Marimba_M01!A46="", "", H192 - I192)</f>
        <v/>
      </c>
      <c r="K192" s="4001" t="n"/>
    </row>
    <row r="193">
      <c r="A193" s="8410">
        <f>IF(Captura_Marimba_M01!A47="", "", "Marimba")</f>
        <v/>
      </c>
      <c r="B193" s="8411">
        <f>IF(Captura_Marimba_M01!A47="", "", Captura_Marimba_M01!N47)</f>
        <v/>
      </c>
      <c r="C193" s="8412">
        <f>IF(Captura_Marimba_M01!A47="", "", IFERROR(LOOKUP(2, 1/((Captura_Obra!$A$5:$A$1000=E193)*(Captura_Obra!$B$5:$B$1000=F193)*(Captura_Obra!$D$5:$D$1000=G193)), Captura_Obra!$N$5:$N$1000), "No Reportado"))</f>
        <v/>
      </c>
      <c r="D193" s="8413">
        <f>IF(Captura_Marimba_M01!A47="", "", IF(J193=0, "✅ Cuadrado", IF(I193=0, "❌ Falta en Obra", "⚠️ Dif")))</f>
        <v/>
      </c>
      <c r="E193" s="8414">
        <f>IF(Captura_Marimba_M01!A47="", "", Captura_Marimba_M01!A47)</f>
        <v/>
      </c>
      <c r="F193" s="8415">
        <f>IF(Captura_Marimba_M01!A47="", "", Captura_Marimba_M01!C47)</f>
        <v/>
      </c>
      <c r="G193" s="8416">
        <f>IF(Captura_Marimba_M01!A47="", "", Captura_Marimba_M01!D47)</f>
        <v/>
      </c>
      <c r="H193" s="8417">
        <f>IF(Captura_Marimba_M01!A47="", "", Captura_Marimba_M01!G47)</f>
        <v/>
      </c>
      <c r="I193" s="8418">
        <f>IF(Captura_Marimba_M01!A47="", "", SUMIFS(Captura_Obra!$F:$F, Captura_Obra!$A:$A, E193, Captura_Obra!$B:$B, F193, Captura_Obra!$D:$D, G193))</f>
        <v/>
      </c>
      <c r="J193" s="8419">
        <f>IF(Captura_Marimba_M01!A47="", "", H193 - I193)</f>
        <v/>
      </c>
      <c r="K193" s="4002" t="n"/>
    </row>
    <row r="194">
      <c r="A194" s="8420">
        <f>IF(Captura_Marimba_M01!A48="", "", "Marimba")</f>
        <v/>
      </c>
      <c r="B194" s="8421">
        <f>IF(Captura_Marimba_M01!A48="", "", Captura_Marimba_M01!N48)</f>
        <v/>
      </c>
      <c r="C194" s="8422">
        <f>IF(Captura_Marimba_M01!A48="", "", IFERROR(LOOKUP(2, 1/((Captura_Obra!$A$5:$A$1000=E194)*(Captura_Obra!$B$5:$B$1000=F194)*(Captura_Obra!$D$5:$D$1000=G194)), Captura_Obra!$N$5:$N$1000), "No Reportado"))</f>
        <v/>
      </c>
      <c r="D194" s="8423">
        <f>IF(Captura_Marimba_M01!A48="", "", IF(J194=0, "✅ Cuadrado", IF(I194=0, "❌ Falta en Obra", "⚠️ Dif")))</f>
        <v/>
      </c>
      <c r="E194" s="8424">
        <f>IF(Captura_Marimba_M01!A48="", "", Captura_Marimba_M01!A48)</f>
        <v/>
      </c>
      <c r="F194" s="8425">
        <f>IF(Captura_Marimba_M01!A48="", "", Captura_Marimba_M01!C48)</f>
        <v/>
      </c>
      <c r="G194" s="8426">
        <f>IF(Captura_Marimba_M01!A48="", "", Captura_Marimba_M01!D48)</f>
        <v/>
      </c>
      <c r="H194" s="8427">
        <f>IF(Captura_Marimba_M01!A48="", "", Captura_Marimba_M01!G48)</f>
        <v/>
      </c>
      <c r="I194" s="8428">
        <f>IF(Captura_Marimba_M01!A48="", "", SUMIFS(Captura_Obra!$F:$F, Captura_Obra!$A:$A, E194, Captura_Obra!$B:$B, F194, Captura_Obra!$D:$D, G194))</f>
        <v/>
      </c>
      <c r="J194" s="8429">
        <f>IF(Captura_Marimba_M01!A48="", "", H194 - I194)</f>
        <v/>
      </c>
      <c r="K194" s="4003" t="n"/>
    </row>
    <row r="195">
      <c r="A195" s="8430">
        <f>IF(Captura_Marimba_M01!A49="", "", "Marimba")</f>
        <v/>
      </c>
      <c r="B195" s="8431">
        <f>IF(Captura_Marimba_M01!A49="", "", Captura_Marimba_M01!N49)</f>
        <v/>
      </c>
      <c r="C195" s="8432">
        <f>IF(Captura_Marimba_M01!A49="", "", IFERROR(LOOKUP(2, 1/((Captura_Obra!$A$5:$A$1000=E195)*(Captura_Obra!$B$5:$B$1000=F195)*(Captura_Obra!$D$5:$D$1000=G195)), Captura_Obra!$N$5:$N$1000), "No Reportado"))</f>
        <v/>
      </c>
      <c r="D195" s="8433">
        <f>IF(Captura_Marimba_M01!A49="", "", IF(J195=0, "✅ Cuadrado", IF(I195=0, "❌ Falta en Obra", "⚠️ Dif")))</f>
        <v/>
      </c>
      <c r="E195" s="8434">
        <f>IF(Captura_Marimba_M01!A49="", "", Captura_Marimba_M01!A49)</f>
        <v/>
      </c>
      <c r="F195" s="8435">
        <f>IF(Captura_Marimba_M01!A49="", "", Captura_Marimba_M01!C49)</f>
        <v/>
      </c>
      <c r="G195" s="8436">
        <f>IF(Captura_Marimba_M01!A49="", "", Captura_Marimba_M01!D49)</f>
        <v/>
      </c>
      <c r="H195" s="8437">
        <f>IF(Captura_Marimba_M01!A49="", "", Captura_Marimba_M01!G49)</f>
        <v/>
      </c>
      <c r="I195" s="8438">
        <f>IF(Captura_Marimba_M01!A49="", "", SUMIFS(Captura_Obra!$F:$F, Captura_Obra!$A:$A, E195, Captura_Obra!$B:$B, F195, Captura_Obra!$D:$D, G195))</f>
        <v/>
      </c>
      <c r="J195" s="8439">
        <f>IF(Captura_Marimba_M01!A49="", "", H195 - I195)</f>
        <v/>
      </c>
      <c r="K195" s="4004" t="n"/>
    </row>
    <row r="196">
      <c r="A196" s="8440">
        <f>IF(Captura_Marimba_M01!A50="", "", "Marimba")</f>
        <v/>
      </c>
      <c r="B196" s="8441">
        <f>IF(Captura_Marimba_M01!A50="", "", Captura_Marimba_M01!N50)</f>
        <v/>
      </c>
      <c r="C196" s="8442">
        <f>IF(Captura_Marimba_M01!A50="", "", IFERROR(LOOKUP(2, 1/((Captura_Obra!$A$5:$A$1000=E196)*(Captura_Obra!$B$5:$B$1000=F196)*(Captura_Obra!$D$5:$D$1000=G196)), Captura_Obra!$N$5:$N$1000), "No Reportado"))</f>
        <v/>
      </c>
      <c r="D196" s="8443">
        <f>IF(Captura_Marimba_M01!A50="", "", IF(J196=0, "✅ Cuadrado", IF(I196=0, "❌ Falta en Obra", "⚠️ Dif")))</f>
        <v/>
      </c>
      <c r="E196" s="8444">
        <f>IF(Captura_Marimba_M01!A50="", "", Captura_Marimba_M01!A50)</f>
        <v/>
      </c>
      <c r="F196" s="8445">
        <f>IF(Captura_Marimba_M01!A50="", "", Captura_Marimba_M01!C50)</f>
        <v/>
      </c>
      <c r="G196" s="8446">
        <f>IF(Captura_Marimba_M01!A50="", "", Captura_Marimba_M01!D50)</f>
        <v/>
      </c>
      <c r="H196" s="8447">
        <f>IF(Captura_Marimba_M01!A50="", "", Captura_Marimba_M01!G50)</f>
        <v/>
      </c>
      <c r="I196" s="8448">
        <f>IF(Captura_Marimba_M01!A50="", "", SUMIFS(Captura_Obra!$F:$F, Captura_Obra!$A:$A, E196, Captura_Obra!$B:$B, F196, Captura_Obra!$D:$D, G196))</f>
        <v/>
      </c>
      <c r="J196" s="8449">
        <f>IF(Captura_Marimba_M01!A50="", "", H196 - I196)</f>
        <v/>
      </c>
      <c r="K196" s="4005" t="n"/>
    </row>
    <row r="197">
      <c r="A197" s="8450">
        <f>IF(Captura_Marimba_M01!A51="", "", "Marimba")</f>
        <v/>
      </c>
      <c r="B197" s="8451">
        <f>IF(Captura_Marimba_M01!A51="", "", Captura_Marimba_M01!N51)</f>
        <v/>
      </c>
      <c r="C197" s="8452">
        <f>IF(Captura_Marimba_M01!A51="", "", IFERROR(LOOKUP(2, 1/((Captura_Obra!$A$5:$A$1000=E197)*(Captura_Obra!$B$5:$B$1000=F197)*(Captura_Obra!$D$5:$D$1000=G197)), Captura_Obra!$N$5:$N$1000), "No Reportado"))</f>
        <v/>
      </c>
      <c r="D197" s="8453">
        <f>IF(Captura_Marimba_M01!A51="", "", IF(J197=0, "✅ Cuadrado", IF(I197=0, "❌ Falta en Obra", "⚠️ Dif")))</f>
        <v/>
      </c>
      <c r="E197" s="8454">
        <f>IF(Captura_Marimba_M01!A51="", "", Captura_Marimba_M01!A51)</f>
        <v/>
      </c>
      <c r="F197" s="8455">
        <f>IF(Captura_Marimba_M01!A51="", "", Captura_Marimba_M01!C51)</f>
        <v/>
      </c>
      <c r="G197" s="8456">
        <f>IF(Captura_Marimba_M01!A51="", "", Captura_Marimba_M01!D51)</f>
        <v/>
      </c>
      <c r="H197" s="8457">
        <f>IF(Captura_Marimba_M01!A51="", "", Captura_Marimba_M01!G51)</f>
        <v/>
      </c>
      <c r="I197" s="8458">
        <f>IF(Captura_Marimba_M01!A51="", "", SUMIFS(Captura_Obra!$F:$F, Captura_Obra!$A:$A, E197, Captura_Obra!$B:$B, F197, Captura_Obra!$D:$D, G197))</f>
        <v/>
      </c>
      <c r="J197" s="8459">
        <f>IF(Captura_Marimba_M01!A51="", "", H197 - I197)</f>
        <v/>
      </c>
      <c r="K197" s="4006" t="n"/>
    </row>
    <row r="198">
      <c r="A198" s="8460">
        <f>IF(Captura_Marimba_M01!A52="", "", "Marimba")</f>
        <v/>
      </c>
      <c r="B198" s="8461">
        <f>IF(Captura_Marimba_M01!A52="", "", Captura_Marimba_M01!N52)</f>
        <v/>
      </c>
      <c r="C198" s="8462">
        <f>IF(Captura_Marimba_M01!A52="", "", IFERROR(LOOKUP(2, 1/((Captura_Obra!$A$5:$A$1000=E198)*(Captura_Obra!$B$5:$B$1000=F198)*(Captura_Obra!$D$5:$D$1000=G198)), Captura_Obra!$N$5:$N$1000), "No Reportado"))</f>
        <v/>
      </c>
      <c r="D198" s="8463">
        <f>IF(Captura_Marimba_M01!A52="", "", IF(J198=0, "✅ Cuadrado", IF(I198=0, "❌ Falta en Obra", "⚠️ Dif")))</f>
        <v/>
      </c>
      <c r="E198" s="8464">
        <f>IF(Captura_Marimba_M01!A52="", "", Captura_Marimba_M01!A52)</f>
        <v/>
      </c>
      <c r="F198" s="8465">
        <f>IF(Captura_Marimba_M01!A52="", "", Captura_Marimba_M01!C52)</f>
        <v/>
      </c>
      <c r="G198" s="8466">
        <f>IF(Captura_Marimba_M01!A52="", "", Captura_Marimba_M01!D52)</f>
        <v/>
      </c>
      <c r="H198" s="8467">
        <f>IF(Captura_Marimba_M01!A52="", "", Captura_Marimba_M01!G52)</f>
        <v/>
      </c>
      <c r="I198" s="8468">
        <f>IF(Captura_Marimba_M01!A52="", "", SUMIFS(Captura_Obra!$F:$F, Captura_Obra!$A:$A, E198, Captura_Obra!$B:$B, F198, Captura_Obra!$D:$D, G198))</f>
        <v/>
      </c>
      <c r="J198" s="8469">
        <f>IF(Captura_Marimba_M01!A52="", "", H198 - I198)</f>
        <v/>
      </c>
      <c r="K198" s="4007" t="n"/>
    </row>
    <row r="199">
      <c r="A199" s="8470">
        <f>IF(Captura_Marimba_M01!A53="", "", "Marimba")</f>
        <v/>
      </c>
      <c r="B199" s="8471">
        <f>IF(Captura_Marimba_M01!A53="", "", Captura_Marimba_M01!N53)</f>
        <v/>
      </c>
      <c r="C199" s="8472">
        <f>IF(Captura_Marimba_M01!A53="", "", IFERROR(LOOKUP(2, 1/((Captura_Obra!$A$5:$A$1000=E199)*(Captura_Obra!$B$5:$B$1000=F199)*(Captura_Obra!$D$5:$D$1000=G199)), Captura_Obra!$N$5:$N$1000), "No Reportado"))</f>
        <v/>
      </c>
      <c r="D199" s="8473">
        <f>IF(Captura_Marimba_M01!A53="", "", IF(J199=0, "✅ Cuadrado", IF(I199=0, "❌ Falta en Obra", "⚠️ Dif")))</f>
        <v/>
      </c>
      <c r="E199" s="8474">
        <f>IF(Captura_Marimba_M01!A53="", "", Captura_Marimba_M01!A53)</f>
        <v/>
      </c>
      <c r="F199" s="8475">
        <f>IF(Captura_Marimba_M01!A53="", "", Captura_Marimba_M01!C53)</f>
        <v/>
      </c>
      <c r="G199" s="8476">
        <f>IF(Captura_Marimba_M01!A53="", "", Captura_Marimba_M01!D53)</f>
        <v/>
      </c>
      <c r="H199" s="8477">
        <f>IF(Captura_Marimba_M01!A53="", "", Captura_Marimba_M01!G53)</f>
        <v/>
      </c>
      <c r="I199" s="8478">
        <f>IF(Captura_Marimba_M01!A53="", "", SUMIFS(Captura_Obra!$F:$F, Captura_Obra!$A:$A, E199, Captura_Obra!$B:$B, F199, Captura_Obra!$D:$D, G199))</f>
        <v/>
      </c>
      <c r="J199" s="8479">
        <f>IF(Captura_Marimba_M01!A53="", "", H199 - I199)</f>
        <v/>
      </c>
      <c r="K199" s="4008" t="n"/>
    </row>
    <row r="200">
      <c r="A200" s="8480">
        <f>IF(Captura_Marimba_M01!A54="", "", "Marimba")</f>
        <v/>
      </c>
      <c r="B200" s="8481">
        <f>IF(Captura_Marimba_M01!A54="", "", Captura_Marimba_M01!N54)</f>
        <v/>
      </c>
      <c r="C200" s="8482">
        <f>IF(Captura_Marimba_M01!A54="", "", IFERROR(LOOKUP(2, 1/((Captura_Obra!$A$5:$A$1000=E200)*(Captura_Obra!$B$5:$B$1000=F200)*(Captura_Obra!$D$5:$D$1000=G200)), Captura_Obra!$N$5:$N$1000), "No Reportado"))</f>
        <v/>
      </c>
      <c r="D200" s="8483">
        <f>IF(Captura_Marimba_M01!A54="", "", IF(J200=0, "✅ Cuadrado", IF(I200=0, "❌ Falta en Obra", "⚠️ Dif")))</f>
        <v/>
      </c>
      <c r="E200" s="8484">
        <f>IF(Captura_Marimba_M01!A54="", "", Captura_Marimba_M01!A54)</f>
        <v/>
      </c>
      <c r="F200" s="8485">
        <f>IF(Captura_Marimba_M01!A54="", "", Captura_Marimba_M01!C54)</f>
        <v/>
      </c>
      <c r="G200" s="8486">
        <f>IF(Captura_Marimba_M01!A54="", "", Captura_Marimba_M01!D54)</f>
        <v/>
      </c>
      <c r="H200" s="8487">
        <f>IF(Captura_Marimba_M01!A54="", "", Captura_Marimba_M01!G54)</f>
        <v/>
      </c>
      <c r="I200" s="8488">
        <f>IF(Captura_Marimba_M01!A54="", "", SUMIFS(Captura_Obra!$F:$F, Captura_Obra!$A:$A, E200, Captura_Obra!$B:$B, F200, Captura_Obra!$D:$D, G200))</f>
        <v/>
      </c>
      <c r="J200" s="8489">
        <f>IF(Captura_Marimba_M01!A54="", "", H200 - I200)</f>
        <v/>
      </c>
      <c r="K200" s="4009" t="n"/>
    </row>
    <row r="201">
      <c r="A201" s="8490">
        <f>IF(Captura_Marimba_M01!A55="", "", "Marimba")</f>
        <v/>
      </c>
      <c r="B201" s="8491">
        <f>IF(Captura_Marimba_M01!A55="", "", Captura_Marimba_M01!N55)</f>
        <v/>
      </c>
      <c r="C201" s="8492">
        <f>IF(Captura_Marimba_M01!A55="", "", IFERROR(LOOKUP(2, 1/((Captura_Obra!$A$5:$A$1000=E201)*(Captura_Obra!$B$5:$B$1000=F201)*(Captura_Obra!$D$5:$D$1000=G201)), Captura_Obra!$N$5:$N$1000), "No Reportado"))</f>
        <v/>
      </c>
      <c r="D201" s="8493">
        <f>IF(Captura_Marimba_M01!A55="", "", IF(J201=0, "✅ Cuadrado", IF(I201=0, "❌ Falta en Obra", "⚠️ Dif")))</f>
        <v/>
      </c>
      <c r="E201" s="8494">
        <f>IF(Captura_Marimba_M01!A55="", "", Captura_Marimba_M01!A55)</f>
        <v/>
      </c>
      <c r="F201" s="8495">
        <f>IF(Captura_Marimba_M01!A55="", "", Captura_Marimba_M01!C55)</f>
        <v/>
      </c>
      <c r="G201" s="8496">
        <f>IF(Captura_Marimba_M01!A55="", "", Captura_Marimba_M01!D55)</f>
        <v/>
      </c>
      <c r="H201" s="8497">
        <f>IF(Captura_Marimba_M01!A55="", "", Captura_Marimba_M01!G55)</f>
        <v/>
      </c>
      <c r="I201" s="8498">
        <f>IF(Captura_Marimba_M01!A55="", "", SUMIFS(Captura_Obra!$F:$F, Captura_Obra!$A:$A, E201, Captura_Obra!$B:$B, F201, Captura_Obra!$D:$D, G201))</f>
        <v/>
      </c>
      <c r="J201" s="8499">
        <f>IF(Captura_Marimba_M01!A55="", "", H201 - I201)</f>
        <v/>
      </c>
      <c r="K201" s="4010" t="n"/>
    </row>
    <row r="202">
      <c r="A202" s="8500">
        <f>IF(Captura_Marimba_M01!A56="", "", "Marimba")</f>
        <v/>
      </c>
      <c r="B202" s="8501">
        <f>IF(Captura_Marimba_M01!A56="", "", Captura_Marimba_M01!N56)</f>
        <v/>
      </c>
      <c r="C202" s="8502">
        <f>IF(Captura_Marimba_M01!A56="", "", IFERROR(LOOKUP(2, 1/((Captura_Obra!$A$5:$A$1000=E202)*(Captura_Obra!$B$5:$B$1000=F202)*(Captura_Obra!$D$5:$D$1000=G202)), Captura_Obra!$N$5:$N$1000), "No Reportado"))</f>
        <v/>
      </c>
      <c r="D202" s="8503">
        <f>IF(Captura_Marimba_M01!A56="", "", IF(J202=0, "✅ Cuadrado", IF(I202=0, "❌ Falta en Obra", "⚠️ Dif")))</f>
        <v/>
      </c>
      <c r="E202" s="8504">
        <f>IF(Captura_Marimba_M01!A56="", "", Captura_Marimba_M01!A56)</f>
        <v/>
      </c>
      <c r="F202" s="8505">
        <f>IF(Captura_Marimba_M01!A56="", "", Captura_Marimba_M01!C56)</f>
        <v/>
      </c>
      <c r="G202" s="8506">
        <f>IF(Captura_Marimba_M01!A56="", "", Captura_Marimba_M01!D56)</f>
        <v/>
      </c>
      <c r="H202" s="8507">
        <f>IF(Captura_Marimba_M01!A56="", "", Captura_Marimba_M01!G56)</f>
        <v/>
      </c>
      <c r="I202" s="8508">
        <f>IF(Captura_Marimba_M01!A56="", "", SUMIFS(Captura_Obra!$F:$F, Captura_Obra!$A:$A, E202, Captura_Obra!$B:$B, F202, Captura_Obra!$D:$D, G202))</f>
        <v/>
      </c>
      <c r="J202" s="8509">
        <f>IF(Captura_Marimba_M01!A56="", "", H202 - I202)</f>
        <v/>
      </c>
      <c r="K202" s="4011" t="n"/>
    </row>
    <row r="203">
      <c r="A203" s="8510">
        <f>IF(Captura_Marimba_M01!A57="", "", "Marimba")</f>
        <v/>
      </c>
      <c r="B203" s="8511">
        <f>IF(Captura_Marimba_M01!A57="", "", Captura_Marimba_M01!N57)</f>
        <v/>
      </c>
      <c r="C203" s="8512">
        <f>IF(Captura_Marimba_M01!A57="", "", IFERROR(LOOKUP(2, 1/((Captura_Obra!$A$5:$A$1000=E203)*(Captura_Obra!$B$5:$B$1000=F203)*(Captura_Obra!$D$5:$D$1000=G203)), Captura_Obra!$N$5:$N$1000), "No Reportado"))</f>
        <v/>
      </c>
      <c r="D203" s="8513">
        <f>IF(Captura_Marimba_M01!A57="", "", IF(J203=0, "✅ Cuadrado", IF(I203=0, "❌ Falta en Obra", "⚠️ Dif")))</f>
        <v/>
      </c>
      <c r="E203" s="8514">
        <f>IF(Captura_Marimba_M01!A57="", "", Captura_Marimba_M01!A57)</f>
        <v/>
      </c>
      <c r="F203" s="8515">
        <f>IF(Captura_Marimba_M01!A57="", "", Captura_Marimba_M01!C57)</f>
        <v/>
      </c>
      <c r="G203" s="8516">
        <f>IF(Captura_Marimba_M01!A57="", "", Captura_Marimba_M01!D57)</f>
        <v/>
      </c>
      <c r="H203" s="8517">
        <f>IF(Captura_Marimba_M01!A57="", "", Captura_Marimba_M01!G57)</f>
        <v/>
      </c>
      <c r="I203" s="8518">
        <f>IF(Captura_Marimba_M01!A57="", "", SUMIFS(Captura_Obra!$F:$F, Captura_Obra!$A:$A, E203, Captura_Obra!$B:$B, F203, Captura_Obra!$D:$D, G203))</f>
        <v/>
      </c>
      <c r="J203" s="8519">
        <f>IF(Captura_Marimba_M01!A57="", "", H203 - I203)</f>
        <v/>
      </c>
      <c r="K203" s="4012" t="n"/>
    </row>
    <row r="204">
      <c r="A204" s="8520">
        <f>IF(Captura_Marimba_M01!A58="", "", "Marimba")</f>
        <v/>
      </c>
      <c r="B204" s="8521">
        <f>IF(Captura_Marimba_M01!A58="", "", Captura_Marimba_M01!N58)</f>
        <v/>
      </c>
      <c r="C204" s="8522">
        <f>IF(Captura_Marimba_M01!A58="", "", IFERROR(LOOKUP(2, 1/((Captura_Obra!$A$5:$A$1000=E204)*(Captura_Obra!$B$5:$B$1000=F204)*(Captura_Obra!$D$5:$D$1000=G204)), Captura_Obra!$N$5:$N$1000), "No Reportado"))</f>
        <v/>
      </c>
      <c r="D204" s="8523">
        <f>IF(Captura_Marimba_M01!A58="", "", IF(J204=0, "✅ Cuadrado", IF(I204=0, "❌ Falta en Obra", "⚠️ Dif")))</f>
        <v/>
      </c>
      <c r="E204" s="8524">
        <f>IF(Captura_Marimba_M01!A58="", "", Captura_Marimba_M01!A58)</f>
        <v/>
      </c>
      <c r="F204" s="8525">
        <f>IF(Captura_Marimba_M01!A58="", "", Captura_Marimba_M01!C58)</f>
        <v/>
      </c>
      <c r="G204" s="8526">
        <f>IF(Captura_Marimba_M01!A58="", "", Captura_Marimba_M01!D58)</f>
        <v/>
      </c>
      <c r="H204" s="8527">
        <f>IF(Captura_Marimba_M01!A58="", "", Captura_Marimba_M01!G58)</f>
        <v/>
      </c>
      <c r="I204" s="8528">
        <f>IF(Captura_Marimba_M01!A58="", "", SUMIFS(Captura_Obra!$F:$F, Captura_Obra!$A:$A, E204, Captura_Obra!$B:$B, F204, Captura_Obra!$D:$D, G204))</f>
        <v/>
      </c>
      <c r="J204" s="8529">
        <f>IF(Captura_Marimba_M01!A58="", "", H204 - I204)</f>
        <v/>
      </c>
      <c r="K204" s="4013" t="n"/>
    </row>
    <row r="205">
      <c r="A205" s="8530">
        <f>IF(Captura_Marimba_M01!A59="", "", "Marimba")</f>
        <v/>
      </c>
      <c r="B205" s="8531">
        <f>IF(Captura_Marimba_M01!A59="", "", Captura_Marimba_M01!N59)</f>
        <v/>
      </c>
      <c r="C205" s="8532">
        <f>IF(Captura_Marimba_M01!A59="", "", IFERROR(LOOKUP(2, 1/((Captura_Obra!$A$5:$A$1000=E205)*(Captura_Obra!$B$5:$B$1000=F205)*(Captura_Obra!$D$5:$D$1000=G205)), Captura_Obra!$N$5:$N$1000), "No Reportado"))</f>
        <v/>
      </c>
      <c r="D205" s="8533">
        <f>IF(Captura_Marimba_M01!A59="", "", IF(J205=0, "✅ Cuadrado", IF(I205=0, "❌ Falta en Obra", "⚠️ Dif")))</f>
        <v/>
      </c>
      <c r="E205" s="8534">
        <f>IF(Captura_Marimba_M01!A59="", "", Captura_Marimba_M01!A59)</f>
        <v/>
      </c>
      <c r="F205" s="8535">
        <f>IF(Captura_Marimba_M01!A59="", "", Captura_Marimba_M01!C59)</f>
        <v/>
      </c>
      <c r="G205" s="8536">
        <f>IF(Captura_Marimba_M01!A59="", "", Captura_Marimba_M01!D59)</f>
        <v/>
      </c>
      <c r="H205" s="8537">
        <f>IF(Captura_Marimba_M01!A59="", "", Captura_Marimba_M01!G59)</f>
        <v/>
      </c>
      <c r="I205" s="8538">
        <f>IF(Captura_Marimba_M01!A59="", "", SUMIFS(Captura_Obra!$F:$F, Captura_Obra!$A:$A, E205, Captura_Obra!$B:$B, F205, Captura_Obra!$D:$D, G205))</f>
        <v/>
      </c>
      <c r="J205" s="8539">
        <f>IF(Captura_Marimba_M01!A59="", "", H205 - I205)</f>
        <v/>
      </c>
      <c r="K205" s="4014" t="n"/>
    </row>
    <row r="206">
      <c r="A206" s="8540">
        <f>IF(Captura_Marimba_M01!A60="", "", "Marimba")</f>
        <v/>
      </c>
      <c r="B206" s="8541">
        <f>IF(Captura_Marimba_M01!A60="", "", Captura_Marimba_M01!N60)</f>
        <v/>
      </c>
      <c r="C206" s="8542">
        <f>IF(Captura_Marimba_M01!A60="", "", IFERROR(LOOKUP(2, 1/((Captura_Obra!$A$5:$A$1000=E206)*(Captura_Obra!$B$5:$B$1000=F206)*(Captura_Obra!$D$5:$D$1000=G206)), Captura_Obra!$N$5:$N$1000), "No Reportado"))</f>
        <v/>
      </c>
      <c r="D206" s="8543">
        <f>IF(Captura_Marimba_M01!A60="", "", IF(J206=0, "✅ Cuadrado", IF(I206=0, "❌ Falta en Obra", "⚠️ Dif")))</f>
        <v/>
      </c>
      <c r="E206" s="8544">
        <f>IF(Captura_Marimba_M01!A60="", "", Captura_Marimba_M01!A60)</f>
        <v/>
      </c>
      <c r="F206" s="8545">
        <f>IF(Captura_Marimba_M01!A60="", "", Captura_Marimba_M01!C60)</f>
        <v/>
      </c>
      <c r="G206" s="8546">
        <f>IF(Captura_Marimba_M01!A60="", "", Captura_Marimba_M01!D60)</f>
        <v/>
      </c>
      <c r="H206" s="8547">
        <f>IF(Captura_Marimba_M01!A60="", "", Captura_Marimba_M01!G60)</f>
        <v/>
      </c>
      <c r="I206" s="8548">
        <f>IF(Captura_Marimba_M01!A60="", "", SUMIFS(Captura_Obra!$F:$F, Captura_Obra!$A:$A, E206, Captura_Obra!$B:$B, F206, Captura_Obra!$D:$D, G206))</f>
        <v/>
      </c>
      <c r="J206" s="8549">
        <f>IF(Captura_Marimba_M01!A60="", "", H206 - I206)</f>
        <v/>
      </c>
      <c r="K206" s="4015" t="n"/>
    </row>
    <row r="207">
      <c r="A207" s="8550">
        <f>IF(Captura_Marimba_M01!A61="", "", "Marimba")</f>
        <v/>
      </c>
      <c r="B207" s="8551">
        <f>IF(Captura_Marimba_M01!A61="", "", Captura_Marimba_M01!N61)</f>
        <v/>
      </c>
      <c r="C207" s="8552">
        <f>IF(Captura_Marimba_M01!A61="", "", IFERROR(LOOKUP(2, 1/((Captura_Obra!$A$5:$A$1000=E207)*(Captura_Obra!$B$5:$B$1000=F207)*(Captura_Obra!$D$5:$D$1000=G207)), Captura_Obra!$N$5:$N$1000), "No Reportado"))</f>
        <v/>
      </c>
      <c r="D207" s="8553">
        <f>IF(Captura_Marimba_M01!A61="", "", IF(J207=0, "✅ Cuadrado", IF(I207=0, "❌ Falta en Obra", "⚠️ Dif")))</f>
        <v/>
      </c>
      <c r="E207" s="8554">
        <f>IF(Captura_Marimba_M01!A61="", "", Captura_Marimba_M01!A61)</f>
        <v/>
      </c>
      <c r="F207" s="8555">
        <f>IF(Captura_Marimba_M01!A61="", "", Captura_Marimba_M01!C61)</f>
        <v/>
      </c>
      <c r="G207" s="8556">
        <f>IF(Captura_Marimba_M01!A61="", "", Captura_Marimba_M01!D61)</f>
        <v/>
      </c>
      <c r="H207" s="8557">
        <f>IF(Captura_Marimba_M01!A61="", "", Captura_Marimba_M01!G61)</f>
        <v/>
      </c>
      <c r="I207" s="8558">
        <f>IF(Captura_Marimba_M01!A61="", "", SUMIFS(Captura_Obra!$F:$F, Captura_Obra!$A:$A, E207, Captura_Obra!$B:$B, F207, Captura_Obra!$D:$D, G207))</f>
        <v/>
      </c>
      <c r="J207" s="8559">
        <f>IF(Captura_Marimba_M01!A61="", "", H207 - I207)</f>
        <v/>
      </c>
      <c r="K207" s="4016" t="n"/>
    </row>
    <row r="208">
      <c r="A208" s="8560">
        <f>IF(Captura_Marimba_M01!A62="", "", "Marimba")</f>
        <v/>
      </c>
      <c r="B208" s="8561">
        <f>IF(Captura_Marimba_M01!A62="", "", Captura_Marimba_M01!N62)</f>
        <v/>
      </c>
      <c r="C208" s="8562">
        <f>IF(Captura_Marimba_M01!A62="", "", IFERROR(LOOKUP(2, 1/((Captura_Obra!$A$5:$A$1000=E208)*(Captura_Obra!$B$5:$B$1000=F208)*(Captura_Obra!$D$5:$D$1000=G208)), Captura_Obra!$N$5:$N$1000), "No Reportado"))</f>
        <v/>
      </c>
      <c r="D208" s="8563">
        <f>IF(Captura_Marimba_M01!A62="", "", IF(J208=0, "✅ Cuadrado", IF(I208=0, "❌ Falta en Obra", "⚠️ Dif")))</f>
        <v/>
      </c>
      <c r="E208" s="8564">
        <f>IF(Captura_Marimba_M01!A62="", "", Captura_Marimba_M01!A62)</f>
        <v/>
      </c>
      <c r="F208" s="8565">
        <f>IF(Captura_Marimba_M01!A62="", "", Captura_Marimba_M01!C62)</f>
        <v/>
      </c>
      <c r="G208" s="8566">
        <f>IF(Captura_Marimba_M01!A62="", "", Captura_Marimba_M01!D62)</f>
        <v/>
      </c>
      <c r="H208" s="8567">
        <f>IF(Captura_Marimba_M01!A62="", "", Captura_Marimba_M01!G62)</f>
        <v/>
      </c>
      <c r="I208" s="8568">
        <f>IF(Captura_Marimba_M01!A62="", "", SUMIFS(Captura_Obra!$F:$F, Captura_Obra!$A:$A, E208, Captura_Obra!$B:$B, F208, Captura_Obra!$D:$D, G208))</f>
        <v/>
      </c>
      <c r="J208" s="8569">
        <f>IF(Captura_Marimba_M01!A62="", "", H208 - I208)</f>
        <v/>
      </c>
      <c r="K208" s="4017" t="n"/>
    </row>
    <row r="209">
      <c r="A209" s="8570">
        <f>IF(Captura_Marimba_M01!A63="", "", "Marimba")</f>
        <v/>
      </c>
      <c r="B209" s="8571">
        <f>IF(Captura_Marimba_M01!A63="", "", Captura_Marimba_M01!N63)</f>
        <v/>
      </c>
      <c r="C209" s="8572">
        <f>IF(Captura_Marimba_M01!A63="", "", IFERROR(LOOKUP(2, 1/((Captura_Obra!$A$5:$A$1000=E209)*(Captura_Obra!$B$5:$B$1000=F209)*(Captura_Obra!$D$5:$D$1000=G209)), Captura_Obra!$N$5:$N$1000), "No Reportado"))</f>
        <v/>
      </c>
      <c r="D209" s="8573">
        <f>IF(Captura_Marimba_M01!A63="", "", IF(J209=0, "✅ Cuadrado", IF(I209=0, "❌ Falta en Obra", "⚠️ Dif")))</f>
        <v/>
      </c>
      <c r="E209" s="8574">
        <f>IF(Captura_Marimba_M01!A63="", "", Captura_Marimba_M01!A63)</f>
        <v/>
      </c>
      <c r="F209" s="8575">
        <f>IF(Captura_Marimba_M01!A63="", "", Captura_Marimba_M01!C63)</f>
        <v/>
      </c>
      <c r="G209" s="8576">
        <f>IF(Captura_Marimba_M01!A63="", "", Captura_Marimba_M01!D63)</f>
        <v/>
      </c>
      <c r="H209" s="8577">
        <f>IF(Captura_Marimba_M01!A63="", "", Captura_Marimba_M01!G63)</f>
        <v/>
      </c>
      <c r="I209" s="8578">
        <f>IF(Captura_Marimba_M01!A63="", "", SUMIFS(Captura_Obra!$F:$F, Captura_Obra!$A:$A, E209, Captura_Obra!$B:$B, F209, Captura_Obra!$D:$D, G209))</f>
        <v/>
      </c>
      <c r="J209" s="8579">
        <f>IF(Captura_Marimba_M01!A63="", "", H209 - I209)</f>
        <v/>
      </c>
      <c r="K209" s="4018" t="n"/>
    </row>
    <row r="210">
      <c r="A210" s="8580">
        <f>IF(Captura_Marimba_M01!A64="", "", "Marimba")</f>
        <v/>
      </c>
      <c r="B210" s="8581">
        <f>IF(Captura_Marimba_M01!A64="", "", Captura_Marimba_M01!N64)</f>
        <v/>
      </c>
      <c r="C210" s="8582">
        <f>IF(Captura_Marimba_M01!A64="", "", IFERROR(LOOKUP(2, 1/((Captura_Obra!$A$5:$A$1000=E210)*(Captura_Obra!$B$5:$B$1000=F210)*(Captura_Obra!$D$5:$D$1000=G210)), Captura_Obra!$N$5:$N$1000), "No Reportado"))</f>
        <v/>
      </c>
      <c r="D210" s="8583">
        <f>IF(Captura_Marimba_M01!A64="", "", IF(J210=0, "✅ Cuadrado", IF(I210=0, "❌ Falta en Obra", "⚠️ Dif")))</f>
        <v/>
      </c>
      <c r="E210" s="8584">
        <f>IF(Captura_Marimba_M01!A64="", "", Captura_Marimba_M01!A64)</f>
        <v/>
      </c>
      <c r="F210" s="8585">
        <f>IF(Captura_Marimba_M01!A64="", "", Captura_Marimba_M01!C64)</f>
        <v/>
      </c>
      <c r="G210" s="8586">
        <f>IF(Captura_Marimba_M01!A64="", "", Captura_Marimba_M01!D64)</f>
        <v/>
      </c>
      <c r="H210" s="8587">
        <f>IF(Captura_Marimba_M01!A64="", "", Captura_Marimba_M01!G64)</f>
        <v/>
      </c>
      <c r="I210" s="8588">
        <f>IF(Captura_Marimba_M01!A64="", "", SUMIFS(Captura_Obra!$F:$F, Captura_Obra!$A:$A, E210, Captura_Obra!$B:$B, F210, Captura_Obra!$D:$D, G210))</f>
        <v/>
      </c>
      <c r="J210" s="8589">
        <f>IF(Captura_Marimba_M01!A64="", "", H210 - I210)</f>
        <v/>
      </c>
      <c r="K210" s="4019" t="n"/>
    </row>
    <row r="211">
      <c r="A211" s="8590">
        <f>IF(Captura_Marimba_M01!A65="", "", "Marimba")</f>
        <v/>
      </c>
      <c r="B211" s="8591">
        <f>IF(Captura_Marimba_M01!A65="", "", Captura_Marimba_M01!N65)</f>
        <v/>
      </c>
      <c r="C211" s="8592">
        <f>IF(Captura_Marimba_M01!A65="", "", IFERROR(LOOKUP(2, 1/((Captura_Obra!$A$5:$A$1000=E211)*(Captura_Obra!$B$5:$B$1000=F211)*(Captura_Obra!$D$5:$D$1000=G211)), Captura_Obra!$N$5:$N$1000), "No Reportado"))</f>
        <v/>
      </c>
      <c r="D211" s="8593">
        <f>IF(Captura_Marimba_M01!A65="", "", IF(J211=0, "✅ Cuadrado", IF(I211=0, "❌ Falta en Obra", "⚠️ Dif")))</f>
        <v/>
      </c>
      <c r="E211" s="8594">
        <f>IF(Captura_Marimba_M01!A65="", "", Captura_Marimba_M01!A65)</f>
        <v/>
      </c>
      <c r="F211" s="8595">
        <f>IF(Captura_Marimba_M01!A65="", "", Captura_Marimba_M01!C65)</f>
        <v/>
      </c>
      <c r="G211" s="8596">
        <f>IF(Captura_Marimba_M01!A65="", "", Captura_Marimba_M01!D65)</f>
        <v/>
      </c>
      <c r="H211" s="8597">
        <f>IF(Captura_Marimba_M01!A65="", "", Captura_Marimba_M01!G65)</f>
        <v/>
      </c>
      <c r="I211" s="8598">
        <f>IF(Captura_Marimba_M01!A65="", "", SUMIFS(Captura_Obra!$F:$F, Captura_Obra!$A:$A, E211, Captura_Obra!$B:$B, F211, Captura_Obra!$D:$D, G211))</f>
        <v/>
      </c>
      <c r="J211" s="8599">
        <f>IF(Captura_Marimba_M01!A65="", "", H211 - I211)</f>
        <v/>
      </c>
      <c r="K211" s="4020" t="n"/>
    </row>
    <row r="212">
      <c r="A212" s="8600">
        <f>IF(Captura_Marimba_M01!A66="", "", "Marimba")</f>
        <v/>
      </c>
      <c r="B212" s="8601">
        <f>IF(Captura_Marimba_M01!A66="", "", Captura_Marimba_M01!N66)</f>
        <v/>
      </c>
      <c r="C212" s="8602">
        <f>IF(Captura_Marimba_M01!A66="", "", IFERROR(LOOKUP(2, 1/((Captura_Obra!$A$5:$A$1000=E212)*(Captura_Obra!$B$5:$B$1000=F212)*(Captura_Obra!$D$5:$D$1000=G212)), Captura_Obra!$N$5:$N$1000), "No Reportado"))</f>
        <v/>
      </c>
      <c r="D212" s="8603">
        <f>IF(Captura_Marimba_M01!A66="", "", IF(J212=0, "✅ Cuadrado", IF(I212=0, "❌ Falta en Obra", "⚠️ Dif")))</f>
        <v/>
      </c>
      <c r="E212" s="8604">
        <f>IF(Captura_Marimba_M01!A66="", "", Captura_Marimba_M01!A66)</f>
        <v/>
      </c>
      <c r="F212" s="8605">
        <f>IF(Captura_Marimba_M01!A66="", "", Captura_Marimba_M01!C66)</f>
        <v/>
      </c>
      <c r="G212" s="8606">
        <f>IF(Captura_Marimba_M01!A66="", "", Captura_Marimba_M01!D66)</f>
        <v/>
      </c>
      <c r="H212" s="8607">
        <f>IF(Captura_Marimba_M01!A66="", "", Captura_Marimba_M01!G66)</f>
        <v/>
      </c>
      <c r="I212" s="8608">
        <f>IF(Captura_Marimba_M01!A66="", "", SUMIFS(Captura_Obra!$F:$F, Captura_Obra!$A:$A, E212, Captura_Obra!$B:$B, F212, Captura_Obra!$D:$D, G212))</f>
        <v/>
      </c>
      <c r="J212" s="8609">
        <f>IF(Captura_Marimba_M01!A66="", "", H212 - I212)</f>
        <v/>
      </c>
      <c r="K212" s="4021" t="n"/>
    </row>
    <row r="213">
      <c r="A213" s="8610">
        <f>IF(Captura_Marimba_M01!A67="", "", "Marimba")</f>
        <v/>
      </c>
      <c r="B213" s="8611">
        <f>IF(Captura_Marimba_M01!A67="", "", Captura_Marimba_M01!N67)</f>
        <v/>
      </c>
      <c r="C213" s="8612">
        <f>IF(Captura_Marimba_M01!A67="", "", IFERROR(LOOKUP(2, 1/((Captura_Obra!$A$5:$A$1000=E213)*(Captura_Obra!$B$5:$B$1000=F213)*(Captura_Obra!$D$5:$D$1000=G213)), Captura_Obra!$N$5:$N$1000), "No Reportado"))</f>
        <v/>
      </c>
      <c r="D213" s="8613">
        <f>IF(Captura_Marimba_M01!A67="", "", IF(J213=0, "✅ Cuadrado", IF(I213=0, "❌ Falta en Obra", "⚠️ Dif")))</f>
        <v/>
      </c>
      <c r="E213" s="8614">
        <f>IF(Captura_Marimba_M01!A67="", "", Captura_Marimba_M01!A67)</f>
        <v/>
      </c>
      <c r="F213" s="8615">
        <f>IF(Captura_Marimba_M01!A67="", "", Captura_Marimba_M01!C67)</f>
        <v/>
      </c>
      <c r="G213" s="8616">
        <f>IF(Captura_Marimba_M01!A67="", "", Captura_Marimba_M01!D67)</f>
        <v/>
      </c>
      <c r="H213" s="8617">
        <f>IF(Captura_Marimba_M01!A67="", "", Captura_Marimba_M01!G67)</f>
        <v/>
      </c>
      <c r="I213" s="8618">
        <f>IF(Captura_Marimba_M01!A67="", "", SUMIFS(Captura_Obra!$F:$F, Captura_Obra!$A:$A, E213, Captura_Obra!$B:$B, F213, Captura_Obra!$D:$D, G213))</f>
        <v/>
      </c>
      <c r="J213" s="8619">
        <f>IF(Captura_Marimba_M01!A67="", "", H213 - I213)</f>
        <v/>
      </c>
      <c r="K213" s="4022" t="n"/>
    </row>
    <row r="214">
      <c r="A214" s="8620">
        <f>IF(Captura_Marimba_M01!A68="", "", "Marimba")</f>
        <v/>
      </c>
      <c r="B214" s="8621">
        <f>IF(Captura_Marimba_M01!A68="", "", Captura_Marimba_M01!N68)</f>
        <v/>
      </c>
      <c r="C214" s="8622">
        <f>IF(Captura_Marimba_M01!A68="", "", IFERROR(LOOKUP(2, 1/((Captura_Obra!$A$5:$A$1000=E214)*(Captura_Obra!$B$5:$B$1000=F214)*(Captura_Obra!$D$5:$D$1000=G214)), Captura_Obra!$N$5:$N$1000), "No Reportado"))</f>
        <v/>
      </c>
      <c r="D214" s="8623">
        <f>IF(Captura_Marimba_M01!A68="", "", IF(J214=0, "✅ Cuadrado", IF(I214=0, "❌ Falta en Obra", "⚠️ Dif")))</f>
        <v/>
      </c>
      <c r="E214" s="8624">
        <f>IF(Captura_Marimba_M01!A68="", "", Captura_Marimba_M01!A68)</f>
        <v/>
      </c>
      <c r="F214" s="8625">
        <f>IF(Captura_Marimba_M01!A68="", "", Captura_Marimba_M01!C68)</f>
        <v/>
      </c>
      <c r="G214" s="8626">
        <f>IF(Captura_Marimba_M01!A68="", "", Captura_Marimba_M01!D68)</f>
        <v/>
      </c>
      <c r="H214" s="8627">
        <f>IF(Captura_Marimba_M01!A68="", "", Captura_Marimba_M01!G68)</f>
        <v/>
      </c>
      <c r="I214" s="8628">
        <f>IF(Captura_Marimba_M01!A68="", "", SUMIFS(Captura_Obra!$F:$F, Captura_Obra!$A:$A, E214, Captura_Obra!$B:$B, F214, Captura_Obra!$D:$D, G214))</f>
        <v/>
      </c>
      <c r="J214" s="8629">
        <f>IF(Captura_Marimba_M01!A68="", "", H214 - I214)</f>
        <v/>
      </c>
      <c r="K214" s="4023" t="n"/>
    </row>
    <row r="215">
      <c r="A215" s="8630">
        <f>IF(Captura_Marimba_M01!A69="", "", "Marimba")</f>
        <v/>
      </c>
      <c r="B215" s="8631">
        <f>IF(Captura_Marimba_M01!A69="", "", Captura_Marimba_M01!N69)</f>
        <v/>
      </c>
      <c r="C215" s="8632">
        <f>IF(Captura_Marimba_M01!A69="", "", IFERROR(LOOKUP(2, 1/((Captura_Obra!$A$5:$A$1000=E215)*(Captura_Obra!$B$5:$B$1000=F215)*(Captura_Obra!$D$5:$D$1000=G215)), Captura_Obra!$N$5:$N$1000), "No Reportado"))</f>
        <v/>
      </c>
      <c r="D215" s="8633">
        <f>IF(Captura_Marimba_M01!A69="", "", IF(J215=0, "✅ Cuadrado", IF(I215=0, "❌ Falta en Obra", "⚠️ Dif")))</f>
        <v/>
      </c>
      <c r="E215" s="8634">
        <f>IF(Captura_Marimba_M01!A69="", "", Captura_Marimba_M01!A69)</f>
        <v/>
      </c>
      <c r="F215" s="8635">
        <f>IF(Captura_Marimba_M01!A69="", "", Captura_Marimba_M01!C69)</f>
        <v/>
      </c>
      <c r="G215" s="8636">
        <f>IF(Captura_Marimba_M01!A69="", "", Captura_Marimba_M01!D69)</f>
        <v/>
      </c>
      <c r="H215" s="8637">
        <f>IF(Captura_Marimba_M01!A69="", "", Captura_Marimba_M01!G69)</f>
        <v/>
      </c>
      <c r="I215" s="8638">
        <f>IF(Captura_Marimba_M01!A69="", "", SUMIFS(Captura_Obra!$F:$F, Captura_Obra!$A:$A, E215, Captura_Obra!$B:$B, F215, Captura_Obra!$D:$D, G215))</f>
        <v/>
      </c>
      <c r="J215" s="8639">
        <f>IF(Captura_Marimba_M01!A69="", "", H215 - I215)</f>
        <v/>
      </c>
      <c r="K215" s="4024" t="n"/>
    </row>
    <row r="216">
      <c r="A216" s="8640">
        <f>IF(Captura_Marimba_M01!A70="", "", "Marimba")</f>
        <v/>
      </c>
      <c r="B216" s="8641">
        <f>IF(Captura_Marimba_M01!A70="", "", Captura_Marimba_M01!N70)</f>
        <v/>
      </c>
      <c r="C216" s="8642">
        <f>IF(Captura_Marimba_M01!A70="", "", IFERROR(LOOKUP(2, 1/((Captura_Obra!$A$5:$A$1000=E216)*(Captura_Obra!$B$5:$B$1000=F216)*(Captura_Obra!$D$5:$D$1000=G216)), Captura_Obra!$N$5:$N$1000), "No Reportado"))</f>
        <v/>
      </c>
      <c r="D216" s="8643">
        <f>IF(Captura_Marimba_M01!A70="", "", IF(J216=0, "✅ Cuadrado", IF(I216=0, "❌ Falta en Obra", "⚠️ Dif")))</f>
        <v/>
      </c>
      <c r="E216" s="8644">
        <f>IF(Captura_Marimba_M01!A70="", "", Captura_Marimba_M01!A70)</f>
        <v/>
      </c>
      <c r="F216" s="8645">
        <f>IF(Captura_Marimba_M01!A70="", "", Captura_Marimba_M01!C70)</f>
        <v/>
      </c>
      <c r="G216" s="8646">
        <f>IF(Captura_Marimba_M01!A70="", "", Captura_Marimba_M01!D70)</f>
        <v/>
      </c>
      <c r="H216" s="8647">
        <f>IF(Captura_Marimba_M01!A70="", "", Captura_Marimba_M01!G70)</f>
        <v/>
      </c>
      <c r="I216" s="8648">
        <f>IF(Captura_Marimba_M01!A70="", "", SUMIFS(Captura_Obra!$F:$F, Captura_Obra!$A:$A, E216, Captura_Obra!$B:$B, F216, Captura_Obra!$D:$D, G216))</f>
        <v/>
      </c>
      <c r="J216" s="8649">
        <f>IF(Captura_Marimba_M01!A70="", "", H216 - I216)</f>
        <v/>
      </c>
      <c r="K216" s="4025" t="n"/>
    </row>
    <row r="217">
      <c r="A217" s="8650">
        <f>IF(Captura_Marimba_M01!A71="", "", "Marimba")</f>
        <v/>
      </c>
      <c r="B217" s="8651">
        <f>IF(Captura_Marimba_M01!A71="", "", Captura_Marimba_M01!N71)</f>
        <v/>
      </c>
      <c r="C217" s="8652">
        <f>IF(Captura_Marimba_M01!A71="", "", IFERROR(LOOKUP(2, 1/((Captura_Obra!$A$5:$A$1000=E217)*(Captura_Obra!$B$5:$B$1000=F217)*(Captura_Obra!$D$5:$D$1000=G217)), Captura_Obra!$N$5:$N$1000), "No Reportado"))</f>
        <v/>
      </c>
      <c r="D217" s="8653">
        <f>IF(Captura_Marimba_M01!A71="", "", IF(J217=0, "✅ Cuadrado", IF(I217=0, "❌ Falta en Obra", "⚠️ Dif")))</f>
        <v/>
      </c>
      <c r="E217" s="8654">
        <f>IF(Captura_Marimba_M01!A71="", "", Captura_Marimba_M01!A71)</f>
        <v/>
      </c>
      <c r="F217" s="8655">
        <f>IF(Captura_Marimba_M01!A71="", "", Captura_Marimba_M01!C71)</f>
        <v/>
      </c>
      <c r="G217" s="8656">
        <f>IF(Captura_Marimba_M01!A71="", "", Captura_Marimba_M01!D71)</f>
        <v/>
      </c>
      <c r="H217" s="8657">
        <f>IF(Captura_Marimba_M01!A71="", "", Captura_Marimba_M01!G71)</f>
        <v/>
      </c>
      <c r="I217" s="8658">
        <f>IF(Captura_Marimba_M01!A71="", "", SUMIFS(Captura_Obra!$F:$F, Captura_Obra!$A:$A, E217, Captura_Obra!$B:$B, F217, Captura_Obra!$D:$D, G217))</f>
        <v/>
      </c>
      <c r="J217" s="8659">
        <f>IF(Captura_Marimba_M01!A71="", "", H217 - I217)</f>
        <v/>
      </c>
      <c r="K217" s="4026" t="n"/>
    </row>
    <row r="218">
      <c r="A218" s="8660">
        <f>IF(Captura_Marimba_M01!A72="", "", "Marimba")</f>
        <v/>
      </c>
      <c r="B218" s="8661">
        <f>IF(Captura_Marimba_M01!A72="", "", Captura_Marimba_M01!N72)</f>
        <v/>
      </c>
      <c r="C218" s="8662">
        <f>IF(Captura_Marimba_M01!A72="", "", IFERROR(LOOKUP(2, 1/((Captura_Obra!$A$5:$A$1000=E218)*(Captura_Obra!$B$5:$B$1000=F218)*(Captura_Obra!$D$5:$D$1000=G218)), Captura_Obra!$N$5:$N$1000), "No Reportado"))</f>
        <v/>
      </c>
      <c r="D218" s="8663">
        <f>IF(Captura_Marimba_M01!A72="", "", IF(J218=0, "✅ Cuadrado", IF(I218=0, "❌ Falta en Obra", "⚠️ Dif")))</f>
        <v/>
      </c>
      <c r="E218" s="8664">
        <f>IF(Captura_Marimba_M01!A72="", "", Captura_Marimba_M01!A72)</f>
        <v/>
      </c>
      <c r="F218" s="8665">
        <f>IF(Captura_Marimba_M01!A72="", "", Captura_Marimba_M01!C72)</f>
        <v/>
      </c>
      <c r="G218" s="8666">
        <f>IF(Captura_Marimba_M01!A72="", "", Captura_Marimba_M01!D72)</f>
        <v/>
      </c>
      <c r="H218" s="8667">
        <f>IF(Captura_Marimba_M01!A72="", "", Captura_Marimba_M01!G72)</f>
        <v/>
      </c>
      <c r="I218" s="8668">
        <f>IF(Captura_Marimba_M01!A72="", "", SUMIFS(Captura_Obra!$F:$F, Captura_Obra!$A:$A, E218, Captura_Obra!$B:$B, F218, Captura_Obra!$D:$D, G218))</f>
        <v/>
      </c>
      <c r="J218" s="8669">
        <f>IF(Captura_Marimba_M01!A72="", "", H218 - I218)</f>
        <v/>
      </c>
      <c r="K218" s="4027" t="n"/>
    </row>
    <row r="219">
      <c r="A219" s="8670">
        <f>IF(Captura_Marimba_M01!A73="", "", "Marimba")</f>
        <v/>
      </c>
      <c r="B219" s="8671">
        <f>IF(Captura_Marimba_M01!A73="", "", Captura_Marimba_M01!N73)</f>
        <v/>
      </c>
      <c r="C219" s="8672">
        <f>IF(Captura_Marimba_M01!A73="", "", IFERROR(LOOKUP(2, 1/((Captura_Obra!$A$5:$A$1000=E219)*(Captura_Obra!$B$5:$B$1000=F219)*(Captura_Obra!$D$5:$D$1000=G219)), Captura_Obra!$N$5:$N$1000), "No Reportado"))</f>
        <v/>
      </c>
      <c r="D219" s="8673">
        <f>IF(Captura_Marimba_M01!A73="", "", IF(J219=0, "✅ Cuadrado", IF(I219=0, "❌ Falta en Obra", "⚠️ Dif")))</f>
        <v/>
      </c>
      <c r="E219" s="8674">
        <f>IF(Captura_Marimba_M01!A73="", "", Captura_Marimba_M01!A73)</f>
        <v/>
      </c>
      <c r="F219" s="8675">
        <f>IF(Captura_Marimba_M01!A73="", "", Captura_Marimba_M01!C73)</f>
        <v/>
      </c>
      <c r="G219" s="8676">
        <f>IF(Captura_Marimba_M01!A73="", "", Captura_Marimba_M01!D73)</f>
        <v/>
      </c>
      <c r="H219" s="8677">
        <f>IF(Captura_Marimba_M01!A73="", "", Captura_Marimba_M01!G73)</f>
        <v/>
      </c>
      <c r="I219" s="8678">
        <f>IF(Captura_Marimba_M01!A73="", "", SUMIFS(Captura_Obra!$F:$F, Captura_Obra!$A:$A, E219, Captura_Obra!$B:$B, F219, Captura_Obra!$D:$D, G219))</f>
        <v/>
      </c>
      <c r="J219" s="8679">
        <f>IF(Captura_Marimba_M01!A73="", "", H219 - I219)</f>
        <v/>
      </c>
      <c r="K219" s="4028" t="n"/>
    </row>
    <row r="220">
      <c r="A220" s="8680">
        <f>IF(Captura_Marimba_M01!A74="", "", "Marimba")</f>
        <v/>
      </c>
      <c r="B220" s="8681">
        <f>IF(Captura_Marimba_M01!A74="", "", Captura_Marimba_M01!N74)</f>
        <v/>
      </c>
      <c r="C220" s="8682">
        <f>IF(Captura_Marimba_M01!A74="", "", IFERROR(LOOKUP(2, 1/((Captura_Obra!$A$5:$A$1000=E220)*(Captura_Obra!$B$5:$B$1000=F220)*(Captura_Obra!$D$5:$D$1000=G220)), Captura_Obra!$N$5:$N$1000), "No Reportado"))</f>
        <v/>
      </c>
      <c r="D220" s="8683">
        <f>IF(Captura_Marimba_M01!A74="", "", IF(J220=0, "✅ Cuadrado", IF(I220=0, "❌ Falta en Obra", "⚠️ Dif")))</f>
        <v/>
      </c>
      <c r="E220" s="8684">
        <f>IF(Captura_Marimba_M01!A74="", "", Captura_Marimba_M01!A74)</f>
        <v/>
      </c>
      <c r="F220" s="8685">
        <f>IF(Captura_Marimba_M01!A74="", "", Captura_Marimba_M01!C74)</f>
        <v/>
      </c>
      <c r="G220" s="8686">
        <f>IF(Captura_Marimba_M01!A74="", "", Captura_Marimba_M01!D74)</f>
        <v/>
      </c>
      <c r="H220" s="8687">
        <f>IF(Captura_Marimba_M01!A74="", "", Captura_Marimba_M01!G74)</f>
        <v/>
      </c>
      <c r="I220" s="8688">
        <f>IF(Captura_Marimba_M01!A74="", "", SUMIFS(Captura_Obra!$F:$F, Captura_Obra!$A:$A, E220, Captura_Obra!$B:$B, F220, Captura_Obra!$D:$D, G220))</f>
        <v/>
      </c>
      <c r="J220" s="8689">
        <f>IF(Captura_Marimba_M01!A74="", "", H220 - I220)</f>
        <v/>
      </c>
      <c r="K220" s="4029" t="n"/>
    </row>
    <row r="221">
      <c r="A221" s="8690">
        <f>IF(Captura_Marimba_M01!A75="", "", "Marimba")</f>
        <v/>
      </c>
      <c r="B221" s="8691">
        <f>IF(Captura_Marimba_M01!A75="", "", Captura_Marimba_M01!N75)</f>
        <v/>
      </c>
      <c r="C221" s="8692">
        <f>IF(Captura_Marimba_M01!A75="", "", IFERROR(LOOKUP(2, 1/((Captura_Obra!$A$5:$A$1000=E221)*(Captura_Obra!$B$5:$B$1000=F221)*(Captura_Obra!$D$5:$D$1000=G221)), Captura_Obra!$N$5:$N$1000), "No Reportado"))</f>
        <v/>
      </c>
      <c r="D221" s="8693">
        <f>IF(Captura_Marimba_M01!A75="", "", IF(J221=0, "✅ Cuadrado", IF(I221=0, "❌ Falta en Obra", "⚠️ Dif")))</f>
        <v/>
      </c>
      <c r="E221" s="8694">
        <f>IF(Captura_Marimba_M01!A75="", "", Captura_Marimba_M01!A75)</f>
        <v/>
      </c>
      <c r="F221" s="8695">
        <f>IF(Captura_Marimba_M01!A75="", "", Captura_Marimba_M01!C75)</f>
        <v/>
      </c>
      <c r="G221" s="8696">
        <f>IF(Captura_Marimba_M01!A75="", "", Captura_Marimba_M01!D75)</f>
        <v/>
      </c>
      <c r="H221" s="8697">
        <f>IF(Captura_Marimba_M01!A75="", "", Captura_Marimba_M01!G75)</f>
        <v/>
      </c>
      <c r="I221" s="8698">
        <f>IF(Captura_Marimba_M01!A75="", "", SUMIFS(Captura_Obra!$F:$F, Captura_Obra!$A:$A, E221, Captura_Obra!$B:$B, F221, Captura_Obra!$D:$D, G221))</f>
        <v/>
      </c>
      <c r="J221" s="8699">
        <f>IF(Captura_Marimba_M01!A75="", "", H221 - I221)</f>
        <v/>
      </c>
      <c r="K221" s="4030" t="n"/>
    </row>
    <row r="222">
      <c r="A222" s="8700">
        <f>IF(Captura_Marimba_M01!A76="", "", "Marimba")</f>
        <v/>
      </c>
      <c r="B222" s="8701">
        <f>IF(Captura_Marimba_M01!A76="", "", Captura_Marimba_M01!N76)</f>
        <v/>
      </c>
      <c r="C222" s="8702">
        <f>IF(Captura_Marimba_M01!A76="", "", IFERROR(LOOKUP(2, 1/((Captura_Obra!$A$5:$A$1000=E222)*(Captura_Obra!$B$5:$B$1000=F222)*(Captura_Obra!$D$5:$D$1000=G222)), Captura_Obra!$N$5:$N$1000), "No Reportado"))</f>
        <v/>
      </c>
      <c r="D222" s="8703">
        <f>IF(Captura_Marimba_M01!A76="", "", IF(J222=0, "✅ Cuadrado", IF(I222=0, "❌ Falta en Obra", "⚠️ Dif")))</f>
        <v/>
      </c>
      <c r="E222" s="8704">
        <f>IF(Captura_Marimba_M01!A76="", "", Captura_Marimba_M01!A76)</f>
        <v/>
      </c>
      <c r="F222" s="8705">
        <f>IF(Captura_Marimba_M01!A76="", "", Captura_Marimba_M01!C76)</f>
        <v/>
      </c>
      <c r="G222" s="8706">
        <f>IF(Captura_Marimba_M01!A76="", "", Captura_Marimba_M01!D76)</f>
        <v/>
      </c>
      <c r="H222" s="8707">
        <f>IF(Captura_Marimba_M01!A76="", "", Captura_Marimba_M01!G76)</f>
        <v/>
      </c>
      <c r="I222" s="8708">
        <f>IF(Captura_Marimba_M01!A76="", "", SUMIFS(Captura_Obra!$F:$F, Captura_Obra!$A:$A, E222, Captura_Obra!$B:$B, F222, Captura_Obra!$D:$D, G222))</f>
        <v/>
      </c>
      <c r="J222" s="8709">
        <f>IF(Captura_Marimba_M01!A76="", "", H222 - I222)</f>
        <v/>
      </c>
      <c r="K222" s="4031" t="n"/>
    </row>
    <row r="223">
      <c r="A223" s="8710">
        <f>IF(Captura_Marimba_M01!A77="", "", "Marimba")</f>
        <v/>
      </c>
      <c r="B223" s="8711">
        <f>IF(Captura_Marimba_M01!A77="", "", Captura_Marimba_M01!N77)</f>
        <v/>
      </c>
      <c r="C223" s="8712">
        <f>IF(Captura_Marimba_M01!A77="", "", IFERROR(LOOKUP(2, 1/((Captura_Obra!$A$5:$A$1000=E223)*(Captura_Obra!$B$5:$B$1000=F223)*(Captura_Obra!$D$5:$D$1000=G223)), Captura_Obra!$N$5:$N$1000), "No Reportado"))</f>
        <v/>
      </c>
      <c r="D223" s="8713">
        <f>IF(Captura_Marimba_M01!A77="", "", IF(J223=0, "✅ Cuadrado", IF(I223=0, "❌ Falta en Obra", "⚠️ Dif")))</f>
        <v/>
      </c>
      <c r="E223" s="8714">
        <f>IF(Captura_Marimba_M01!A77="", "", Captura_Marimba_M01!A77)</f>
        <v/>
      </c>
      <c r="F223" s="8715">
        <f>IF(Captura_Marimba_M01!A77="", "", Captura_Marimba_M01!C77)</f>
        <v/>
      </c>
      <c r="G223" s="8716">
        <f>IF(Captura_Marimba_M01!A77="", "", Captura_Marimba_M01!D77)</f>
        <v/>
      </c>
      <c r="H223" s="8717">
        <f>IF(Captura_Marimba_M01!A77="", "", Captura_Marimba_M01!G77)</f>
        <v/>
      </c>
      <c r="I223" s="8718">
        <f>IF(Captura_Marimba_M01!A77="", "", SUMIFS(Captura_Obra!$F:$F, Captura_Obra!$A:$A, E223, Captura_Obra!$B:$B, F223, Captura_Obra!$D:$D, G223))</f>
        <v/>
      </c>
      <c r="J223" s="8719">
        <f>IF(Captura_Marimba_M01!A77="", "", H223 - I223)</f>
        <v/>
      </c>
      <c r="K223" s="4032" t="n"/>
    </row>
    <row r="224">
      <c r="A224" s="8720">
        <f>IF(Captura_Marimba_M01!A78="", "", "Marimba")</f>
        <v/>
      </c>
      <c r="B224" s="8721">
        <f>IF(Captura_Marimba_M01!A78="", "", Captura_Marimba_M01!N78)</f>
        <v/>
      </c>
      <c r="C224" s="8722">
        <f>IF(Captura_Marimba_M01!A78="", "", IFERROR(LOOKUP(2, 1/((Captura_Obra!$A$5:$A$1000=E224)*(Captura_Obra!$B$5:$B$1000=F224)*(Captura_Obra!$D$5:$D$1000=G224)), Captura_Obra!$N$5:$N$1000), "No Reportado"))</f>
        <v/>
      </c>
      <c r="D224" s="8723">
        <f>IF(Captura_Marimba_M01!A78="", "", IF(J224=0, "✅ Cuadrado", IF(I224=0, "❌ Falta en Obra", "⚠️ Dif")))</f>
        <v/>
      </c>
      <c r="E224" s="8724">
        <f>IF(Captura_Marimba_M01!A78="", "", Captura_Marimba_M01!A78)</f>
        <v/>
      </c>
      <c r="F224" s="8725">
        <f>IF(Captura_Marimba_M01!A78="", "", Captura_Marimba_M01!C78)</f>
        <v/>
      </c>
      <c r="G224" s="8726">
        <f>IF(Captura_Marimba_M01!A78="", "", Captura_Marimba_M01!D78)</f>
        <v/>
      </c>
      <c r="H224" s="8727">
        <f>IF(Captura_Marimba_M01!A78="", "", Captura_Marimba_M01!G78)</f>
        <v/>
      </c>
      <c r="I224" s="8728">
        <f>IF(Captura_Marimba_M01!A78="", "", SUMIFS(Captura_Obra!$F:$F, Captura_Obra!$A:$A, E224, Captura_Obra!$B:$B, F224, Captura_Obra!$D:$D, G224))</f>
        <v/>
      </c>
      <c r="J224" s="8729">
        <f>IF(Captura_Marimba_M01!A78="", "", H224 - I224)</f>
        <v/>
      </c>
      <c r="K224" s="4033" t="n"/>
    </row>
    <row r="225">
      <c r="A225" s="8730">
        <f>IF(Captura_Marimba_M01!A79="", "", "Marimba")</f>
        <v/>
      </c>
      <c r="B225" s="8731">
        <f>IF(Captura_Marimba_M01!A79="", "", Captura_Marimba_M01!N79)</f>
        <v/>
      </c>
      <c r="C225" s="8732">
        <f>IF(Captura_Marimba_M01!A79="", "", IFERROR(LOOKUP(2, 1/((Captura_Obra!$A$5:$A$1000=E225)*(Captura_Obra!$B$5:$B$1000=F225)*(Captura_Obra!$D$5:$D$1000=G225)), Captura_Obra!$N$5:$N$1000), "No Reportado"))</f>
        <v/>
      </c>
      <c r="D225" s="8733">
        <f>IF(Captura_Marimba_M01!A79="", "", IF(J225=0, "✅ Cuadrado", IF(I225=0, "❌ Falta en Obra", "⚠️ Dif")))</f>
        <v/>
      </c>
      <c r="E225" s="8734">
        <f>IF(Captura_Marimba_M01!A79="", "", Captura_Marimba_M01!A79)</f>
        <v/>
      </c>
      <c r="F225" s="8735">
        <f>IF(Captura_Marimba_M01!A79="", "", Captura_Marimba_M01!C79)</f>
        <v/>
      </c>
      <c r="G225" s="8736">
        <f>IF(Captura_Marimba_M01!A79="", "", Captura_Marimba_M01!D79)</f>
        <v/>
      </c>
      <c r="H225" s="8737">
        <f>IF(Captura_Marimba_M01!A79="", "", Captura_Marimba_M01!G79)</f>
        <v/>
      </c>
      <c r="I225" s="8738">
        <f>IF(Captura_Marimba_M01!A79="", "", SUMIFS(Captura_Obra!$F:$F, Captura_Obra!$A:$A, E225, Captura_Obra!$B:$B, F225, Captura_Obra!$D:$D, G225))</f>
        <v/>
      </c>
      <c r="J225" s="8739">
        <f>IF(Captura_Marimba_M01!A79="", "", H225 - I225)</f>
        <v/>
      </c>
      <c r="K225" s="4034" t="n"/>
    </row>
    <row r="226">
      <c r="A226" s="8740">
        <f>IF(Captura_Marimba_M01!A80="", "", "Marimba")</f>
        <v/>
      </c>
      <c r="B226" s="8741">
        <f>IF(Captura_Marimba_M01!A80="", "", Captura_Marimba_M01!N80)</f>
        <v/>
      </c>
      <c r="C226" s="8742">
        <f>IF(Captura_Marimba_M01!A80="", "", IFERROR(LOOKUP(2, 1/((Captura_Obra!$A$5:$A$1000=E226)*(Captura_Obra!$B$5:$B$1000=F226)*(Captura_Obra!$D$5:$D$1000=G226)), Captura_Obra!$N$5:$N$1000), "No Reportado"))</f>
        <v/>
      </c>
      <c r="D226" s="8743">
        <f>IF(Captura_Marimba_M01!A80="", "", IF(J226=0, "✅ Cuadrado", IF(I226=0, "❌ Falta en Obra", "⚠️ Dif")))</f>
        <v/>
      </c>
      <c r="E226" s="8744">
        <f>IF(Captura_Marimba_M01!A80="", "", Captura_Marimba_M01!A80)</f>
        <v/>
      </c>
      <c r="F226" s="8745">
        <f>IF(Captura_Marimba_M01!A80="", "", Captura_Marimba_M01!C80)</f>
        <v/>
      </c>
      <c r="G226" s="8746">
        <f>IF(Captura_Marimba_M01!A80="", "", Captura_Marimba_M01!D80)</f>
        <v/>
      </c>
      <c r="H226" s="8747">
        <f>IF(Captura_Marimba_M01!A80="", "", Captura_Marimba_M01!G80)</f>
        <v/>
      </c>
      <c r="I226" s="8748">
        <f>IF(Captura_Marimba_M01!A80="", "", SUMIFS(Captura_Obra!$F:$F, Captura_Obra!$A:$A, E226, Captura_Obra!$B:$B, F226, Captura_Obra!$D:$D, G226))</f>
        <v/>
      </c>
      <c r="J226" s="8749">
        <f>IF(Captura_Marimba_M01!A80="", "", H226 - I226)</f>
        <v/>
      </c>
      <c r="K226" s="4035" t="n"/>
    </row>
    <row r="227">
      <c r="A227" s="8750">
        <f>IF(Captura_Marimba_M01!A81="", "", "Marimba")</f>
        <v/>
      </c>
      <c r="B227" s="8751">
        <f>IF(Captura_Marimba_M01!A81="", "", Captura_Marimba_M01!N81)</f>
        <v/>
      </c>
      <c r="C227" s="8752">
        <f>IF(Captura_Marimba_M01!A81="", "", IFERROR(LOOKUP(2, 1/((Captura_Obra!$A$5:$A$1000=E227)*(Captura_Obra!$B$5:$B$1000=F227)*(Captura_Obra!$D$5:$D$1000=G227)), Captura_Obra!$N$5:$N$1000), "No Reportado"))</f>
        <v/>
      </c>
      <c r="D227" s="8753">
        <f>IF(Captura_Marimba_M01!A81="", "", IF(J227=0, "✅ Cuadrado", IF(I227=0, "❌ Falta en Obra", "⚠️ Dif")))</f>
        <v/>
      </c>
      <c r="E227" s="8754">
        <f>IF(Captura_Marimba_M01!A81="", "", Captura_Marimba_M01!A81)</f>
        <v/>
      </c>
      <c r="F227" s="8755">
        <f>IF(Captura_Marimba_M01!A81="", "", Captura_Marimba_M01!C81)</f>
        <v/>
      </c>
      <c r="G227" s="8756">
        <f>IF(Captura_Marimba_M01!A81="", "", Captura_Marimba_M01!D81)</f>
        <v/>
      </c>
      <c r="H227" s="8757">
        <f>IF(Captura_Marimba_M01!A81="", "", Captura_Marimba_M01!G81)</f>
        <v/>
      </c>
      <c r="I227" s="8758">
        <f>IF(Captura_Marimba_M01!A81="", "", SUMIFS(Captura_Obra!$F:$F, Captura_Obra!$A:$A, E227, Captura_Obra!$B:$B, F227, Captura_Obra!$D:$D, G227))</f>
        <v/>
      </c>
      <c r="J227" s="8759">
        <f>IF(Captura_Marimba_M01!A81="", "", H227 - I227)</f>
        <v/>
      </c>
      <c r="K227" s="4036" t="n"/>
    </row>
    <row r="228">
      <c r="A228" s="8760">
        <f>IF(Captura_Marimba_M01!A82="", "", "Marimba")</f>
        <v/>
      </c>
      <c r="B228" s="8761">
        <f>IF(Captura_Marimba_M01!A82="", "", Captura_Marimba_M01!N82)</f>
        <v/>
      </c>
      <c r="C228" s="8762">
        <f>IF(Captura_Marimba_M01!A82="", "", IFERROR(LOOKUP(2, 1/((Captura_Obra!$A$5:$A$1000=E228)*(Captura_Obra!$B$5:$B$1000=F228)*(Captura_Obra!$D$5:$D$1000=G228)), Captura_Obra!$N$5:$N$1000), "No Reportado"))</f>
        <v/>
      </c>
      <c r="D228" s="8763">
        <f>IF(Captura_Marimba_M01!A82="", "", IF(J228=0, "✅ Cuadrado", IF(I228=0, "❌ Falta en Obra", "⚠️ Dif")))</f>
        <v/>
      </c>
      <c r="E228" s="8764">
        <f>IF(Captura_Marimba_M01!A82="", "", Captura_Marimba_M01!A82)</f>
        <v/>
      </c>
      <c r="F228" s="8765">
        <f>IF(Captura_Marimba_M01!A82="", "", Captura_Marimba_M01!C82)</f>
        <v/>
      </c>
      <c r="G228" s="8766">
        <f>IF(Captura_Marimba_M01!A82="", "", Captura_Marimba_M01!D82)</f>
        <v/>
      </c>
      <c r="H228" s="8767">
        <f>IF(Captura_Marimba_M01!A82="", "", Captura_Marimba_M01!G82)</f>
        <v/>
      </c>
      <c r="I228" s="8768">
        <f>IF(Captura_Marimba_M01!A82="", "", SUMIFS(Captura_Obra!$F:$F, Captura_Obra!$A:$A, E228, Captura_Obra!$B:$B, F228, Captura_Obra!$D:$D, G228))</f>
        <v/>
      </c>
      <c r="J228" s="8769">
        <f>IF(Captura_Marimba_M01!A82="", "", H228 - I228)</f>
        <v/>
      </c>
      <c r="K228" s="4037" t="n"/>
    </row>
    <row r="229">
      <c r="A229" s="8770">
        <f>IF(Captura_Marimba_M01!A83="", "", "Marimba")</f>
        <v/>
      </c>
      <c r="B229" s="8771">
        <f>IF(Captura_Marimba_M01!A83="", "", Captura_Marimba_M01!N83)</f>
        <v/>
      </c>
      <c r="C229" s="8772">
        <f>IF(Captura_Marimba_M01!A83="", "", IFERROR(LOOKUP(2, 1/((Captura_Obra!$A$5:$A$1000=E229)*(Captura_Obra!$B$5:$B$1000=F229)*(Captura_Obra!$D$5:$D$1000=G229)), Captura_Obra!$N$5:$N$1000), "No Reportado"))</f>
        <v/>
      </c>
      <c r="D229" s="8773">
        <f>IF(Captura_Marimba_M01!A83="", "", IF(J229=0, "✅ Cuadrado", IF(I229=0, "❌ Falta en Obra", "⚠️ Dif")))</f>
        <v/>
      </c>
      <c r="E229" s="8774">
        <f>IF(Captura_Marimba_M01!A83="", "", Captura_Marimba_M01!A83)</f>
        <v/>
      </c>
      <c r="F229" s="8775">
        <f>IF(Captura_Marimba_M01!A83="", "", Captura_Marimba_M01!C83)</f>
        <v/>
      </c>
      <c r="G229" s="8776">
        <f>IF(Captura_Marimba_M01!A83="", "", Captura_Marimba_M01!D83)</f>
        <v/>
      </c>
      <c r="H229" s="8777">
        <f>IF(Captura_Marimba_M01!A83="", "", Captura_Marimba_M01!G83)</f>
        <v/>
      </c>
      <c r="I229" s="8778">
        <f>IF(Captura_Marimba_M01!A83="", "", SUMIFS(Captura_Obra!$F:$F, Captura_Obra!$A:$A, E229, Captura_Obra!$B:$B, F229, Captura_Obra!$D:$D, G229))</f>
        <v/>
      </c>
      <c r="J229" s="8779">
        <f>IF(Captura_Marimba_M01!A83="", "", H229 - I229)</f>
        <v/>
      </c>
      <c r="K229" s="4038" t="n"/>
    </row>
    <row r="230">
      <c r="A230" s="8780">
        <f>IF(Captura_Marimba_M01!A84="", "", "Marimba")</f>
        <v/>
      </c>
      <c r="B230" s="8781">
        <f>IF(Captura_Marimba_M01!A84="", "", Captura_Marimba_M01!N84)</f>
        <v/>
      </c>
      <c r="C230" s="8782">
        <f>IF(Captura_Marimba_M01!A84="", "", IFERROR(LOOKUP(2, 1/((Captura_Obra!$A$5:$A$1000=E230)*(Captura_Obra!$B$5:$B$1000=F230)*(Captura_Obra!$D$5:$D$1000=G230)), Captura_Obra!$N$5:$N$1000), "No Reportado"))</f>
        <v/>
      </c>
      <c r="D230" s="8783">
        <f>IF(Captura_Marimba_M01!A84="", "", IF(J230=0, "✅ Cuadrado", IF(I230=0, "❌ Falta en Obra", "⚠️ Dif")))</f>
        <v/>
      </c>
      <c r="E230" s="8784">
        <f>IF(Captura_Marimba_M01!A84="", "", Captura_Marimba_M01!A84)</f>
        <v/>
      </c>
      <c r="F230" s="8785">
        <f>IF(Captura_Marimba_M01!A84="", "", Captura_Marimba_M01!C84)</f>
        <v/>
      </c>
      <c r="G230" s="8786">
        <f>IF(Captura_Marimba_M01!A84="", "", Captura_Marimba_M01!D84)</f>
        <v/>
      </c>
      <c r="H230" s="8787">
        <f>IF(Captura_Marimba_M01!A84="", "", Captura_Marimba_M01!G84)</f>
        <v/>
      </c>
      <c r="I230" s="8788">
        <f>IF(Captura_Marimba_M01!A84="", "", SUMIFS(Captura_Obra!$F:$F, Captura_Obra!$A:$A, E230, Captura_Obra!$B:$B, F230, Captura_Obra!$D:$D, G230))</f>
        <v/>
      </c>
      <c r="J230" s="8789">
        <f>IF(Captura_Marimba_M01!A84="", "", H230 - I230)</f>
        <v/>
      </c>
      <c r="K230" s="4039" t="n"/>
    </row>
    <row r="231">
      <c r="A231" s="8790">
        <f>IF(Captura_Marimba_M01!A85="", "", "Marimba")</f>
        <v/>
      </c>
      <c r="B231" s="8791">
        <f>IF(Captura_Marimba_M01!A85="", "", Captura_Marimba_M01!N85)</f>
        <v/>
      </c>
      <c r="C231" s="8792">
        <f>IF(Captura_Marimba_M01!A85="", "", IFERROR(LOOKUP(2, 1/((Captura_Obra!$A$5:$A$1000=E231)*(Captura_Obra!$B$5:$B$1000=F231)*(Captura_Obra!$D$5:$D$1000=G231)), Captura_Obra!$N$5:$N$1000), "No Reportado"))</f>
        <v/>
      </c>
      <c r="D231" s="8793">
        <f>IF(Captura_Marimba_M01!A85="", "", IF(J231=0, "✅ Cuadrado", IF(I231=0, "❌ Falta en Obra", "⚠️ Dif")))</f>
        <v/>
      </c>
      <c r="E231" s="8794">
        <f>IF(Captura_Marimba_M01!A85="", "", Captura_Marimba_M01!A85)</f>
        <v/>
      </c>
      <c r="F231" s="8795">
        <f>IF(Captura_Marimba_M01!A85="", "", Captura_Marimba_M01!C85)</f>
        <v/>
      </c>
      <c r="G231" s="8796">
        <f>IF(Captura_Marimba_M01!A85="", "", Captura_Marimba_M01!D85)</f>
        <v/>
      </c>
      <c r="H231" s="8797">
        <f>IF(Captura_Marimba_M01!A85="", "", Captura_Marimba_M01!G85)</f>
        <v/>
      </c>
      <c r="I231" s="8798">
        <f>IF(Captura_Marimba_M01!A85="", "", SUMIFS(Captura_Obra!$F:$F, Captura_Obra!$A:$A, E231, Captura_Obra!$B:$B, F231, Captura_Obra!$D:$D, G231))</f>
        <v/>
      </c>
      <c r="J231" s="8799">
        <f>IF(Captura_Marimba_M01!A85="", "", H231 - I231)</f>
        <v/>
      </c>
      <c r="K231" s="4040" t="n"/>
    </row>
    <row r="232">
      <c r="A232" s="8800">
        <f>IF(Captura_Marimba_M01!A86="", "", "Marimba")</f>
        <v/>
      </c>
      <c r="B232" s="8801">
        <f>IF(Captura_Marimba_M01!A86="", "", Captura_Marimba_M01!N86)</f>
        <v/>
      </c>
      <c r="C232" s="8802">
        <f>IF(Captura_Marimba_M01!A86="", "", IFERROR(LOOKUP(2, 1/((Captura_Obra!$A$5:$A$1000=E232)*(Captura_Obra!$B$5:$B$1000=F232)*(Captura_Obra!$D$5:$D$1000=G232)), Captura_Obra!$N$5:$N$1000), "No Reportado"))</f>
        <v/>
      </c>
      <c r="D232" s="8803">
        <f>IF(Captura_Marimba_M01!A86="", "", IF(J232=0, "✅ Cuadrado", IF(I232=0, "❌ Falta en Obra", "⚠️ Dif")))</f>
        <v/>
      </c>
      <c r="E232" s="8804">
        <f>IF(Captura_Marimba_M01!A86="", "", Captura_Marimba_M01!A86)</f>
        <v/>
      </c>
      <c r="F232" s="8805">
        <f>IF(Captura_Marimba_M01!A86="", "", Captura_Marimba_M01!C86)</f>
        <v/>
      </c>
      <c r="G232" s="8806">
        <f>IF(Captura_Marimba_M01!A86="", "", Captura_Marimba_M01!D86)</f>
        <v/>
      </c>
      <c r="H232" s="8807">
        <f>IF(Captura_Marimba_M01!A86="", "", Captura_Marimba_M01!G86)</f>
        <v/>
      </c>
      <c r="I232" s="8808">
        <f>IF(Captura_Marimba_M01!A86="", "", SUMIFS(Captura_Obra!$F:$F, Captura_Obra!$A:$A, E232, Captura_Obra!$B:$B, F232, Captura_Obra!$D:$D, G232))</f>
        <v/>
      </c>
      <c r="J232" s="8809">
        <f>IF(Captura_Marimba_M01!A86="", "", H232 - I232)</f>
        <v/>
      </c>
      <c r="K232" s="4041" t="n"/>
    </row>
    <row r="233">
      <c r="A233" s="8810">
        <f>IF(Captura_Marimba_M01!A87="", "", "Marimba")</f>
        <v/>
      </c>
      <c r="B233" s="8811">
        <f>IF(Captura_Marimba_M01!A87="", "", Captura_Marimba_M01!N87)</f>
        <v/>
      </c>
      <c r="C233" s="8812">
        <f>IF(Captura_Marimba_M01!A87="", "", IFERROR(LOOKUP(2, 1/((Captura_Obra!$A$5:$A$1000=E233)*(Captura_Obra!$B$5:$B$1000=F233)*(Captura_Obra!$D$5:$D$1000=G233)), Captura_Obra!$N$5:$N$1000), "No Reportado"))</f>
        <v/>
      </c>
      <c r="D233" s="8813">
        <f>IF(Captura_Marimba_M01!A87="", "", IF(J233=0, "✅ Cuadrado", IF(I233=0, "❌ Falta en Obra", "⚠️ Dif")))</f>
        <v/>
      </c>
      <c r="E233" s="8814">
        <f>IF(Captura_Marimba_M01!A87="", "", Captura_Marimba_M01!A87)</f>
        <v/>
      </c>
      <c r="F233" s="8815">
        <f>IF(Captura_Marimba_M01!A87="", "", Captura_Marimba_M01!C87)</f>
        <v/>
      </c>
      <c r="G233" s="8816">
        <f>IF(Captura_Marimba_M01!A87="", "", Captura_Marimba_M01!D87)</f>
        <v/>
      </c>
      <c r="H233" s="8817">
        <f>IF(Captura_Marimba_M01!A87="", "", Captura_Marimba_M01!G87)</f>
        <v/>
      </c>
      <c r="I233" s="8818">
        <f>IF(Captura_Marimba_M01!A87="", "", SUMIFS(Captura_Obra!$F:$F, Captura_Obra!$A:$A, E233, Captura_Obra!$B:$B, F233, Captura_Obra!$D:$D, G233))</f>
        <v/>
      </c>
      <c r="J233" s="8819">
        <f>IF(Captura_Marimba_M01!A87="", "", H233 - I233)</f>
        <v/>
      </c>
      <c r="K233" s="4042" t="n"/>
    </row>
    <row r="234">
      <c r="A234" s="8820">
        <f>IF(Captura_Marimba_M01!A88="", "", "Marimba")</f>
        <v/>
      </c>
      <c r="B234" s="8821">
        <f>IF(Captura_Marimba_M01!A88="", "", Captura_Marimba_M01!N88)</f>
        <v/>
      </c>
      <c r="C234" s="8822">
        <f>IF(Captura_Marimba_M01!A88="", "", IFERROR(LOOKUP(2, 1/((Captura_Obra!$A$5:$A$1000=E234)*(Captura_Obra!$B$5:$B$1000=F234)*(Captura_Obra!$D$5:$D$1000=G234)), Captura_Obra!$N$5:$N$1000), "No Reportado"))</f>
        <v/>
      </c>
      <c r="D234" s="8823">
        <f>IF(Captura_Marimba_M01!A88="", "", IF(J234=0, "✅ Cuadrado", IF(I234=0, "❌ Falta en Obra", "⚠️ Dif")))</f>
        <v/>
      </c>
      <c r="E234" s="8824">
        <f>IF(Captura_Marimba_M01!A88="", "", Captura_Marimba_M01!A88)</f>
        <v/>
      </c>
      <c r="F234" s="8825">
        <f>IF(Captura_Marimba_M01!A88="", "", Captura_Marimba_M01!C88)</f>
        <v/>
      </c>
      <c r="G234" s="8826">
        <f>IF(Captura_Marimba_M01!A88="", "", Captura_Marimba_M01!D88)</f>
        <v/>
      </c>
      <c r="H234" s="8827">
        <f>IF(Captura_Marimba_M01!A88="", "", Captura_Marimba_M01!G88)</f>
        <v/>
      </c>
      <c r="I234" s="8828">
        <f>IF(Captura_Marimba_M01!A88="", "", SUMIFS(Captura_Obra!$F:$F, Captura_Obra!$A:$A, E234, Captura_Obra!$B:$B, F234, Captura_Obra!$D:$D, G234))</f>
        <v/>
      </c>
      <c r="J234" s="8829">
        <f>IF(Captura_Marimba_M01!A88="", "", H234 - I234)</f>
        <v/>
      </c>
      <c r="K234" s="4043" t="n"/>
    </row>
    <row r="235">
      <c r="A235" s="8830">
        <f>IF(Captura_Marimba_M01!A89="", "", "Marimba")</f>
        <v/>
      </c>
      <c r="B235" s="8831">
        <f>IF(Captura_Marimba_M01!A89="", "", Captura_Marimba_M01!N89)</f>
        <v/>
      </c>
      <c r="C235" s="8832">
        <f>IF(Captura_Marimba_M01!A89="", "", IFERROR(LOOKUP(2, 1/((Captura_Obra!$A$5:$A$1000=E235)*(Captura_Obra!$B$5:$B$1000=F235)*(Captura_Obra!$D$5:$D$1000=G235)), Captura_Obra!$N$5:$N$1000), "No Reportado"))</f>
        <v/>
      </c>
      <c r="D235" s="8833">
        <f>IF(Captura_Marimba_M01!A89="", "", IF(J235=0, "✅ Cuadrado", IF(I235=0, "❌ Falta en Obra", "⚠️ Dif")))</f>
        <v/>
      </c>
      <c r="E235" s="8834">
        <f>IF(Captura_Marimba_M01!A89="", "", Captura_Marimba_M01!A89)</f>
        <v/>
      </c>
      <c r="F235" s="8835">
        <f>IF(Captura_Marimba_M01!A89="", "", Captura_Marimba_M01!C89)</f>
        <v/>
      </c>
      <c r="G235" s="8836">
        <f>IF(Captura_Marimba_M01!A89="", "", Captura_Marimba_M01!D89)</f>
        <v/>
      </c>
      <c r="H235" s="8837">
        <f>IF(Captura_Marimba_M01!A89="", "", Captura_Marimba_M01!G89)</f>
        <v/>
      </c>
      <c r="I235" s="8838">
        <f>IF(Captura_Marimba_M01!A89="", "", SUMIFS(Captura_Obra!$F:$F, Captura_Obra!$A:$A, E235, Captura_Obra!$B:$B, F235, Captura_Obra!$D:$D, G235))</f>
        <v/>
      </c>
      <c r="J235" s="8839">
        <f>IF(Captura_Marimba_M01!A89="", "", H235 - I235)</f>
        <v/>
      </c>
      <c r="K235" s="4044" t="n"/>
    </row>
    <row r="236">
      <c r="A236" s="8840">
        <f>IF(Captura_Marimba_M01!A90="", "", "Marimba")</f>
        <v/>
      </c>
      <c r="B236" s="8841">
        <f>IF(Captura_Marimba_M01!A90="", "", Captura_Marimba_M01!N90)</f>
        <v/>
      </c>
      <c r="C236" s="8842">
        <f>IF(Captura_Marimba_M01!A90="", "", IFERROR(LOOKUP(2, 1/((Captura_Obra!$A$5:$A$1000=E236)*(Captura_Obra!$B$5:$B$1000=F236)*(Captura_Obra!$D$5:$D$1000=G236)), Captura_Obra!$N$5:$N$1000), "No Reportado"))</f>
        <v/>
      </c>
      <c r="D236" s="8843">
        <f>IF(Captura_Marimba_M01!A90="", "", IF(J236=0, "✅ Cuadrado", IF(I236=0, "❌ Falta en Obra", "⚠️ Dif")))</f>
        <v/>
      </c>
      <c r="E236" s="8844">
        <f>IF(Captura_Marimba_M01!A90="", "", Captura_Marimba_M01!A90)</f>
        <v/>
      </c>
      <c r="F236" s="8845">
        <f>IF(Captura_Marimba_M01!A90="", "", Captura_Marimba_M01!C90)</f>
        <v/>
      </c>
      <c r="G236" s="8846">
        <f>IF(Captura_Marimba_M01!A90="", "", Captura_Marimba_M01!D90)</f>
        <v/>
      </c>
      <c r="H236" s="8847">
        <f>IF(Captura_Marimba_M01!A90="", "", Captura_Marimba_M01!G90)</f>
        <v/>
      </c>
      <c r="I236" s="8848">
        <f>IF(Captura_Marimba_M01!A90="", "", SUMIFS(Captura_Obra!$F:$F, Captura_Obra!$A:$A, E236, Captura_Obra!$B:$B, F236, Captura_Obra!$D:$D, G236))</f>
        <v/>
      </c>
      <c r="J236" s="8849">
        <f>IF(Captura_Marimba_M01!A90="", "", H236 - I236)</f>
        <v/>
      </c>
      <c r="K236" s="4045" t="n"/>
    </row>
    <row r="237">
      <c r="A237" s="8850">
        <f>IF(Captura_Marimba_M01!A91="", "", "Marimba")</f>
        <v/>
      </c>
      <c r="B237" s="8851">
        <f>IF(Captura_Marimba_M01!A91="", "", Captura_Marimba_M01!N91)</f>
        <v/>
      </c>
      <c r="C237" s="8852">
        <f>IF(Captura_Marimba_M01!A91="", "", IFERROR(LOOKUP(2, 1/((Captura_Obra!$A$5:$A$1000=E237)*(Captura_Obra!$B$5:$B$1000=F237)*(Captura_Obra!$D$5:$D$1000=G237)), Captura_Obra!$N$5:$N$1000), "No Reportado"))</f>
        <v/>
      </c>
      <c r="D237" s="8853">
        <f>IF(Captura_Marimba_M01!A91="", "", IF(J237=0, "✅ Cuadrado", IF(I237=0, "❌ Falta en Obra", "⚠️ Dif")))</f>
        <v/>
      </c>
      <c r="E237" s="8854">
        <f>IF(Captura_Marimba_M01!A91="", "", Captura_Marimba_M01!A91)</f>
        <v/>
      </c>
      <c r="F237" s="8855">
        <f>IF(Captura_Marimba_M01!A91="", "", Captura_Marimba_M01!C91)</f>
        <v/>
      </c>
      <c r="G237" s="8856">
        <f>IF(Captura_Marimba_M01!A91="", "", Captura_Marimba_M01!D91)</f>
        <v/>
      </c>
      <c r="H237" s="8857">
        <f>IF(Captura_Marimba_M01!A91="", "", Captura_Marimba_M01!G91)</f>
        <v/>
      </c>
      <c r="I237" s="8858">
        <f>IF(Captura_Marimba_M01!A91="", "", SUMIFS(Captura_Obra!$F:$F, Captura_Obra!$A:$A, E237, Captura_Obra!$B:$B, F237, Captura_Obra!$D:$D, G237))</f>
        <v/>
      </c>
      <c r="J237" s="8859">
        <f>IF(Captura_Marimba_M01!A91="", "", H237 - I237)</f>
        <v/>
      </c>
      <c r="K237" s="4046" t="n"/>
    </row>
    <row r="238">
      <c r="A238" s="8860">
        <f>IF(Captura_Marimba_M01!A92="", "", "Marimba")</f>
        <v/>
      </c>
      <c r="B238" s="8861">
        <f>IF(Captura_Marimba_M01!A92="", "", Captura_Marimba_M01!N92)</f>
        <v/>
      </c>
      <c r="C238" s="8862">
        <f>IF(Captura_Marimba_M01!A92="", "", IFERROR(LOOKUP(2, 1/((Captura_Obra!$A$5:$A$1000=E238)*(Captura_Obra!$B$5:$B$1000=F238)*(Captura_Obra!$D$5:$D$1000=G238)), Captura_Obra!$N$5:$N$1000), "No Reportado"))</f>
        <v/>
      </c>
      <c r="D238" s="8863">
        <f>IF(Captura_Marimba_M01!A92="", "", IF(J238=0, "✅ Cuadrado", IF(I238=0, "❌ Falta en Obra", "⚠️ Dif")))</f>
        <v/>
      </c>
      <c r="E238" s="8864">
        <f>IF(Captura_Marimba_M01!A92="", "", Captura_Marimba_M01!A92)</f>
        <v/>
      </c>
      <c r="F238" s="8865">
        <f>IF(Captura_Marimba_M01!A92="", "", Captura_Marimba_M01!C92)</f>
        <v/>
      </c>
      <c r="G238" s="8866">
        <f>IF(Captura_Marimba_M01!A92="", "", Captura_Marimba_M01!D92)</f>
        <v/>
      </c>
      <c r="H238" s="8867">
        <f>IF(Captura_Marimba_M01!A92="", "", Captura_Marimba_M01!G92)</f>
        <v/>
      </c>
      <c r="I238" s="8868">
        <f>IF(Captura_Marimba_M01!A92="", "", SUMIFS(Captura_Obra!$F:$F, Captura_Obra!$A:$A, E238, Captura_Obra!$B:$B, F238, Captura_Obra!$D:$D, G238))</f>
        <v/>
      </c>
      <c r="J238" s="8869">
        <f>IF(Captura_Marimba_M01!A92="", "", H238 - I238)</f>
        <v/>
      </c>
      <c r="K238" s="4047" t="n"/>
    </row>
    <row r="239">
      <c r="A239" s="8870">
        <f>IF(Captura_Marimba_M01!A93="", "", "Marimba")</f>
        <v/>
      </c>
      <c r="B239" s="8871">
        <f>IF(Captura_Marimba_M01!A93="", "", Captura_Marimba_M01!N93)</f>
        <v/>
      </c>
      <c r="C239" s="8872">
        <f>IF(Captura_Marimba_M01!A93="", "", IFERROR(LOOKUP(2, 1/((Captura_Obra!$A$5:$A$1000=E239)*(Captura_Obra!$B$5:$B$1000=F239)*(Captura_Obra!$D$5:$D$1000=G239)), Captura_Obra!$N$5:$N$1000), "No Reportado"))</f>
        <v/>
      </c>
      <c r="D239" s="8873">
        <f>IF(Captura_Marimba_M01!A93="", "", IF(J239=0, "✅ Cuadrado", IF(I239=0, "❌ Falta en Obra", "⚠️ Dif")))</f>
        <v/>
      </c>
      <c r="E239" s="8874">
        <f>IF(Captura_Marimba_M01!A93="", "", Captura_Marimba_M01!A93)</f>
        <v/>
      </c>
      <c r="F239" s="8875">
        <f>IF(Captura_Marimba_M01!A93="", "", Captura_Marimba_M01!C93)</f>
        <v/>
      </c>
      <c r="G239" s="8876">
        <f>IF(Captura_Marimba_M01!A93="", "", Captura_Marimba_M01!D93)</f>
        <v/>
      </c>
      <c r="H239" s="8877">
        <f>IF(Captura_Marimba_M01!A93="", "", Captura_Marimba_M01!G93)</f>
        <v/>
      </c>
      <c r="I239" s="8878">
        <f>IF(Captura_Marimba_M01!A93="", "", SUMIFS(Captura_Obra!$F:$F, Captura_Obra!$A:$A, E239, Captura_Obra!$B:$B, F239, Captura_Obra!$D:$D, G239))</f>
        <v/>
      </c>
      <c r="J239" s="8879">
        <f>IF(Captura_Marimba_M01!A93="", "", H239 - I239)</f>
        <v/>
      </c>
      <c r="K239" s="4048" t="n"/>
    </row>
    <row r="240">
      <c r="A240" s="8880">
        <f>IF(Captura_Marimba_M01!A94="", "", "Marimba")</f>
        <v/>
      </c>
      <c r="B240" s="8881">
        <f>IF(Captura_Marimba_M01!A94="", "", Captura_Marimba_M01!N94)</f>
        <v/>
      </c>
      <c r="C240" s="8882">
        <f>IF(Captura_Marimba_M01!A94="", "", IFERROR(LOOKUP(2, 1/((Captura_Obra!$A$5:$A$1000=E240)*(Captura_Obra!$B$5:$B$1000=F240)*(Captura_Obra!$D$5:$D$1000=G240)), Captura_Obra!$N$5:$N$1000), "No Reportado"))</f>
        <v/>
      </c>
      <c r="D240" s="8883">
        <f>IF(Captura_Marimba_M01!A94="", "", IF(J240=0, "✅ Cuadrado", IF(I240=0, "❌ Falta en Obra", "⚠️ Dif")))</f>
        <v/>
      </c>
      <c r="E240" s="8884">
        <f>IF(Captura_Marimba_M01!A94="", "", Captura_Marimba_M01!A94)</f>
        <v/>
      </c>
      <c r="F240" s="8885">
        <f>IF(Captura_Marimba_M01!A94="", "", Captura_Marimba_M01!C94)</f>
        <v/>
      </c>
      <c r="G240" s="8886">
        <f>IF(Captura_Marimba_M01!A94="", "", Captura_Marimba_M01!D94)</f>
        <v/>
      </c>
      <c r="H240" s="8887">
        <f>IF(Captura_Marimba_M01!A94="", "", Captura_Marimba_M01!G94)</f>
        <v/>
      </c>
      <c r="I240" s="8888">
        <f>IF(Captura_Marimba_M01!A94="", "", SUMIFS(Captura_Obra!$F:$F, Captura_Obra!$A:$A, E240, Captura_Obra!$B:$B, F240, Captura_Obra!$D:$D, G240))</f>
        <v/>
      </c>
      <c r="J240" s="8889">
        <f>IF(Captura_Marimba_M01!A94="", "", H240 - I240)</f>
        <v/>
      </c>
      <c r="K240" s="4049" t="n"/>
    </row>
    <row r="241">
      <c r="A241" s="8890">
        <f>IF(Captura_Marimba_M01!A95="", "", "Marimba")</f>
        <v/>
      </c>
      <c r="B241" s="8891">
        <f>IF(Captura_Marimba_M01!A95="", "", Captura_Marimba_M01!N95)</f>
        <v/>
      </c>
      <c r="C241" s="8892">
        <f>IF(Captura_Marimba_M01!A95="", "", IFERROR(LOOKUP(2, 1/((Captura_Obra!$A$5:$A$1000=E241)*(Captura_Obra!$B$5:$B$1000=F241)*(Captura_Obra!$D$5:$D$1000=G241)), Captura_Obra!$N$5:$N$1000), "No Reportado"))</f>
        <v/>
      </c>
      <c r="D241" s="8893">
        <f>IF(Captura_Marimba_M01!A95="", "", IF(J241=0, "✅ Cuadrado", IF(I241=0, "❌ Falta en Obra", "⚠️ Dif")))</f>
        <v/>
      </c>
      <c r="E241" s="8894">
        <f>IF(Captura_Marimba_M01!A95="", "", Captura_Marimba_M01!A95)</f>
        <v/>
      </c>
      <c r="F241" s="8895">
        <f>IF(Captura_Marimba_M01!A95="", "", Captura_Marimba_M01!C95)</f>
        <v/>
      </c>
      <c r="G241" s="8896">
        <f>IF(Captura_Marimba_M01!A95="", "", Captura_Marimba_M01!D95)</f>
        <v/>
      </c>
      <c r="H241" s="8897">
        <f>IF(Captura_Marimba_M01!A95="", "", Captura_Marimba_M01!G95)</f>
        <v/>
      </c>
      <c r="I241" s="8898">
        <f>IF(Captura_Marimba_M01!A95="", "", SUMIFS(Captura_Obra!$F:$F, Captura_Obra!$A:$A, E241, Captura_Obra!$B:$B, F241, Captura_Obra!$D:$D, G241))</f>
        <v/>
      </c>
      <c r="J241" s="8899">
        <f>IF(Captura_Marimba_M01!A95="", "", H241 - I241)</f>
        <v/>
      </c>
      <c r="K241" s="4050" t="n"/>
    </row>
    <row r="242">
      <c r="A242" s="8900">
        <f>IF(Captura_Marimba_M01!A96="", "", "Marimba")</f>
        <v/>
      </c>
      <c r="B242" s="8901">
        <f>IF(Captura_Marimba_M01!A96="", "", Captura_Marimba_M01!N96)</f>
        <v/>
      </c>
      <c r="C242" s="8902">
        <f>IF(Captura_Marimba_M01!A96="", "", IFERROR(LOOKUP(2, 1/((Captura_Obra!$A$5:$A$1000=E242)*(Captura_Obra!$B$5:$B$1000=F242)*(Captura_Obra!$D$5:$D$1000=G242)), Captura_Obra!$N$5:$N$1000), "No Reportado"))</f>
        <v/>
      </c>
      <c r="D242" s="8903">
        <f>IF(Captura_Marimba_M01!A96="", "", IF(J242=0, "✅ Cuadrado", IF(I242=0, "❌ Falta en Obra", "⚠️ Dif")))</f>
        <v/>
      </c>
      <c r="E242" s="8904">
        <f>IF(Captura_Marimba_M01!A96="", "", Captura_Marimba_M01!A96)</f>
        <v/>
      </c>
      <c r="F242" s="8905">
        <f>IF(Captura_Marimba_M01!A96="", "", Captura_Marimba_M01!C96)</f>
        <v/>
      </c>
      <c r="G242" s="8906">
        <f>IF(Captura_Marimba_M01!A96="", "", Captura_Marimba_M01!D96)</f>
        <v/>
      </c>
      <c r="H242" s="8907">
        <f>IF(Captura_Marimba_M01!A96="", "", Captura_Marimba_M01!G96)</f>
        <v/>
      </c>
      <c r="I242" s="8908">
        <f>IF(Captura_Marimba_M01!A96="", "", SUMIFS(Captura_Obra!$F:$F, Captura_Obra!$A:$A, E242, Captura_Obra!$B:$B, F242, Captura_Obra!$D:$D, G242))</f>
        <v/>
      </c>
      <c r="J242" s="8909">
        <f>IF(Captura_Marimba_M01!A96="", "", H242 - I242)</f>
        <v/>
      </c>
      <c r="K242" s="4051" t="n"/>
    </row>
    <row r="243">
      <c r="A243" s="8910">
        <f>IF(Captura_Marimba_M01!A97="", "", "Marimba")</f>
        <v/>
      </c>
      <c r="B243" s="8911">
        <f>IF(Captura_Marimba_M01!A97="", "", Captura_Marimba_M01!N97)</f>
        <v/>
      </c>
      <c r="C243" s="8912">
        <f>IF(Captura_Marimba_M01!A97="", "", IFERROR(LOOKUP(2, 1/((Captura_Obra!$A$5:$A$1000=E243)*(Captura_Obra!$B$5:$B$1000=F243)*(Captura_Obra!$D$5:$D$1000=G243)), Captura_Obra!$N$5:$N$1000), "No Reportado"))</f>
        <v/>
      </c>
      <c r="D243" s="8913">
        <f>IF(Captura_Marimba_M01!A97="", "", IF(J243=0, "✅ Cuadrado", IF(I243=0, "❌ Falta en Obra", "⚠️ Dif")))</f>
        <v/>
      </c>
      <c r="E243" s="8914">
        <f>IF(Captura_Marimba_M01!A97="", "", Captura_Marimba_M01!A97)</f>
        <v/>
      </c>
      <c r="F243" s="8915">
        <f>IF(Captura_Marimba_M01!A97="", "", Captura_Marimba_M01!C97)</f>
        <v/>
      </c>
      <c r="G243" s="8916">
        <f>IF(Captura_Marimba_M01!A97="", "", Captura_Marimba_M01!D97)</f>
        <v/>
      </c>
      <c r="H243" s="8917">
        <f>IF(Captura_Marimba_M01!A97="", "", Captura_Marimba_M01!G97)</f>
        <v/>
      </c>
      <c r="I243" s="8918">
        <f>IF(Captura_Marimba_M01!A97="", "", SUMIFS(Captura_Obra!$F:$F, Captura_Obra!$A:$A, E243, Captura_Obra!$B:$B, F243, Captura_Obra!$D:$D, G243))</f>
        <v/>
      </c>
      <c r="J243" s="8919">
        <f>IF(Captura_Marimba_M01!A97="", "", H243 - I243)</f>
        <v/>
      </c>
      <c r="K243" s="4052" t="n"/>
    </row>
    <row r="244">
      <c r="A244" s="8920">
        <f>IF(Captura_Marimba_M01!A98="", "", "Marimba")</f>
        <v/>
      </c>
      <c r="B244" s="8921">
        <f>IF(Captura_Marimba_M01!A98="", "", Captura_Marimba_M01!N98)</f>
        <v/>
      </c>
      <c r="C244" s="8922">
        <f>IF(Captura_Marimba_M01!A98="", "", IFERROR(LOOKUP(2, 1/((Captura_Obra!$A$5:$A$1000=E244)*(Captura_Obra!$B$5:$B$1000=F244)*(Captura_Obra!$D$5:$D$1000=G244)), Captura_Obra!$N$5:$N$1000), "No Reportado"))</f>
        <v/>
      </c>
      <c r="D244" s="8923">
        <f>IF(Captura_Marimba_M01!A98="", "", IF(J244=0, "✅ Cuadrado", IF(I244=0, "❌ Falta en Obra", "⚠️ Dif")))</f>
        <v/>
      </c>
      <c r="E244" s="8924">
        <f>IF(Captura_Marimba_M01!A98="", "", Captura_Marimba_M01!A98)</f>
        <v/>
      </c>
      <c r="F244" s="8925">
        <f>IF(Captura_Marimba_M01!A98="", "", Captura_Marimba_M01!C98)</f>
        <v/>
      </c>
      <c r="G244" s="8926">
        <f>IF(Captura_Marimba_M01!A98="", "", Captura_Marimba_M01!D98)</f>
        <v/>
      </c>
      <c r="H244" s="8927">
        <f>IF(Captura_Marimba_M01!A98="", "", Captura_Marimba_M01!G98)</f>
        <v/>
      </c>
      <c r="I244" s="8928">
        <f>IF(Captura_Marimba_M01!A98="", "", SUMIFS(Captura_Obra!$F:$F, Captura_Obra!$A:$A, E244, Captura_Obra!$B:$B, F244, Captura_Obra!$D:$D, G244))</f>
        <v/>
      </c>
      <c r="J244" s="8929">
        <f>IF(Captura_Marimba_M01!A98="", "", H244 - I244)</f>
        <v/>
      </c>
      <c r="K244" s="4053" t="n"/>
    </row>
    <row r="245">
      <c r="A245" s="8930">
        <f>IF(Captura_Marimba_M01!A99="", "", "Marimba")</f>
        <v/>
      </c>
      <c r="B245" s="8931">
        <f>IF(Captura_Marimba_M01!A99="", "", Captura_Marimba_M01!N99)</f>
        <v/>
      </c>
      <c r="C245" s="8932">
        <f>IF(Captura_Marimba_M01!A99="", "", IFERROR(LOOKUP(2, 1/((Captura_Obra!$A$5:$A$1000=E245)*(Captura_Obra!$B$5:$B$1000=F245)*(Captura_Obra!$D$5:$D$1000=G245)), Captura_Obra!$N$5:$N$1000), "No Reportado"))</f>
        <v/>
      </c>
      <c r="D245" s="8933">
        <f>IF(Captura_Marimba_M01!A99="", "", IF(J245=0, "✅ Cuadrado", IF(I245=0, "❌ Falta en Obra", "⚠️ Dif")))</f>
        <v/>
      </c>
      <c r="E245" s="8934">
        <f>IF(Captura_Marimba_M01!A99="", "", Captura_Marimba_M01!A99)</f>
        <v/>
      </c>
      <c r="F245" s="8935">
        <f>IF(Captura_Marimba_M01!A99="", "", Captura_Marimba_M01!C99)</f>
        <v/>
      </c>
      <c r="G245" s="8936">
        <f>IF(Captura_Marimba_M01!A99="", "", Captura_Marimba_M01!D99)</f>
        <v/>
      </c>
      <c r="H245" s="8937">
        <f>IF(Captura_Marimba_M01!A99="", "", Captura_Marimba_M01!G99)</f>
        <v/>
      </c>
      <c r="I245" s="8938">
        <f>IF(Captura_Marimba_M01!A99="", "", SUMIFS(Captura_Obra!$F:$F, Captura_Obra!$A:$A, E245, Captura_Obra!$B:$B, F245, Captura_Obra!$D:$D, G245))</f>
        <v/>
      </c>
      <c r="J245" s="8939">
        <f>IF(Captura_Marimba_M01!A99="", "", H245 - I245)</f>
        <v/>
      </c>
      <c r="K245" s="4054" t="n"/>
    </row>
    <row r="246">
      <c r="A246" s="8940">
        <f>IF(Captura_Marimba_M01!A100="", "", "Marimba")</f>
        <v/>
      </c>
      <c r="B246" s="8941">
        <f>IF(Captura_Marimba_M01!A100="", "", Captura_Marimba_M01!N100)</f>
        <v/>
      </c>
      <c r="C246" s="8942">
        <f>IF(Captura_Marimba_M01!A100="", "", IFERROR(LOOKUP(2, 1/((Captura_Obra!$A$5:$A$1000=E246)*(Captura_Obra!$B$5:$B$1000=F246)*(Captura_Obra!$D$5:$D$1000=G246)), Captura_Obra!$N$5:$N$1000), "No Reportado"))</f>
        <v/>
      </c>
      <c r="D246" s="8943">
        <f>IF(Captura_Marimba_M01!A100="", "", IF(J246=0, "✅ Cuadrado", IF(I246=0, "❌ Falta en Obra", "⚠️ Dif")))</f>
        <v/>
      </c>
      <c r="E246" s="8944">
        <f>IF(Captura_Marimba_M01!A100="", "", Captura_Marimba_M01!A100)</f>
        <v/>
      </c>
      <c r="F246" s="8945">
        <f>IF(Captura_Marimba_M01!A100="", "", Captura_Marimba_M01!C100)</f>
        <v/>
      </c>
      <c r="G246" s="8946">
        <f>IF(Captura_Marimba_M01!A100="", "", Captura_Marimba_M01!D100)</f>
        <v/>
      </c>
      <c r="H246" s="8947">
        <f>IF(Captura_Marimba_M01!A100="", "", Captura_Marimba_M01!G100)</f>
        <v/>
      </c>
      <c r="I246" s="8948">
        <f>IF(Captura_Marimba_M01!A100="", "", SUMIFS(Captura_Obra!$F:$F, Captura_Obra!$A:$A, E246, Captura_Obra!$B:$B, F246, Captura_Obra!$D:$D, G246))</f>
        <v/>
      </c>
      <c r="J246" s="8949">
        <f>IF(Captura_Marimba_M01!A100="", "", H246 - I246)</f>
        <v/>
      </c>
      <c r="K246" s="4055" t="n"/>
    </row>
    <row r="247">
      <c r="A247" s="8950">
        <f>IF(Captura_Marimba_M01!A101="", "", "Marimba")</f>
        <v/>
      </c>
      <c r="B247" s="8951">
        <f>IF(Captura_Marimba_M01!A101="", "", Captura_Marimba_M01!N101)</f>
        <v/>
      </c>
      <c r="C247" s="8952">
        <f>IF(Captura_Marimba_M01!A101="", "", IFERROR(LOOKUP(2, 1/((Captura_Obra!$A$5:$A$1000=E247)*(Captura_Obra!$B$5:$B$1000=F247)*(Captura_Obra!$D$5:$D$1000=G247)), Captura_Obra!$N$5:$N$1000), "No Reportado"))</f>
        <v/>
      </c>
      <c r="D247" s="8953">
        <f>IF(Captura_Marimba_M01!A101="", "", IF(J247=0, "✅ Cuadrado", IF(I247=0, "❌ Falta en Obra", "⚠️ Dif")))</f>
        <v/>
      </c>
      <c r="E247" s="8954">
        <f>IF(Captura_Marimba_M01!A101="", "", Captura_Marimba_M01!A101)</f>
        <v/>
      </c>
      <c r="F247" s="8955">
        <f>IF(Captura_Marimba_M01!A101="", "", Captura_Marimba_M01!C101)</f>
        <v/>
      </c>
      <c r="G247" s="8956">
        <f>IF(Captura_Marimba_M01!A101="", "", Captura_Marimba_M01!D101)</f>
        <v/>
      </c>
      <c r="H247" s="8957">
        <f>IF(Captura_Marimba_M01!A101="", "", Captura_Marimba_M01!G101)</f>
        <v/>
      </c>
      <c r="I247" s="8958">
        <f>IF(Captura_Marimba_M01!A101="", "", SUMIFS(Captura_Obra!$F:$F, Captura_Obra!$A:$A, E247, Captura_Obra!$B:$B, F247, Captura_Obra!$D:$D, G247))</f>
        <v/>
      </c>
      <c r="J247" s="8959">
        <f>IF(Captura_Marimba_M01!A101="", "", H247 - I247)</f>
        <v/>
      </c>
      <c r="K247" s="4056" t="n"/>
    </row>
    <row r="248">
      <c r="A248" s="8960">
        <f>IF(Captura_Marimba_M01!A102="", "", "Marimba")</f>
        <v/>
      </c>
      <c r="B248" s="8961">
        <f>IF(Captura_Marimba_M01!A102="", "", Captura_Marimba_M01!N102)</f>
        <v/>
      </c>
      <c r="C248" s="8962">
        <f>IF(Captura_Marimba_M01!A102="", "", IFERROR(LOOKUP(2, 1/((Captura_Obra!$A$5:$A$1000=E248)*(Captura_Obra!$B$5:$B$1000=F248)*(Captura_Obra!$D$5:$D$1000=G248)), Captura_Obra!$N$5:$N$1000), "No Reportado"))</f>
        <v/>
      </c>
      <c r="D248" s="8963">
        <f>IF(Captura_Marimba_M01!A102="", "", IF(J248=0, "✅ Cuadrado", IF(I248=0, "❌ Falta en Obra", "⚠️ Dif")))</f>
        <v/>
      </c>
      <c r="E248" s="8964">
        <f>IF(Captura_Marimba_M01!A102="", "", Captura_Marimba_M01!A102)</f>
        <v/>
      </c>
      <c r="F248" s="8965">
        <f>IF(Captura_Marimba_M01!A102="", "", Captura_Marimba_M01!C102)</f>
        <v/>
      </c>
      <c r="G248" s="8966">
        <f>IF(Captura_Marimba_M01!A102="", "", Captura_Marimba_M01!D102)</f>
        <v/>
      </c>
      <c r="H248" s="8967">
        <f>IF(Captura_Marimba_M01!A102="", "", Captura_Marimba_M01!G102)</f>
        <v/>
      </c>
      <c r="I248" s="8968">
        <f>IF(Captura_Marimba_M01!A102="", "", SUMIFS(Captura_Obra!$F:$F, Captura_Obra!$A:$A, E248, Captura_Obra!$B:$B, F248, Captura_Obra!$D:$D, G248))</f>
        <v/>
      </c>
      <c r="J248" s="8969">
        <f>IF(Captura_Marimba_M01!A102="", "", H248 - I248)</f>
        <v/>
      </c>
      <c r="K248" s="4057" t="n"/>
    </row>
    <row r="249">
      <c r="A249" s="8970">
        <f>IF(Captura_Marimba_M01!A103="", "", "Marimba")</f>
        <v/>
      </c>
      <c r="B249" s="8971">
        <f>IF(Captura_Marimba_M01!A103="", "", Captura_Marimba_M01!N103)</f>
        <v/>
      </c>
      <c r="C249" s="8972">
        <f>IF(Captura_Marimba_M01!A103="", "", IFERROR(LOOKUP(2, 1/((Captura_Obra!$A$5:$A$1000=E249)*(Captura_Obra!$B$5:$B$1000=F249)*(Captura_Obra!$D$5:$D$1000=G249)), Captura_Obra!$N$5:$N$1000), "No Reportado"))</f>
        <v/>
      </c>
      <c r="D249" s="8973">
        <f>IF(Captura_Marimba_M01!A103="", "", IF(J249=0, "✅ Cuadrado", IF(I249=0, "❌ Falta en Obra", "⚠️ Dif")))</f>
        <v/>
      </c>
      <c r="E249" s="8974">
        <f>IF(Captura_Marimba_M01!A103="", "", Captura_Marimba_M01!A103)</f>
        <v/>
      </c>
      <c r="F249" s="8975">
        <f>IF(Captura_Marimba_M01!A103="", "", Captura_Marimba_M01!C103)</f>
        <v/>
      </c>
      <c r="G249" s="8976">
        <f>IF(Captura_Marimba_M01!A103="", "", Captura_Marimba_M01!D103)</f>
        <v/>
      </c>
      <c r="H249" s="8977">
        <f>IF(Captura_Marimba_M01!A103="", "", Captura_Marimba_M01!G103)</f>
        <v/>
      </c>
      <c r="I249" s="8978">
        <f>IF(Captura_Marimba_M01!A103="", "", SUMIFS(Captura_Obra!$F:$F, Captura_Obra!$A:$A, E249, Captura_Obra!$B:$B, F249, Captura_Obra!$D:$D, G249))</f>
        <v/>
      </c>
      <c r="J249" s="8979">
        <f>IF(Captura_Marimba_M01!A103="", "", H249 - I249)</f>
        <v/>
      </c>
      <c r="K249" s="4058" t="n"/>
    </row>
    <row r="250">
      <c r="A250" s="8980">
        <f>IF(Captura_Marimba_M01!A104="", "", "Marimba")</f>
        <v/>
      </c>
      <c r="B250" s="8981">
        <f>IF(Captura_Marimba_M01!A104="", "", Captura_Marimba_M01!N104)</f>
        <v/>
      </c>
      <c r="C250" s="8982">
        <f>IF(Captura_Marimba_M01!A104="", "", IFERROR(LOOKUP(2, 1/((Captura_Obra!$A$5:$A$1000=E250)*(Captura_Obra!$B$5:$B$1000=F250)*(Captura_Obra!$D$5:$D$1000=G250)), Captura_Obra!$N$5:$N$1000), "No Reportado"))</f>
        <v/>
      </c>
      <c r="D250" s="8983">
        <f>IF(Captura_Marimba_M01!A104="", "", IF(J250=0, "✅ Cuadrado", IF(I250=0, "❌ Falta en Obra", "⚠️ Dif")))</f>
        <v/>
      </c>
      <c r="E250" s="8984">
        <f>IF(Captura_Marimba_M01!A104="", "", Captura_Marimba_M01!A104)</f>
        <v/>
      </c>
      <c r="F250" s="8985">
        <f>IF(Captura_Marimba_M01!A104="", "", Captura_Marimba_M01!C104)</f>
        <v/>
      </c>
      <c r="G250" s="8986">
        <f>IF(Captura_Marimba_M01!A104="", "", Captura_Marimba_M01!D104)</f>
        <v/>
      </c>
      <c r="H250" s="8987">
        <f>IF(Captura_Marimba_M01!A104="", "", Captura_Marimba_M01!G104)</f>
        <v/>
      </c>
      <c r="I250" s="8988">
        <f>IF(Captura_Marimba_M01!A104="", "", SUMIFS(Captura_Obra!$F:$F, Captura_Obra!$A:$A, E250, Captura_Obra!$B:$B, F250, Captura_Obra!$D:$D, G250))</f>
        <v/>
      </c>
      <c r="J250" s="8989">
        <f>IF(Captura_Marimba_M01!A104="", "", H250 - I250)</f>
        <v/>
      </c>
      <c r="K250" s="4059" t="n"/>
    </row>
    <row r="251">
      <c r="A251" s="8990">
        <f>IF(Captura_Marimba_M01!A105="", "", "Marimba")</f>
        <v/>
      </c>
      <c r="B251" s="8991">
        <f>IF(Captura_Marimba_M01!A105="", "", Captura_Marimba_M01!N105)</f>
        <v/>
      </c>
      <c r="C251" s="8992">
        <f>IF(Captura_Marimba_M01!A105="", "", IFERROR(LOOKUP(2, 1/((Captura_Obra!$A$5:$A$1000=E251)*(Captura_Obra!$B$5:$B$1000=F251)*(Captura_Obra!$D$5:$D$1000=G251)), Captura_Obra!$N$5:$N$1000), "No Reportado"))</f>
        <v/>
      </c>
      <c r="D251" s="8993">
        <f>IF(Captura_Marimba_M01!A105="", "", IF(J251=0, "✅ Cuadrado", IF(I251=0, "❌ Falta en Obra", "⚠️ Dif")))</f>
        <v/>
      </c>
      <c r="E251" s="8994">
        <f>IF(Captura_Marimba_M01!A105="", "", Captura_Marimba_M01!A105)</f>
        <v/>
      </c>
      <c r="F251" s="8995">
        <f>IF(Captura_Marimba_M01!A105="", "", Captura_Marimba_M01!C105)</f>
        <v/>
      </c>
      <c r="G251" s="8996">
        <f>IF(Captura_Marimba_M01!A105="", "", Captura_Marimba_M01!D105)</f>
        <v/>
      </c>
      <c r="H251" s="8997">
        <f>IF(Captura_Marimba_M01!A105="", "", Captura_Marimba_M01!G105)</f>
        <v/>
      </c>
      <c r="I251" s="8998">
        <f>IF(Captura_Marimba_M01!A105="", "", SUMIFS(Captura_Obra!$F:$F, Captura_Obra!$A:$A, E251, Captura_Obra!$B:$B, F251, Captura_Obra!$D:$D, G251))</f>
        <v/>
      </c>
      <c r="J251" s="8999">
        <f>IF(Captura_Marimba_M01!A105="", "", H251 - I251)</f>
        <v/>
      </c>
      <c r="K251" s="4060" t="n"/>
    </row>
    <row r="252">
      <c r="A252" s="9000">
        <f>IF(Captura_Marimba_M01!A106="", "", "Marimba")</f>
        <v/>
      </c>
      <c r="B252" s="9001">
        <f>IF(Captura_Marimba_M01!A106="", "", Captura_Marimba_M01!N106)</f>
        <v/>
      </c>
      <c r="C252" s="9002">
        <f>IF(Captura_Marimba_M01!A106="", "", IFERROR(LOOKUP(2, 1/((Captura_Obra!$A$5:$A$1000=E252)*(Captura_Obra!$B$5:$B$1000=F252)*(Captura_Obra!$D$5:$D$1000=G252)), Captura_Obra!$N$5:$N$1000), "No Reportado"))</f>
        <v/>
      </c>
      <c r="D252" s="9003">
        <f>IF(Captura_Marimba_M01!A106="", "", IF(J252=0, "✅ Cuadrado", IF(I252=0, "❌ Falta en Obra", "⚠️ Dif")))</f>
        <v/>
      </c>
      <c r="E252" s="9004">
        <f>IF(Captura_Marimba_M01!A106="", "", Captura_Marimba_M01!A106)</f>
        <v/>
      </c>
      <c r="F252" s="9005">
        <f>IF(Captura_Marimba_M01!A106="", "", Captura_Marimba_M01!C106)</f>
        <v/>
      </c>
      <c r="G252" s="9006">
        <f>IF(Captura_Marimba_M01!A106="", "", Captura_Marimba_M01!D106)</f>
        <v/>
      </c>
      <c r="H252" s="9007">
        <f>IF(Captura_Marimba_M01!A106="", "", Captura_Marimba_M01!G106)</f>
        <v/>
      </c>
      <c r="I252" s="9008">
        <f>IF(Captura_Marimba_M01!A106="", "", SUMIFS(Captura_Obra!$F:$F, Captura_Obra!$A:$A, E252, Captura_Obra!$B:$B, F252, Captura_Obra!$D:$D, G252))</f>
        <v/>
      </c>
      <c r="J252" s="9009">
        <f>IF(Captura_Marimba_M01!A106="", "", H252 - I252)</f>
        <v/>
      </c>
      <c r="K252" s="4061" t="n"/>
    </row>
    <row r="253">
      <c r="A253" s="9010">
        <f>IF(Captura_Marimba_M01!A107="", "", "Marimba")</f>
        <v/>
      </c>
      <c r="B253" s="9011">
        <f>IF(Captura_Marimba_M01!A107="", "", Captura_Marimba_M01!N107)</f>
        <v/>
      </c>
      <c r="C253" s="9012">
        <f>IF(Captura_Marimba_M01!A107="", "", IFERROR(LOOKUP(2, 1/((Captura_Obra!$A$5:$A$1000=E253)*(Captura_Obra!$B$5:$B$1000=F253)*(Captura_Obra!$D$5:$D$1000=G253)), Captura_Obra!$N$5:$N$1000), "No Reportado"))</f>
        <v/>
      </c>
      <c r="D253" s="9013">
        <f>IF(Captura_Marimba_M01!A107="", "", IF(J253=0, "✅ Cuadrado", IF(I253=0, "❌ Falta en Obra", "⚠️ Dif")))</f>
        <v/>
      </c>
      <c r="E253" s="9014">
        <f>IF(Captura_Marimba_M01!A107="", "", Captura_Marimba_M01!A107)</f>
        <v/>
      </c>
      <c r="F253" s="9015">
        <f>IF(Captura_Marimba_M01!A107="", "", Captura_Marimba_M01!C107)</f>
        <v/>
      </c>
      <c r="G253" s="9016">
        <f>IF(Captura_Marimba_M01!A107="", "", Captura_Marimba_M01!D107)</f>
        <v/>
      </c>
      <c r="H253" s="9017">
        <f>IF(Captura_Marimba_M01!A107="", "", Captura_Marimba_M01!G107)</f>
        <v/>
      </c>
      <c r="I253" s="9018">
        <f>IF(Captura_Marimba_M01!A107="", "", SUMIFS(Captura_Obra!$F:$F, Captura_Obra!$A:$A, E253, Captura_Obra!$B:$B, F253, Captura_Obra!$D:$D, G253))</f>
        <v/>
      </c>
      <c r="J253" s="9019">
        <f>IF(Captura_Marimba_M01!A107="", "", H253 - I253)</f>
        <v/>
      </c>
      <c r="K253" s="4062" t="n"/>
    </row>
    <row r="254">
      <c r="A254" s="9020">
        <f>IF(Captura_Marimba_M01!A108="", "", "Marimba")</f>
        <v/>
      </c>
      <c r="B254" s="9021">
        <f>IF(Captura_Marimba_M01!A108="", "", Captura_Marimba_M01!N108)</f>
        <v/>
      </c>
      <c r="C254" s="9022">
        <f>IF(Captura_Marimba_M01!A108="", "", IFERROR(LOOKUP(2, 1/((Captura_Obra!$A$5:$A$1000=E254)*(Captura_Obra!$B$5:$B$1000=F254)*(Captura_Obra!$D$5:$D$1000=G254)), Captura_Obra!$N$5:$N$1000), "No Reportado"))</f>
        <v/>
      </c>
      <c r="D254" s="9023">
        <f>IF(Captura_Marimba_M01!A108="", "", IF(J254=0, "✅ Cuadrado", IF(I254=0, "❌ Falta en Obra", "⚠️ Dif")))</f>
        <v/>
      </c>
      <c r="E254" s="9024">
        <f>IF(Captura_Marimba_M01!A108="", "", Captura_Marimba_M01!A108)</f>
        <v/>
      </c>
      <c r="F254" s="9025">
        <f>IF(Captura_Marimba_M01!A108="", "", Captura_Marimba_M01!C108)</f>
        <v/>
      </c>
      <c r="G254" s="9026">
        <f>IF(Captura_Marimba_M01!A108="", "", Captura_Marimba_M01!D108)</f>
        <v/>
      </c>
      <c r="H254" s="9027">
        <f>IF(Captura_Marimba_M01!A108="", "", Captura_Marimba_M01!G108)</f>
        <v/>
      </c>
      <c r="I254" s="9028">
        <f>IF(Captura_Marimba_M01!A108="", "", SUMIFS(Captura_Obra!$F:$F, Captura_Obra!$A:$A, E254, Captura_Obra!$B:$B, F254, Captura_Obra!$D:$D, G254))</f>
        <v/>
      </c>
      <c r="J254" s="9029">
        <f>IF(Captura_Marimba_M01!A108="", "", H254 - I254)</f>
        <v/>
      </c>
      <c r="K254" s="4063" t="n"/>
    </row>
    <row r="255">
      <c r="A255" s="9030">
        <f>IF(Captura_Marimba_M01!A109="", "", "Marimba")</f>
        <v/>
      </c>
      <c r="B255" s="9031">
        <f>IF(Captura_Marimba_M01!A109="", "", Captura_Marimba_M01!N109)</f>
        <v/>
      </c>
      <c r="C255" s="9032">
        <f>IF(Captura_Marimba_M01!A109="", "", IFERROR(LOOKUP(2, 1/((Captura_Obra!$A$5:$A$1000=E255)*(Captura_Obra!$B$5:$B$1000=F255)*(Captura_Obra!$D$5:$D$1000=G255)), Captura_Obra!$N$5:$N$1000), "No Reportado"))</f>
        <v/>
      </c>
      <c r="D255" s="9033">
        <f>IF(Captura_Marimba_M01!A109="", "", IF(J255=0, "✅ Cuadrado", IF(I255=0, "❌ Falta en Obra", "⚠️ Dif")))</f>
        <v/>
      </c>
      <c r="E255" s="9034">
        <f>IF(Captura_Marimba_M01!A109="", "", Captura_Marimba_M01!A109)</f>
        <v/>
      </c>
      <c r="F255" s="9035">
        <f>IF(Captura_Marimba_M01!A109="", "", Captura_Marimba_M01!C109)</f>
        <v/>
      </c>
      <c r="G255" s="9036">
        <f>IF(Captura_Marimba_M01!A109="", "", Captura_Marimba_M01!D109)</f>
        <v/>
      </c>
      <c r="H255" s="9037">
        <f>IF(Captura_Marimba_M01!A109="", "", Captura_Marimba_M01!G109)</f>
        <v/>
      </c>
      <c r="I255" s="9038">
        <f>IF(Captura_Marimba_M01!A109="", "", SUMIFS(Captura_Obra!$F:$F, Captura_Obra!$A:$A, E255, Captura_Obra!$B:$B, F255, Captura_Obra!$D:$D, G255))</f>
        <v/>
      </c>
      <c r="J255" s="9039">
        <f>IF(Captura_Marimba_M01!A109="", "", H255 - I255)</f>
        <v/>
      </c>
      <c r="K255" s="4064" t="n"/>
    </row>
    <row r="256">
      <c r="A256" s="9040">
        <f>IF(Captura_Marimba_M01!A110="", "", "Marimba")</f>
        <v/>
      </c>
      <c r="B256" s="9041">
        <f>IF(Captura_Marimba_M01!A110="", "", Captura_Marimba_M01!N110)</f>
        <v/>
      </c>
      <c r="C256" s="9042">
        <f>IF(Captura_Marimba_M01!A110="", "", IFERROR(LOOKUP(2, 1/((Captura_Obra!$A$5:$A$1000=E256)*(Captura_Obra!$B$5:$B$1000=F256)*(Captura_Obra!$D$5:$D$1000=G256)), Captura_Obra!$N$5:$N$1000), "No Reportado"))</f>
        <v/>
      </c>
      <c r="D256" s="9043">
        <f>IF(Captura_Marimba_M01!A110="", "", IF(J256=0, "✅ Cuadrado", IF(I256=0, "❌ Falta en Obra", "⚠️ Dif")))</f>
        <v/>
      </c>
      <c r="E256" s="9044">
        <f>IF(Captura_Marimba_M01!A110="", "", Captura_Marimba_M01!A110)</f>
        <v/>
      </c>
      <c r="F256" s="9045">
        <f>IF(Captura_Marimba_M01!A110="", "", Captura_Marimba_M01!C110)</f>
        <v/>
      </c>
      <c r="G256" s="9046">
        <f>IF(Captura_Marimba_M01!A110="", "", Captura_Marimba_M01!D110)</f>
        <v/>
      </c>
      <c r="H256" s="9047">
        <f>IF(Captura_Marimba_M01!A110="", "", Captura_Marimba_M01!G110)</f>
        <v/>
      </c>
      <c r="I256" s="9048">
        <f>IF(Captura_Marimba_M01!A110="", "", SUMIFS(Captura_Obra!$F:$F, Captura_Obra!$A:$A, E256, Captura_Obra!$B:$B, F256, Captura_Obra!$D:$D, G256))</f>
        <v/>
      </c>
      <c r="J256" s="9049">
        <f>IF(Captura_Marimba_M01!A110="", "", H256 - I256)</f>
        <v/>
      </c>
      <c r="K256" s="4065" t="n"/>
    </row>
    <row r="257">
      <c r="A257" s="9050">
        <f>IF(Captura_Marimba_M01!A111="", "", "Marimba")</f>
        <v/>
      </c>
      <c r="B257" s="9051">
        <f>IF(Captura_Marimba_M01!A111="", "", Captura_Marimba_M01!N111)</f>
        <v/>
      </c>
      <c r="C257" s="9052">
        <f>IF(Captura_Marimba_M01!A111="", "", IFERROR(LOOKUP(2, 1/((Captura_Obra!$A$5:$A$1000=E257)*(Captura_Obra!$B$5:$B$1000=F257)*(Captura_Obra!$D$5:$D$1000=G257)), Captura_Obra!$N$5:$N$1000), "No Reportado"))</f>
        <v/>
      </c>
      <c r="D257" s="9053">
        <f>IF(Captura_Marimba_M01!A111="", "", IF(J257=0, "✅ Cuadrado", IF(I257=0, "❌ Falta en Obra", "⚠️ Dif")))</f>
        <v/>
      </c>
      <c r="E257" s="9054">
        <f>IF(Captura_Marimba_M01!A111="", "", Captura_Marimba_M01!A111)</f>
        <v/>
      </c>
      <c r="F257" s="9055">
        <f>IF(Captura_Marimba_M01!A111="", "", Captura_Marimba_M01!C111)</f>
        <v/>
      </c>
      <c r="G257" s="9056">
        <f>IF(Captura_Marimba_M01!A111="", "", Captura_Marimba_M01!D111)</f>
        <v/>
      </c>
      <c r="H257" s="9057">
        <f>IF(Captura_Marimba_M01!A111="", "", Captura_Marimba_M01!G111)</f>
        <v/>
      </c>
      <c r="I257" s="9058">
        <f>IF(Captura_Marimba_M01!A111="", "", SUMIFS(Captura_Obra!$F:$F, Captura_Obra!$A:$A, E257, Captura_Obra!$B:$B, F257, Captura_Obra!$D:$D, G257))</f>
        <v/>
      </c>
      <c r="J257" s="9059">
        <f>IF(Captura_Marimba_M01!A111="", "", H257 - I257)</f>
        <v/>
      </c>
      <c r="K257" s="4066" t="n"/>
    </row>
    <row r="258">
      <c r="A258" s="9060">
        <f>IF(Captura_Marimba_M01!A112="", "", "Marimba")</f>
        <v/>
      </c>
      <c r="B258" s="9061">
        <f>IF(Captura_Marimba_M01!A112="", "", Captura_Marimba_M01!N112)</f>
        <v/>
      </c>
      <c r="C258" s="9062">
        <f>IF(Captura_Marimba_M01!A112="", "", IFERROR(LOOKUP(2, 1/((Captura_Obra!$A$5:$A$1000=E258)*(Captura_Obra!$B$5:$B$1000=F258)*(Captura_Obra!$D$5:$D$1000=G258)), Captura_Obra!$N$5:$N$1000), "No Reportado"))</f>
        <v/>
      </c>
      <c r="D258" s="9063">
        <f>IF(Captura_Marimba_M01!A112="", "", IF(J258=0, "✅ Cuadrado", IF(I258=0, "❌ Falta en Obra", "⚠️ Dif")))</f>
        <v/>
      </c>
      <c r="E258" s="9064">
        <f>IF(Captura_Marimba_M01!A112="", "", Captura_Marimba_M01!A112)</f>
        <v/>
      </c>
      <c r="F258" s="9065">
        <f>IF(Captura_Marimba_M01!A112="", "", Captura_Marimba_M01!C112)</f>
        <v/>
      </c>
      <c r="G258" s="9066">
        <f>IF(Captura_Marimba_M01!A112="", "", Captura_Marimba_M01!D112)</f>
        <v/>
      </c>
      <c r="H258" s="9067">
        <f>IF(Captura_Marimba_M01!A112="", "", Captura_Marimba_M01!G112)</f>
        <v/>
      </c>
      <c r="I258" s="9068">
        <f>IF(Captura_Marimba_M01!A112="", "", SUMIFS(Captura_Obra!$F:$F, Captura_Obra!$A:$A, E258, Captura_Obra!$B:$B, F258, Captura_Obra!$D:$D, G258))</f>
        <v/>
      </c>
      <c r="J258" s="9069">
        <f>IF(Captura_Marimba_M01!A112="", "", H258 - I258)</f>
        <v/>
      </c>
      <c r="K258" s="4067" t="n"/>
    </row>
    <row r="259">
      <c r="A259" s="9070">
        <f>IF(Captura_Marimba_M01!A113="", "", "Marimba")</f>
        <v/>
      </c>
      <c r="B259" s="9071">
        <f>IF(Captura_Marimba_M01!A113="", "", Captura_Marimba_M01!N113)</f>
        <v/>
      </c>
      <c r="C259" s="9072">
        <f>IF(Captura_Marimba_M01!A113="", "", IFERROR(LOOKUP(2, 1/((Captura_Obra!$A$5:$A$1000=E259)*(Captura_Obra!$B$5:$B$1000=F259)*(Captura_Obra!$D$5:$D$1000=G259)), Captura_Obra!$N$5:$N$1000), "No Reportado"))</f>
        <v/>
      </c>
      <c r="D259" s="9073">
        <f>IF(Captura_Marimba_M01!A113="", "", IF(J259=0, "✅ Cuadrado", IF(I259=0, "❌ Falta en Obra", "⚠️ Dif")))</f>
        <v/>
      </c>
      <c r="E259" s="9074">
        <f>IF(Captura_Marimba_M01!A113="", "", Captura_Marimba_M01!A113)</f>
        <v/>
      </c>
      <c r="F259" s="9075">
        <f>IF(Captura_Marimba_M01!A113="", "", Captura_Marimba_M01!C113)</f>
        <v/>
      </c>
      <c r="G259" s="9076">
        <f>IF(Captura_Marimba_M01!A113="", "", Captura_Marimba_M01!D113)</f>
        <v/>
      </c>
      <c r="H259" s="9077">
        <f>IF(Captura_Marimba_M01!A113="", "", Captura_Marimba_M01!G113)</f>
        <v/>
      </c>
      <c r="I259" s="9078">
        <f>IF(Captura_Marimba_M01!A113="", "", SUMIFS(Captura_Obra!$F:$F, Captura_Obra!$A:$A, E259, Captura_Obra!$B:$B, F259, Captura_Obra!$D:$D, G259))</f>
        <v/>
      </c>
      <c r="J259" s="9079">
        <f>IF(Captura_Marimba_M01!A113="", "", H259 - I259)</f>
        <v/>
      </c>
      <c r="K259" s="4068" t="n"/>
    </row>
    <row r="260">
      <c r="A260" s="9080">
        <f>IF(Captura_Marimba_M01!A114="", "", "Marimba")</f>
        <v/>
      </c>
      <c r="B260" s="9081">
        <f>IF(Captura_Marimba_M01!A114="", "", Captura_Marimba_M01!N114)</f>
        <v/>
      </c>
      <c r="C260" s="9082">
        <f>IF(Captura_Marimba_M01!A114="", "", IFERROR(LOOKUP(2, 1/((Captura_Obra!$A$5:$A$1000=E260)*(Captura_Obra!$B$5:$B$1000=F260)*(Captura_Obra!$D$5:$D$1000=G260)), Captura_Obra!$N$5:$N$1000), "No Reportado"))</f>
        <v/>
      </c>
      <c r="D260" s="9083">
        <f>IF(Captura_Marimba_M01!A114="", "", IF(J260=0, "✅ Cuadrado", IF(I260=0, "❌ Falta en Obra", "⚠️ Dif")))</f>
        <v/>
      </c>
      <c r="E260" s="9084">
        <f>IF(Captura_Marimba_M01!A114="", "", Captura_Marimba_M01!A114)</f>
        <v/>
      </c>
      <c r="F260" s="9085">
        <f>IF(Captura_Marimba_M01!A114="", "", Captura_Marimba_M01!C114)</f>
        <v/>
      </c>
      <c r="G260" s="9086">
        <f>IF(Captura_Marimba_M01!A114="", "", Captura_Marimba_M01!D114)</f>
        <v/>
      </c>
      <c r="H260" s="9087">
        <f>IF(Captura_Marimba_M01!A114="", "", Captura_Marimba_M01!G114)</f>
        <v/>
      </c>
      <c r="I260" s="9088">
        <f>IF(Captura_Marimba_M01!A114="", "", SUMIFS(Captura_Obra!$F:$F, Captura_Obra!$A:$A, E260, Captura_Obra!$B:$B, F260, Captura_Obra!$D:$D, G260))</f>
        <v/>
      </c>
      <c r="J260" s="9089">
        <f>IF(Captura_Marimba_M01!A114="", "", H260 - I260)</f>
        <v/>
      </c>
      <c r="K260" s="4069" t="n"/>
    </row>
    <row r="261">
      <c r="A261" s="9090">
        <f>IF(Captura_Marimba_M01!A115="", "", "Marimba")</f>
        <v/>
      </c>
      <c r="B261" s="9091">
        <f>IF(Captura_Marimba_M01!A115="", "", Captura_Marimba_M01!N115)</f>
        <v/>
      </c>
      <c r="C261" s="9092">
        <f>IF(Captura_Marimba_M01!A115="", "", IFERROR(LOOKUP(2, 1/((Captura_Obra!$A$5:$A$1000=E261)*(Captura_Obra!$B$5:$B$1000=F261)*(Captura_Obra!$D$5:$D$1000=G261)), Captura_Obra!$N$5:$N$1000), "No Reportado"))</f>
        <v/>
      </c>
      <c r="D261" s="9093">
        <f>IF(Captura_Marimba_M01!A115="", "", IF(J261=0, "✅ Cuadrado", IF(I261=0, "❌ Falta en Obra", "⚠️ Dif")))</f>
        <v/>
      </c>
      <c r="E261" s="9094">
        <f>IF(Captura_Marimba_M01!A115="", "", Captura_Marimba_M01!A115)</f>
        <v/>
      </c>
      <c r="F261" s="9095">
        <f>IF(Captura_Marimba_M01!A115="", "", Captura_Marimba_M01!C115)</f>
        <v/>
      </c>
      <c r="G261" s="9096">
        <f>IF(Captura_Marimba_M01!A115="", "", Captura_Marimba_M01!D115)</f>
        <v/>
      </c>
      <c r="H261" s="9097">
        <f>IF(Captura_Marimba_M01!A115="", "", Captura_Marimba_M01!G115)</f>
        <v/>
      </c>
      <c r="I261" s="9098">
        <f>IF(Captura_Marimba_M01!A115="", "", SUMIFS(Captura_Obra!$F:$F, Captura_Obra!$A:$A, E261, Captura_Obra!$B:$B, F261, Captura_Obra!$D:$D, G261))</f>
        <v/>
      </c>
      <c r="J261" s="9099">
        <f>IF(Captura_Marimba_M01!A115="", "", H261 - I261)</f>
        <v/>
      </c>
      <c r="K261" s="4070" t="n"/>
    </row>
    <row r="262">
      <c r="A262" s="9100">
        <f>IF(Captura_Marimba_M01!A116="", "", "Marimba")</f>
        <v/>
      </c>
      <c r="B262" s="9101">
        <f>IF(Captura_Marimba_M01!A116="", "", Captura_Marimba_M01!N116)</f>
        <v/>
      </c>
      <c r="C262" s="9102">
        <f>IF(Captura_Marimba_M01!A116="", "", IFERROR(LOOKUP(2, 1/((Captura_Obra!$A$5:$A$1000=E262)*(Captura_Obra!$B$5:$B$1000=F262)*(Captura_Obra!$D$5:$D$1000=G262)), Captura_Obra!$N$5:$N$1000), "No Reportado"))</f>
        <v/>
      </c>
      <c r="D262" s="9103">
        <f>IF(Captura_Marimba_M01!A116="", "", IF(J262=0, "✅ Cuadrado", IF(I262=0, "❌ Falta en Obra", "⚠️ Dif")))</f>
        <v/>
      </c>
      <c r="E262" s="9104">
        <f>IF(Captura_Marimba_M01!A116="", "", Captura_Marimba_M01!A116)</f>
        <v/>
      </c>
      <c r="F262" s="9105">
        <f>IF(Captura_Marimba_M01!A116="", "", Captura_Marimba_M01!C116)</f>
        <v/>
      </c>
      <c r="G262" s="9106">
        <f>IF(Captura_Marimba_M01!A116="", "", Captura_Marimba_M01!D116)</f>
        <v/>
      </c>
      <c r="H262" s="9107">
        <f>IF(Captura_Marimba_M01!A116="", "", Captura_Marimba_M01!G116)</f>
        <v/>
      </c>
      <c r="I262" s="9108">
        <f>IF(Captura_Marimba_M01!A116="", "", SUMIFS(Captura_Obra!$F:$F, Captura_Obra!$A:$A, E262, Captura_Obra!$B:$B, F262, Captura_Obra!$D:$D, G262))</f>
        <v/>
      </c>
      <c r="J262" s="9109">
        <f>IF(Captura_Marimba_M01!A116="", "", H262 - I262)</f>
        <v/>
      </c>
      <c r="K262" s="4071" t="n"/>
    </row>
    <row r="263">
      <c r="A263" s="9110">
        <f>IF(Captura_Marimba_M01!A117="", "", "Marimba")</f>
        <v/>
      </c>
      <c r="B263" s="9111">
        <f>IF(Captura_Marimba_M01!A117="", "", Captura_Marimba_M01!N117)</f>
        <v/>
      </c>
      <c r="C263" s="9112">
        <f>IF(Captura_Marimba_M01!A117="", "", IFERROR(LOOKUP(2, 1/((Captura_Obra!$A$5:$A$1000=E263)*(Captura_Obra!$B$5:$B$1000=F263)*(Captura_Obra!$D$5:$D$1000=G263)), Captura_Obra!$N$5:$N$1000), "No Reportado"))</f>
        <v/>
      </c>
      <c r="D263" s="9113">
        <f>IF(Captura_Marimba_M01!A117="", "", IF(J263=0, "✅ Cuadrado", IF(I263=0, "❌ Falta en Obra", "⚠️ Dif")))</f>
        <v/>
      </c>
      <c r="E263" s="9114">
        <f>IF(Captura_Marimba_M01!A117="", "", Captura_Marimba_M01!A117)</f>
        <v/>
      </c>
      <c r="F263" s="9115">
        <f>IF(Captura_Marimba_M01!A117="", "", Captura_Marimba_M01!C117)</f>
        <v/>
      </c>
      <c r="G263" s="9116">
        <f>IF(Captura_Marimba_M01!A117="", "", Captura_Marimba_M01!D117)</f>
        <v/>
      </c>
      <c r="H263" s="9117">
        <f>IF(Captura_Marimba_M01!A117="", "", Captura_Marimba_M01!G117)</f>
        <v/>
      </c>
      <c r="I263" s="9118">
        <f>IF(Captura_Marimba_M01!A117="", "", SUMIFS(Captura_Obra!$F:$F, Captura_Obra!$A:$A, E263, Captura_Obra!$B:$B, F263, Captura_Obra!$D:$D, G263))</f>
        <v/>
      </c>
      <c r="J263" s="9119">
        <f>IF(Captura_Marimba_M01!A117="", "", H263 - I263)</f>
        <v/>
      </c>
      <c r="K263" s="4072" t="n"/>
    </row>
    <row r="264">
      <c r="A264" s="9120">
        <f>IF(Captura_Marimba_M01!A118="", "", "Marimba")</f>
        <v/>
      </c>
      <c r="B264" s="9121">
        <f>IF(Captura_Marimba_M01!A118="", "", Captura_Marimba_M01!N118)</f>
        <v/>
      </c>
      <c r="C264" s="9122">
        <f>IF(Captura_Marimba_M01!A118="", "", IFERROR(LOOKUP(2, 1/((Captura_Obra!$A$5:$A$1000=E264)*(Captura_Obra!$B$5:$B$1000=F264)*(Captura_Obra!$D$5:$D$1000=G264)), Captura_Obra!$N$5:$N$1000), "No Reportado"))</f>
        <v/>
      </c>
      <c r="D264" s="9123">
        <f>IF(Captura_Marimba_M01!A118="", "", IF(J264=0, "✅ Cuadrado", IF(I264=0, "❌ Falta en Obra", "⚠️ Dif")))</f>
        <v/>
      </c>
      <c r="E264" s="9124">
        <f>IF(Captura_Marimba_M01!A118="", "", Captura_Marimba_M01!A118)</f>
        <v/>
      </c>
      <c r="F264" s="9125">
        <f>IF(Captura_Marimba_M01!A118="", "", Captura_Marimba_M01!C118)</f>
        <v/>
      </c>
      <c r="G264" s="9126">
        <f>IF(Captura_Marimba_M01!A118="", "", Captura_Marimba_M01!D118)</f>
        <v/>
      </c>
      <c r="H264" s="9127">
        <f>IF(Captura_Marimba_M01!A118="", "", Captura_Marimba_M01!G118)</f>
        <v/>
      </c>
      <c r="I264" s="9128">
        <f>IF(Captura_Marimba_M01!A118="", "", SUMIFS(Captura_Obra!$F:$F, Captura_Obra!$A:$A, E264, Captura_Obra!$B:$B, F264, Captura_Obra!$D:$D, G264))</f>
        <v/>
      </c>
      <c r="J264" s="9129">
        <f>IF(Captura_Marimba_M01!A118="", "", H264 - I264)</f>
        <v/>
      </c>
      <c r="K264" s="4073" t="n"/>
    </row>
    <row r="265">
      <c r="A265" s="9130">
        <f>IF(Captura_Marimba_M01!A119="", "", "Marimba")</f>
        <v/>
      </c>
      <c r="B265" s="9131">
        <f>IF(Captura_Marimba_M01!A119="", "", Captura_Marimba_M01!N119)</f>
        <v/>
      </c>
      <c r="C265" s="9132">
        <f>IF(Captura_Marimba_M01!A119="", "", IFERROR(LOOKUP(2, 1/((Captura_Obra!$A$5:$A$1000=E265)*(Captura_Obra!$B$5:$B$1000=F265)*(Captura_Obra!$D$5:$D$1000=G265)), Captura_Obra!$N$5:$N$1000), "No Reportado"))</f>
        <v/>
      </c>
      <c r="D265" s="9133">
        <f>IF(Captura_Marimba_M01!A119="", "", IF(J265=0, "✅ Cuadrado", IF(I265=0, "❌ Falta en Obra", "⚠️ Dif")))</f>
        <v/>
      </c>
      <c r="E265" s="9134">
        <f>IF(Captura_Marimba_M01!A119="", "", Captura_Marimba_M01!A119)</f>
        <v/>
      </c>
      <c r="F265" s="9135">
        <f>IF(Captura_Marimba_M01!A119="", "", Captura_Marimba_M01!C119)</f>
        <v/>
      </c>
      <c r="G265" s="9136">
        <f>IF(Captura_Marimba_M01!A119="", "", Captura_Marimba_M01!D119)</f>
        <v/>
      </c>
      <c r="H265" s="9137">
        <f>IF(Captura_Marimba_M01!A119="", "", Captura_Marimba_M01!G119)</f>
        <v/>
      </c>
      <c r="I265" s="9138">
        <f>IF(Captura_Marimba_M01!A119="", "", SUMIFS(Captura_Obra!$F:$F, Captura_Obra!$A:$A, E265, Captura_Obra!$B:$B, F265, Captura_Obra!$D:$D, G265))</f>
        <v/>
      </c>
      <c r="J265" s="9139">
        <f>IF(Captura_Marimba_M01!A119="", "", H265 - I265)</f>
        <v/>
      </c>
      <c r="K265" s="4074" t="n"/>
    </row>
    <row r="266">
      <c r="A266" s="9140">
        <f>IF(Captura_Marimba_M01!A120="", "", "Marimba")</f>
        <v/>
      </c>
      <c r="B266" s="9141">
        <f>IF(Captura_Marimba_M01!A120="", "", Captura_Marimba_M01!N120)</f>
        <v/>
      </c>
      <c r="C266" s="9142">
        <f>IF(Captura_Marimba_M01!A120="", "", IFERROR(LOOKUP(2, 1/((Captura_Obra!$A$5:$A$1000=E266)*(Captura_Obra!$B$5:$B$1000=F266)*(Captura_Obra!$D$5:$D$1000=G266)), Captura_Obra!$N$5:$N$1000), "No Reportado"))</f>
        <v/>
      </c>
      <c r="D266" s="9143">
        <f>IF(Captura_Marimba_M01!A120="", "", IF(J266=0, "✅ Cuadrado", IF(I266=0, "❌ Falta en Obra", "⚠️ Dif")))</f>
        <v/>
      </c>
      <c r="E266" s="9144">
        <f>IF(Captura_Marimba_M01!A120="", "", Captura_Marimba_M01!A120)</f>
        <v/>
      </c>
      <c r="F266" s="9145">
        <f>IF(Captura_Marimba_M01!A120="", "", Captura_Marimba_M01!C120)</f>
        <v/>
      </c>
      <c r="G266" s="9146">
        <f>IF(Captura_Marimba_M01!A120="", "", Captura_Marimba_M01!D120)</f>
        <v/>
      </c>
      <c r="H266" s="9147">
        <f>IF(Captura_Marimba_M01!A120="", "", Captura_Marimba_M01!G120)</f>
        <v/>
      </c>
      <c r="I266" s="9148">
        <f>IF(Captura_Marimba_M01!A120="", "", SUMIFS(Captura_Obra!$F:$F, Captura_Obra!$A:$A, E266, Captura_Obra!$B:$B, F266, Captura_Obra!$D:$D, G266))</f>
        <v/>
      </c>
      <c r="J266" s="9149">
        <f>IF(Captura_Marimba_M01!A120="", "", H266 - I266)</f>
        <v/>
      </c>
      <c r="K266" s="4075" t="n"/>
    </row>
    <row r="267">
      <c r="A267" s="9150">
        <f>IF(Captura_Marimba_M01!A121="", "", "Marimba")</f>
        <v/>
      </c>
      <c r="B267" s="9151">
        <f>IF(Captura_Marimba_M01!A121="", "", Captura_Marimba_M01!N121)</f>
        <v/>
      </c>
      <c r="C267" s="9152">
        <f>IF(Captura_Marimba_M01!A121="", "", IFERROR(LOOKUP(2, 1/((Captura_Obra!$A$5:$A$1000=E267)*(Captura_Obra!$B$5:$B$1000=F267)*(Captura_Obra!$D$5:$D$1000=G267)), Captura_Obra!$N$5:$N$1000), "No Reportado"))</f>
        <v/>
      </c>
      <c r="D267" s="9153">
        <f>IF(Captura_Marimba_M01!A121="", "", IF(J267=0, "✅ Cuadrado", IF(I267=0, "❌ Falta en Obra", "⚠️ Dif")))</f>
        <v/>
      </c>
      <c r="E267" s="9154">
        <f>IF(Captura_Marimba_M01!A121="", "", Captura_Marimba_M01!A121)</f>
        <v/>
      </c>
      <c r="F267" s="9155">
        <f>IF(Captura_Marimba_M01!A121="", "", Captura_Marimba_M01!C121)</f>
        <v/>
      </c>
      <c r="G267" s="9156">
        <f>IF(Captura_Marimba_M01!A121="", "", Captura_Marimba_M01!D121)</f>
        <v/>
      </c>
      <c r="H267" s="9157">
        <f>IF(Captura_Marimba_M01!A121="", "", Captura_Marimba_M01!G121)</f>
        <v/>
      </c>
      <c r="I267" s="9158">
        <f>IF(Captura_Marimba_M01!A121="", "", SUMIFS(Captura_Obra!$F:$F, Captura_Obra!$A:$A, E267, Captura_Obra!$B:$B, F267, Captura_Obra!$D:$D, G267))</f>
        <v/>
      </c>
      <c r="J267" s="9159">
        <f>IF(Captura_Marimba_M01!A121="", "", H267 - I267)</f>
        <v/>
      </c>
      <c r="K267" s="4076" t="n"/>
    </row>
    <row r="268">
      <c r="A268" s="9160">
        <f>IF(Captura_Marimba_M01!A122="", "", "Marimba")</f>
        <v/>
      </c>
      <c r="B268" s="9161">
        <f>IF(Captura_Marimba_M01!A122="", "", Captura_Marimba_M01!N122)</f>
        <v/>
      </c>
      <c r="C268" s="9162">
        <f>IF(Captura_Marimba_M01!A122="", "", IFERROR(LOOKUP(2, 1/((Captura_Obra!$A$5:$A$1000=E268)*(Captura_Obra!$B$5:$B$1000=F268)*(Captura_Obra!$D$5:$D$1000=G268)), Captura_Obra!$N$5:$N$1000), "No Reportado"))</f>
        <v/>
      </c>
      <c r="D268" s="9163">
        <f>IF(Captura_Marimba_M01!A122="", "", IF(J268=0, "✅ Cuadrado", IF(I268=0, "❌ Falta en Obra", "⚠️ Dif")))</f>
        <v/>
      </c>
      <c r="E268" s="9164">
        <f>IF(Captura_Marimba_M01!A122="", "", Captura_Marimba_M01!A122)</f>
        <v/>
      </c>
      <c r="F268" s="9165">
        <f>IF(Captura_Marimba_M01!A122="", "", Captura_Marimba_M01!C122)</f>
        <v/>
      </c>
      <c r="G268" s="9166">
        <f>IF(Captura_Marimba_M01!A122="", "", Captura_Marimba_M01!D122)</f>
        <v/>
      </c>
      <c r="H268" s="9167">
        <f>IF(Captura_Marimba_M01!A122="", "", Captura_Marimba_M01!G122)</f>
        <v/>
      </c>
      <c r="I268" s="9168">
        <f>IF(Captura_Marimba_M01!A122="", "", SUMIFS(Captura_Obra!$F:$F, Captura_Obra!$A:$A, E268, Captura_Obra!$B:$B, F268, Captura_Obra!$D:$D, G268))</f>
        <v/>
      </c>
      <c r="J268" s="9169">
        <f>IF(Captura_Marimba_M01!A122="", "", H268 - I268)</f>
        <v/>
      </c>
      <c r="K268" s="4077" t="n"/>
    </row>
    <row r="269">
      <c r="A269" s="9170">
        <f>IF(Captura_Marimba_M01!A123="", "", "Marimba")</f>
        <v/>
      </c>
      <c r="B269" s="9171">
        <f>IF(Captura_Marimba_M01!A123="", "", Captura_Marimba_M01!N123)</f>
        <v/>
      </c>
      <c r="C269" s="9172">
        <f>IF(Captura_Marimba_M01!A123="", "", IFERROR(LOOKUP(2, 1/((Captura_Obra!$A$5:$A$1000=E269)*(Captura_Obra!$B$5:$B$1000=F269)*(Captura_Obra!$D$5:$D$1000=G269)), Captura_Obra!$N$5:$N$1000), "No Reportado"))</f>
        <v/>
      </c>
      <c r="D269" s="9173">
        <f>IF(Captura_Marimba_M01!A123="", "", IF(J269=0, "✅ Cuadrado", IF(I269=0, "❌ Falta en Obra", "⚠️ Dif")))</f>
        <v/>
      </c>
      <c r="E269" s="9174">
        <f>IF(Captura_Marimba_M01!A123="", "", Captura_Marimba_M01!A123)</f>
        <v/>
      </c>
      <c r="F269" s="9175">
        <f>IF(Captura_Marimba_M01!A123="", "", Captura_Marimba_M01!C123)</f>
        <v/>
      </c>
      <c r="G269" s="9176">
        <f>IF(Captura_Marimba_M01!A123="", "", Captura_Marimba_M01!D123)</f>
        <v/>
      </c>
      <c r="H269" s="9177">
        <f>IF(Captura_Marimba_M01!A123="", "", Captura_Marimba_M01!G123)</f>
        <v/>
      </c>
      <c r="I269" s="9178">
        <f>IF(Captura_Marimba_M01!A123="", "", SUMIFS(Captura_Obra!$F:$F, Captura_Obra!$A:$A, E269, Captura_Obra!$B:$B, F269, Captura_Obra!$D:$D, G269))</f>
        <v/>
      </c>
      <c r="J269" s="9179">
        <f>IF(Captura_Marimba_M01!A123="", "", H269 - I269)</f>
        <v/>
      </c>
      <c r="K269" s="4078" t="n"/>
    </row>
    <row r="270">
      <c r="A270" s="9180">
        <f>IF(Captura_Marimba_M01!A124="", "", "Marimba")</f>
        <v/>
      </c>
      <c r="B270" s="9181">
        <f>IF(Captura_Marimba_M01!A124="", "", Captura_Marimba_M01!N124)</f>
        <v/>
      </c>
      <c r="C270" s="9182">
        <f>IF(Captura_Marimba_M01!A124="", "", IFERROR(LOOKUP(2, 1/((Captura_Obra!$A$5:$A$1000=E270)*(Captura_Obra!$B$5:$B$1000=F270)*(Captura_Obra!$D$5:$D$1000=G270)), Captura_Obra!$N$5:$N$1000), "No Reportado"))</f>
        <v/>
      </c>
      <c r="D270" s="9183">
        <f>IF(Captura_Marimba_M01!A124="", "", IF(J270=0, "✅ Cuadrado", IF(I270=0, "❌ Falta en Obra", "⚠️ Dif")))</f>
        <v/>
      </c>
      <c r="E270" s="9184">
        <f>IF(Captura_Marimba_M01!A124="", "", Captura_Marimba_M01!A124)</f>
        <v/>
      </c>
      <c r="F270" s="9185">
        <f>IF(Captura_Marimba_M01!A124="", "", Captura_Marimba_M01!C124)</f>
        <v/>
      </c>
      <c r="G270" s="9186">
        <f>IF(Captura_Marimba_M01!A124="", "", Captura_Marimba_M01!D124)</f>
        <v/>
      </c>
      <c r="H270" s="9187">
        <f>IF(Captura_Marimba_M01!A124="", "", Captura_Marimba_M01!G124)</f>
        <v/>
      </c>
      <c r="I270" s="9188">
        <f>IF(Captura_Marimba_M01!A124="", "", SUMIFS(Captura_Obra!$F:$F, Captura_Obra!$A:$A, E270, Captura_Obra!$B:$B, F270, Captura_Obra!$D:$D, G270))</f>
        <v/>
      </c>
      <c r="J270" s="9189">
        <f>IF(Captura_Marimba_M01!A124="", "", H270 - I270)</f>
        <v/>
      </c>
      <c r="K270" s="4079" t="n"/>
    </row>
    <row r="271">
      <c r="A271" s="9190">
        <f>IF(Captura_Marimba_M01!A125="", "", "Marimba")</f>
        <v/>
      </c>
      <c r="B271" s="9191">
        <f>IF(Captura_Marimba_M01!A125="", "", Captura_Marimba_M01!N125)</f>
        <v/>
      </c>
      <c r="C271" s="9192">
        <f>IF(Captura_Marimba_M01!A125="", "", IFERROR(LOOKUP(2, 1/((Captura_Obra!$A$5:$A$1000=E271)*(Captura_Obra!$B$5:$B$1000=F271)*(Captura_Obra!$D$5:$D$1000=G271)), Captura_Obra!$N$5:$N$1000), "No Reportado"))</f>
        <v/>
      </c>
      <c r="D271" s="9193">
        <f>IF(Captura_Marimba_M01!A125="", "", IF(J271=0, "✅ Cuadrado", IF(I271=0, "❌ Falta en Obra", "⚠️ Dif")))</f>
        <v/>
      </c>
      <c r="E271" s="9194">
        <f>IF(Captura_Marimba_M01!A125="", "", Captura_Marimba_M01!A125)</f>
        <v/>
      </c>
      <c r="F271" s="9195">
        <f>IF(Captura_Marimba_M01!A125="", "", Captura_Marimba_M01!C125)</f>
        <v/>
      </c>
      <c r="G271" s="9196">
        <f>IF(Captura_Marimba_M01!A125="", "", Captura_Marimba_M01!D125)</f>
        <v/>
      </c>
      <c r="H271" s="9197">
        <f>IF(Captura_Marimba_M01!A125="", "", Captura_Marimba_M01!G125)</f>
        <v/>
      </c>
      <c r="I271" s="9198">
        <f>IF(Captura_Marimba_M01!A125="", "", SUMIFS(Captura_Obra!$F:$F, Captura_Obra!$A:$A, E271, Captura_Obra!$B:$B, F271, Captura_Obra!$D:$D, G271))</f>
        <v/>
      </c>
      <c r="J271" s="9199">
        <f>IF(Captura_Marimba_M01!A125="", "", H271 - I271)</f>
        <v/>
      </c>
      <c r="K271" s="4080" t="n"/>
    </row>
    <row r="272">
      <c r="A272" s="9200">
        <f>IF(Captura_Marimba_M01!A126="", "", "Marimba")</f>
        <v/>
      </c>
      <c r="B272" s="9201">
        <f>IF(Captura_Marimba_M01!A126="", "", Captura_Marimba_M01!N126)</f>
        <v/>
      </c>
      <c r="C272" s="9202">
        <f>IF(Captura_Marimba_M01!A126="", "", IFERROR(LOOKUP(2, 1/((Captura_Obra!$A$5:$A$1000=E272)*(Captura_Obra!$B$5:$B$1000=F272)*(Captura_Obra!$D$5:$D$1000=G272)), Captura_Obra!$N$5:$N$1000), "No Reportado"))</f>
        <v/>
      </c>
      <c r="D272" s="9203">
        <f>IF(Captura_Marimba_M01!A126="", "", IF(J272=0, "✅ Cuadrado", IF(I272=0, "❌ Falta en Obra", "⚠️ Dif")))</f>
        <v/>
      </c>
      <c r="E272" s="9204">
        <f>IF(Captura_Marimba_M01!A126="", "", Captura_Marimba_M01!A126)</f>
        <v/>
      </c>
      <c r="F272" s="9205">
        <f>IF(Captura_Marimba_M01!A126="", "", Captura_Marimba_M01!C126)</f>
        <v/>
      </c>
      <c r="G272" s="9206">
        <f>IF(Captura_Marimba_M01!A126="", "", Captura_Marimba_M01!D126)</f>
        <v/>
      </c>
      <c r="H272" s="9207">
        <f>IF(Captura_Marimba_M01!A126="", "", Captura_Marimba_M01!G126)</f>
        <v/>
      </c>
      <c r="I272" s="9208">
        <f>IF(Captura_Marimba_M01!A126="", "", SUMIFS(Captura_Obra!$F:$F, Captura_Obra!$A:$A, E272, Captura_Obra!$B:$B, F272, Captura_Obra!$D:$D, G272))</f>
        <v/>
      </c>
      <c r="J272" s="9209">
        <f>IF(Captura_Marimba_M01!A126="", "", H272 - I272)</f>
        <v/>
      </c>
      <c r="K272" s="4081" t="n"/>
    </row>
    <row r="273">
      <c r="A273" s="9210">
        <f>IF(Captura_Marimba_M01!A127="", "", "Marimba")</f>
        <v/>
      </c>
      <c r="B273" s="9211">
        <f>IF(Captura_Marimba_M01!A127="", "", Captura_Marimba_M01!N127)</f>
        <v/>
      </c>
      <c r="C273" s="9212">
        <f>IF(Captura_Marimba_M01!A127="", "", IFERROR(LOOKUP(2, 1/((Captura_Obra!$A$5:$A$1000=E273)*(Captura_Obra!$B$5:$B$1000=F273)*(Captura_Obra!$D$5:$D$1000=G273)), Captura_Obra!$N$5:$N$1000), "No Reportado"))</f>
        <v/>
      </c>
      <c r="D273" s="9213">
        <f>IF(Captura_Marimba_M01!A127="", "", IF(J273=0, "✅ Cuadrado", IF(I273=0, "❌ Falta en Obra", "⚠️ Dif")))</f>
        <v/>
      </c>
      <c r="E273" s="9214">
        <f>IF(Captura_Marimba_M01!A127="", "", Captura_Marimba_M01!A127)</f>
        <v/>
      </c>
      <c r="F273" s="9215">
        <f>IF(Captura_Marimba_M01!A127="", "", Captura_Marimba_M01!C127)</f>
        <v/>
      </c>
      <c r="G273" s="9216">
        <f>IF(Captura_Marimba_M01!A127="", "", Captura_Marimba_M01!D127)</f>
        <v/>
      </c>
      <c r="H273" s="9217">
        <f>IF(Captura_Marimba_M01!A127="", "", Captura_Marimba_M01!G127)</f>
        <v/>
      </c>
      <c r="I273" s="9218">
        <f>IF(Captura_Marimba_M01!A127="", "", SUMIFS(Captura_Obra!$F:$F, Captura_Obra!$A:$A, E273, Captura_Obra!$B:$B, F273, Captura_Obra!$D:$D, G273))</f>
        <v/>
      </c>
      <c r="J273" s="9219">
        <f>IF(Captura_Marimba_M01!A127="", "", H273 - I273)</f>
        <v/>
      </c>
      <c r="K273" s="4082" t="n"/>
    </row>
    <row r="274">
      <c r="A274" s="9220">
        <f>IF(Captura_Marimba_M01!A128="", "", "Marimba")</f>
        <v/>
      </c>
      <c r="B274" s="9221">
        <f>IF(Captura_Marimba_M01!A128="", "", Captura_Marimba_M01!N128)</f>
        <v/>
      </c>
      <c r="C274" s="9222">
        <f>IF(Captura_Marimba_M01!A128="", "", IFERROR(LOOKUP(2, 1/((Captura_Obra!$A$5:$A$1000=E274)*(Captura_Obra!$B$5:$B$1000=F274)*(Captura_Obra!$D$5:$D$1000=G274)), Captura_Obra!$N$5:$N$1000), "No Reportado"))</f>
        <v/>
      </c>
      <c r="D274" s="9223">
        <f>IF(Captura_Marimba_M01!A128="", "", IF(J274=0, "✅ Cuadrado", IF(I274=0, "❌ Falta en Obra", "⚠️ Dif")))</f>
        <v/>
      </c>
      <c r="E274" s="9224">
        <f>IF(Captura_Marimba_M01!A128="", "", Captura_Marimba_M01!A128)</f>
        <v/>
      </c>
      <c r="F274" s="9225">
        <f>IF(Captura_Marimba_M01!A128="", "", Captura_Marimba_M01!C128)</f>
        <v/>
      </c>
      <c r="G274" s="9226">
        <f>IF(Captura_Marimba_M01!A128="", "", Captura_Marimba_M01!D128)</f>
        <v/>
      </c>
      <c r="H274" s="9227">
        <f>IF(Captura_Marimba_M01!A128="", "", Captura_Marimba_M01!G128)</f>
        <v/>
      </c>
      <c r="I274" s="9228">
        <f>IF(Captura_Marimba_M01!A128="", "", SUMIFS(Captura_Obra!$F:$F, Captura_Obra!$A:$A, E274, Captura_Obra!$B:$B, F274, Captura_Obra!$D:$D, G274))</f>
        <v/>
      </c>
      <c r="J274" s="9229">
        <f>IF(Captura_Marimba_M01!A128="", "", H274 - I274)</f>
        <v/>
      </c>
      <c r="K274" s="4083" t="n"/>
    </row>
    <row r="275">
      <c r="A275" s="9230">
        <f>IF(Captura_Marimba_M01!A129="", "", "Marimba")</f>
        <v/>
      </c>
      <c r="B275" s="9231">
        <f>IF(Captura_Marimba_M01!A129="", "", Captura_Marimba_M01!N129)</f>
        <v/>
      </c>
      <c r="C275" s="9232">
        <f>IF(Captura_Marimba_M01!A129="", "", IFERROR(LOOKUP(2, 1/((Captura_Obra!$A$5:$A$1000=E275)*(Captura_Obra!$B$5:$B$1000=F275)*(Captura_Obra!$D$5:$D$1000=G275)), Captura_Obra!$N$5:$N$1000), "No Reportado"))</f>
        <v/>
      </c>
      <c r="D275" s="9233">
        <f>IF(Captura_Marimba_M01!A129="", "", IF(J275=0, "✅ Cuadrado", IF(I275=0, "❌ Falta en Obra", "⚠️ Dif")))</f>
        <v/>
      </c>
      <c r="E275" s="9234">
        <f>IF(Captura_Marimba_M01!A129="", "", Captura_Marimba_M01!A129)</f>
        <v/>
      </c>
      <c r="F275" s="9235">
        <f>IF(Captura_Marimba_M01!A129="", "", Captura_Marimba_M01!C129)</f>
        <v/>
      </c>
      <c r="G275" s="9236">
        <f>IF(Captura_Marimba_M01!A129="", "", Captura_Marimba_M01!D129)</f>
        <v/>
      </c>
      <c r="H275" s="9237">
        <f>IF(Captura_Marimba_M01!A129="", "", Captura_Marimba_M01!G129)</f>
        <v/>
      </c>
      <c r="I275" s="9238">
        <f>IF(Captura_Marimba_M01!A129="", "", SUMIFS(Captura_Obra!$F:$F, Captura_Obra!$A:$A, E275, Captura_Obra!$B:$B, F275, Captura_Obra!$D:$D, G275))</f>
        <v/>
      </c>
      <c r="J275" s="9239">
        <f>IF(Captura_Marimba_M01!A129="", "", H275 - I275)</f>
        <v/>
      </c>
      <c r="K275" s="4084" t="n"/>
    </row>
    <row r="276">
      <c r="A276" s="9240">
        <f>IF(Captura_Marimba_M01!A130="", "", "Marimba")</f>
        <v/>
      </c>
      <c r="B276" s="9241">
        <f>IF(Captura_Marimba_M01!A130="", "", Captura_Marimba_M01!N130)</f>
        <v/>
      </c>
      <c r="C276" s="9242">
        <f>IF(Captura_Marimba_M01!A130="", "", IFERROR(LOOKUP(2, 1/((Captura_Obra!$A$5:$A$1000=E276)*(Captura_Obra!$B$5:$B$1000=F276)*(Captura_Obra!$D$5:$D$1000=G276)), Captura_Obra!$N$5:$N$1000), "No Reportado"))</f>
        <v/>
      </c>
      <c r="D276" s="9243">
        <f>IF(Captura_Marimba_M01!A130="", "", IF(J276=0, "✅ Cuadrado", IF(I276=0, "❌ Falta en Obra", "⚠️ Dif")))</f>
        <v/>
      </c>
      <c r="E276" s="9244">
        <f>IF(Captura_Marimba_M01!A130="", "", Captura_Marimba_M01!A130)</f>
        <v/>
      </c>
      <c r="F276" s="9245">
        <f>IF(Captura_Marimba_M01!A130="", "", Captura_Marimba_M01!C130)</f>
        <v/>
      </c>
      <c r="G276" s="9246">
        <f>IF(Captura_Marimba_M01!A130="", "", Captura_Marimba_M01!D130)</f>
        <v/>
      </c>
      <c r="H276" s="9247">
        <f>IF(Captura_Marimba_M01!A130="", "", Captura_Marimba_M01!G130)</f>
        <v/>
      </c>
      <c r="I276" s="9248">
        <f>IF(Captura_Marimba_M01!A130="", "", SUMIFS(Captura_Obra!$F:$F, Captura_Obra!$A:$A, E276, Captura_Obra!$B:$B, F276, Captura_Obra!$D:$D, G276))</f>
        <v/>
      </c>
      <c r="J276" s="9249">
        <f>IF(Captura_Marimba_M01!A130="", "", H276 - I276)</f>
        <v/>
      </c>
      <c r="K276" s="4085" t="n"/>
    </row>
    <row r="277">
      <c r="A277" s="9250">
        <f>IF(Captura_Marimba_M01!A131="", "", "Marimba")</f>
        <v/>
      </c>
      <c r="B277" s="9251">
        <f>IF(Captura_Marimba_M01!A131="", "", Captura_Marimba_M01!N131)</f>
        <v/>
      </c>
      <c r="C277" s="9252">
        <f>IF(Captura_Marimba_M01!A131="", "", IFERROR(LOOKUP(2, 1/((Captura_Obra!$A$5:$A$1000=E277)*(Captura_Obra!$B$5:$B$1000=F277)*(Captura_Obra!$D$5:$D$1000=G277)), Captura_Obra!$N$5:$N$1000), "No Reportado"))</f>
        <v/>
      </c>
      <c r="D277" s="9253">
        <f>IF(Captura_Marimba_M01!A131="", "", IF(J277=0, "✅ Cuadrado", IF(I277=0, "❌ Falta en Obra", "⚠️ Dif")))</f>
        <v/>
      </c>
      <c r="E277" s="9254">
        <f>IF(Captura_Marimba_M01!A131="", "", Captura_Marimba_M01!A131)</f>
        <v/>
      </c>
      <c r="F277" s="9255">
        <f>IF(Captura_Marimba_M01!A131="", "", Captura_Marimba_M01!C131)</f>
        <v/>
      </c>
      <c r="G277" s="9256">
        <f>IF(Captura_Marimba_M01!A131="", "", Captura_Marimba_M01!D131)</f>
        <v/>
      </c>
      <c r="H277" s="9257">
        <f>IF(Captura_Marimba_M01!A131="", "", Captura_Marimba_M01!G131)</f>
        <v/>
      </c>
      <c r="I277" s="9258">
        <f>IF(Captura_Marimba_M01!A131="", "", SUMIFS(Captura_Obra!$F:$F, Captura_Obra!$A:$A, E277, Captura_Obra!$B:$B, F277, Captura_Obra!$D:$D, G277))</f>
        <v/>
      </c>
      <c r="J277" s="9259">
        <f>IF(Captura_Marimba_M01!A131="", "", H277 - I277)</f>
        <v/>
      </c>
      <c r="K277" s="4086" t="n"/>
    </row>
    <row r="278">
      <c r="A278" s="9260">
        <f>IF(Captura_Marimba_M01!A132="", "", "Marimba")</f>
        <v/>
      </c>
      <c r="B278" s="9261">
        <f>IF(Captura_Marimba_M01!A132="", "", Captura_Marimba_M01!N132)</f>
        <v/>
      </c>
      <c r="C278" s="9262">
        <f>IF(Captura_Marimba_M01!A132="", "", IFERROR(LOOKUP(2, 1/((Captura_Obra!$A$5:$A$1000=E278)*(Captura_Obra!$B$5:$B$1000=F278)*(Captura_Obra!$D$5:$D$1000=G278)), Captura_Obra!$N$5:$N$1000), "No Reportado"))</f>
        <v/>
      </c>
      <c r="D278" s="9263">
        <f>IF(Captura_Marimba_M01!A132="", "", IF(J278=0, "✅ Cuadrado", IF(I278=0, "❌ Falta en Obra", "⚠️ Dif")))</f>
        <v/>
      </c>
      <c r="E278" s="9264">
        <f>IF(Captura_Marimba_M01!A132="", "", Captura_Marimba_M01!A132)</f>
        <v/>
      </c>
      <c r="F278" s="9265">
        <f>IF(Captura_Marimba_M01!A132="", "", Captura_Marimba_M01!C132)</f>
        <v/>
      </c>
      <c r="G278" s="9266">
        <f>IF(Captura_Marimba_M01!A132="", "", Captura_Marimba_M01!D132)</f>
        <v/>
      </c>
      <c r="H278" s="9267">
        <f>IF(Captura_Marimba_M01!A132="", "", Captura_Marimba_M01!G132)</f>
        <v/>
      </c>
      <c r="I278" s="9268">
        <f>IF(Captura_Marimba_M01!A132="", "", SUMIFS(Captura_Obra!$F:$F, Captura_Obra!$A:$A, E278, Captura_Obra!$B:$B, F278, Captura_Obra!$D:$D, G278))</f>
        <v/>
      </c>
      <c r="J278" s="9269">
        <f>IF(Captura_Marimba_M01!A132="", "", H278 - I278)</f>
        <v/>
      </c>
      <c r="K278" s="4087" t="n"/>
    </row>
    <row r="279">
      <c r="A279" s="9270">
        <f>IF(Captura_Marimba_M01!A133="", "", "Marimba")</f>
        <v/>
      </c>
      <c r="B279" s="9271">
        <f>IF(Captura_Marimba_M01!A133="", "", Captura_Marimba_M01!N133)</f>
        <v/>
      </c>
      <c r="C279" s="9272">
        <f>IF(Captura_Marimba_M01!A133="", "", IFERROR(LOOKUP(2, 1/((Captura_Obra!$A$5:$A$1000=E279)*(Captura_Obra!$B$5:$B$1000=F279)*(Captura_Obra!$D$5:$D$1000=G279)), Captura_Obra!$N$5:$N$1000), "No Reportado"))</f>
        <v/>
      </c>
      <c r="D279" s="9273">
        <f>IF(Captura_Marimba_M01!A133="", "", IF(J279=0, "✅ Cuadrado", IF(I279=0, "❌ Falta en Obra", "⚠️ Dif")))</f>
        <v/>
      </c>
      <c r="E279" s="9274">
        <f>IF(Captura_Marimba_M01!A133="", "", Captura_Marimba_M01!A133)</f>
        <v/>
      </c>
      <c r="F279" s="9275">
        <f>IF(Captura_Marimba_M01!A133="", "", Captura_Marimba_M01!C133)</f>
        <v/>
      </c>
      <c r="G279" s="9276">
        <f>IF(Captura_Marimba_M01!A133="", "", Captura_Marimba_M01!D133)</f>
        <v/>
      </c>
      <c r="H279" s="9277">
        <f>IF(Captura_Marimba_M01!A133="", "", Captura_Marimba_M01!G133)</f>
        <v/>
      </c>
      <c r="I279" s="9278">
        <f>IF(Captura_Marimba_M01!A133="", "", SUMIFS(Captura_Obra!$F:$F, Captura_Obra!$A:$A, E279, Captura_Obra!$B:$B, F279, Captura_Obra!$D:$D, G279))</f>
        <v/>
      </c>
      <c r="J279" s="9279">
        <f>IF(Captura_Marimba_M01!A133="", "", H279 - I279)</f>
        <v/>
      </c>
      <c r="K279" s="4088" t="n"/>
    </row>
    <row r="280">
      <c r="A280" s="9280">
        <f>IF(Captura_Marimba_M01!A134="", "", "Marimba")</f>
        <v/>
      </c>
      <c r="B280" s="9281">
        <f>IF(Captura_Marimba_M01!A134="", "", Captura_Marimba_M01!N134)</f>
        <v/>
      </c>
      <c r="C280" s="9282">
        <f>IF(Captura_Marimba_M01!A134="", "", IFERROR(LOOKUP(2, 1/((Captura_Obra!$A$5:$A$1000=E280)*(Captura_Obra!$B$5:$B$1000=F280)*(Captura_Obra!$D$5:$D$1000=G280)), Captura_Obra!$N$5:$N$1000), "No Reportado"))</f>
        <v/>
      </c>
      <c r="D280" s="9283">
        <f>IF(Captura_Marimba_M01!A134="", "", IF(J280=0, "✅ Cuadrado", IF(I280=0, "❌ Falta en Obra", "⚠️ Dif")))</f>
        <v/>
      </c>
      <c r="E280" s="9284">
        <f>IF(Captura_Marimba_M01!A134="", "", Captura_Marimba_M01!A134)</f>
        <v/>
      </c>
      <c r="F280" s="9285">
        <f>IF(Captura_Marimba_M01!A134="", "", Captura_Marimba_M01!C134)</f>
        <v/>
      </c>
      <c r="G280" s="9286">
        <f>IF(Captura_Marimba_M01!A134="", "", Captura_Marimba_M01!D134)</f>
        <v/>
      </c>
      <c r="H280" s="9287">
        <f>IF(Captura_Marimba_M01!A134="", "", Captura_Marimba_M01!G134)</f>
        <v/>
      </c>
      <c r="I280" s="9288">
        <f>IF(Captura_Marimba_M01!A134="", "", SUMIFS(Captura_Obra!$F:$F, Captura_Obra!$A:$A, E280, Captura_Obra!$B:$B, F280, Captura_Obra!$D:$D, G280))</f>
        <v/>
      </c>
      <c r="J280" s="9289">
        <f>IF(Captura_Marimba_M01!A134="", "", H280 - I280)</f>
        <v/>
      </c>
      <c r="K280" s="4089" t="n"/>
    </row>
    <row r="281">
      <c r="A281" s="9290">
        <f>IF(Captura_Marimba_M01!A135="", "", "Marimba")</f>
        <v/>
      </c>
      <c r="B281" s="9291">
        <f>IF(Captura_Marimba_M01!A135="", "", Captura_Marimba_M01!N135)</f>
        <v/>
      </c>
      <c r="C281" s="9292">
        <f>IF(Captura_Marimba_M01!A135="", "", IFERROR(LOOKUP(2, 1/((Captura_Obra!$A$5:$A$1000=E281)*(Captura_Obra!$B$5:$B$1000=F281)*(Captura_Obra!$D$5:$D$1000=G281)), Captura_Obra!$N$5:$N$1000), "No Reportado"))</f>
        <v/>
      </c>
      <c r="D281" s="9293">
        <f>IF(Captura_Marimba_M01!A135="", "", IF(J281=0, "✅ Cuadrado", IF(I281=0, "❌ Falta en Obra", "⚠️ Dif")))</f>
        <v/>
      </c>
      <c r="E281" s="9294">
        <f>IF(Captura_Marimba_M01!A135="", "", Captura_Marimba_M01!A135)</f>
        <v/>
      </c>
      <c r="F281" s="9295">
        <f>IF(Captura_Marimba_M01!A135="", "", Captura_Marimba_M01!C135)</f>
        <v/>
      </c>
      <c r="G281" s="9296">
        <f>IF(Captura_Marimba_M01!A135="", "", Captura_Marimba_M01!D135)</f>
        <v/>
      </c>
      <c r="H281" s="9297">
        <f>IF(Captura_Marimba_M01!A135="", "", Captura_Marimba_M01!G135)</f>
        <v/>
      </c>
      <c r="I281" s="9298">
        <f>IF(Captura_Marimba_M01!A135="", "", SUMIFS(Captura_Obra!$F:$F, Captura_Obra!$A:$A, E281, Captura_Obra!$B:$B, F281, Captura_Obra!$D:$D, G281))</f>
        <v/>
      </c>
      <c r="J281" s="9299">
        <f>IF(Captura_Marimba_M01!A135="", "", H281 - I281)</f>
        <v/>
      </c>
      <c r="K281" s="4090" t="n"/>
    </row>
    <row r="282">
      <c r="A282" s="9300">
        <f>IF(Captura_Marimba_M01!A136="", "", "Marimba")</f>
        <v/>
      </c>
      <c r="B282" s="9301">
        <f>IF(Captura_Marimba_M01!A136="", "", Captura_Marimba_M01!N136)</f>
        <v/>
      </c>
      <c r="C282" s="9302">
        <f>IF(Captura_Marimba_M01!A136="", "", IFERROR(LOOKUP(2, 1/((Captura_Obra!$A$5:$A$1000=E282)*(Captura_Obra!$B$5:$B$1000=F282)*(Captura_Obra!$D$5:$D$1000=G282)), Captura_Obra!$N$5:$N$1000), "No Reportado"))</f>
        <v/>
      </c>
      <c r="D282" s="9303">
        <f>IF(Captura_Marimba_M01!A136="", "", IF(J282=0, "✅ Cuadrado", IF(I282=0, "❌ Falta en Obra", "⚠️ Dif")))</f>
        <v/>
      </c>
      <c r="E282" s="9304">
        <f>IF(Captura_Marimba_M01!A136="", "", Captura_Marimba_M01!A136)</f>
        <v/>
      </c>
      <c r="F282" s="9305">
        <f>IF(Captura_Marimba_M01!A136="", "", Captura_Marimba_M01!C136)</f>
        <v/>
      </c>
      <c r="G282" s="9306">
        <f>IF(Captura_Marimba_M01!A136="", "", Captura_Marimba_M01!D136)</f>
        <v/>
      </c>
      <c r="H282" s="9307">
        <f>IF(Captura_Marimba_M01!A136="", "", Captura_Marimba_M01!G136)</f>
        <v/>
      </c>
      <c r="I282" s="9308">
        <f>IF(Captura_Marimba_M01!A136="", "", SUMIFS(Captura_Obra!$F:$F, Captura_Obra!$A:$A, E282, Captura_Obra!$B:$B, F282, Captura_Obra!$D:$D, G282))</f>
        <v/>
      </c>
      <c r="J282" s="9309">
        <f>IF(Captura_Marimba_M01!A136="", "", H282 - I282)</f>
        <v/>
      </c>
      <c r="K282" s="4091" t="n"/>
    </row>
    <row r="283">
      <c r="A283" s="9310">
        <f>IF(Captura_Marimba_M01!A137="", "", "Marimba")</f>
        <v/>
      </c>
      <c r="B283" s="9311">
        <f>IF(Captura_Marimba_M01!A137="", "", Captura_Marimba_M01!N137)</f>
        <v/>
      </c>
      <c r="C283" s="9312">
        <f>IF(Captura_Marimba_M01!A137="", "", IFERROR(LOOKUP(2, 1/((Captura_Obra!$A$5:$A$1000=E283)*(Captura_Obra!$B$5:$B$1000=F283)*(Captura_Obra!$D$5:$D$1000=G283)), Captura_Obra!$N$5:$N$1000), "No Reportado"))</f>
        <v/>
      </c>
      <c r="D283" s="9313">
        <f>IF(Captura_Marimba_M01!A137="", "", IF(J283=0, "✅ Cuadrado", IF(I283=0, "❌ Falta en Obra", "⚠️ Dif")))</f>
        <v/>
      </c>
      <c r="E283" s="9314">
        <f>IF(Captura_Marimba_M01!A137="", "", Captura_Marimba_M01!A137)</f>
        <v/>
      </c>
      <c r="F283" s="9315">
        <f>IF(Captura_Marimba_M01!A137="", "", Captura_Marimba_M01!C137)</f>
        <v/>
      </c>
      <c r="G283" s="9316">
        <f>IF(Captura_Marimba_M01!A137="", "", Captura_Marimba_M01!D137)</f>
        <v/>
      </c>
      <c r="H283" s="9317">
        <f>IF(Captura_Marimba_M01!A137="", "", Captura_Marimba_M01!G137)</f>
        <v/>
      </c>
      <c r="I283" s="9318">
        <f>IF(Captura_Marimba_M01!A137="", "", SUMIFS(Captura_Obra!$F:$F, Captura_Obra!$A:$A, E283, Captura_Obra!$B:$B, F283, Captura_Obra!$D:$D, G283))</f>
        <v/>
      </c>
      <c r="J283" s="9319">
        <f>IF(Captura_Marimba_M01!A137="", "", H283 - I283)</f>
        <v/>
      </c>
      <c r="K283" s="4092" t="n"/>
    </row>
    <row r="284">
      <c r="A284" s="9320">
        <f>IF(Captura_Marimba_M01!A138="", "", "Marimba")</f>
        <v/>
      </c>
      <c r="B284" s="9321">
        <f>IF(Captura_Marimba_M01!A138="", "", Captura_Marimba_M01!N138)</f>
        <v/>
      </c>
      <c r="C284" s="9322">
        <f>IF(Captura_Marimba_M01!A138="", "", IFERROR(LOOKUP(2, 1/((Captura_Obra!$A$5:$A$1000=E284)*(Captura_Obra!$B$5:$B$1000=F284)*(Captura_Obra!$D$5:$D$1000=G284)), Captura_Obra!$N$5:$N$1000), "No Reportado"))</f>
        <v/>
      </c>
      <c r="D284" s="9323">
        <f>IF(Captura_Marimba_M01!A138="", "", IF(J284=0, "✅ Cuadrado", IF(I284=0, "❌ Falta en Obra", "⚠️ Dif")))</f>
        <v/>
      </c>
      <c r="E284" s="9324">
        <f>IF(Captura_Marimba_M01!A138="", "", Captura_Marimba_M01!A138)</f>
        <v/>
      </c>
      <c r="F284" s="9325">
        <f>IF(Captura_Marimba_M01!A138="", "", Captura_Marimba_M01!C138)</f>
        <v/>
      </c>
      <c r="G284" s="9326">
        <f>IF(Captura_Marimba_M01!A138="", "", Captura_Marimba_M01!D138)</f>
        <v/>
      </c>
      <c r="H284" s="9327">
        <f>IF(Captura_Marimba_M01!A138="", "", Captura_Marimba_M01!G138)</f>
        <v/>
      </c>
      <c r="I284" s="9328">
        <f>IF(Captura_Marimba_M01!A138="", "", SUMIFS(Captura_Obra!$F:$F, Captura_Obra!$A:$A, E284, Captura_Obra!$B:$B, F284, Captura_Obra!$D:$D, G284))</f>
        <v/>
      </c>
      <c r="J284" s="9329">
        <f>IF(Captura_Marimba_M01!A138="", "", H284 - I284)</f>
        <v/>
      </c>
      <c r="K284" s="4093" t="n"/>
    </row>
    <row r="285">
      <c r="A285" s="9330">
        <f>IF(Captura_Marimba_M01!A139="", "", "Marimba")</f>
        <v/>
      </c>
      <c r="B285" s="9331">
        <f>IF(Captura_Marimba_M01!A139="", "", Captura_Marimba_M01!N139)</f>
        <v/>
      </c>
      <c r="C285" s="9332">
        <f>IF(Captura_Marimba_M01!A139="", "", IFERROR(LOOKUP(2, 1/((Captura_Obra!$A$5:$A$1000=E285)*(Captura_Obra!$B$5:$B$1000=F285)*(Captura_Obra!$D$5:$D$1000=G285)), Captura_Obra!$N$5:$N$1000), "No Reportado"))</f>
        <v/>
      </c>
      <c r="D285" s="9333">
        <f>IF(Captura_Marimba_M01!A139="", "", IF(J285=0, "✅ Cuadrado", IF(I285=0, "❌ Falta en Obra", "⚠️ Dif")))</f>
        <v/>
      </c>
      <c r="E285" s="9334">
        <f>IF(Captura_Marimba_M01!A139="", "", Captura_Marimba_M01!A139)</f>
        <v/>
      </c>
      <c r="F285" s="9335">
        <f>IF(Captura_Marimba_M01!A139="", "", Captura_Marimba_M01!C139)</f>
        <v/>
      </c>
      <c r="G285" s="9336">
        <f>IF(Captura_Marimba_M01!A139="", "", Captura_Marimba_M01!D139)</f>
        <v/>
      </c>
      <c r="H285" s="9337">
        <f>IF(Captura_Marimba_M01!A139="", "", Captura_Marimba_M01!G139)</f>
        <v/>
      </c>
      <c r="I285" s="9338">
        <f>IF(Captura_Marimba_M01!A139="", "", SUMIFS(Captura_Obra!$F:$F, Captura_Obra!$A:$A, E285, Captura_Obra!$B:$B, F285, Captura_Obra!$D:$D, G285))</f>
        <v/>
      </c>
      <c r="J285" s="9339">
        <f>IF(Captura_Marimba_M01!A139="", "", H285 - I285)</f>
        <v/>
      </c>
      <c r="K285" s="4094" t="n"/>
    </row>
    <row r="286">
      <c r="A286" s="9340">
        <f>IF(Captura_Marimba_M01!A140="", "", "Marimba")</f>
        <v/>
      </c>
      <c r="B286" s="9341">
        <f>IF(Captura_Marimba_M01!A140="", "", Captura_Marimba_M01!N140)</f>
        <v/>
      </c>
      <c r="C286" s="9342">
        <f>IF(Captura_Marimba_M01!A140="", "", IFERROR(LOOKUP(2, 1/((Captura_Obra!$A$5:$A$1000=E286)*(Captura_Obra!$B$5:$B$1000=F286)*(Captura_Obra!$D$5:$D$1000=G286)), Captura_Obra!$N$5:$N$1000), "No Reportado"))</f>
        <v/>
      </c>
      <c r="D286" s="9343">
        <f>IF(Captura_Marimba_M01!A140="", "", IF(J286=0, "✅ Cuadrado", IF(I286=0, "❌ Falta en Obra", "⚠️ Dif")))</f>
        <v/>
      </c>
      <c r="E286" s="9344">
        <f>IF(Captura_Marimba_M01!A140="", "", Captura_Marimba_M01!A140)</f>
        <v/>
      </c>
      <c r="F286" s="9345">
        <f>IF(Captura_Marimba_M01!A140="", "", Captura_Marimba_M01!C140)</f>
        <v/>
      </c>
      <c r="G286" s="9346">
        <f>IF(Captura_Marimba_M01!A140="", "", Captura_Marimba_M01!D140)</f>
        <v/>
      </c>
      <c r="H286" s="9347">
        <f>IF(Captura_Marimba_M01!A140="", "", Captura_Marimba_M01!G140)</f>
        <v/>
      </c>
      <c r="I286" s="9348">
        <f>IF(Captura_Marimba_M01!A140="", "", SUMIFS(Captura_Obra!$F:$F, Captura_Obra!$A:$A, E286, Captura_Obra!$B:$B, F286, Captura_Obra!$D:$D, G286))</f>
        <v/>
      </c>
      <c r="J286" s="9349">
        <f>IF(Captura_Marimba_M01!A140="", "", H286 - I286)</f>
        <v/>
      </c>
      <c r="K286" s="4095" t="n"/>
    </row>
    <row r="287">
      <c r="A287" s="9350">
        <f>IF(Captura_Marimba_M01!A141="", "", "Marimba")</f>
        <v/>
      </c>
      <c r="B287" s="9351">
        <f>IF(Captura_Marimba_M01!A141="", "", Captura_Marimba_M01!N141)</f>
        <v/>
      </c>
      <c r="C287" s="9352">
        <f>IF(Captura_Marimba_M01!A141="", "", IFERROR(LOOKUP(2, 1/((Captura_Obra!$A$5:$A$1000=E287)*(Captura_Obra!$B$5:$B$1000=F287)*(Captura_Obra!$D$5:$D$1000=G287)), Captura_Obra!$N$5:$N$1000), "No Reportado"))</f>
        <v/>
      </c>
      <c r="D287" s="9353">
        <f>IF(Captura_Marimba_M01!A141="", "", IF(J287=0, "✅ Cuadrado", IF(I287=0, "❌ Falta en Obra", "⚠️ Dif")))</f>
        <v/>
      </c>
      <c r="E287" s="9354">
        <f>IF(Captura_Marimba_M01!A141="", "", Captura_Marimba_M01!A141)</f>
        <v/>
      </c>
      <c r="F287" s="9355">
        <f>IF(Captura_Marimba_M01!A141="", "", Captura_Marimba_M01!C141)</f>
        <v/>
      </c>
      <c r="G287" s="9356">
        <f>IF(Captura_Marimba_M01!A141="", "", Captura_Marimba_M01!D141)</f>
        <v/>
      </c>
      <c r="H287" s="9357">
        <f>IF(Captura_Marimba_M01!A141="", "", Captura_Marimba_M01!G141)</f>
        <v/>
      </c>
      <c r="I287" s="9358">
        <f>IF(Captura_Marimba_M01!A141="", "", SUMIFS(Captura_Obra!$F:$F, Captura_Obra!$A:$A, E287, Captura_Obra!$B:$B, F287, Captura_Obra!$D:$D, G287))</f>
        <v/>
      </c>
      <c r="J287" s="9359">
        <f>IF(Captura_Marimba_M01!A141="", "", H287 - I287)</f>
        <v/>
      </c>
      <c r="K287" s="4096" t="n"/>
    </row>
    <row r="288">
      <c r="A288" s="9360">
        <f>IF(Captura_Marimba_M01!A142="", "", "Marimba")</f>
        <v/>
      </c>
      <c r="B288" s="9361">
        <f>IF(Captura_Marimba_M01!A142="", "", Captura_Marimba_M01!N142)</f>
        <v/>
      </c>
      <c r="C288" s="9362">
        <f>IF(Captura_Marimba_M01!A142="", "", IFERROR(LOOKUP(2, 1/((Captura_Obra!$A$5:$A$1000=E288)*(Captura_Obra!$B$5:$B$1000=F288)*(Captura_Obra!$D$5:$D$1000=G288)), Captura_Obra!$N$5:$N$1000), "No Reportado"))</f>
        <v/>
      </c>
      <c r="D288" s="9363">
        <f>IF(Captura_Marimba_M01!A142="", "", IF(J288=0, "✅ Cuadrado", IF(I288=0, "❌ Falta en Obra", "⚠️ Dif")))</f>
        <v/>
      </c>
      <c r="E288" s="9364">
        <f>IF(Captura_Marimba_M01!A142="", "", Captura_Marimba_M01!A142)</f>
        <v/>
      </c>
      <c r="F288" s="9365">
        <f>IF(Captura_Marimba_M01!A142="", "", Captura_Marimba_M01!C142)</f>
        <v/>
      </c>
      <c r="G288" s="9366">
        <f>IF(Captura_Marimba_M01!A142="", "", Captura_Marimba_M01!D142)</f>
        <v/>
      </c>
      <c r="H288" s="9367">
        <f>IF(Captura_Marimba_M01!A142="", "", Captura_Marimba_M01!G142)</f>
        <v/>
      </c>
      <c r="I288" s="9368">
        <f>IF(Captura_Marimba_M01!A142="", "", SUMIFS(Captura_Obra!$F:$F, Captura_Obra!$A:$A, E288, Captura_Obra!$B:$B, F288, Captura_Obra!$D:$D, G288))</f>
        <v/>
      </c>
      <c r="J288" s="9369">
        <f>IF(Captura_Marimba_M01!A142="", "", H288 - I288)</f>
        <v/>
      </c>
      <c r="K288" s="4097" t="n"/>
    </row>
    <row r="289">
      <c r="A289" s="9370">
        <f>IF(Captura_Marimba_M01!A143="", "", "Marimba")</f>
        <v/>
      </c>
      <c r="B289" s="9371">
        <f>IF(Captura_Marimba_M01!A143="", "", Captura_Marimba_M01!N143)</f>
        <v/>
      </c>
      <c r="C289" s="9372">
        <f>IF(Captura_Marimba_M01!A143="", "", IFERROR(LOOKUP(2, 1/((Captura_Obra!$A$5:$A$1000=E289)*(Captura_Obra!$B$5:$B$1000=F289)*(Captura_Obra!$D$5:$D$1000=G289)), Captura_Obra!$N$5:$N$1000), "No Reportado"))</f>
        <v/>
      </c>
      <c r="D289" s="9373">
        <f>IF(Captura_Marimba_M01!A143="", "", IF(J289=0, "✅ Cuadrado", IF(I289=0, "❌ Falta en Obra", "⚠️ Dif")))</f>
        <v/>
      </c>
      <c r="E289" s="9374">
        <f>IF(Captura_Marimba_M01!A143="", "", Captura_Marimba_M01!A143)</f>
        <v/>
      </c>
      <c r="F289" s="9375">
        <f>IF(Captura_Marimba_M01!A143="", "", Captura_Marimba_M01!C143)</f>
        <v/>
      </c>
      <c r="G289" s="9376">
        <f>IF(Captura_Marimba_M01!A143="", "", Captura_Marimba_M01!D143)</f>
        <v/>
      </c>
      <c r="H289" s="9377">
        <f>IF(Captura_Marimba_M01!A143="", "", Captura_Marimba_M01!G143)</f>
        <v/>
      </c>
      <c r="I289" s="9378">
        <f>IF(Captura_Marimba_M01!A143="", "", SUMIFS(Captura_Obra!$F:$F, Captura_Obra!$A:$A, E289, Captura_Obra!$B:$B, F289, Captura_Obra!$D:$D, G289))</f>
        <v/>
      </c>
      <c r="J289" s="9379">
        <f>IF(Captura_Marimba_M01!A143="", "", H289 - I289)</f>
        <v/>
      </c>
      <c r="K289" s="4098" t="n"/>
    </row>
    <row r="290">
      <c r="A290" s="9380">
        <f>IF(Captura_Marimba_M01!A144="", "", "Marimba")</f>
        <v/>
      </c>
      <c r="B290" s="9381">
        <f>IF(Captura_Marimba_M01!A144="", "", Captura_Marimba_M01!N144)</f>
        <v/>
      </c>
      <c r="C290" s="9382">
        <f>IF(Captura_Marimba_M01!A144="", "", IFERROR(LOOKUP(2, 1/((Captura_Obra!$A$5:$A$1000=E290)*(Captura_Obra!$B$5:$B$1000=F290)*(Captura_Obra!$D$5:$D$1000=G290)), Captura_Obra!$N$5:$N$1000), "No Reportado"))</f>
        <v/>
      </c>
      <c r="D290" s="9383">
        <f>IF(Captura_Marimba_M01!A144="", "", IF(J290=0, "✅ Cuadrado", IF(I290=0, "❌ Falta en Obra", "⚠️ Dif")))</f>
        <v/>
      </c>
      <c r="E290" s="9384">
        <f>IF(Captura_Marimba_M01!A144="", "", Captura_Marimba_M01!A144)</f>
        <v/>
      </c>
      <c r="F290" s="9385">
        <f>IF(Captura_Marimba_M01!A144="", "", Captura_Marimba_M01!C144)</f>
        <v/>
      </c>
      <c r="G290" s="9386">
        <f>IF(Captura_Marimba_M01!A144="", "", Captura_Marimba_M01!D144)</f>
        <v/>
      </c>
      <c r="H290" s="9387">
        <f>IF(Captura_Marimba_M01!A144="", "", Captura_Marimba_M01!G144)</f>
        <v/>
      </c>
      <c r="I290" s="9388">
        <f>IF(Captura_Marimba_M01!A144="", "", SUMIFS(Captura_Obra!$F:$F, Captura_Obra!$A:$A, E290, Captura_Obra!$B:$B, F290, Captura_Obra!$D:$D, G290))</f>
        <v/>
      </c>
      <c r="J290" s="9389">
        <f>IF(Captura_Marimba_M01!A144="", "", H290 - I290)</f>
        <v/>
      </c>
      <c r="K290" s="4099" t="n"/>
    </row>
    <row r="291">
      <c r="A291" s="9390">
        <f>IF(Captura_Marimba_M01!A145="", "", "Marimba")</f>
        <v/>
      </c>
      <c r="B291" s="9391">
        <f>IF(Captura_Marimba_M01!A145="", "", Captura_Marimba_M01!N145)</f>
        <v/>
      </c>
      <c r="C291" s="9392">
        <f>IF(Captura_Marimba_M01!A145="", "", IFERROR(LOOKUP(2, 1/((Captura_Obra!$A$5:$A$1000=E291)*(Captura_Obra!$B$5:$B$1000=F291)*(Captura_Obra!$D$5:$D$1000=G291)), Captura_Obra!$N$5:$N$1000), "No Reportado"))</f>
        <v/>
      </c>
      <c r="D291" s="9393">
        <f>IF(Captura_Marimba_M01!A145="", "", IF(J291=0, "✅ Cuadrado", IF(I291=0, "❌ Falta en Obra", "⚠️ Dif")))</f>
        <v/>
      </c>
      <c r="E291" s="9394">
        <f>IF(Captura_Marimba_M01!A145="", "", Captura_Marimba_M01!A145)</f>
        <v/>
      </c>
      <c r="F291" s="9395">
        <f>IF(Captura_Marimba_M01!A145="", "", Captura_Marimba_M01!C145)</f>
        <v/>
      </c>
      <c r="G291" s="9396">
        <f>IF(Captura_Marimba_M01!A145="", "", Captura_Marimba_M01!D145)</f>
        <v/>
      </c>
      <c r="H291" s="9397">
        <f>IF(Captura_Marimba_M01!A145="", "", Captura_Marimba_M01!G145)</f>
        <v/>
      </c>
      <c r="I291" s="9398">
        <f>IF(Captura_Marimba_M01!A145="", "", SUMIFS(Captura_Obra!$F:$F, Captura_Obra!$A:$A, E291, Captura_Obra!$B:$B, F291, Captura_Obra!$D:$D, G291))</f>
        <v/>
      </c>
      <c r="J291" s="9399">
        <f>IF(Captura_Marimba_M01!A145="", "", H291 - I291)</f>
        <v/>
      </c>
      <c r="K291" s="4100" t="n"/>
    </row>
    <row r="292">
      <c r="A292" s="9400">
        <f>IF(Captura_Marimba_M01!A146="", "", "Marimba")</f>
        <v/>
      </c>
      <c r="B292" s="9401">
        <f>IF(Captura_Marimba_M01!A146="", "", Captura_Marimba_M01!N146)</f>
        <v/>
      </c>
      <c r="C292" s="9402">
        <f>IF(Captura_Marimba_M01!A146="", "", IFERROR(LOOKUP(2, 1/((Captura_Obra!$A$5:$A$1000=E292)*(Captura_Obra!$B$5:$B$1000=F292)*(Captura_Obra!$D$5:$D$1000=G292)), Captura_Obra!$N$5:$N$1000), "No Reportado"))</f>
        <v/>
      </c>
      <c r="D292" s="9403">
        <f>IF(Captura_Marimba_M01!A146="", "", IF(J292=0, "✅ Cuadrado", IF(I292=0, "❌ Falta en Obra", "⚠️ Dif")))</f>
        <v/>
      </c>
      <c r="E292" s="9404">
        <f>IF(Captura_Marimba_M01!A146="", "", Captura_Marimba_M01!A146)</f>
        <v/>
      </c>
      <c r="F292" s="9405">
        <f>IF(Captura_Marimba_M01!A146="", "", Captura_Marimba_M01!C146)</f>
        <v/>
      </c>
      <c r="G292" s="9406">
        <f>IF(Captura_Marimba_M01!A146="", "", Captura_Marimba_M01!D146)</f>
        <v/>
      </c>
      <c r="H292" s="9407">
        <f>IF(Captura_Marimba_M01!A146="", "", Captura_Marimba_M01!G146)</f>
        <v/>
      </c>
      <c r="I292" s="9408">
        <f>IF(Captura_Marimba_M01!A146="", "", SUMIFS(Captura_Obra!$F:$F, Captura_Obra!$A:$A, E292, Captura_Obra!$B:$B, F292, Captura_Obra!$D:$D, G292))</f>
        <v/>
      </c>
      <c r="J292" s="9409">
        <f>IF(Captura_Marimba_M01!A146="", "", H292 - I292)</f>
        <v/>
      </c>
      <c r="K292" s="4101" t="n"/>
    </row>
    <row r="293">
      <c r="A293" s="9410">
        <f>IF(Captura_Marimba_M01!A147="", "", "Marimba")</f>
        <v/>
      </c>
      <c r="B293" s="9411">
        <f>IF(Captura_Marimba_M01!A147="", "", Captura_Marimba_M01!N147)</f>
        <v/>
      </c>
      <c r="C293" s="9412">
        <f>IF(Captura_Marimba_M01!A147="", "", IFERROR(LOOKUP(2, 1/((Captura_Obra!$A$5:$A$1000=E293)*(Captura_Obra!$B$5:$B$1000=F293)*(Captura_Obra!$D$5:$D$1000=G293)), Captura_Obra!$N$5:$N$1000), "No Reportado"))</f>
        <v/>
      </c>
      <c r="D293" s="9413">
        <f>IF(Captura_Marimba_M01!A147="", "", IF(J293=0, "✅ Cuadrado", IF(I293=0, "❌ Falta en Obra", "⚠️ Dif")))</f>
        <v/>
      </c>
      <c r="E293" s="9414">
        <f>IF(Captura_Marimba_M01!A147="", "", Captura_Marimba_M01!A147)</f>
        <v/>
      </c>
      <c r="F293" s="9415">
        <f>IF(Captura_Marimba_M01!A147="", "", Captura_Marimba_M01!C147)</f>
        <v/>
      </c>
      <c r="G293" s="9416">
        <f>IF(Captura_Marimba_M01!A147="", "", Captura_Marimba_M01!D147)</f>
        <v/>
      </c>
      <c r="H293" s="9417">
        <f>IF(Captura_Marimba_M01!A147="", "", Captura_Marimba_M01!G147)</f>
        <v/>
      </c>
      <c r="I293" s="9418">
        <f>IF(Captura_Marimba_M01!A147="", "", SUMIFS(Captura_Obra!$F:$F, Captura_Obra!$A:$A, E293, Captura_Obra!$B:$B, F293, Captura_Obra!$D:$D, G293))</f>
        <v/>
      </c>
      <c r="J293" s="9419">
        <f>IF(Captura_Marimba_M01!A147="", "", H293 - I293)</f>
        <v/>
      </c>
      <c r="K293" s="4102" t="n"/>
    </row>
    <row r="294">
      <c r="A294" s="9420">
        <f>IF(Captura_Marimba_M01!A148="", "", "Marimba")</f>
        <v/>
      </c>
      <c r="B294" s="9421">
        <f>IF(Captura_Marimba_M01!A148="", "", Captura_Marimba_M01!N148)</f>
        <v/>
      </c>
      <c r="C294" s="9422">
        <f>IF(Captura_Marimba_M01!A148="", "", IFERROR(LOOKUP(2, 1/((Captura_Obra!$A$5:$A$1000=E294)*(Captura_Obra!$B$5:$B$1000=F294)*(Captura_Obra!$D$5:$D$1000=G294)), Captura_Obra!$N$5:$N$1000), "No Reportado"))</f>
        <v/>
      </c>
      <c r="D294" s="9423">
        <f>IF(Captura_Marimba_M01!A148="", "", IF(J294=0, "✅ Cuadrado", IF(I294=0, "❌ Falta en Obra", "⚠️ Dif")))</f>
        <v/>
      </c>
      <c r="E294" s="9424">
        <f>IF(Captura_Marimba_M01!A148="", "", Captura_Marimba_M01!A148)</f>
        <v/>
      </c>
      <c r="F294" s="9425">
        <f>IF(Captura_Marimba_M01!A148="", "", Captura_Marimba_M01!C148)</f>
        <v/>
      </c>
      <c r="G294" s="9426">
        <f>IF(Captura_Marimba_M01!A148="", "", Captura_Marimba_M01!D148)</f>
        <v/>
      </c>
      <c r="H294" s="9427">
        <f>IF(Captura_Marimba_M01!A148="", "", Captura_Marimba_M01!G148)</f>
        <v/>
      </c>
      <c r="I294" s="9428">
        <f>IF(Captura_Marimba_M01!A148="", "", SUMIFS(Captura_Obra!$F:$F, Captura_Obra!$A:$A, E294, Captura_Obra!$B:$B, F294, Captura_Obra!$D:$D, G294))</f>
        <v/>
      </c>
      <c r="J294" s="9429">
        <f>IF(Captura_Marimba_M01!A148="", "", H294 - I294)</f>
        <v/>
      </c>
      <c r="K294" s="4103" t="n"/>
    </row>
    <row r="295">
      <c r="A295" s="9430">
        <f>IF(Captura_Marimba_M01!A149="", "", "Marimba")</f>
        <v/>
      </c>
      <c r="B295" s="9431">
        <f>IF(Captura_Marimba_M01!A149="", "", Captura_Marimba_M01!N149)</f>
        <v/>
      </c>
      <c r="C295" s="9432">
        <f>IF(Captura_Marimba_M01!A149="", "", IFERROR(LOOKUP(2, 1/((Captura_Obra!$A$5:$A$1000=E295)*(Captura_Obra!$B$5:$B$1000=F295)*(Captura_Obra!$D$5:$D$1000=G295)), Captura_Obra!$N$5:$N$1000), "No Reportado"))</f>
        <v/>
      </c>
      <c r="D295" s="9433">
        <f>IF(Captura_Marimba_M01!A149="", "", IF(J295=0, "✅ Cuadrado", IF(I295=0, "❌ Falta en Obra", "⚠️ Dif")))</f>
        <v/>
      </c>
      <c r="E295" s="9434">
        <f>IF(Captura_Marimba_M01!A149="", "", Captura_Marimba_M01!A149)</f>
        <v/>
      </c>
      <c r="F295" s="9435">
        <f>IF(Captura_Marimba_M01!A149="", "", Captura_Marimba_M01!C149)</f>
        <v/>
      </c>
      <c r="G295" s="9436">
        <f>IF(Captura_Marimba_M01!A149="", "", Captura_Marimba_M01!D149)</f>
        <v/>
      </c>
      <c r="H295" s="9437">
        <f>IF(Captura_Marimba_M01!A149="", "", Captura_Marimba_M01!G149)</f>
        <v/>
      </c>
      <c r="I295" s="9438">
        <f>IF(Captura_Marimba_M01!A149="", "", SUMIFS(Captura_Obra!$F:$F, Captura_Obra!$A:$A, E295, Captura_Obra!$B:$B, F295, Captura_Obra!$D:$D, G295))</f>
        <v/>
      </c>
      <c r="J295" s="9439">
        <f>IF(Captura_Marimba_M01!A149="", "", H295 - I295)</f>
        <v/>
      </c>
      <c r="K295" s="4104" t="n"/>
    </row>
    <row r="296">
      <c r="A296" s="9440">
        <f>IF(Captura_Marimba_M01!A150="", "", "Marimba")</f>
        <v/>
      </c>
      <c r="B296" s="9441">
        <f>IF(Captura_Marimba_M01!A150="", "", Captura_Marimba_M01!N150)</f>
        <v/>
      </c>
      <c r="C296" s="9442">
        <f>IF(Captura_Marimba_M01!A150="", "", IFERROR(LOOKUP(2, 1/((Captura_Obra!$A$5:$A$1000=E296)*(Captura_Obra!$B$5:$B$1000=F296)*(Captura_Obra!$D$5:$D$1000=G296)), Captura_Obra!$N$5:$N$1000), "No Reportado"))</f>
        <v/>
      </c>
      <c r="D296" s="9443">
        <f>IF(Captura_Marimba_M01!A150="", "", IF(J296=0, "✅ Cuadrado", IF(I296=0, "❌ Falta en Obra", "⚠️ Dif")))</f>
        <v/>
      </c>
      <c r="E296" s="9444">
        <f>IF(Captura_Marimba_M01!A150="", "", Captura_Marimba_M01!A150)</f>
        <v/>
      </c>
      <c r="F296" s="9445">
        <f>IF(Captura_Marimba_M01!A150="", "", Captura_Marimba_M01!C150)</f>
        <v/>
      </c>
      <c r="G296" s="9446">
        <f>IF(Captura_Marimba_M01!A150="", "", Captura_Marimba_M01!D150)</f>
        <v/>
      </c>
      <c r="H296" s="9447">
        <f>IF(Captura_Marimba_M01!A150="", "", Captura_Marimba_M01!G150)</f>
        <v/>
      </c>
      <c r="I296" s="9448">
        <f>IF(Captura_Marimba_M01!A150="", "", SUMIFS(Captura_Obra!$F:$F, Captura_Obra!$A:$A, E296, Captura_Obra!$B:$B, F296, Captura_Obra!$D:$D, G296))</f>
        <v/>
      </c>
      <c r="J296" s="9449">
        <f>IF(Captura_Marimba_M01!A150="", "", H296 - I296)</f>
        <v/>
      </c>
      <c r="K296" s="4105" t="n"/>
    </row>
    <row r="297">
      <c r="A297" s="9450">
        <f>IF(Captura_Marimba_M01!A151="", "", "Marimba")</f>
        <v/>
      </c>
      <c r="B297" s="9451">
        <f>IF(Captura_Marimba_M01!A151="", "", Captura_Marimba_M01!N151)</f>
        <v/>
      </c>
      <c r="C297" s="9452">
        <f>IF(Captura_Marimba_M01!A151="", "", IFERROR(LOOKUP(2, 1/((Captura_Obra!$A$5:$A$1000=E297)*(Captura_Obra!$B$5:$B$1000=F297)*(Captura_Obra!$D$5:$D$1000=G297)), Captura_Obra!$N$5:$N$1000), "No Reportado"))</f>
        <v/>
      </c>
      <c r="D297" s="9453">
        <f>IF(Captura_Marimba_M01!A151="", "", IF(J297=0, "✅ Cuadrado", IF(I297=0, "❌ Falta en Obra", "⚠️ Dif")))</f>
        <v/>
      </c>
      <c r="E297" s="9454">
        <f>IF(Captura_Marimba_M01!A151="", "", Captura_Marimba_M01!A151)</f>
        <v/>
      </c>
      <c r="F297" s="9455">
        <f>IF(Captura_Marimba_M01!A151="", "", Captura_Marimba_M01!C151)</f>
        <v/>
      </c>
      <c r="G297" s="9456">
        <f>IF(Captura_Marimba_M01!A151="", "", Captura_Marimba_M01!D151)</f>
        <v/>
      </c>
      <c r="H297" s="9457">
        <f>IF(Captura_Marimba_M01!A151="", "", Captura_Marimba_M01!G151)</f>
        <v/>
      </c>
      <c r="I297" s="9458">
        <f>IF(Captura_Marimba_M01!A151="", "", SUMIFS(Captura_Obra!$F:$F, Captura_Obra!$A:$A, E297, Captura_Obra!$B:$B, F297, Captura_Obra!$D:$D, G297))</f>
        <v/>
      </c>
      <c r="J297" s="9459">
        <f>IF(Captura_Marimba_M01!A151="", "", H297 - I297)</f>
        <v/>
      </c>
      <c r="K297" s="4106" t="n"/>
    </row>
    <row r="298">
      <c r="A298" s="9460">
        <f>IF(Captura_Marimba_M01!A152="", "", "Marimba")</f>
        <v/>
      </c>
      <c r="B298" s="9461">
        <f>IF(Captura_Marimba_M01!A152="", "", Captura_Marimba_M01!N152)</f>
        <v/>
      </c>
      <c r="C298" s="9462">
        <f>IF(Captura_Marimba_M01!A152="", "", IFERROR(LOOKUP(2, 1/((Captura_Obra!$A$5:$A$1000=E298)*(Captura_Obra!$B$5:$B$1000=F298)*(Captura_Obra!$D$5:$D$1000=G298)), Captura_Obra!$N$5:$N$1000), "No Reportado"))</f>
        <v/>
      </c>
      <c r="D298" s="9463">
        <f>IF(Captura_Marimba_M01!A152="", "", IF(J298=0, "✅ Cuadrado", IF(I298=0, "❌ Falta en Obra", "⚠️ Dif")))</f>
        <v/>
      </c>
      <c r="E298" s="9464">
        <f>IF(Captura_Marimba_M01!A152="", "", Captura_Marimba_M01!A152)</f>
        <v/>
      </c>
      <c r="F298" s="9465">
        <f>IF(Captura_Marimba_M01!A152="", "", Captura_Marimba_M01!C152)</f>
        <v/>
      </c>
      <c r="G298" s="9466">
        <f>IF(Captura_Marimba_M01!A152="", "", Captura_Marimba_M01!D152)</f>
        <v/>
      </c>
      <c r="H298" s="9467">
        <f>IF(Captura_Marimba_M01!A152="", "", Captura_Marimba_M01!G152)</f>
        <v/>
      </c>
      <c r="I298" s="9468">
        <f>IF(Captura_Marimba_M01!A152="", "", SUMIFS(Captura_Obra!$F:$F, Captura_Obra!$A:$A, E298, Captura_Obra!$B:$B, F298, Captura_Obra!$D:$D, G298))</f>
        <v/>
      </c>
      <c r="J298" s="9469">
        <f>IF(Captura_Marimba_M01!A152="", "", H298 - I298)</f>
        <v/>
      </c>
      <c r="K298" s="4107" t="n"/>
    </row>
    <row r="299">
      <c r="A299" s="9470">
        <f>IF(Captura_Marimba_M01!A153="", "", "Marimba")</f>
        <v/>
      </c>
      <c r="B299" s="9471">
        <f>IF(Captura_Marimba_M01!A153="", "", Captura_Marimba_M01!N153)</f>
        <v/>
      </c>
      <c r="C299" s="9472">
        <f>IF(Captura_Marimba_M01!A153="", "", IFERROR(LOOKUP(2, 1/((Captura_Obra!$A$5:$A$1000=E299)*(Captura_Obra!$B$5:$B$1000=F299)*(Captura_Obra!$D$5:$D$1000=G299)), Captura_Obra!$N$5:$N$1000), "No Reportado"))</f>
        <v/>
      </c>
      <c r="D299" s="9473">
        <f>IF(Captura_Marimba_M01!A153="", "", IF(J299=0, "✅ Cuadrado", IF(I299=0, "❌ Falta en Obra", "⚠️ Dif")))</f>
        <v/>
      </c>
      <c r="E299" s="9474">
        <f>IF(Captura_Marimba_M01!A153="", "", Captura_Marimba_M01!A153)</f>
        <v/>
      </c>
      <c r="F299" s="9475">
        <f>IF(Captura_Marimba_M01!A153="", "", Captura_Marimba_M01!C153)</f>
        <v/>
      </c>
      <c r="G299" s="9476">
        <f>IF(Captura_Marimba_M01!A153="", "", Captura_Marimba_M01!D153)</f>
        <v/>
      </c>
      <c r="H299" s="9477">
        <f>IF(Captura_Marimba_M01!A153="", "", Captura_Marimba_M01!G153)</f>
        <v/>
      </c>
      <c r="I299" s="9478">
        <f>IF(Captura_Marimba_M01!A153="", "", SUMIFS(Captura_Obra!$F:$F, Captura_Obra!$A:$A, E299, Captura_Obra!$B:$B, F299, Captura_Obra!$D:$D, G299))</f>
        <v/>
      </c>
      <c r="J299" s="9479">
        <f>IF(Captura_Marimba_M01!A153="", "", H299 - I299)</f>
        <v/>
      </c>
      <c r="K299" s="4108" t="n"/>
    </row>
    <row r="300">
      <c r="A300" s="9480">
        <f>IF(Captura_Marimba_M01!A154="", "", "Marimba")</f>
        <v/>
      </c>
      <c r="B300" s="9481">
        <f>IF(Captura_Marimba_M01!A154="", "", Captura_Marimba_M01!N154)</f>
        <v/>
      </c>
      <c r="C300" s="9482">
        <f>IF(Captura_Marimba_M01!A154="", "", IFERROR(LOOKUP(2, 1/((Captura_Obra!$A$5:$A$1000=E300)*(Captura_Obra!$B$5:$B$1000=F300)*(Captura_Obra!$D$5:$D$1000=G300)), Captura_Obra!$N$5:$N$1000), "No Reportado"))</f>
        <v/>
      </c>
      <c r="D300" s="9483">
        <f>IF(Captura_Marimba_M01!A154="", "", IF(J300=0, "✅ Cuadrado", IF(I300=0, "❌ Falta en Obra", "⚠️ Dif")))</f>
        <v/>
      </c>
      <c r="E300" s="9484">
        <f>IF(Captura_Marimba_M01!A154="", "", Captura_Marimba_M01!A154)</f>
        <v/>
      </c>
      <c r="F300" s="9485">
        <f>IF(Captura_Marimba_M01!A154="", "", Captura_Marimba_M01!C154)</f>
        <v/>
      </c>
      <c r="G300" s="9486">
        <f>IF(Captura_Marimba_M01!A154="", "", Captura_Marimba_M01!D154)</f>
        <v/>
      </c>
      <c r="H300" s="9487">
        <f>IF(Captura_Marimba_M01!A154="", "", Captura_Marimba_M01!G154)</f>
        <v/>
      </c>
      <c r="I300" s="9488">
        <f>IF(Captura_Marimba_M01!A154="", "", SUMIFS(Captura_Obra!$F:$F, Captura_Obra!$A:$A, E300, Captura_Obra!$B:$B, F300, Captura_Obra!$D:$D, G300))</f>
        <v/>
      </c>
      <c r="J300" s="9489">
        <f>IF(Captura_Marimba_M01!A154="", "", H300 - I300)</f>
        <v/>
      </c>
      <c r="K300" s="4109" t="n"/>
    </row>
    <row r="301">
      <c r="A301" s="9490">
        <f>IF(OR(Captura_Obra!A5="", (SUMIFS(Captura_Pegaso!$H:$H, Captura_Pegaso!$A:$A, Captura_Obra!A5, Captura_Pegaso!$D:$D, Captura_Obra!B5, Captura_Pegaso!$E:$E, Captura_Obra!D5) + SUMIFS(Captura_Marimba_M01!$G:$G, Captura_Marimba_M01!$A:$A, Captura_Obra!A5, Captura_Marimba_M01!$C:$C, Captura_Obra!B5, Captura_Marimba_M01!$D:$D, Captura_Obra!D5))&gt;0), "", "Huérfano Obra")</f>
        <v/>
      </c>
      <c r="B301" s="9491">
        <f>IF(OR(Captura_Obra!A5="", (SUMIFS(Captura_Pegaso!$H:$H, Captura_Pegaso!$A:$A, Captura_Obra!A5, Captura_Pegaso!$D:$D, Captura_Obra!B5, Captura_Pegaso!$E:$E, Captura_Obra!D5) + SUMIFS(Captura_Marimba_M01!$G:$G, Captura_Marimba_M01!$A:$A, Captura_Obra!A5, Captura_Marimba_M01!$C:$C, Captura_Obra!B5, Captura_Marimba_M01!$D:$D, Captura_Obra!D5))&gt;0), "", "No Reportado")</f>
        <v/>
      </c>
      <c r="C301" s="9492">
        <f>IF(OR(Captura_Obra!A5="", (SUMIFS(Captura_Pegaso!$H:$H, Captura_Pegaso!$A:$A, Captura_Obra!A5, Captura_Pegaso!$D:$D, Captura_Obra!B5, Captura_Pegaso!$E:$E, Captura_Obra!D5) + SUMIFS(Captura_Marimba_M01!$G:$G, Captura_Marimba_M01!$A:$A, Captura_Obra!A5, Captura_Marimba_M01!$C:$C, Captura_Obra!B5, Captura_Marimba_M01!$D:$D, Captura_Obra!D5))&gt;0), "", Captura_Obra!N5)</f>
        <v/>
      </c>
      <c r="D301" s="9493">
        <f>IF(OR(Captura_Obra!A5="", (SUMIFS(Captura_Pegaso!$H:$H, Captura_Pegaso!$A:$A, Captura_Obra!A5, Captura_Pegaso!$D:$D, Captura_Obra!B5, Captura_Pegaso!$E:$E, Captura_Obra!D5) + SUMIFS(Captura_Marimba_M01!$G:$G, Captura_Marimba_M01!$A:$A, Captura_Obra!A5, Captura_Marimba_M01!$C:$C, Captura_Obra!B5, Captura_Marimba_M01!$D:$D, Captura_Obra!D5))&gt;0), "", "❌ Falta en Pipa")</f>
        <v/>
      </c>
      <c r="E301" s="9494">
        <f>IF(OR(Captura_Obra!A5="", (SUMIFS(Captura_Pegaso!$H:$H, Captura_Pegaso!$A:$A, Captura_Obra!A5, Captura_Pegaso!$D:$D, Captura_Obra!B5, Captura_Pegaso!$E:$E, Captura_Obra!D5) + SUMIFS(Captura_Marimba_M01!$G:$G, Captura_Marimba_M01!$A:$A, Captura_Obra!A5, Captura_Marimba_M01!$C:$C, Captura_Obra!B5, Captura_Marimba_M01!$D:$D, Captura_Obra!D5))&gt;0), "", Captura_Obra!A5)</f>
        <v/>
      </c>
      <c r="F301" s="9495">
        <f>IF(OR(Captura_Obra!A5="", (SUMIFS(Captura_Pegaso!$H:$H, Captura_Pegaso!$A:$A, Captura_Obra!A5, Captura_Pegaso!$D:$D, Captura_Obra!B5, Captura_Pegaso!$E:$E, Captura_Obra!D5) + SUMIFS(Captura_Marimba_M01!$G:$G, Captura_Marimba_M01!$A:$A, Captura_Obra!A5, Captura_Marimba_M01!$C:$C, Captura_Obra!B5, Captura_Marimba_M01!$D:$D, Captura_Obra!D5))&gt;0), "", Captura_Obra!B5)</f>
        <v/>
      </c>
      <c r="G301" s="9496">
        <f>IF(OR(Captura_Obra!A5="", (SUMIFS(Captura_Pegaso!$H:$H, Captura_Pegaso!$A:$A, Captura_Obra!A5, Captura_Pegaso!$D:$D, Captura_Obra!B5, Captura_Pegaso!$E:$E, Captura_Obra!D5) + SUMIFS(Captura_Marimba_M01!$G:$G, Captura_Marimba_M01!$A:$A, Captura_Obra!A5, Captura_Marimba_M01!$C:$C, Captura_Obra!B5, Captura_Marimba_M01!$D:$D, Captura_Obra!D5))&gt;0), "", Captura_Obra!D5)</f>
        <v/>
      </c>
      <c r="H301" s="9497">
        <f>IF(OR(Captura_Obra!A5="", (SUMIFS(Captura_Pegaso!$H:$H, Captura_Pegaso!$A:$A, Captura_Obra!A5, Captura_Pegaso!$D:$D, Captura_Obra!B5, Captura_Pegaso!$E:$E, Captura_Obra!D5) + SUMIFS(Captura_Marimba_M01!$G:$G, Captura_Marimba_M01!$A:$A, Captura_Obra!A5, Captura_Marimba_M01!$C:$C, Captura_Obra!B5, Captura_Marimba_M01!$D:$D, Captura_Obra!D5))&gt;0), "", 0)</f>
        <v/>
      </c>
      <c r="I301" s="9498">
        <f>IF(OR(Captura_Obra!A5="", (SUMIFS(Captura_Pegaso!$H:$H, Captura_Pegaso!$A:$A, Captura_Obra!A5, Captura_Pegaso!$D:$D, Captura_Obra!B5, Captura_Pegaso!$E:$E, Captura_Obra!D5) + SUMIFS(Captura_Marimba_M01!$G:$G, Captura_Marimba_M01!$A:$A, Captura_Obra!A5, Captura_Marimba_M01!$C:$C, Captura_Obra!B5, Captura_Marimba_M01!$D:$D, Captura_Obra!D5))&gt;0), "", Captura_Obra!F5)</f>
        <v/>
      </c>
      <c r="J301" s="9499">
        <f>IF(OR(Captura_Obra!A5="", (SUMIFS(Captura_Pegaso!$H:$H, Captura_Pegaso!$A:$A, Captura_Obra!A5, Captura_Pegaso!$D:$D, Captura_Obra!B5, Captura_Pegaso!$E:$E, Captura_Obra!D5) + SUMIFS(Captura_Marimba_M01!$G:$G, Captura_Marimba_M01!$A:$A, Captura_Obra!A5, Captura_Marimba_M01!$C:$C, Captura_Obra!B5, Captura_Marimba_M01!$D:$D, Captura_Obra!D5))&gt;0), "", H301 - I301)</f>
        <v/>
      </c>
      <c r="K301" s="4110" t="n"/>
    </row>
    <row r="302">
      <c r="A302" s="9500">
        <f>IF(OR(Captura_Obra!A6="", (SUMIFS(Captura_Pegaso!$H:$H, Captura_Pegaso!$A:$A, Captura_Obra!A6, Captura_Pegaso!$D:$D, Captura_Obra!B6, Captura_Pegaso!$E:$E, Captura_Obra!D6) + SUMIFS(Captura_Marimba_M01!$G:$G, Captura_Marimba_M01!$A:$A, Captura_Obra!A6, Captura_Marimba_M01!$C:$C, Captura_Obra!B6, Captura_Marimba_M01!$D:$D, Captura_Obra!D6))&gt;0), "", "Huérfano Obra")</f>
        <v/>
      </c>
      <c r="B302" s="9501">
        <f>IF(OR(Captura_Obra!A6="", (SUMIFS(Captura_Pegaso!$H:$H, Captura_Pegaso!$A:$A, Captura_Obra!A6, Captura_Pegaso!$D:$D, Captura_Obra!B6, Captura_Pegaso!$E:$E, Captura_Obra!D6) + SUMIFS(Captura_Marimba_M01!$G:$G, Captura_Marimba_M01!$A:$A, Captura_Obra!A6, Captura_Marimba_M01!$C:$C, Captura_Obra!B6, Captura_Marimba_M01!$D:$D, Captura_Obra!D6))&gt;0), "", "No Reportado")</f>
        <v/>
      </c>
      <c r="C302" s="9502">
        <f>IF(OR(Captura_Obra!A6="", (SUMIFS(Captura_Pegaso!$H:$H, Captura_Pegaso!$A:$A, Captura_Obra!A6, Captura_Pegaso!$D:$D, Captura_Obra!B6, Captura_Pegaso!$E:$E, Captura_Obra!D6) + SUMIFS(Captura_Marimba_M01!$G:$G, Captura_Marimba_M01!$A:$A, Captura_Obra!A6, Captura_Marimba_M01!$C:$C, Captura_Obra!B6, Captura_Marimba_M01!$D:$D, Captura_Obra!D6))&gt;0), "", Captura_Obra!N6)</f>
        <v/>
      </c>
      <c r="D302" s="9503">
        <f>IF(OR(Captura_Obra!A6="", (SUMIFS(Captura_Pegaso!$H:$H, Captura_Pegaso!$A:$A, Captura_Obra!A6, Captura_Pegaso!$D:$D, Captura_Obra!B6, Captura_Pegaso!$E:$E, Captura_Obra!D6) + SUMIFS(Captura_Marimba_M01!$G:$G, Captura_Marimba_M01!$A:$A, Captura_Obra!A6, Captura_Marimba_M01!$C:$C, Captura_Obra!B6, Captura_Marimba_M01!$D:$D, Captura_Obra!D6))&gt;0), "", "❌ Falta en Pipa")</f>
        <v/>
      </c>
      <c r="E302" s="9504">
        <f>IF(OR(Captura_Obra!A6="", (SUMIFS(Captura_Pegaso!$H:$H, Captura_Pegaso!$A:$A, Captura_Obra!A6, Captura_Pegaso!$D:$D, Captura_Obra!B6, Captura_Pegaso!$E:$E, Captura_Obra!D6) + SUMIFS(Captura_Marimba_M01!$G:$G, Captura_Marimba_M01!$A:$A, Captura_Obra!A6, Captura_Marimba_M01!$C:$C, Captura_Obra!B6, Captura_Marimba_M01!$D:$D, Captura_Obra!D6))&gt;0), "", Captura_Obra!A6)</f>
        <v/>
      </c>
      <c r="F302" s="9505">
        <f>IF(OR(Captura_Obra!A6="", (SUMIFS(Captura_Pegaso!$H:$H, Captura_Pegaso!$A:$A, Captura_Obra!A6, Captura_Pegaso!$D:$D, Captura_Obra!B6, Captura_Pegaso!$E:$E, Captura_Obra!D6) + SUMIFS(Captura_Marimba_M01!$G:$G, Captura_Marimba_M01!$A:$A, Captura_Obra!A6, Captura_Marimba_M01!$C:$C, Captura_Obra!B6, Captura_Marimba_M01!$D:$D, Captura_Obra!D6))&gt;0), "", Captura_Obra!B6)</f>
        <v/>
      </c>
      <c r="G302" s="9506">
        <f>IF(OR(Captura_Obra!A6="", (SUMIFS(Captura_Pegaso!$H:$H, Captura_Pegaso!$A:$A, Captura_Obra!A6, Captura_Pegaso!$D:$D, Captura_Obra!B6, Captura_Pegaso!$E:$E, Captura_Obra!D6) + SUMIFS(Captura_Marimba_M01!$G:$G, Captura_Marimba_M01!$A:$A, Captura_Obra!A6, Captura_Marimba_M01!$C:$C, Captura_Obra!B6, Captura_Marimba_M01!$D:$D, Captura_Obra!D6))&gt;0), "", Captura_Obra!D6)</f>
        <v/>
      </c>
      <c r="H302" s="9507">
        <f>IF(OR(Captura_Obra!A6="", (SUMIFS(Captura_Pegaso!$H:$H, Captura_Pegaso!$A:$A, Captura_Obra!A6, Captura_Pegaso!$D:$D, Captura_Obra!B6, Captura_Pegaso!$E:$E, Captura_Obra!D6) + SUMIFS(Captura_Marimba_M01!$G:$G, Captura_Marimba_M01!$A:$A, Captura_Obra!A6, Captura_Marimba_M01!$C:$C, Captura_Obra!B6, Captura_Marimba_M01!$D:$D, Captura_Obra!D6))&gt;0), "", 0)</f>
        <v/>
      </c>
      <c r="I302" s="9508">
        <f>IF(OR(Captura_Obra!A6="", (SUMIFS(Captura_Pegaso!$H:$H, Captura_Pegaso!$A:$A, Captura_Obra!A6, Captura_Pegaso!$D:$D, Captura_Obra!B6, Captura_Pegaso!$E:$E, Captura_Obra!D6) + SUMIFS(Captura_Marimba_M01!$G:$G, Captura_Marimba_M01!$A:$A, Captura_Obra!A6, Captura_Marimba_M01!$C:$C, Captura_Obra!B6, Captura_Marimba_M01!$D:$D, Captura_Obra!D6))&gt;0), "", Captura_Obra!F6)</f>
        <v/>
      </c>
      <c r="J302" s="9509">
        <f>IF(OR(Captura_Obra!A6="", (SUMIFS(Captura_Pegaso!$H:$H, Captura_Pegaso!$A:$A, Captura_Obra!A6, Captura_Pegaso!$D:$D, Captura_Obra!B6, Captura_Pegaso!$E:$E, Captura_Obra!D6) + SUMIFS(Captura_Marimba_M01!$G:$G, Captura_Marimba_M01!$A:$A, Captura_Obra!A6, Captura_Marimba_M01!$C:$C, Captura_Obra!B6, Captura_Marimba_M01!$D:$D, Captura_Obra!D6))&gt;0), "", H302 - I302)</f>
        <v/>
      </c>
      <c r="K302" s="4111" t="n"/>
    </row>
    <row r="303">
      <c r="A303" s="9510">
        <f>IF(OR(Captura_Obra!A7="", (SUMIFS(Captura_Pegaso!$H:$H, Captura_Pegaso!$A:$A, Captura_Obra!A7, Captura_Pegaso!$D:$D, Captura_Obra!B7, Captura_Pegaso!$E:$E, Captura_Obra!D7) + SUMIFS(Captura_Marimba_M01!$G:$G, Captura_Marimba_M01!$A:$A, Captura_Obra!A7, Captura_Marimba_M01!$C:$C, Captura_Obra!B7, Captura_Marimba_M01!$D:$D, Captura_Obra!D7))&gt;0), "", "Huérfano Obra")</f>
        <v/>
      </c>
      <c r="B303" s="9511">
        <f>IF(OR(Captura_Obra!A7="", (SUMIFS(Captura_Pegaso!$H:$H, Captura_Pegaso!$A:$A, Captura_Obra!A7, Captura_Pegaso!$D:$D, Captura_Obra!B7, Captura_Pegaso!$E:$E, Captura_Obra!D7) + SUMIFS(Captura_Marimba_M01!$G:$G, Captura_Marimba_M01!$A:$A, Captura_Obra!A7, Captura_Marimba_M01!$C:$C, Captura_Obra!B7, Captura_Marimba_M01!$D:$D, Captura_Obra!D7))&gt;0), "", "No Reportado")</f>
        <v/>
      </c>
      <c r="C303" s="9512">
        <f>IF(OR(Captura_Obra!A7="", (SUMIFS(Captura_Pegaso!$H:$H, Captura_Pegaso!$A:$A, Captura_Obra!A7, Captura_Pegaso!$D:$D, Captura_Obra!B7, Captura_Pegaso!$E:$E, Captura_Obra!D7) + SUMIFS(Captura_Marimba_M01!$G:$G, Captura_Marimba_M01!$A:$A, Captura_Obra!A7, Captura_Marimba_M01!$C:$C, Captura_Obra!B7, Captura_Marimba_M01!$D:$D, Captura_Obra!D7))&gt;0), "", Captura_Obra!N7)</f>
        <v/>
      </c>
      <c r="D303" s="9513">
        <f>IF(OR(Captura_Obra!A7="", (SUMIFS(Captura_Pegaso!$H:$H, Captura_Pegaso!$A:$A, Captura_Obra!A7, Captura_Pegaso!$D:$D, Captura_Obra!B7, Captura_Pegaso!$E:$E, Captura_Obra!D7) + SUMIFS(Captura_Marimba_M01!$G:$G, Captura_Marimba_M01!$A:$A, Captura_Obra!A7, Captura_Marimba_M01!$C:$C, Captura_Obra!B7, Captura_Marimba_M01!$D:$D, Captura_Obra!D7))&gt;0), "", "❌ Falta en Pipa")</f>
        <v/>
      </c>
      <c r="E303" s="9514">
        <f>IF(OR(Captura_Obra!A7="", (SUMIFS(Captura_Pegaso!$H:$H, Captura_Pegaso!$A:$A, Captura_Obra!A7, Captura_Pegaso!$D:$D, Captura_Obra!B7, Captura_Pegaso!$E:$E, Captura_Obra!D7) + SUMIFS(Captura_Marimba_M01!$G:$G, Captura_Marimba_M01!$A:$A, Captura_Obra!A7, Captura_Marimba_M01!$C:$C, Captura_Obra!B7, Captura_Marimba_M01!$D:$D, Captura_Obra!D7))&gt;0), "", Captura_Obra!A7)</f>
        <v/>
      </c>
      <c r="F303" s="9515">
        <f>IF(OR(Captura_Obra!A7="", (SUMIFS(Captura_Pegaso!$H:$H, Captura_Pegaso!$A:$A, Captura_Obra!A7, Captura_Pegaso!$D:$D, Captura_Obra!B7, Captura_Pegaso!$E:$E, Captura_Obra!D7) + SUMIFS(Captura_Marimba_M01!$G:$G, Captura_Marimba_M01!$A:$A, Captura_Obra!A7, Captura_Marimba_M01!$C:$C, Captura_Obra!B7, Captura_Marimba_M01!$D:$D, Captura_Obra!D7))&gt;0), "", Captura_Obra!B7)</f>
        <v/>
      </c>
      <c r="G303" s="9516">
        <f>IF(OR(Captura_Obra!A7="", (SUMIFS(Captura_Pegaso!$H:$H, Captura_Pegaso!$A:$A, Captura_Obra!A7, Captura_Pegaso!$D:$D, Captura_Obra!B7, Captura_Pegaso!$E:$E, Captura_Obra!D7) + SUMIFS(Captura_Marimba_M01!$G:$G, Captura_Marimba_M01!$A:$A, Captura_Obra!A7, Captura_Marimba_M01!$C:$C, Captura_Obra!B7, Captura_Marimba_M01!$D:$D, Captura_Obra!D7))&gt;0), "", Captura_Obra!D7)</f>
        <v/>
      </c>
      <c r="H303" s="9517">
        <f>IF(OR(Captura_Obra!A7="", (SUMIFS(Captura_Pegaso!$H:$H, Captura_Pegaso!$A:$A, Captura_Obra!A7, Captura_Pegaso!$D:$D, Captura_Obra!B7, Captura_Pegaso!$E:$E, Captura_Obra!D7) + SUMIFS(Captura_Marimba_M01!$G:$G, Captura_Marimba_M01!$A:$A, Captura_Obra!A7, Captura_Marimba_M01!$C:$C, Captura_Obra!B7, Captura_Marimba_M01!$D:$D, Captura_Obra!D7))&gt;0), "", 0)</f>
        <v/>
      </c>
      <c r="I303" s="9518">
        <f>IF(OR(Captura_Obra!A7="", (SUMIFS(Captura_Pegaso!$H:$H, Captura_Pegaso!$A:$A, Captura_Obra!A7, Captura_Pegaso!$D:$D, Captura_Obra!B7, Captura_Pegaso!$E:$E, Captura_Obra!D7) + SUMIFS(Captura_Marimba_M01!$G:$G, Captura_Marimba_M01!$A:$A, Captura_Obra!A7, Captura_Marimba_M01!$C:$C, Captura_Obra!B7, Captura_Marimba_M01!$D:$D, Captura_Obra!D7))&gt;0), "", Captura_Obra!F7)</f>
        <v/>
      </c>
      <c r="J303" s="9519">
        <f>IF(OR(Captura_Obra!A7="", (SUMIFS(Captura_Pegaso!$H:$H, Captura_Pegaso!$A:$A, Captura_Obra!A7, Captura_Pegaso!$D:$D, Captura_Obra!B7, Captura_Pegaso!$E:$E, Captura_Obra!D7) + SUMIFS(Captura_Marimba_M01!$G:$G, Captura_Marimba_M01!$A:$A, Captura_Obra!A7, Captura_Marimba_M01!$C:$C, Captura_Obra!B7, Captura_Marimba_M01!$D:$D, Captura_Obra!D7))&gt;0), "", H303 - I303)</f>
        <v/>
      </c>
      <c r="K303" s="4112" t="n"/>
    </row>
    <row r="304">
      <c r="A304" s="9520">
        <f>IF(OR(Captura_Obra!A8="", (SUMIFS(Captura_Pegaso!$H:$H, Captura_Pegaso!$A:$A, Captura_Obra!A8, Captura_Pegaso!$D:$D, Captura_Obra!B8, Captura_Pegaso!$E:$E, Captura_Obra!D8) + SUMIFS(Captura_Marimba_M01!$G:$G, Captura_Marimba_M01!$A:$A, Captura_Obra!A8, Captura_Marimba_M01!$C:$C, Captura_Obra!B8, Captura_Marimba_M01!$D:$D, Captura_Obra!D8))&gt;0), "", "Huérfano Obra")</f>
        <v/>
      </c>
      <c r="B304" s="9521">
        <f>IF(OR(Captura_Obra!A8="", (SUMIFS(Captura_Pegaso!$H:$H, Captura_Pegaso!$A:$A, Captura_Obra!A8, Captura_Pegaso!$D:$D, Captura_Obra!B8, Captura_Pegaso!$E:$E, Captura_Obra!D8) + SUMIFS(Captura_Marimba_M01!$G:$G, Captura_Marimba_M01!$A:$A, Captura_Obra!A8, Captura_Marimba_M01!$C:$C, Captura_Obra!B8, Captura_Marimba_M01!$D:$D, Captura_Obra!D8))&gt;0), "", "No Reportado")</f>
        <v/>
      </c>
      <c r="C304" s="9522">
        <f>IF(OR(Captura_Obra!A8="", (SUMIFS(Captura_Pegaso!$H:$H, Captura_Pegaso!$A:$A, Captura_Obra!A8, Captura_Pegaso!$D:$D, Captura_Obra!B8, Captura_Pegaso!$E:$E, Captura_Obra!D8) + SUMIFS(Captura_Marimba_M01!$G:$G, Captura_Marimba_M01!$A:$A, Captura_Obra!A8, Captura_Marimba_M01!$C:$C, Captura_Obra!B8, Captura_Marimba_M01!$D:$D, Captura_Obra!D8))&gt;0), "", Captura_Obra!N8)</f>
        <v/>
      </c>
      <c r="D304" s="9523">
        <f>IF(OR(Captura_Obra!A8="", (SUMIFS(Captura_Pegaso!$H:$H, Captura_Pegaso!$A:$A, Captura_Obra!A8, Captura_Pegaso!$D:$D, Captura_Obra!B8, Captura_Pegaso!$E:$E, Captura_Obra!D8) + SUMIFS(Captura_Marimba_M01!$G:$G, Captura_Marimba_M01!$A:$A, Captura_Obra!A8, Captura_Marimba_M01!$C:$C, Captura_Obra!B8, Captura_Marimba_M01!$D:$D, Captura_Obra!D8))&gt;0), "", "❌ Falta en Pipa")</f>
        <v/>
      </c>
      <c r="E304" s="9524">
        <f>IF(OR(Captura_Obra!A8="", (SUMIFS(Captura_Pegaso!$H:$H, Captura_Pegaso!$A:$A, Captura_Obra!A8, Captura_Pegaso!$D:$D, Captura_Obra!B8, Captura_Pegaso!$E:$E, Captura_Obra!D8) + SUMIFS(Captura_Marimba_M01!$G:$G, Captura_Marimba_M01!$A:$A, Captura_Obra!A8, Captura_Marimba_M01!$C:$C, Captura_Obra!B8, Captura_Marimba_M01!$D:$D, Captura_Obra!D8))&gt;0), "", Captura_Obra!A8)</f>
        <v/>
      </c>
      <c r="F304" s="9525">
        <f>IF(OR(Captura_Obra!A8="", (SUMIFS(Captura_Pegaso!$H:$H, Captura_Pegaso!$A:$A, Captura_Obra!A8, Captura_Pegaso!$D:$D, Captura_Obra!B8, Captura_Pegaso!$E:$E, Captura_Obra!D8) + SUMIFS(Captura_Marimba_M01!$G:$G, Captura_Marimba_M01!$A:$A, Captura_Obra!A8, Captura_Marimba_M01!$C:$C, Captura_Obra!B8, Captura_Marimba_M01!$D:$D, Captura_Obra!D8))&gt;0), "", Captura_Obra!B8)</f>
        <v/>
      </c>
      <c r="G304" s="9526">
        <f>IF(OR(Captura_Obra!A8="", (SUMIFS(Captura_Pegaso!$H:$H, Captura_Pegaso!$A:$A, Captura_Obra!A8, Captura_Pegaso!$D:$D, Captura_Obra!B8, Captura_Pegaso!$E:$E, Captura_Obra!D8) + SUMIFS(Captura_Marimba_M01!$G:$G, Captura_Marimba_M01!$A:$A, Captura_Obra!A8, Captura_Marimba_M01!$C:$C, Captura_Obra!B8, Captura_Marimba_M01!$D:$D, Captura_Obra!D8))&gt;0), "", Captura_Obra!D8)</f>
        <v/>
      </c>
      <c r="H304" s="9527">
        <f>IF(OR(Captura_Obra!A8="", (SUMIFS(Captura_Pegaso!$H:$H, Captura_Pegaso!$A:$A, Captura_Obra!A8, Captura_Pegaso!$D:$D, Captura_Obra!B8, Captura_Pegaso!$E:$E, Captura_Obra!D8) + SUMIFS(Captura_Marimba_M01!$G:$G, Captura_Marimba_M01!$A:$A, Captura_Obra!A8, Captura_Marimba_M01!$C:$C, Captura_Obra!B8, Captura_Marimba_M01!$D:$D, Captura_Obra!D8))&gt;0), "", 0)</f>
        <v/>
      </c>
      <c r="I304" s="9528">
        <f>IF(OR(Captura_Obra!A8="", (SUMIFS(Captura_Pegaso!$H:$H, Captura_Pegaso!$A:$A, Captura_Obra!A8, Captura_Pegaso!$D:$D, Captura_Obra!B8, Captura_Pegaso!$E:$E, Captura_Obra!D8) + SUMIFS(Captura_Marimba_M01!$G:$G, Captura_Marimba_M01!$A:$A, Captura_Obra!A8, Captura_Marimba_M01!$C:$C, Captura_Obra!B8, Captura_Marimba_M01!$D:$D, Captura_Obra!D8))&gt;0), "", Captura_Obra!F8)</f>
        <v/>
      </c>
      <c r="J304" s="9529">
        <f>IF(OR(Captura_Obra!A8="", (SUMIFS(Captura_Pegaso!$H:$H, Captura_Pegaso!$A:$A, Captura_Obra!A8, Captura_Pegaso!$D:$D, Captura_Obra!B8, Captura_Pegaso!$E:$E, Captura_Obra!D8) + SUMIFS(Captura_Marimba_M01!$G:$G, Captura_Marimba_M01!$A:$A, Captura_Obra!A8, Captura_Marimba_M01!$C:$C, Captura_Obra!B8, Captura_Marimba_M01!$D:$D, Captura_Obra!D8))&gt;0), "", H304 - I304)</f>
        <v/>
      </c>
      <c r="K304" s="4113" t="n"/>
    </row>
    <row r="305">
      <c r="A305" s="9530">
        <f>IF(OR(Captura_Obra!A9="", (SUMIFS(Captura_Pegaso!$H:$H, Captura_Pegaso!$A:$A, Captura_Obra!A9, Captura_Pegaso!$D:$D, Captura_Obra!B9, Captura_Pegaso!$E:$E, Captura_Obra!D9) + SUMIFS(Captura_Marimba_M01!$G:$G, Captura_Marimba_M01!$A:$A, Captura_Obra!A9, Captura_Marimba_M01!$C:$C, Captura_Obra!B9, Captura_Marimba_M01!$D:$D, Captura_Obra!D9))&gt;0), "", "Huérfano Obra")</f>
        <v/>
      </c>
      <c r="B305" s="9531">
        <f>IF(OR(Captura_Obra!A9="", (SUMIFS(Captura_Pegaso!$H:$H, Captura_Pegaso!$A:$A, Captura_Obra!A9, Captura_Pegaso!$D:$D, Captura_Obra!B9, Captura_Pegaso!$E:$E, Captura_Obra!D9) + SUMIFS(Captura_Marimba_M01!$G:$G, Captura_Marimba_M01!$A:$A, Captura_Obra!A9, Captura_Marimba_M01!$C:$C, Captura_Obra!B9, Captura_Marimba_M01!$D:$D, Captura_Obra!D9))&gt;0), "", "No Reportado")</f>
        <v/>
      </c>
      <c r="C305" s="9532">
        <f>IF(OR(Captura_Obra!A9="", (SUMIFS(Captura_Pegaso!$H:$H, Captura_Pegaso!$A:$A, Captura_Obra!A9, Captura_Pegaso!$D:$D, Captura_Obra!B9, Captura_Pegaso!$E:$E, Captura_Obra!D9) + SUMIFS(Captura_Marimba_M01!$G:$G, Captura_Marimba_M01!$A:$A, Captura_Obra!A9, Captura_Marimba_M01!$C:$C, Captura_Obra!B9, Captura_Marimba_M01!$D:$D, Captura_Obra!D9))&gt;0), "", Captura_Obra!N9)</f>
        <v/>
      </c>
      <c r="D305" s="9533">
        <f>IF(OR(Captura_Obra!A9="", (SUMIFS(Captura_Pegaso!$H:$H, Captura_Pegaso!$A:$A, Captura_Obra!A9, Captura_Pegaso!$D:$D, Captura_Obra!B9, Captura_Pegaso!$E:$E, Captura_Obra!D9) + SUMIFS(Captura_Marimba_M01!$G:$G, Captura_Marimba_M01!$A:$A, Captura_Obra!A9, Captura_Marimba_M01!$C:$C, Captura_Obra!B9, Captura_Marimba_M01!$D:$D, Captura_Obra!D9))&gt;0), "", "❌ Falta en Pipa")</f>
        <v/>
      </c>
      <c r="E305" s="9534">
        <f>IF(OR(Captura_Obra!A9="", (SUMIFS(Captura_Pegaso!$H:$H, Captura_Pegaso!$A:$A, Captura_Obra!A9, Captura_Pegaso!$D:$D, Captura_Obra!B9, Captura_Pegaso!$E:$E, Captura_Obra!D9) + SUMIFS(Captura_Marimba_M01!$G:$G, Captura_Marimba_M01!$A:$A, Captura_Obra!A9, Captura_Marimba_M01!$C:$C, Captura_Obra!B9, Captura_Marimba_M01!$D:$D, Captura_Obra!D9))&gt;0), "", Captura_Obra!A9)</f>
        <v/>
      </c>
      <c r="F305" s="9535">
        <f>IF(OR(Captura_Obra!A9="", (SUMIFS(Captura_Pegaso!$H:$H, Captura_Pegaso!$A:$A, Captura_Obra!A9, Captura_Pegaso!$D:$D, Captura_Obra!B9, Captura_Pegaso!$E:$E, Captura_Obra!D9) + SUMIFS(Captura_Marimba_M01!$G:$G, Captura_Marimba_M01!$A:$A, Captura_Obra!A9, Captura_Marimba_M01!$C:$C, Captura_Obra!B9, Captura_Marimba_M01!$D:$D, Captura_Obra!D9))&gt;0), "", Captura_Obra!B9)</f>
        <v/>
      </c>
      <c r="G305" s="9536">
        <f>IF(OR(Captura_Obra!A9="", (SUMIFS(Captura_Pegaso!$H:$H, Captura_Pegaso!$A:$A, Captura_Obra!A9, Captura_Pegaso!$D:$D, Captura_Obra!B9, Captura_Pegaso!$E:$E, Captura_Obra!D9) + SUMIFS(Captura_Marimba_M01!$G:$G, Captura_Marimba_M01!$A:$A, Captura_Obra!A9, Captura_Marimba_M01!$C:$C, Captura_Obra!B9, Captura_Marimba_M01!$D:$D, Captura_Obra!D9))&gt;0), "", Captura_Obra!D9)</f>
        <v/>
      </c>
      <c r="H305" s="9537">
        <f>IF(OR(Captura_Obra!A9="", (SUMIFS(Captura_Pegaso!$H:$H, Captura_Pegaso!$A:$A, Captura_Obra!A9, Captura_Pegaso!$D:$D, Captura_Obra!B9, Captura_Pegaso!$E:$E, Captura_Obra!D9) + SUMIFS(Captura_Marimba_M01!$G:$G, Captura_Marimba_M01!$A:$A, Captura_Obra!A9, Captura_Marimba_M01!$C:$C, Captura_Obra!B9, Captura_Marimba_M01!$D:$D, Captura_Obra!D9))&gt;0), "", 0)</f>
        <v/>
      </c>
      <c r="I305" s="9538">
        <f>IF(OR(Captura_Obra!A9="", (SUMIFS(Captura_Pegaso!$H:$H, Captura_Pegaso!$A:$A, Captura_Obra!A9, Captura_Pegaso!$D:$D, Captura_Obra!B9, Captura_Pegaso!$E:$E, Captura_Obra!D9) + SUMIFS(Captura_Marimba_M01!$G:$G, Captura_Marimba_M01!$A:$A, Captura_Obra!A9, Captura_Marimba_M01!$C:$C, Captura_Obra!B9, Captura_Marimba_M01!$D:$D, Captura_Obra!D9))&gt;0), "", Captura_Obra!F9)</f>
        <v/>
      </c>
      <c r="J305" s="9539">
        <f>IF(OR(Captura_Obra!A9="", (SUMIFS(Captura_Pegaso!$H:$H, Captura_Pegaso!$A:$A, Captura_Obra!A9, Captura_Pegaso!$D:$D, Captura_Obra!B9, Captura_Pegaso!$E:$E, Captura_Obra!D9) + SUMIFS(Captura_Marimba_M01!$G:$G, Captura_Marimba_M01!$A:$A, Captura_Obra!A9, Captura_Marimba_M01!$C:$C, Captura_Obra!B9, Captura_Marimba_M01!$D:$D, Captura_Obra!D9))&gt;0), "", H305 - I305)</f>
        <v/>
      </c>
      <c r="K305" s="4114" t="n"/>
    </row>
    <row r="306">
      <c r="A306" s="9540">
        <f>IF(OR(Captura_Obra!A10="", (SUMIFS(Captura_Pegaso!$H:$H, Captura_Pegaso!$A:$A, Captura_Obra!A10, Captura_Pegaso!$D:$D, Captura_Obra!B10, Captura_Pegaso!$E:$E, Captura_Obra!D10) + SUMIFS(Captura_Marimba_M01!$G:$G, Captura_Marimba_M01!$A:$A, Captura_Obra!A10, Captura_Marimba_M01!$C:$C, Captura_Obra!B10, Captura_Marimba_M01!$D:$D, Captura_Obra!D10))&gt;0), "", "Huérfano Obra")</f>
        <v/>
      </c>
      <c r="B306" s="9541">
        <f>IF(OR(Captura_Obra!A10="", (SUMIFS(Captura_Pegaso!$H:$H, Captura_Pegaso!$A:$A, Captura_Obra!A10, Captura_Pegaso!$D:$D, Captura_Obra!B10, Captura_Pegaso!$E:$E, Captura_Obra!D10) + SUMIFS(Captura_Marimba_M01!$G:$G, Captura_Marimba_M01!$A:$A, Captura_Obra!A10, Captura_Marimba_M01!$C:$C, Captura_Obra!B10, Captura_Marimba_M01!$D:$D, Captura_Obra!D10))&gt;0), "", "No Reportado")</f>
        <v/>
      </c>
      <c r="C306" s="9542">
        <f>IF(OR(Captura_Obra!A10="", (SUMIFS(Captura_Pegaso!$H:$H, Captura_Pegaso!$A:$A, Captura_Obra!A10, Captura_Pegaso!$D:$D, Captura_Obra!B10, Captura_Pegaso!$E:$E, Captura_Obra!D10) + SUMIFS(Captura_Marimba_M01!$G:$G, Captura_Marimba_M01!$A:$A, Captura_Obra!A10, Captura_Marimba_M01!$C:$C, Captura_Obra!B10, Captura_Marimba_M01!$D:$D, Captura_Obra!D10))&gt;0), "", Captura_Obra!N10)</f>
        <v/>
      </c>
      <c r="D306" s="9543">
        <f>IF(OR(Captura_Obra!A10="", (SUMIFS(Captura_Pegaso!$H:$H, Captura_Pegaso!$A:$A, Captura_Obra!A10, Captura_Pegaso!$D:$D, Captura_Obra!B10, Captura_Pegaso!$E:$E, Captura_Obra!D10) + SUMIFS(Captura_Marimba_M01!$G:$G, Captura_Marimba_M01!$A:$A, Captura_Obra!A10, Captura_Marimba_M01!$C:$C, Captura_Obra!B10, Captura_Marimba_M01!$D:$D, Captura_Obra!D10))&gt;0), "", "❌ Falta en Pipa")</f>
        <v/>
      </c>
      <c r="E306" s="9544">
        <f>IF(OR(Captura_Obra!A10="", (SUMIFS(Captura_Pegaso!$H:$H, Captura_Pegaso!$A:$A, Captura_Obra!A10, Captura_Pegaso!$D:$D, Captura_Obra!B10, Captura_Pegaso!$E:$E, Captura_Obra!D10) + SUMIFS(Captura_Marimba_M01!$G:$G, Captura_Marimba_M01!$A:$A, Captura_Obra!A10, Captura_Marimba_M01!$C:$C, Captura_Obra!B10, Captura_Marimba_M01!$D:$D, Captura_Obra!D10))&gt;0), "", Captura_Obra!A10)</f>
        <v/>
      </c>
      <c r="F306" s="9545">
        <f>IF(OR(Captura_Obra!A10="", (SUMIFS(Captura_Pegaso!$H:$H, Captura_Pegaso!$A:$A, Captura_Obra!A10, Captura_Pegaso!$D:$D, Captura_Obra!B10, Captura_Pegaso!$E:$E, Captura_Obra!D10) + SUMIFS(Captura_Marimba_M01!$G:$G, Captura_Marimba_M01!$A:$A, Captura_Obra!A10, Captura_Marimba_M01!$C:$C, Captura_Obra!B10, Captura_Marimba_M01!$D:$D, Captura_Obra!D10))&gt;0), "", Captura_Obra!B10)</f>
        <v/>
      </c>
      <c r="G306" s="9546">
        <f>IF(OR(Captura_Obra!A10="", (SUMIFS(Captura_Pegaso!$H:$H, Captura_Pegaso!$A:$A, Captura_Obra!A10, Captura_Pegaso!$D:$D, Captura_Obra!B10, Captura_Pegaso!$E:$E, Captura_Obra!D10) + SUMIFS(Captura_Marimba_M01!$G:$G, Captura_Marimba_M01!$A:$A, Captura_Obra!A10, Captura_Marimba_M01!$C:$C, Captura_Obra!B10, Captura_Marimba_M01!$D:$D, Captura_Obra!D10))&gt;0), "", Captura_Obra!D10)</f>
        <v/>
      </c>
      <c r="H306" s="9547">
        <f>IF(OR(Captura_Obra!A10="", (SUMIFS(Captura_Pegaso!$H:$H, Captura_Pegaso!$A:$A, Captura_Obra!A10, Captura_Pegaso!$D:$D, Captura_Obra!B10, Captura_Pegaso!$E:$E, Captura_Obra!D10) + SUMIFS(Captura_Marimba_M01!$G:$G, Captura_Marimba_M01!$A:$A, Captura_Obra!A10, Captura_Marimba_M01!$C:$C, Captura_Obra!B10, Captura_Marimba_M01!$D:$D, Captura_Obra!D10))&gt;0), "", 0)</f>
        <v/>
      </c>
      <c r="I306" s="9548">
        <f>IF(OR(Captura_Obra!A10="", (SUMIFS(Captura_Pegaso!$H:$H, Captura_Pegaso!$A:$A, Captura_Obra!A10, Captura_Pegaso!$D:$D, Captura_Obra!B10, Captura_Pegaso!$E:$E, Captura_Obra!D10) + SUMIFS(Captura_Marimba_M01!$G:$G, Captura_Marimba_M01!$A:$A, Captura_Obra!A10, Captura_Marimba_M01!$C:$C, Captura_Obra!B10, Captura_Marimba_M01!$D:$D, Captura_Obra!D10))&gt;0), "", Captura_Obra!F10)</f>
        <v/>
      </c>
      <c r="J306" s="9549">
        <f>IF(OR(Captura_Obra!A10="", (SUMIFS(Captura_Pegaso!$H:$H, Captura_Pegaso!$A:$A, Captura_Obra!A10, Captura_Pegaso!$D:$D, Captura_Obra!B10, Captura_Pegaso!$E:$E, Captura_Obra!D10) + SUMIFS(Captura_Marimba_M01!$G:$G, Captura_Marimba_M01!$A:$A, Captura_Obra!A10, Captura_Marimba_M01!$C:$C, Captura_Obra!B10, Captura_Marimba_M01!$D:$D, Captura_Obra!D10))&gt;0), "", H306 - I306)</f>
        <v/>
      </c>
      <c r="K306" s="4115" t="n"/>
    </row>
    <row r="307">
      <c r="A307" s="9550">
        <f>IF(OR(Captura_Obra!A11="", (SUMIFS(Captura_Pegaso!$H:$H, Captura_Pegaso!$A:$A, Captura_Obra!A11, Captura_Pegaso!$D:$D, Captura_Obra!B11, Captura_Pegaso!$E:$E, Captura_Obra!D11) + SUMIFS(Captura_Marimba_M01!$G:$G, Captura_Marimba_M01!$A:$A, Captura_Obra!A11, Captura_Marimba_M01!$C:$C, Captura_Obra!B11, Captura_Marimba_M01!$D:$D, Captura_Obra!D11))&gt;0), "", "Huérfano Obra")</f>
        <v/>
      </c>
      <c r="B307" s="9551">
        <f>IF(OR(Captura_Obra!A11="", (SUMIFS(Captura_Pegaso!$H:$H, Captura_Pegaso!$A:$A, Captura_Obra!A11, Captura_Pegaso!$D:$D, Captura_Obra!B11, Captura_Pegaso!$E:$E, Captura_Obra!D11) + SUMIFS(Captura_Marimba_M01!$G:$G, Captura_Marimba_M01!$A:$A, Captura_Obra!A11, Captura_Marimba_M01!$C:$C, Captura_Obra!B11, Captura_Marimba_M01!$D:$D, Captura_Obra!D11))&gt;0), "", "No Reportado")</f>
        <v/>
      </c>
      <c r="C307" s="9552">
        <f>IF(OR(Captura_Obra!A11="", (SUMIFS(Captura_Pegaso!$H:$H, Captura_Pegaso!$A:$A, Captura_Obra!A11, Captura_Pegaso!$D:$D, Captura_Obra!B11, Captura_Pegaso!$E:$E, Captura_Obra!D11) + SUMIFS(Captura_Marimba_M01!$G:$G, Captura_Marimba_M01!$A:$A, Captura_Obra!A11, Captura_Marimba_M01!$C:$C, Captura_Obra!B11, Captura_Marimba_M01!$D:$D, Captura_Obra!D11))&gt;0), "", Captura_Obra!N11)</f>
        <v/>
      </c>
      <c r="D307" s="9553">
        <f>IF(OR(Captura_Obra!A11="", (SUMIFS(Captura_Pegaso!$H:$H, Captura_Pegaso!$A:$A, Captura_Obra!A11, Captura_Pegaso!$D:$D, Captura_Obra!B11, Captura_Pegaso!$E:$E, Captura_Obra!D11) + SUMIFS(Captura_Marimba_M01!$G:$G, Captura_Marimba_M01!$A:$A, Captura_Obra!A11, Captura_Marimba_M01!$C:$C, Captura_Obra!B11, Captura_Marimba_M01!$D:$D, Captura_Obra!D11))&gt;0), "", "❌ Falta en Pipa")</f>
        <v/>
      </c>
      <c r="E307" s="9554">
        <f>IF(OR(Captura_Obra!A11="", (SUMIFS(Captura_Pegaso!$H:$H, Captura_Pegaso!$A:$A, Captura_Obra!A11, Captura_Pegaso!$D:$D, Captura_Obra!B11, Captura_Pegaso!$E:$E, Captura_Obra!D11) + SUMIFS(Captura_Marimba_M01!$G:$G, Captura_Marimba_M01!$A:$A, Captura_Obra!A11, Captura_Marimba_M01!$C:$C, Captura_Obra!B11, Captura_Marimba_M01!$D:$D, Captura_Obra!D11))&gt;0), "", Captura_Obra!A11)</f>
        <v/>
      </c>
      <c r="F307" s="9555">
        <f>IF(OR(Captura_Obra!A11="", (SUMIFS(Captura_Pegaso!$H:$H, Captura_Pegaso!$A:$A, Captura_Obra!A11, Captura_Pegaso!$D:$D, Captura_Obra!B11, Captura_Pegaso!$E:$E, Captura_Obra!D11) + SUMIFS(Captura_Marimba_M01!$G:$G, Captura_Marimba_M01!$A:$A, Captura_Obra!A11, Captura_Marimba_M01!$C:$C, Captura_Obra!B11, Captura_Marimba_M01!$D:$D, Captura_Obra!D11))&gt;0), "", Captura_Obra!B11)</f>
        <v/>
      </c>
      <c r="G307" s="9556">
        <f>IF(OR(Captura_Obra!A11="", (SUMIFS(Captura_Pegaso!$H:$H, Captura_Pegaso!$A:$A, Captura_Obra!A11, Captura_Pegaso!$D:$D, Captura_Obra!B11, Captura_Pegaso!$E:$E, Captura_Obra!D11) + SUMIFS(Captura_Marimba_M01!$G:$G, Captura_Marimba_M01!$A:$A, Captura_Obra!A11, Captura_Marimba_M01!$C:$C, Captura_Obra!B11, Captura_Marimba_M01!$D:$D, Captura_Obra!D11))&gt;0), "", Captura_Obra!D11)</f>
        <v/>
      </c>
      <c r="H307" s="9557">
        <f>IF(OR(Captura_Obra!A11="", (SUMIFS(Captura_Pegaso!$H:$H, Captura_Pegaso!$A:$A, Captura_Obra!A11, Captura_Pegaso!$D:$D, Captura_Obra!B11, Captura_Pegaso!$E:$E, Captura_Obra!D11) + SUMIFS(Captura_Marimba_M01!$G:$G, Captura_Marimba_M01!$A:$A, Captura_Obra!A11, Captura_Marimba_M01!$C:$C, Captura_Obra!B11, Captura_Marimba_M01!$D:$D, Captura_Obra!D11))&gt;0), "", 0)</f>
        <v/>
      </c>
      <c r="I307" s="9558">
        <f>IF(OR(Captura_Obra!A11="", (SUMIFS(Captura_Pegaso!$H:$H, Captura_Pegaso!$A:$A, Captura_Obra!A11, Captura_Pegaso!$D:$D, Captura_Obra!B11, Captura_Pegaso!$E:$E, Captura_Obra!D11) + SUMIFS(Captura_Marimba_M01!$G:$G, Captura_Marimba_M01!$A:$A, Captura_Obra!A11, Captura_Marimba_M01!$C:$C, Captura_Obra!B11, Captura_Marimba_M01!$D:$D, Captura_Obra!D11))&gt;0), "", Captura_Obra!F11)</f>
        <v/>
      </c>
      <c r="J307" s="9559">
        <f>IF(OR(Captura_Obra!A11="", (SUMIFS(Captura_Pegaso!$H:$H, Captura_Pegaso!$A:$A, Captura_Obra!A11, Captura_Pegaso!$D:$D, Captura_Obra!B11, Captura_Pegaso!$E:$E, Captura_Obra!D11) + SUMIFS(Captura_Marimba_M01!$G:$G, Captura_Marimba_M01!$A:$A, Captura_Obra!A11, Captura_Marimba_M01!$C:$C, Captura_Obra!B11, Captura_Marimba_M01!$D:$D, Captura_Obra!D11))&gt;0), "", H307 - I307)</f>
        <v/>
      </c>
      <c r="K307" s="4116" t="n"/>
    </row>
    <row r="308">
      <c r="A308" s="9560">
        <f>IF(OR(Captura_Obra!A12="", (SUMIFS(Captura_Pegaso!$H:$H, Captura_Pegaso!$A:$A, Captura_Obra!A12, Captura_Pegaso!$D:$D, Captura_Obra!B12, Captura_Pegaso!$E:$E, Captura_Obra!D12) + SUMIFS(Captura_Marimba_M01!$G:$G, Captura_Marimba_M01!$A:$A, Captura_Obra!A12, Captura_Marimba_M01!$C:$C, Captura_Obra!B12, Captura_Marimba_M01!$D:$D, Captura_Obra!D12))&gt;0), "", "Huérfano Obra")</f>
        <v/>
      </c>
      <c r="B308" s="9561">
        <f>IF(OR(Captura_Obra!A12="", (SUMIFS(Captura_Pegaso!$H:$H, Captura_Pegaso!$A:$A, Captura_Obra!A12, Captura_Pegaso!$D:$D, Captura_Obra!B12, Captura_Pegaso!$E:$E, Captura_Obra!D12) + SUMIFS(Captura_Marimba_M01!$G:$G, Captura_Marimba_M01!$A:$A, Captura_Obra!A12, Captura_Marimba_M01!$C:$C, Captura_Obra!B12, Captura_Marimba_M01!$D:$D, Captura_Obra!D12))&gt;0), "", "No Reportado")</f>
        <v/>
      </c>
      <c r="C308" s="9562">
        <f>IF(OR(Captura_Obra!A12="", (SUMIFS(Captura_Pegaso!$H:$H, Captura_Pegaso!$A:$A, Captura_Obra!A12, Captura_Pegaso!$D:$D, Captura_Obra!B12, Captura_Pegaso!$E:$E, Captura_Obra!D12) + SUMIFS(Captura_Marimba_M01!$G:$G, Captura_Marimba_M01!$A:$A, Captura_Obra!A12, Captura_Marimba_M01!$C:$C, Captura_Obra!B12, Captura_Marimba_M01!$D:$D, Captura_Obra!D12))&gt;0), "", Captura_Obra!N12)</f>
        <v/>
      </c>
      <c r="D308" s="9563">
        <f>IF(OR(Captura_Obra!A12="", (SUMIFS(Captura_Pegaso!$H:$H, Captura_Pegaso!$A:$A, Captura_Obra!A12, Captura_Pegaso!$D:$D, Captura_Obra!B12, Captura_Pegaso!$E:$E, Captura_Obra!D12) + SUMIFS(Captura_Marimba_M01!$G:$G, Captura_Marimba_M01!$A:$A, Captura_Obra!A12, Captura_Marimba_M01!$C:$C, Captura_Obra!B12, Captura_Marimba_M01!$D:$D, Captura_Obra!D12))&gt;0), "", "❌ Falta en Pipa")</f>
        <v/>
      </c>
      <c r="E308" s="9564">
        <f>IF(OR(Captura_Obra!A12="", (SUMIFS(Captura_Pegaso!$H:$H, Captura_Pegaso!$A:$A, Captura_Obra!A12, Captura_Pegaso!$D:$D, Captura_Obra!B12, Captura_Pegaso!$E:$E, Captura_Obra!D12) + SUMIFS(Captura_Marimba_M01!$G:$G, Captura_Marimba_M01!$A:$A, Captura_Obra!A12, Captura_Marimba_M01!$C:$C, Captura_Obra!B12, Captura_Marimba_M01!$D:$D, Captura_Obra!D12))&gt;0), "", Captura_Obra!A12)</f>
        <v/>
      </c>
      <c r="F308" s="9565">
        <f>IF(OR(Captura_Obra!A12="", (SUMIFS(Captura_Pegaso!$H:$H, Captura_Pegaso!$A:$A, Captura_Obra!A12, Captura_Pegaso!$D:$D, Captura_Obra!B12, Captura_Pegaso!$E:$E, Captura_Obra!D12) + SUMIFS(Captura_Marimba_M01!$G:$G, Captura_Marimba_M01!$A:$A, Captura_Obra!A12, Captura_Marimba_M01!$C:$C, Captura_Obra!B12, Captura_Marimba_M01!$D:$D, Captura_Obra!D12))&gt;0), "", Captura_Obra!B12)</f>
        <v/>
      </c>
      <c r="G308" s="9566">
        <f>IF(OR(Captura_Obra!A12="", (SUMIFS(Captura_Pegaso!$H:$H, Captura_Pegaso!$A:$A, Captura_Obra!A12, Captura_Pegaso!$D:$D, Captura_Obra!B12, Captura_Pegaso!$E:$E, Captura_Obra!D12) + SUMIFS(Captura_Marimba_M01!$G:$G, Captura_Marimba_M01!$A:$A, Captura_Obra!A12, Captura_Marimba_M01!$C:$C, Captura_Obra!B12, Captura_Marimba_M01!$D:$D, Captura_Obra!D12))&gt;0), "", Captura_Obra!D12)</f>
        <v/>
      </c>
      <c r="H308" s="9567">
        <f>IF(OR(Captura_Obra!A12="", (SUMIFS(Captura_Pegaso!$H:$H, Captura_Pegaso!$A:$A, Captura_Obra!A12, Captura_Pegaso!$D:$D, Captura_Obra!B12, Captura_Pegaso!$E:$E, Captura_Obra!D12) + SUMIFS(Captura_Marimba_M01!$G:$G, Captura_Marimba_M01!$A:$A, Captura_Obra!A12, Captura_Marimba_M01!$C:$C, Captura_Obra!B12, Captura_Marimba_M01!$D:$D, Captura_Obra!D12))&gt;0), "", 0)</f>
        <v/>
      </c>
      <c r="I308" s="9568">
        <f>IF(OR(Captura_Obra!A12="", (SUMIFS(Captura_Pegaso!$H:$H, Captura_Pegaso!$A:$A, Captura_Obra!A12, Captura_Pegaso!$D:$D, Captura_Obra!B12, Captura_Pegaso!$E:$E, Captura_Obra!D12) + SUMIFS(Captura_Marimba_M01!$G:$G, Captura_Marimba_M01!$A:$A, Captura_Obra!A12, Captura_Marimba_M01!$C:$C, Captura_Obra!B12, Captura_Marimba_M01!$D:$D, Captura_Obra!D12))&gt;0), "", Captura_Obra!F12)</f>
        <v/>
      </c>
      <c r="J308" s="9569">
        <f>IF(OR(Captura_Obra!A12="", (SUMIFS(Captura_Pegaso!$H:$H, Captura_Pegaso!$A:$A, Captura_Obra!A12, Captura_Pegaso!$D:$D, Captura_Obra!B12, Captura_Pegaso!$E:$E, Captura_Obra!D12) + SUMIFS(Captura_Marimba_M01!$G:$G, Captura_Marimba_M01!$A:$A, Captura_Obra!A12, Captura_Marimba_M01!$C:$C, Captura_Obra!B12, Captura_Marimba_M01!$D:$D, Captura_Obra!D12))&gt;0), "", H308 - I308)</f>
        <v/>
      </c>
      <c r="K308" s="4117" t="n"/>
    </row>
    <row r="309">
      <c r="A309" s="9570">
        <f>IF(OR(Captura_Obra!A13="", (SUMIFS(Captura_Pegaso!$H:$H, Captura_Pegaso!$A:$A, Captura_Obra!A13, Captura_Pegaso!$D:$D, Captura_Obra!B13, Captura_Pegaso!$E:$E, Captura_Obra!D13) + SUMIFS(Captura_Marimba_M01!$G:$G, Captura_Marimba_M01!$A:$A, Captura_Obra!A13, Captura_Marimba_M01!$C:$C, Captura_Obra!B13, Captura_Marimba_M01!$D:$D, Captura_Obra!D13))&gt;0), "", "Huérfano Obra")</f>
        <v/>
      </c>
      <c r="B309" s="9571">
        <f>IF(OR(Captura_Obra!A13="", (SUMIFS(Captura_Pegaso!$H:$H, Captura_Pegaso!$A:$A, Captura_Obra!A13, Captura_Pegaso!$D:$D, Captura_Obra!B13, Captura_Pegaso!$E:$E, Captura_Obra!D13) + SUMIFS(Captura_Marimba_M01!$G:$G, Captura_Marimba_M01!$A:$A, Captura_Obra!A13, Captura_Marimba_M01!$C:$C, Captura_Obra!B13, Captura_Marimba_M01!$D:$D, Captura_Obra!D13))&gt;0), "", "No Reportado")</f>
        <v/>
      </c>
      <c r="C309" s="9572">
        <f>IF(OR(Captura_Obra!A13="", (SUMIFS(Captura_Pegaso!$H:$H, Captura_Pegaso!$A:$A, Captura_Obra!A13, Captura_Pegaso!$D:$D, Captura_Obra!B13, Captura_Pegaso!$E:$E, Captura_Obra!D13) + SUMIFS(Captura_Marimba_M01!$G:$G, Captura_Marimba_M01!$A:$A, Captura_Obra!A13, Captura_Marimba_M01!$C:$C, Captura_Obra!B13, Captura_Marimba_M01!$D:$D, Captura_Obra!D13))&gt;0), "", Captura_Obra!N13)</f>
        <v/>
      </c>
      <c r="D309" s="9573">
        <f>IF(OR(Captura_Obra!A13="", (SUMIFS(Captura_Pegaso!$H:$H, Captura_Pegaso!$A:$A, Captura_Obra!A13, Captura_Pegaso!$D:$D, Captura_Obra!B13, Captura_Pegaso!$E:$E, Captura_Obra!D13) + SUMIFS(Captura_Marimba_M01!$G:$G, Captura_Marimba_M01!$A:$A, Captura_Obra!A13, Captura_Marimba_M01!$C:$C, Captura_Obra!B13, Captura_Marimba_M01!$D:$D, Captura_Obra!D13))&gt;0), "", "❌ Falta en Pipa")</f>
        <v/>
      </c>
      <c r="E309" s="9574">
        <f>IF(OR(Captura_Obra!A13="", (SUMIFS(Captura_Pegaso!$H:$H, Captura_Pegaso!$A:$A, Captura_Obra!A13, Captura_Pegaso!$D:$D, Captura_Obra!B13, Captura_Pegaso!$E:$E, Captura_Obra!D13) + SUMIFS(Captura_Marimba_M01!$G:$G, Captura_Marimba_M01!$A:$A, Captura_Obra!A13, Captura_Marimba_M01!$C:$C, Captura_Obra!B13, Captura_Marimba_M01!$D:$D, Captura_Obra!D13))&gt;0), "", Captura_Obra!A13)</f>
        <v/>
      </c>
      <c r="F309" s="9575">
        <f>IF(OR(Captura_Obra!A13="", (SUMIFS(Captura_Pegaso!$H:$H, Captura_Pegaso!$A:$A, Captura_Obra!A13, Captura_Pegaso!$D:$D, Captura_Obra!B13, Captura_Pegaso!$E:$E, Captura_Obra!D13) + SUMIFS(Captura_Marimba_M01!$G:$G, Captura_Marimba_M01!$A:$A, Captura_Obra!A13, Captura_Marimba_M01!$C:$C, Captura_Obra!B13, Captura_Marimba_M01!$D:$D, Captura_Obra!D13))&gt;0), "", Captura_Obra!B13)</f>
        <v/>
      </c>
      <c r="G309" s="9576">
        <f>IF(OR(Captura_Obra!A13="", (SUMIFS(Captura_Pegaso!$H:$H, Captura_Pegaso!$A:$A, Captura_Obra!A13, Captura_Pegaso!$D:$D, Captura_Obra!B13, Captura_Pegaso!$E:$E, Captura_Obra!D13) + SUMIFS(Captura_Marimba_M01!$G:$G, Captura_Marimba_M01!$A:$A, Captura_Obra!A13, Captura_Marimba_M01!$C:$C, Captura_Obra!B13, Captura_Marimba_M01!$D:$D, Captura_Obra!D13))&gt;0), "", Captura_Obra!D13)</f>
        <v/>
      </c>
      <c r="H309" s="9577">
        <f>IF(OR(Captura_Obra!A13="", (SUMIFS(Captura_Pegaso!$H:$H, Captura_Pegaso!$A:$A, Captura_Obra!A13, Captura_Pegaso!$D:$D, Captura_Obra!B13, Captura_Pegaso!$E:$E, Captura_Obra!D13) + SUMIFS(Captura_Marimba_M01!$G:$G, Captura_Marimba_M01!$A:$A, Captura_Obra!A13, Captura_Marimba_M01!$C:$C, Captura_Obra!B13, Captura_Marimba_M01!$D:$D, Captura_Obra!D13))&gt;0), "", 0)</f>
        <v/>
      </c>
      <c r="I309" s="9578">
        <f>IF(OR(Captura_Obra!A13="", (SUMIFS(Captura_Pegaso!$H:$H, Captura_Pegaso!$A:$A, Captura_Obra!A13, Captura_Pegaso!$D:$D, Captura_Obra!B13, Captura_Pegaso!$E:$E, Captura_Obra!D13) + SUMIFS(Captura_Marimba_M01!$G:$G, Captura_Marimba_M01!$A:$A, Captura_Obra!A13, Captura_Marimba_M01!$C:$C, Captura_Obra!B13, Captura_Marimba_M01!$D:$D, Captura_Obra!D13))&gt;0), "", Captura_Obra!F13)</f>
        <v/>
      </c>
      <c r="J309" s="9579">
        <f>IF(OR(Captura_Obra!A13="", (SUMIFS(Captura_Pegaso!$H:$H, Captura_Pegaso!$A:$A, Captura_Obra!A13, Captura_Pegaso!$D:$D, Captura_Obra!B13, Captura_Pegaso!$E:$E, Captura_Obra!D13) + SUMIFS(Captura_Marimba_M01!$G:$G, Captura_Marimba_M01!$A:$A, Captura_Obra!A13, Captura_Marimba_M01!$C:$C, Captura_Obra!B13, Captura_Marimba_M01!$D:$D, Captura_Obra!D13))&gt;0), "", H309 - I309)</f>
        <v/>
      </c>
      <c r="K309" s="4118" t="n"/>
    </row>
    <row r="310">
      <c r="A310" s="9580">
        <f>IF(OR(Captura_Obra!A14="", (SUMIFS(Captura_Pegaso!$H:$H, Captura_Pegaso!$A:$A, Captura_Obra!A14, Captura_Pegaso!$D:$D, Captura_Obra!B14, Captura_Pegaso!$E:$E, Captura_Obra!D14) + SUMIFS(Captura_Marimba_M01!$G:$G, Captura_Marimba_M01!$A:$A, Captura_Obra!A14, Captura_Marimba_M01!$C:$C, Captura_Obra!B14, Captura_Marimba_M01!$D:$D, Captura_Obra!D14))&gt;0), "", "Huérfano Obra")</f>
        <v/>
      </c>
      <c r="B310" s="9581">
        <f>IF(OR(Captura_Obra!A14="", (SUMIFS(Captura_Pegaso!$H:$H, Captura_Pegaso!$A:$A, Captura_Obra!A14, Captura_Pegaso!$D:$D, Captura_Obra!B14, Captura_Pegaso!$E:$E, Captura_Obra!D14) + SUMIFS(Captura_Marimba_M01!$G:$G, Captura_Marimba_M01!$A:$A, Captura_Obra!A14, Captura_Marimba_M01!$C:$C, Captura_Obra!B14, Captura_Marimba_M01!$D:$D, Captura_Obra!D14))&gt;0), "", "No Reportado")</f>
        <v/>
      </c>
      <c r="C310" s="9582">
        <f>IF(OR(Captura_Obra!A14="", (SUMIFS(Captura_Pegaso!$H:$H, Captura_Pegaso!$A:$A, Captura_Obra!A14, Captura_Pegaso!$D:$D, Captura_Obra!B14, Captura_Pegaso!$E:$E, Captura_Obra!D14) + SUMIFS(Captura_Marimba_M01!$G:$G, Captura_Marimba_M01!$A:$A, Captura_Obra!A14, Captura_Marimba_M01!$C:$C, Captura_Obra!B14, Captura_Marimba_M01!$D:$D, Captura_Obra!D14))&gt;0), "", Captura_Obra!N14)</f>
        <v/>
      </c>
      <c r="D310" s="9583">
        <f>IF(OR(Captura_Obra!A14="", (SUMIFS(Captura_Pegaso!$H:$H, Captura_Pegaso!$A:$A, Captura_Obra!A14, Captura_Pegaso!$D:$D, Captura_Obra!B14, Captura_Pegaso!$E:$E, Captura_Obra!D14) + SUMIFS(Captura_Marimba_M01!$G:$G, Captura_Marimba_M01!$A:$A, Captura_Obra!A14, Captura_Marimba_M01!$C:$C, Captura_Obra!B14, Captura_Marimba_M01!$D:$D, Captura_Obra!D14))&gt;0), "", "❌ Falta en Pipa")</f>
        <v/>
      </c>
      <c r="E310" s="9584">
        <f>IF(OR(Captura_Obra!A14="", (SUMIFS(Captura_Pegaso!$H:$H, Captura_Pegaso!$A:$A, Captura_Obra!A14, Captura_Pegaso!$D:$D, Captura_Obra!B14, Captura_Pegaso!$E:$E, Captura_Obra!D14) + SUMIFS(Captura_Marimba_M01!$G:$G, Captura_Marimba_M01!$A:$A, Captura_Obra!A14, Captura_Marimba_M01!$C:$C, Captura_Obra!B14, Captura_Marimba_M01!$D:$D, Captura_Obra!D14))&gt;0), "", Captura_Obra!A14)</f>
        <v/>
      </c>
      <c r="F310" s="9585">
        <f>IF(OR(Captura_Obra!A14="", (SUMIFS(Captura_Pegaso!$H:$H, Captura_Pegaso!$A:$A, Captura_Obra!A14, Captura_Pegaso!$D:$D, Captura_Obra!B14, Captura_Pegaso!$E:$E, Captura_Obra!D14) + SUMIFS(Captura_Marimba_M01!$G:$G, Captura_Marimba_M01!$A:$A, Captura_Obra!A14, Captura_Marimba_M01!$C:$C, Captura_Obra!B14, Captura_Marimba_M01!$D:$D, Captura_Obra!D14))&gt;0), "", Captura_Obra!B14)</f>
        <v/>
      </c>
      <c r="G310" s="9586">
        <f>IF(OR(Captura_Obra!A14="", (SUMIFS(Captura_Pegaso!$H:$H, Captura_Pegaso!$A:$A, Captura_Obra!A14, Captura_Pegaso!$D:$D, Captura_Obra!B14, Captura_Pegaso!$E:$E, Captura_Obra!D14) + SUMIFS(Captura_Marimba_M01!$G:$G, Captura_Marimba_M01!$A:$A, Captura_Obra!A14, Captura_Marimba_M01!$C:$C, Captura_Obra!B14, Captura_Marimba_M01!$D:$D, Captura_Obra!D14))&gt;0), "", Captura_Obra!D14)</f>
        <v/>
      </c>
      <c r="H310" s="9587">
        <f>IF(OR(Captura_Obra!A14="", (SUMIFS(Captura_Pegaso!$H:$H, Captura_Pegaso!$A:$A, Captura_Obra!A14, Captura_Pegaso!$D:$D, Captura_Obra!B14, Captura_Pegaso!$E:$E, Captura_Obra!D14) + SUMIFS(Captura_Marimba_M01!$G:$G, Captura_Marimba_M01!$A:$A, Captura_Obra!A14, Captura_Marimba_M01!$C:$C, Captura_Obra!B14, Captura_Marimba_M01!$D:$D, Captura_Obra!D14))&gt;0), "", 0)</f>
        <v/>
      </c>
      <c r="I310" s="9588">
        <f>IF(OR(Captura_Obra!A14="", (SUMIFS(Captura_Pegaso!$H:$H, Captura_Pegaso!$A:$A, Captura_Obra!A14, Captura_Pegaso!$D:$D, Captura_Obra!B14, Captura_Pegaso!$E:$E, Captura_Obra!D14) + SUMIFS(Captura_Marimba_M01!$G:$G, Captura_Marimba_M01!$A:$A, Captura_Obra!A14, Captura_Marimba_M01!$C:$C, Captura_Obra!B14, Captura_Marimba_M01!$D:$D, Captura_Obra!D14))&gt;0), "", Captura_Obra!F14)</f>
        <v/>
      </c>
      <c r="J310" s="9589">
        <f>IF(OR(Captura_Obra!A14="", (SUMIFS(Captura_Pegaso!$H:$H, Captura_Pegaso!$A:$A, Captura_Obra!A14, Captura_Pegaso!$D:$D, Captura_Obra!B14, Captura_Pegaso!$E:$E, Captura_Obra!D14) + SUMIFS(Captura_Marimba_M01!$G:$G, Captura_Marimba_M01!$A:$A, Captura_Obra!A14, Captura_Marimba_M01!$C:$C, Captura_Obra!B14, Captura_Marimba_M01!$D:$D, Captura_Obra!D14))&gt;0), "", H310 - I310)</f>
        <v/>
      </c>
      <c r="K310" s="4119" t="n"/>
    </row>
    <row r="311">
      <c r="A311" s="9590">
        <f>IF(OR(Captura_Obra!A15="", (SUMIFS(Captura_Pegaso!$H:$H, Captura_Pegaso!$A:$A, Captura_Obra!A15, Captura_Pegaso!$D:$D, Captura_Obra!B15, Captura_Pegaso!$E:$E, Captura_Obra!D15) + SUMIFS(Captura_Marimba_M01!$G:$G, Captura_Marimba_M01!$A:$A, Captura_Obra!A15, Captura_Marimba_M01!$C:$C, Captura_Obra!B15, Captura_Marimba_M01!$D:$D, Captura_Obra!D15))&gt;0), "", "Huérfano Obra")</f>
        <v/>
      </c>
      <c r="B311" s="9591">
        <f>IF(OR(Captura_Obra!A15="", (SUMIFS(Captura_Pegaso!$H:$H, Captura_Pegaso!$A:$A, Captura_Obra!A15, Captura_Pegaso!$D:$D, Captura_Obra!B15, Captura_Pegaso!$E:$E, Captura_Obra!D15) + SUMIFS(Captura_Marimba_M01!$G:$G, Captura_Marimba_M01!$A:$A, Captura_Obra!A15, Captura_Marimba_M01!$C:$C, Captura_Obra!B15, Captura_Marimba_M01!$D:$D, Captura_Obra!D15))&gt;0), "", "No Reportado")</f>
        <v/>
      </c>
      <c r="C311" s="9592">
        <f>IF(OR(Captura_Obra!A15="", (SUMIFS(Captura_Pegaso!$H:$H, Captura_Pegaso!$A:$A, Captura_Obra!A15, Captura_Pegaso!$D:$D, Captura_Obra!B15, Captura_Pegaso!$E:$E, Captura_Obra!D15) + SUMIFS(Captura_Marimba_M01!$G:$G, Captura_Marimba_M01!$A:$A, Captura_Obra!A15, Captura_Marimba_M01!$C:$C, Captura_Obra!B15, Captura_Marimba_M01!$D:$D, Captura_Obra!D15))&gt;0), "", Captura_Obra!N15)</f>
        <v/>
      </c>
      <c r="D311" s="9593">
        <f>IF(OR(Captura_Obra!A15="", (SUMIFS(Captura_Pegaso!$H:$H, Captura_Pegaso!$A:$A, Captura_Obra!A15, Captura_Pegaso!$D:$D, Captura_Obra!B15, Captura_Pegaso!$E:$E, Captura_Obra!D15) + SUMIFS(Captura_Marimba_M01!$G:$G, Captura_Marimba_M01!$A:$A, Captura_Obra!A15, Captura_Marimba_M01!$C:$C, Captura_Obra!B15, Captura_Marimba_M01!$D:$D, Captura_Obra!D15))&gt;0), "", "❌ Falta en Pipa")</f>
        <v/>
      </c>
      <c r="E311" s="9594">
        <f>IF(OR(Captura_Obra!A15="", (SUMIFS(Captura_Pegaso!$H:$H, Captura_Pegaso!$A:$A, Captura_Obra!A15, Captura_Pegaso!$D:$D, Captura_Obra!B15, Captura_Pegaso!$E:$E, Captura_Obra!D15) + SUMIFS(Captura_Marimba_M01!$G:$G, Captura_Marimba_M01!$A:$A, Captura_Obra!A15, Captura_Marimba_M01!$C:$C, Captura_Obra!B15, Captura_Marimba_M01!$D:$D, Captura_Obra!D15))&gt;0), "", Captura_Obra!A15)</f>
        <v/>
      </c>
      <c r="F311" s="9595">
        <f>IF(OR(Captura_Obra!A15="", (SUMIFS(Captura_Pegaso!$H:$H, Captura_Pegaso!$A:$A, Captura_Obra!A15, Captura_Pegaso!$D:$D, Captura_Obra!B15, Captura_Pegaso!$E:$E, Captura_Obra!D15) + SUMIFS(Captura_Marimba_M01!$G:$G, Captura_Marimba_M01!$A:$A, Captura_Obra!A15, Captura_Marimba_M01!$C:$C, Captura_Obra!B15, Captura_Marimba_M01!$D:$D, Captura_Obra!D15))&gt;0), "", Captura_Obra!B15)</f>
        <v/>
      </c>
      <c r="G311" s="9596">
        <f>IF(OR(Captura_Obra!A15="", (SUMIFS(Captura_Pegaso!$H:$H, Captura_Pegaso!$A:$A, Captura_Obra!A15, Captura_Pegaso!$D:$D, Captura_Obra!B15, Captura_Pegaso!$E:$E, Captura_Obra!D15) + SUMIFS(Captura_Marimba_M01!$G:$G, Captura_Marimba_M01!$A:$A, Captura_Obra!A15, Captura_Marimba_M01!$C:$C, Captura_Obra!B15, Captura_Marimba_M01!$D:$D, Captura_Obra!D15))&gt;0), "", Captura_Obra!D15)</f>
        <v/>
      </c>
      <c r="H311" s="9597">
        <f>IF(OR(Captura_Obra!A15="", (SUMIFS(Captura_Pegaso!$H:$H, Captura_Pegaso!$A:$A, Captura_Obra!A15, Captura_Pegaso!$D:$D, Captura_Obra!B15, Captura_Pegaso!$E:$E, Captura_Obra!D15) + SUMIFS(Captura_Marimba_M01!$G:$G, Captura_Marimba_M01!$A:$A, Captura_Obra!A15, Captura_Marimba_M01!$C:$C, Captura_Obra!B15, Captura_Marimba_M01!$D:$D, Captura_Obra!D15))&gt;0), "", 0)</f>
        <v/>
      </c>
      <c r="I311" s="9598">
        <f>IF(OR(Captura_Obra!A15="", (SUMIFS(Captura_Pegaso!$H:$H, Captura_Pegaso!$A:$A, Captura_Obra!A15, Captura_Pegaso!$D:$D, Captura_Obra!B15, Captura_Pegaso!$E:$E, Captura_Obra!D15) + SUMIFS(Captura_Marimba_M01!$G:$G, Captura_Marimba_M01!$A:$A, Captura_Obra!A15, Captura_Marimba_M01!$C:$C, Captura_Obra!B15, Captura_Marimba_M01!$D:$D, Captura_Obra!D15))&gt;0), "", Captura_Obra!F15)</f>
        <v/>
      </c>
      <c r="J311" s="9599">
        <f>IF(OR(Captura_Obra!A15="", (SUMIFS(Captura_Pegaso!$H:$H, Captura_Pegaso!$A:$A, Captura_Obra!A15, Captura_Pegaso!$D:$D, Captura_Obra!B15, Captura_Pegaso!$E:$E, Captura_Obra!D15) + SUMIFS(Captura_Marimba_M01!$G:$G, Captura_Marimba_M01!$A:$A, Captura_Obra!A15, Captura_Marimba_M01!$C:$C, Captura_Obra!B15, Captura_Marimba_M01!$D:$D, Captura_Obra!D15))&gt;0), "", H311 - I311)</f>
        <v/>
      </c>
      <c r="K311" s="4120" t="n"/>
    </row>
    <row r="312">
      <c r="A312" s="9600">
        <f>IF(OR(Captura_Obra!A16="", (SUMIFS(Captura_Pegaso!$H:$H, Captura_Pegaso!$A:$A, Captura_Obra!A16, Captura_Pegaso!$D:$D, Captura_Obra!B16, Captura_Pegaso!$E:$E, Captura_Obra!D16) + SUMIFS(Captura_Marimba_M01!$G:$G, Captura_Marimba_M01!$A:$A, Captura_Obra!A16, Captura_Marimba_M01!$C:$C, Captura_Obra!B16, Captura_Marimba_M01!$D:$D, Captura_Obra!D16))&gt;0), "", "Huérfano Obra")</f>
        <v/>
      </c>
      <c r="B312" s="9601">
        <f>IF(OR(Captura_Obra!A16="", (SUMIFS(Captura_Pegaso!$H:$H, Captura_Pegaso!$A:$A, Captura_Obra!A16, Captura_Pegaso!$D:$D, Captura_Obra!B16, Captura_Pegaso!$E:$E, Captura_Obra!D16) + SUMIFS(Captura_Marimba_M01!$G:$G, Captura_Marimba_M01!$A:$A, Captura_Obra!A16, Captura_Marimba_M01!$C:$C, Captura_Obra!B16, Captura_Marimba_M01!$D:$D, Captura_Obra!D16))&gt;0), "", "No Reportado")</f>
        <v/>
      </c>
      <c r="C312" s="9602">
        <f>IF(OR(Captura_Obra!A16="", (SUMIFS(Captura_Pegaso!$H:$H, Captura_Pegaso!$A:$A, Captura_Obra!A16, Captura_Pegaso!$D:$D, Captura_Obra!B16, Captura_Pegaso!$E:$E, Captura_Obra!D16) + SUMIFS(Captura_Marimba_M01!$G:$G, Captura_Marimba_M01!$A:$A, Captura_Obra!A16, Captura_Marimba_M01!$C:$C, Captura_Obra!B16, Captura_Marimba_M01!$D:$D, Captura_Obra!D16))&gt;0), "", Captura_Obra!N16)</f>
        <v/>
      </c>
      <c r="D312" s="9603">
        <f>IF(OR(Captura_Obra!A16="", (SUMIFS(Captura_Pegaso!$H:$H, Captura_Pegaso!$A:$A, Captura_Obra!A16, Captura_Pegaso!$D:$D, Captura_Obra!B16, Captura_Pegaso!$E:$E, Captura_Obra!D16) + SUMIFS(Captura_Marimba_M01!$G:$G, Captura_Marimba_M01!$A:$A, Captura_Obra!A16, Captura_Marimba_M01!$C:$C, Captura_Obra!B16, Captura_Marimba_M01!$D:$D, Captura_Obra!D16))&gt;0), "", "❌ Falta en Pipa")</f>
        <v/>
      </c>
      <c r="E312" s="9604">
        <f>IF(OR(Captura_Obra!A16="", (SUMIFS(Captura_Pegaso!$H:$H, Captura_Pegaso!$A:$A, Captura_Obra!A16, Captura_Pegaso!$D:$D, Captura_Obra!B16, Captura_Pegaso!$E:$E, Captura_Obra!D16) + SUMIFS(Captura_Marimba_M01!$G:$G, Captura_Marimba_M01!$A:$A, Captura_Obra!A16, Captura_Marimba_M01!$C:$C, Captura_Obra!B16, Captura_Marimba_M01!$D:$D, Captura_Obra!D16))&gt;0), "", Captura_Obra!A16)</f>
        <v/>
      </c>
      <c r="F312" s="9605">
        <f>IF(OR(Captura_Obra!A16="", (SUMIFS(Captura_Pegaso!$H:$H, Captura_Pegaso!$A:$A, Captura_Obra!A16, Captura_Pegaso!$D:$D, Captura_Obra!B16, Captura_Pegaso!$E:$E, Captura_Obra!D16) + SUMIFS(Captura_Marimba_M01!$G:$G, Captura_Marimba_M01!$A:$A, Captura_Obra!A16, Captura_Marimba_M01!$C:$C, Captura_Obra!B16, Captura_Marimba_M01!$D:$D, Captura_Obra!D16))&gt;0), "", Captura_Obra!B16)</f>
        <v/>
      </c>
      <c r="G312" s="9606">
        <f>IF(OR(Captura_Obra!A16="", (SUMIFS(Captura_Pegaso!$H:$H, Captura_Pegaso!$A:$A, Captura_Obra!A16, Captura_Pegaso!$D:$D, Captura_Obra!B16, Captura_Pegaso!$E:$E, Captura_Obra!D16) + SUMIFS(Captura_Marimba_M01!$G:$G, Captura_Marimba_M01!$A:$A, Captura_Obra!A16, Captura_Marimba_M01!$C:$C, Captura_Obra!B16, Captura_Marimba_M01!$D:$D, Captura_Obra!D16))&gt;0), "", Captura_Obra!D16)</f>
        <v/>
      </c>
      <c r="H312" s="9607">
        <f>IF(OR(Captura_Obra!A16="", (SUMIFS(Captura_Pegaso!$H:$H, Captura_Pegaso!$A:$A, Captura_Obra!A16, Captura_Pegaso!$D:$D, Captura_Obra!B16, Captura_Pegaso!$E:$E, Captura_Obra!D16) + SUMIFS(Captura_Marimba_M01!$G:$G, Captura_Marimba_M01!$A:$A, Captura_Obra!A16, Captura_Marimba_M01!$C:$C, Captura_Obra!B16, Captura_Marimba_M01!$D:$D, Captura_Obra!D16))&gt;0), "", 0)</f>
        <v/>
      </c>
      <c r="I312" s="9608">
        <f>IF(OR(Captura_Obra!A16="", (SUMIFS(Captura_Pegaso!$H:$H, Captura_Pegaso!$A:$A, Captura_Obra!A16, Captura_Pegaso!$D:$D, Captura_Obra!B16, Captura_Pegaso!$E:$E, Captura_Obra!D16) + SUMIFS(Captura_Marimba_M01!$G:$G, Captura_Marimba_M01!$A:$A, Captura_Obra!A16, Captura_Marimba_M01!$C:$C, Captura_Obra!B16, Captura_Marimba_M01!$D:$D, Captura_Obra!D16))&gt;0), "", Captura_Obra!F16)</f>
        <v/>
      </c>
      <c r="J312" s="9609">
        <f>IF(OR(Captura_Obra!A16="", (SUMIFS(Captura_Pegaso!$H:$H, Captura_Pegaso!$A:$A, Captura_Obra!A16, Captura_Pegaso!$D:$D, Captura_Obra!B16, Captura_Pegaso!$E:$E, Captura_Obra!D16) + SUMIFS(Captura_Marimba_M01!$G:$G, Captura_Marimba_M01!$A:$A, Captura_Obra!A16, Captura_Marimba_M01!$C:$C, Captura_Obra!B16, Captura_Marimba_M01!$D:$D, Captura_Obra!D16))&gt;0), "", H312 - I312)</f>
        <v/>
      </c>
      <c r="K312" s="4121" t="n"/>
    </row>
    <row r="313">
      <c r="A313" s="9610">
        <f>IF(OR(Captura_Obra!A17="", (SUMIFS(Captura_Pegaso!$H:$H, Captura_Pegaso!$A:$A, Captura_Obra!A17, Captura_Pegaso!$D:$D, Captura_Obra!B17, Captura_Pegaso!$E:$E, Captura_Obra!D17) + SUMIFS(Captura_Marimba_M01!$G:$G, Captura_Marimba_M01!$A:$A, Captura_Obra!A17, Captura_Marimba_M01!$C:$C, Captura_Obra!B17, Captura_Marimba_M01!$D:$D, Captura_Obra!D17))&gt;0), "", "Huérfano Obra")</f>
        <v/>
      </c>
      <c r="B313" s="9611">
        <f>IF(OR(Captura_Obra!A17="", (SUMIFS(Captura_Pegaso!$H:$H, Captura_Pegaso!$A:$A, Captura_Obra!A17, Captura_Pegaso!$D:$D, Captura_Obra!B17, Captura_Pegaso!$E:$E, Captura_Obra!D17) + SUMIFS(Captura_Marimba_M01!$G:$G, Captura_Marimba_M01!$A:$A, Captura_Obra!A17, Captura_Marimba_M01!$C:$C, Captura_Obra!B17, Captura_Marimba_M01!$D:$D, Captura_Obra!D17))&gt;0), "", "No Reportado")</f>
        <v/>
      </c>
      <c r="C313" s="9612">
        <f>IF(OR(Captura_Obra!A17="", (SUMIFS(Captura_Pegaso!$H:$H, Captura_Pegaso!$A:$A, Captura_Obra!A17, Captura_Pegaso!$D:$D, Captura_Obra!B17, Captura_Pegaso!$E:$E, Captura_Obra!D17) + SUMIFS(Captura_Marimba_M01!$G:$G, Captura_Marimba_M01!$A:$A, Captura_Obra!A17, Captura_Marimba_M01!$C:$C, Captura_Obra!B17, Captura_Marimba_M01!$D:$D, Captura_Obra!D17))&gt;0), "", Captura_Obra!N17)</f>
        <v/>
      </c>
      <c r="D313" s="9613">
        <f>IF(OR(Captura_Obra!A17="", (SUMIFS(Captura_Pegaso!$H:$H, Captura_Pegaso!$A:$A, Captura_Obra!A17, Captura_Pegaso!$D:$D, Captura_Obra!B17, Captura_Pegaso!$E:$E, Captura_Obra!D17) + SUMIFS(Captura_Marimba_M01!$G:$G, Captura_Marimba_M01!$A:$A, Captura_Obra!A17, Captura_Marimba_M01!$C:$C, Captura_Obra!B17, Captura_Marimba_M01!$D:$D, Captura_Obra!D17))&gt;0), "", "❌ Falta en Pipa")</f>
        <v/>
      </c>
      <c r="E313" s="9614">
        <f>IF(OR(Captura_Obra!A17="", (SUMIFS(Captura_Pegaso!$H:$H, Captura_Pegaso!$A:$A, Captura_Obra!A17, Captura_Pegaso!$D:$D, Captura_Obra!B17, Captura_Pegaso!$E:$E, Captura_Obra!D17) + SUMIFS(Captura_Marimba_M01!$G:$G, Captura_Marimba_M01!$A:$A, Captura_Obra!A17, Captura_Marimba_M01!$C:$C, Captura_Obra!B17, Captura_Marimba_M01!$D:$D, Captura_Obra!D17))&gt;0), "", Captura_Obra!A17)</f>
        <v/>
      </c>
      <c r="F313" s="9615">
        <f>IF(OR(Captura_Obra!A17="", (SUMIFS(Captura_Pegaso!$H:$H, Captura_Pegaso!$A:$A, Captura_Obra!A17, Captura_Pegaso!$D:$D, Captura_Obra!B17, Captura_Pegaso!$E:$E, Captura_Obra!D17) + SUMIFS(Captura_Marimba_M01!$G:$G, Captura_Marimba_M01!$A:$A, Captura_Obra!A17, Captura_Marimba_M01!$C:$C, Captura_Obra!B17, Captura_Marimba_M01!$D:$D, Captura_Obra!D17))&gt;0), "", Captura_Obra!B17)</f>
        <v/>
      </c>
      <c r="G313" s="9616">
        <f>IF(OR(Captura_Obra!A17="", (SUMIFS(Captura_Pegaso!$H:$H, Captura_Pegaso!$A:$A, Captura_Obra!A17, Captura_Pegaso!$D:$D, Captura_Obra!B17, Captura_Pegaso!$E:$E, Captura_Obra!D17) + SUMIFS(Captura_Marimba_M01!$G:$G, Captura_Marimba_M01!$A:$A, Captura_Obra!A17, Captura_Marimba_M01!$C:$C, Captura_Obra!B17, Captura_Marimba_M01!$D:$D, Captura_Obra!D17))&gt;0), "", Captura_Obra!D17)</f>
        <v/>
      </c>
      <c r="H313" s="9617">
        <f>IF(OR(Captura_Obra!A17="", (SUMIFS(Captura_Pegaso!$H:$H, Captura_Pegaso!$A:$A, Captura_Obra!A17, Captura_Pegaso!$D:$D, Captura_Obra!B17, Captura_Pegaso!$E:$E, Captura_Obra!D17) + SUMIFS(Captura_Marimba_M01!$G:$G, Captura_Marimba_M01!$A:$A, Captura_Obra!A17, Captura_Marimba_M01!$C:$C, Captura_Obra!B17, Captura_Marimba_M01!$D:$D, Captura_Obra!D17))&gt;0), "", 0)</f>
        <v/>
      </c>
      <c r="I313" s="9618">
        <f>IF(OR(Captura_Obra!A17="", (SUMIFS(Captura_Pegaso!$H:$H, Captura_Pegaso!$A:$A, Captura_Obra!A17, Captura_Pegaso!$D:$D, Captura_Obra!B17, Captura_Pegaso!$E:$E, Captura_Obra!D17) + SUMIFS(Captura_Marimba_M01!$G:$G, Captura_Marimba_M01!$A:$A, Captura_Obra!A17, Captura_Marimba_M01!$C:$C, Captura_Obra!B17, Captura_Marimba_M01!$D:$D, Captura_Obra!D17))&gt;0), "", Captura_Obra!F17)</f>
        <v/>
      </c>
      <c r="J313" s="9619">
        <f>IF(OR(Captura_Obra!A17="", (SUMIFS(Captura_Pegaso!$H:$H, Captura_Pegaso!$A:$A, Captura_Obra!A17, Captura_Pegaso!$D:$D, Captura_Obra!B17, Captura_Pegaso!$E:$E, Captura_Obra!D17) + SUMIFS(Captura_Marimba_M01!$G:$G, Captura_Marimba_M01!$A:$A, Captura_Obra!A17, Captura_Marimba_M01!$C:$C, Captura_Obra!B17, Captura_Marimba_M01!$D:$D, Captura_Obra!D17))&gt;0), "", H313 - I313)</f>
        <v/>
      </c>
      <c r="K313" s="4122" t="n"/>
    </row>
    <row r="314">
      <c r="A314" s="9620">
        <f>IF(OR(Captura_Obra!A18="", (SUMIFS(Captura_Pegaso!$H:$H, Captura_Pegaso!$A:$A, Captura_Obra!A18, Captura_Pegaso!$D:$D, Captura_Obra!B18, Captura_Pegaso!$E:$E, Captura_Obra!D18) + SUMIFS(Captura_Marimba_M01!$G:$G, Captura_Marimba_M01!$A:$A, Captura_Obra!A18, Captura_Marimba_M01!$C:$C, Captura_Obra!B18, Captura_Marimba_M01!$D:$D, Captura_Obra!D18))&gt;0), "", "Huérfano Obra")</f>
        <v/>
      </c>
      <c r="B314" s="9621">
        <f>IF(OR(Captura_Obra!A18="", (SUMIFS(Captura_Pegaso!$H:$H, Captura_Pegaso!$A:$A, Captura_Obra!A18, Captura_Pegaso!$D:$D, Captura_Obra!B18, Captura_Pegaso!$E:$E, Captura_Obra!D18) + SUMIFS(Captura_Marimba_M01!$G:$G, Captura_Marimba_M01!$A:$A, Captura_Obra!A18, Captura_Marimba_M01!$C:$C, Captura_Obra!B18, Captura_Marimba_M01!$D:$D, Captura_Obra!D18))&gt;0), "", "No Reportado")</f>
        <v/>
      </c>
      <c r="C314" s="9622">
        <f>IF(OR(Captura_Obra!A18="", (SUMIFS(Captura_Pegaso!$H:$H, Captura_Pegaso!$A:$A, Captura_Obra!A18, Captura_Pegaso!$D:$D, Captura_Obra!B18, Captura_Pegaso!$E:$E, Captura_Obra!D18) + SUMIFS(Captura_Marimba_M01!$G:$G, Captura_Marimba_M01!$A:$A, Captura_Obra!A18, Captura_Marimba_M01!$C:$C, Captura_Obra!B18, Captura_Marimba_M01!$D:$D, Captura_Obra!D18))&gt;0), "", Captura_Obra!N18)</f>
        <v/>
      </c>
      <c r="D314" s="9623">
        <f>IF(OR(Captura_Obra!A18="", (SUMIFS(Captura_Pegaso!$H:$H, Captura_Pegaso!$A:$A, Captura_Obra!A18, Captura_Pegaso!$D:$D, Captura_Obra!B18, Captura_Pegaso!$E:$E, Captura_Obra!D18) + SUMIFS(Captura_Marimba_M01!$G:$G, Captura_Marimba_M01!$A:$A, Captura_Obra!A18, Captura_Marimba_M01!$C:$C, Captura_Obra!B18, Captura_Marimba_M01!$D:$D, Captura_Obra!D18))&gt;0), "", "❌ Falta en Pipa")</f>
        <v/>
      </c>
      <c r="E314" s="9624">
        <f>IF(OR(Captura_Obra!A18="", (SUMIFS(Captura_Pegaso!$H:$H, Captura_Pegaso!$A:$A, Captura_Obra!A18, Captura_Pegaso!$D:$D, Captura_Obra!B18, Captura_Pegaso!$E:$E, Captura_Obra!D18) + SUMIFS(Captura_Marimba_M01!$G:$G, Captura_Marimba_M01!$A:$A, Captura_Obra!A18, Captura_Marimba_M01!$C:$C, Captura_Obra!B18, Captura_Marimba_M01!$D:$D, Captura_Obra!D18))&gt;0), "", Captura_Obra!A18)</f>
        <v/>
      </c>
      <c r="F314" s="9625">
        <f>IF(OR(Captura_Obra!A18="", (SUMIFS(Captura_Pegaso!$H:$H, Captura_Pegaso!$A:$A, Captura_Obra!A18, Captura_Pegaso!$D:$D, Captura_Obra!B18, Captura_Pegaso!$E:$E, Captura_Obra!D18) + SUMIFS(Captura_Marimba_M01!$G:$G, Captura_Marimba_M01!$A:$A, Captura_Obra!A18, Captura_Marimba_M01!$C:$C, Captura_Obra!B18, Captura_Marimba_M01!$D:$D, Captura_Obra!D18))&gt;0), "", Captura_Obra!B18)</f>
        <v/>
      </c>
      <c r="G314" s="9626">
        <f>IF(OR(Captura_Obra!A18="", (SUMIFS(Captura_Pegaso!$H:$H, Captura_Pegaso!$A:$A, Captura_Obra!A18, Captura_Pegaso!$D:$D, Captura_Obra!B18, Captura_Pegaso!$E:$E, Captura_Obra!D18) + SUMIFS(Captura_Marimba_M01!$G:$G, Captura_Marimba_M01!$A:$A, Captura_Obra!A18, Captura_Marimba_M01!$C:$C, Captura_Obra!B18, Captura_Marimba_M01!$D:$D, Captura_Obra!D18))&gt;0), "", Captura_Obra!D18)</f>
        <v/>
      </c>
      <c r="H314" s="9627">
        <f>IF(OR(Captura_Obra!A18="", (SUMIFS(Captura_Pegaso!$H:$H, Captura_Pegaso!$A:$A, Captura_Obra!A18, Captura_Pegaso!$D:$D, Captura_Obra!B18, Captura_Pegaso!$E:$E, Captura_Obra!D18) + SUMIFS(Captura_Marimba_M01!$G:$G, Captura_Marimba_M01!$A:$A, Captura_Obra!A18, Captura_Marimba_M01!$C:$C, Captura_Obra!B18, Captura_Marimba_M01!$D:$D, Captura_Obra!D18))&gt;0), "", 0)</f>
        <v/>
      </c>
      <c r="I314" s="9628">
        <f>IF(OR(Captura_Obra!A18="", (SUMIFS(Captura_Pegaso!$H:$H, Captura_Pegaso!$A:$A, Captura_Obra!A18, Captura_Pegaso!$D:$D, Captura_Obra!B18, Captura_Pegaso!$E:$E, Captura_Obra!D18) + SUMIFS(Captura_Marimba_M01!$G:$G, Captura_Marimba_M01!$A:$A, Captura_Obra!A18, Captura_Marimba_M01!$C:$C, Captura_Obra!B18, Captura_Marimba_M01!$D:$D, Captura_Obra!D18))&gt;0), "", Captura_Obra!F18)</f>
        <v/>
      </c>
      <c r="J314" s="9629">
        <f>IF(OR(Captura_Obra!A18="", (SUMIFS(Captura_Pegaso!$H:$H, Captura_Pegaso!$A:$A, Captura_Obra!A18, Captura_Pegaso!$D:$D, Captura_Obra!B18, Captura_Pegaso!$E:$E, Captura_Obra!D18) + SUMIFS(Captura_Marimba_M01!$G:$G, Captura_Marimba_M01!$A:$A, Captura_Obra!A18, Captura_Marimba_M01!$C:$C, Captura_Obra!B18, Captura_Marimba_M01!$D:$D, Captura_Obra!D18))&gt;0), "", H314 - I314)</f>
        <v/>
      </c>
      <c r="K314" s="4123" t="n"/>
    </row>
    <row r="315">
      <c r="A315" s="9630">
        <f>IF(OR(Captura_Obra!A19="", (SUMIFS(Captura_Pegaso!$H:$H, Captura_Pegaso!$A:$A, Captura_Obra!A19, Captura_Pegaso!$D:$D, Captura_Obra!B19, Captura_Pegaso!$E:$E, Captura_Obra!D19) + SUMIFS(Captura_Marimba_M01!$G:$G, Captura_Marimba_M01!$A:$A, Captura_Obra!A19, Captura_Marimba_M01!$C:$C, Captura_Obra!B19, Captura_Marimba_M01!$D:$D, Captura_Obra!D19))&gt;0), "", "Huérfano Obra")</f>
        <v/>
      </c>
      <c r="B315" s="9631">
        <f>IF(OR(Captura_Obra!A19="", (SUMIFS(Captura_Pegaso!$H:$H, Captura_Pegaso!$A:$A, Captura_Obra!A19, Captura_Pegaso!$D:$D, Captura_Obra!B19, Captura_Pegaso!$E:$E, Captura_Obra!D19) + SUMIFS(Captura_Marimba_M01!$G:$G, Captura_Marimba_M01!$A:$A, Captura_Obra!A19, Captura_Marimba_M01!$C:$C, Captura_Obra!B19, Captura_Marimba_M01!$D:$D, Captura_Obra!D19))&gt;0), "", "No Reportado")</f>
        <v/>
      </c>
      <c r="C315" s="9632">
        <f>IF(OR(Captura_Obra!A19="", (SUMIFS(Captura_Pegaso!$H:$H, Captura_Pegaso!$A:$A, Captura_Obra!A19, Captura_Pegaso!$D:$D, Captura_Obra!B19, Captura_Pegaso!$E:$E, Captura_Obra!D19) + SUMIFS(Captura_Marimba_M01!$G:$G, Captura_Marimba_M01!$A:$A, Captura_Obra!A19, Captura_Marimba_M01!$C:$C, Captura_Obra!B19, Captura_Marimba_M01!$D:$D, Captura_Obra!D19))&gt;0), "", Captura_Obra!N19)</f>
        <v/>
      </c>
      <c r="D315" s="9633">
        <f>IF(OR(Captura_Obra!A19="", (SUMIFS(Captura_Pegaso!$H:$H, Captura_Pegaso!$A:$A, Captura_Obra!A19, Captura_Pegaso!$D:$D, Captura_Obra!B19, Captura_Pegaso!$E:$E, Captura_Obra!D19) + SUMIFS(Captura_Marimba_M01!$G:$G, Captura_Marimba_M01!$A:$A, Captura_Obra!A19, Captura_Marimba_M01!$C:$C, Captura_Obra!B19, Captura_Marimba_M01!$D:$D, Captura_Obra!D19))&gt;0), "", "❌ Falta en Pipa")</f>
        <v/>
      </c>
      <c r="E315" s="9634">
        <f>IF(OR(Captura_Obra!A19="", (SUMIFS(Captura_Pegaso!$H:$H, Captura_Pegaso!$A:$A, Captura_Obra!A19, Captura_Pegaso!$D:$D, Captura_Obra!B19, Captura_Pegaso!$E:$E, Captura_Obra!D19) + SUMIFS(Captura_Marimba_M01!$G:$G, Captura_Marimba_M01!$A:$A, Captura_Obra!A19, Captura_Marimba_M01!$C:$C, Captura_Obra!B19, Captura_Marimba_M01!$D:$D, Captura_Obra!D19))&gt;0), "", Captura_Obra!A19)</f>
        <v/>
      </c>
      <c r="F315" s="9635">
        <f>IF(OR(Captura_Obra!A19="", (SUMIFS(Captura_Pegaso!$H:$H, Captura_Pegaso!$A:$A, Captura_Obra!A19, Captura_Pegaso!$D:$D, Captura_Obra!B19, Captura_Pegaso!$E:$E, Captura_Obra!D19) + SUMIFS(Captura_Marimba_M01!$G:$G, Captura_Marimba_M01!$A:$A, Captura_Obra!A19, Captura_Marimba_M01!$C:$C, Captura_Obra!B19, Captura_Marimba_M01!$D:$D, Captura_Obra!D19))&gt;0), "", Captura_Obra!B19)</f>
        <v/>
      </c>
      <c r="G315" s="9636">
        <f>IF(OR(Captura_Obra!A19="", (SUMIFS(Captura_Pegaso!$H:$H, Captura_Pegaso!$A:$A, Captura_Obra!A19, Captura_Pegaso!$D:$D, Captura_Obra!B19, Captura_Pegaso!$E:$E, Captura_Obra!D19) + SUMIFS(Captura_Marimba_M01!$G:$G, Captura_Marimba_M01!$A:$A, Captura_Obra!A19, Captura_Marimba_M01!$C:$C, Captura_Obra!B19, Captura_Marimba_M01!$D:$D, Captura_Obra!D19))&gt;0), "", Captura_Obra!D19)</f>
        <v/>
      </c>
      <c r="H315" s="9637">
        <f>IF(OR(Captura_Obra!A19="", (SUMIFS(Captura_Pegaso!$H:$H, Captura_Pegaso!$A:$A, Captura_Obra!A19, Captura_Pegaso!$D:$D, Captura_Obra!B19, Captura_Pegaso!$E:$E, Captura_Obra!D19) + SUMIFS(Captura_Marimba_M01!$G:$G, Captura_Marimba_M01!$A:$A, Captura_Obra!A19, Captura_Marimba_M01!$C:$C, Captura_Obra!B19, Captura_Marimba_M01!$D:$D, Captura_Obra!D19))&gt;0), "", 0)</f>
        <v/>
      </c>
      <c r="I315" s="9638">
        <f>IF(OR(Captura_Obra!A19="", (SUMIFS(Captura_Pegaso!$H:$H, Captura_Pegaso!$A:$A, Captura_Obra!A19, Captura_Pegaso!$D:$D, Captura_Obra!B19, Captura_Pegaso!$E:$E, Captura_Obra!D19) + SUMIFS(Captura_Marimba_M01!$G:$G, Captura_Marimba_M01!$A:$A, Captura_Obra!A19, Captura_Marimba_M01!$C:$C, Captura_Obra!B19, Captura_Marimba_M01!$D:$D, Captura_Obra!D19))&gt;0), "", Captura_Obra!F19)</f>
        <v/>
      </c>
      <c r="J315" s="9639">
        <f>IF(OR(Captura_Obra!A19="", (SUMIFS(Captura_Pegaso!$H:$H, Captura_Pegaso!$A:$A, Captura_Obra!A19, Captura_Pegaso!$D:$D, Captura_Obra!B19, Captura_Pegaso!$E:$E, Captura_Obra!D19) + SUMIFS(Captura_Marimba_M01!$G:$G, Captura_Marimba_M01!$A:$A, Captura_Obra!A19, Captura_Marimba_M01!$C:$C, Captura_Obra!B19, Captura_Marimba_M01!$D:$D, Captura_Obra!D19))&gt;0), "", H315 - I315)</f>
        <v/>
      </c>
      <c r="K315" s="4124" t="n"/>
    </row>
    <row r="316">
      <c r="A316" s="9640">
        <f>IF(OR(Captura_Obra!A20="", (SUMIFS(Captura_Pegaso!$H:$H, Captura_Pegaso!$A:$A, Captura_Obra!A20, Captura_Pegaso!$D:$D, Captura_Obra!B20, Captura_Pegaso!$E:$E, Captura_Obra!D20) + SUMIFS(Captura_Marimba_M01!$G:$G, Captura_Marimba_M01!$A:$A, Captura_Obra!A20, Captura_Marimba_M01!$C:$C, Captura_Obra!B20, Captura_Marimba_M01!$D:$D, Captura_Obra!D20))&gt;0), "", "Huérfano Obra")</f>
        <v/>
      </c>
      <c r="B316" s="9641">
        <f>IF(OR(Captura_Obra!A20="", (SUMIFS(Captura_Pegaso!$H:$H, Captura_Pegaso!$A:$A, Captura_Obra!A20, Captura_Pegaso!$D:$D, Captura_Obra!B20, Captura_Pegaso!$E:$E, Captura_Obra!D20) + SUMIFS(Captura_Marimba_M01!$G:$G, Captura_Marimba_M01!$A:$A, Captura_Obra!A20, Captura_Marimba_M01!$C:$C, Captura_Obra!B20, Captura_Marimba_M01!$D:$D, Captura_Obra!D20))&gt;0), "", "No Reportado")</f>
        <v/>
      </c>
      <c r="C316" s="9642">
        <f>IF(OR(Captura_Obra!A20="", (SUMIFS(Captura_Pegaso!$H:$H, Captura_Pegaso!$A:$A, Captura_Obra!A20, Captura_Pegaso!$D:$D, Captura_Obra!B20, Captura_Pegaso!$E:$E, Captura_Obra!D20) + SUMIFS(Captura_Marimba_M01!$G:$G, Captura_Marimba_M01!$A:$A, Captura_Obra!A20, Captura_Marimba_M01!$C:$C, Captura_Obra!B20, Captura_Marimba_M01!$D:$D, Captura_Obra!D20))&gt;0), "", Captura_Obra!N20)</f>
        <v/>
      </c>
      <c r="D316" s="9643">
        <f>IF(OR(Captura_Obra!A20="", (SUMIFS(Captura_Pegaso!$H:$H, Captura_Pegaso!$A:$A, Captura_Obra!A20, Captura_Pegaso!$D:$D, Captura_Obra!B20, Captura_Pegaso!$E:$E, Captura_Obra!D20) + SUMIFS(Captura_Marimba_M01!$G:$G, Captura_Marimba_M01!$A:$A, Captura_Obra!A20, Captura_Marimba_M01!$C:$C, Captura_Obra!B20, Captura_Marimba_M01!$D:$D, Captura_Obra!D20))&gt;0), "", "❌ Falta en Pipa")</f>
        <v/>
      </c>
      <c r="E316" s="9644">
        <f>IF(OR(Captura_Obra!A20="", (SUMIFS(Captura_Pegaso!$H:$H, Captura_Pegaso!$A:$A, Captura_Obra!A20, Captura_Pegaso!$D:$D, Captura_Obra!B20, Captura_Pegaso!$E:$E, Captura_Obra!D20) + SUMIFS(Captura_Marimba_M01!$G:$G, Captura_Marimba_M01!$A:$A, Captura_Obra!A20, Captura_Marimba_M01!$C:$C, Captura_Obra!B20, Captura_Marimba_M01!$D:$D, Captura_Obra!D20))&gt;0), "", Captura_Obra!A20)</f>
        <v/>
      </c>
      <c r="F316" s="9645">
        <f>IF(OR(Captura_Obra!A20="", (SUMIFS(Captura_Pegaso!$H:$H, Captura_Pegaso!$A:$A, Captura_Obra!A20, Captura_Pegaso!$D:$D, Captura_Obra!B20, Captura_Pegaso!$E:$E, Captura_Obra!D20) + SUMIFS(Captura_Marimba_M01!$G:$G, Captura_Marimba_M01!$A:$A, Captura_Obra!A20, Captura_Marimba_M01!$C:$C, Captura_Obra!B20, Captura_Marimba_M01!$D:$D, Captura_Obra!D20))&gt;0), "", Captura_Obra!B20)</f>
        <v/>
      </c>
      <c r="G316" s="9646">
        <f>IF(OR(Captura_Obra!A20="", (SUMIFS(Captura_Pegaso!$H:$H, Captura_Pegaso!$A:$A, Captura_Obra!A20, Captura_Pegaso!$D:$D, Captura_Obra!B20, Captura_Pegaso!$E:$E, Captura_Obra!D20) + SUMIFS(Captura_Marimba_M01!$G:$G, Captura_Marimba_M01!$A:$A, Captura_Obra!A20, Captura_Marimba_M01!$C:$C, Captura_Obra!B20, Captura_Marimba_M01!$D:$D, Captura_Obra!D20))&gt;0), "", Captura_Obra!D20)</f>
        <v/>
      </c>
      <c r="H316" s="9647">
        <f>IF(OR(Captura_Obra!A20="", (SUMIFS(Captura_Pegaso!$H:$H, Captura_Pegaso!$A:$A, Captura_Obra!A20, Captura_Pegaso!$D:$D, Captura_Obra!B20, Captura_Pegaso!$E:$E, Captura_Obra!D20) + SUMIFS(Captura_Marimba_M01!$G:$G, Captura_Marimba_M01!$A:$A, Captura_Obra!A20, Captura_Marimba_M01!$C:$C, Captura_Obra!B20, Captura_Marimba_M01!$D:$D, Captura_Obra!D20))&gt;0), "", 0)</f>
        <v/>
      </c>
      <c r="I316" s="9648">
        <f>IF(OR(Captura_Obra!A20="", (SUMIFS(Captura_Pegaso!$H:$H, Captura_Pegaso!$A:$A, Captura_Obra!A20, Captura_Pegaso!$D:$D, Captura_Obra!B20, Captura_Pegaso!$E:$E, Captura_Obra!D20) + SUMIFS(Captura_Marimba_M01!$G:$G, Captura_Marimba_M01!$A:$A, Captura_Obra!A20, Captura_Marimba_M01!$C:$C, Captura_Obra!B20, Captura_Marimba_M01!$D:$D, Captura_Obra!D20))&gt;0), "", Captura_Obra!F20)</f>
        <v/>
      </c>
      <c r="J316" s="9649">
        <f>IF(OR(Captura_Obra!A20="", (SUMIFS(Captura_Pegaso!$H:$H, Captura_Pegaso!$A:$A, Captura_Obra!A20, Captura_Pegaso!$D:$D, Captura_Obra!B20, Captura_Pegaso!$E:$E, Captura_Obra!D20) + SUMIFS(Captura_Marimba_M01!$G:$G, Captura_Marimba_M01!$A:$A, Captura_Obra!A20, Captura_Marimba_M01!$C:$C, Captura_Obra!B20, Captura_Marimba_M01!$D:$D, Captura_Obra!D20))&gt;0), "", H316 - I316)</f>
        <v/>
      </c>
      <c r="K316" s="4125" t="n"/>
    </row>
    <row r="317">
      <c r="A317" s="9650">
        <f>IF(OR(Captura_Obra!A21="", (SUMIFS(Captura_Pegaso!$H:$H, Captura_Pegaso!$A:$A, Captura_Obra!A21, Captura_Pegaso!$D:$D, Captura_Obra!B21, Captura_Pegaso!$E:$E, Captura_Obra!D21) + SUMIFS(Captura_Marimba_M01!$G:$G, Captura_Marimba_M01!$A:$A, Captura_Obra!A21, Captura_Marimba_M01!$C:$C, Captura_Obra!B21, Captura_Marimba_M01!$D:$D, Captura_Obra!D21))&gt;0), "", "Huérfano Obra")</f>
        <v/>
      </c>
      <c r="B317" s="9651">
        <f>IF(OR(Captura_Obra!A21="", (SUMIFS(Captura_Pegaso!$H:$H, Captura_Pegaso!$A:$A, Captura_Obra!A21, Captura_Pegaso!$D:$D, Captura_Obra!B21, Captura_Pegaso!$E:$E, Captura_Obra!D21) + SUMIFS(Captura_Marimba_M01!$G:$G, Captura_Marimba_M01!$A:$A, Captura_Obra!A21, Captura_Marimba_M01!$C:$C, Captura_Obra!B21, Captura_Marimba_M01!$D:$D, Captura_Obra!D21))&gt;0), "", "No Reportado")</f>
        <v/>
      </c>
      <c r="C317" s="9652">
        <f>IF(OR(Captura_Obra!A21="", (SUMIFS(Captura_Pegaso!$H:$H, Captura_Pegaso!$A:$A, Captura_Obra!A21, Captura_Pegaso!$D:$D, Captura_Obra!B21, Captura_Pegaso!$E:$E, Captura_Obra!D21) + SUMIFS(Captura_Marimba_M01!$G:$G, Captura_Marimba_M01!$A:$A, Captura_Obra!A21, Captura_Marimba_M01!$C:$C, Captura_Obra!B21, Captura_Marimba_M01!$D:$D, Captura_Obra!D21))&gt;0), "", Captura_Obra!N21)</f>
        <v/>
      </c>
      <c r="D317" s="9653">
        <f>IF(OR(Captura_Obra!A21="", (SUMIFS(Captura_Pegaso!$H:$H, Captura_Pegaso!$A:$A, Captura_Obra!A21, Captura_Pegaso!$D:$D, Captura_Obra!B21, Captura_Pegaso!$E:$E, Captura_Obra!D21) + SUMIFS(Captura_Marimba_M01!$G:$G, Captura_Marimba_M01!$A:$A, Captura_Obra!A21, Captura_Marimba_M01!$C:$C, Captura_Obra!B21, Captura_Marimba_M01!$D:$D, Captura_Obra!D21))&gt;0), "", "❌ Falta en Pipa")</f>
        <v/>
      </c>
      <c r="E317" s="9654">
        <f>IF(OR(Captura_Obra!A21="", (SUMIFS(Captura_Pegaso!$H:$H, Captura_Pegaso!$A:$A, Captura_Obra!A21, Captura_Pegaso!$D:$D, Captura_Obra!B21, Captura_Pegaso!$E:$E, Captura_Obra!D21) + SUMIFS(Captura_Marimba_M01!$G:$G, Captura_Marimba_M01!$A:$A, Captura_Obra!A21, Captura_Marimba_M01!$C:$C, Captura_Obra!B21, Captura_Marimba_M01!$D:$D, Captura_Obra!D21))&gt;0), "", Captura_Obra!A21)</f>
        <v/>
      </c>
      <c r="F317" s="9655">
        <f>IF(OR(Captura_Obra!A21="", (SUMIFS(Captura_Pegaso!$H:$H, Captura_Pegaso!$A:$A, Captura_Obra!A21, Captura_Pegaso!$D:$D, Captura_Obra!B21, Captura_Pegaso!$E:$E, Captura_Obra!D21) + SUMIFS(Captura_Marimba_M01!$G:$G, Captura_Marimba_M01!$A:$A, Captura_Obra!A21, Captura_Marimba_M01!$C:$C, Captura_Obra!B21, Captura_Marimba_M01!$D:$D, Captura_Obra!D21))&gt;0), "", Captura_Obra!B21)</f>
        <v/>
      </c>
      <c r="G317" s="9656">
        <f>IF(OR(Captura_Obra!A21="", (SUMIFS(Captura_Pegaso!$H:$H, Captura_Pegaso!$A:$A, Captura_Obra!A21, Captura_Pegaso!$D:$D, Captura_Obra!B21, Captura_Pegaso!$E:$E, Captura_Obra!D21) + SUMIFS(Captura_Marimba_M01!$G:$G, Captura_Marimba_M01!$A:$A, Captura_Obra!A21, Captura_Marimba_M01!$C:$C, Captura_Obra!B21, Captura_Marimba_M01!$D:$D, Captura_Obra!D21))&gt;0), "", Captura_Obra!D21)</f>
        <v/>
      </c>
      <c r="H317" s="9657">
        <f>IF(OR(Captura_Obra!A21="", (SUMIFS(Captura_Pegaso!$H:$H, Captura_Pegaso!$A:$A, Captura_Obra!A21, Captura_Pegaso!$D:$D, Captura_Obra!B21, Captura_Pegaso!$E:$E, Captura_Obra!D21) + SUMIFS(Captura_Marimba_M01!$G:$G, Captura_Marimba_M01!$A:$A, Captura_Obra!A21, Captura_Marimba_M01!$C:$C, Captura_Obra!B21, Captura_Marimba_M01!$D:$D, Captura_Obra!D21))&gt;0), "", 0)</f>
        <v/>
      </c>
      <c r="I317" s="9658">
        <f>IF(OR(Captura_Obra!A21="", (SUMIFS(Captura_Pegaso!$H:$H, Captura_Pegaso!$A:$A, Captura_Obra!A21, Captura_Pegaso!$D:$D, Captura_Obra!B21, Captura_Pegaso!$E:$E, Captura_Obra!D21) + SUMIFS(Captura_Marimba_M01!$G:$G, Captura_Marimba_M01!$A:$A, Captura_Obra!A21, Captura_Marimba_M01!$C:$C, Captura_Obra!B21, Captura_Marimba_M01!$D:$D, Captura_Obra!D21))&gt;0), "", Captura_Obra!F21)</f>
        <v/>
      </c>
      <c r="J317" s="9659">
        <f>IF(OR(Captura_Obra!A21="", (SUMIFS(Captura_Pegaso!$H:$H, Captura_Pegaso!$A:$A, Captura_Obra!A21, Captura_Pegaso!$D:$D, Captura_Obra!B21, Captura_Pegaso!$E:$E, Captura_Obra!D21) + SUMIFS(Captura_Marimba_M01!$G:$G, Captura_Marimba_M01!$A:$A, Captura_Obra!A21, Captura_Marimba_M01!$C:$C, Captura_Obra!B21, Captura_Marimba_M01!$D:$D, Captura_Obra!D21))&gt;0), "", H317 - I317)</f>
        <v/>
      </c>
      <c r="K317" s="4126" t="n"/>
    </row>
    <row r="318">
      <c r="A318" s="9660">
        <f>IF(OR(Captura_Obra!A22="", (SUMIFS(Captura_Pegaso!$H:$H, Captura_Pegaso!$A:$A, Captura_Obra!A22, Captura_Pegaso!$D:$D, Captura_Obra!B22, Captura_Pegaso!$E:$E, Captura_Obra!D22) + SUMIFS(Captura_Marimba_M01!$G:$G, Captura_Marimba_M01!$A:$A, Captura_Obra!A22, Captura_Marimba_M01!$C:$C, Captura_Obra!B22, Captura_Marimba_M01!$D:$D, Captura_Obra!D22))&gt;0), "", "Huérfano Obra")</f>
        <v/>
      </c>
      <c r="B318" s="9661">
        <f>IF(OR(Captura_Obra!A22="", (SUMIFS(Captura_Pegaso!$H:$H, Captura_Pegaso!$A:$A, Captura_Obra!A22, Captura_Pegaso!$D:$D, Captura_Obra!B22, Captura_Pegaso!$E:$E, Captura_Obra!D22) + SUMIFS(Captura_Marimba_M01!$G:$G, Captura_Marimba_M01!$A:$A, Captura_Obra!A22, Captura_Marimba_M01!$C:$C, Captura_Obra!B22, Captura_Marimba_M01!$D:$D, Captura_Obra!D22))&gt;0), "", "No Reportado")</f>
        <v/>
      </c>
      <c r="C318" s="9662">
        <f>IF(OR(Captura_Obra!A22="", (SUMIFS(Captura_Pegaso!$H:$H, Captura_Pegaso!$A:$A, Captura_Obra!A22, Captura_Pegaso!$D:$D, Captura_Obra!B22, Captura_Pegaso!$E:$E, Captura_Obra!D22) + SUMIFS(Captura_Marimba_M01!$G:$G, Captura_Marimba_M01!$A:$A, Captura_Obra!A22, Captura_Marimba_M01!$C:$C, Captura_Obra!B22, Captura_Marimba_M01!$D:$D, Captura_Obra!D22))&gt;0), "", Captura_Obra!N22)</f>
        <v/>
      </c>
      <c r="D318" s="9663">
        <f>IF(OR(Captura_Obra!A22="", (SUMIFS(Captura_Pegaso!$H:$H, Captura_Pegaso!$A:$A, Captura_Obra!A22, Captura_Pegaso!$D:$D, Captura_Obra!B22, Captura_Pegaso!$E:$E, Captura_Obra!D22) + SUMIFS(Captura_Marimba_M01!$G:$G, Captura_Marimba_M01!$A:$A, Captura_Obra!A22, Captura_Marimba_M01!$C:$C, Captura_Obra!B22, Captura_Marimba_M01!$D:$D, Captura_Obra!D22))&gt;0), "", "❌ Falta en Pipa")</f>
        <v/>
      </c>
      <c r="E318" s="9664">
        <f>IF(OR(Captura_Obra!A22="", (SUMIFS(Captura_Pegaso!$H:$H, Captura_Pegaso!$A:$A, Captura_Obra!A22, Captura_Pegaso!$D:$D, Captura_Obra!B22, Captura_Pegaso!$E:$E, Captura_Obra!D22) + SUMIFS(Captura_Marimba_M01!$G:$G, Captura_Marimba_M01!$A:$A, Captura_Obra!A22, Captura_Marimba_M01!$C:$C, Captura_Obra!B22, Captura_Marimba_M01!$D:$D, Captura_Obra!D22))&gt;0), "", Captura_Obra!A22)</f>
        <v/>
      </c>
      <c r="F318" s="9665">
        <f>IF(OR(Captura_Obra!A22="", (SUMIFS(Captura_Pegaso!$H:$H, Captura_Pegaso!$A:$A, Captura_Obra!A22, Captura_Pegaso!$D:$D, Captura_Obra!B22, Captura_Pegaso!$E:$E, Captura_Obra!D22) + SUMIFS(Captura_Marimba_M01!$G:$G, Captura_Marimba_M01!$A:$A, Captura_Obra!A22, Captura_Marimba_M01!$C:$C, Captura_Obra!B22, Captura_Marimba_M01!$D:$D, Captura_Obra!D22))&gt;0), "", Captura_Obra!B22)</f>
        <v/>
      </c>
      <c r="G318" s="9666">
        <f>IF(OR(Captura_Obra!A22="", (SUMIFS(Captura_Pegaso!$H:$H, Captura_Pegaso!$A:$A, Captura_Obra!A22, Captura_Pegaso!$D:$D, Captura_Obra!B22, Captura_Pegaso!$E:$E, Captura_Obra!D22) + SUMIFS(Captura_Marimba_M01!$G:$G, Captura_Marimba_M01!$A:$A, Captura_Obra!A22, Captura_Marimba_M01!$C:$C, Captura_Obra!B22, Captura_Marimba_M01!$D:$D, Captura_Obra!D22))&gt;0), "", Captura_Obra!D22)</f>
        <v/>
      </c>
      <c r="H318" s="9667">
        <f>IF(OR(Captura_Obra!A22="", (SUMIFS(Captura_Pegaso!$H:$H, Captura_Pegaso!$A:$A, Captura_Obra!A22, Captura_Pegaso!$D:$D, Captura_Obra!B22, Captura_Pegaso!$E:$E, Captura_Obra!D22) + SUMIFS(Captura_Marimba_M01!$G:$G, Captura_Marimba_M01!$A:$A, Captura_Obra!A22, Captura_Marimba_M01!$C:$C, Captura_Obra!B22, Captura_Marimba_M01!$D:$D, Captura_Obra!D22))&gt;0), "", 0)</f>
        <v/>
      </c>
      <c r="I318" s="9668">
        <f>IF(OR(Captura_Obra!A22="", (SUMIFS(Captura_Pegaso!$H:$H, Captura_Pegaso!$A:$A, Captura_Obra!A22, Captura_Pegaso!$D:$D, Captura_Obra!B22, Captura_Pegaso!$E:$E, Captura_Obra!D22) + SUMIFS(Captura_Marimba_M01!$G:$G, Captura_Marimba_M01!$A:$A, Captura_Obra!A22, Captura_Marimba_M01!$C:$C, Captura_Obra!B22, Captura_Marimba_M01!$D:$D, Captura_Obra!D22))&gt;0), "", Captura_Obra!F22)</f>
        <v/>
      </c>
      <c r="J318" s="9669">
        <f>IF(OR(Captura_Obra!A22="", (SUMIFS(Captura_Pegaso!$H:$H, Captura_Pegaso!$A:$A, Captura_Obra!A22, Captura_Pegaso!$D:$D, Captura_Obra!B22, Captura_Pegaso!$E:$E, Captura_Obra!D22) + SUMIFS(Captura_Marimba_M01!$G:$G, Captura_Marimba_M01!$A:$A, Captura_Obra!A22, Captura_Marimba_M01!$C:$C, Captura_Obra!B22, Captura_Marimba_M01!$D:$D, Captura_Obra!D22))&gt;0), "", H318 - I318)</f>
        <v/>
      </c>
      <c r="K318" s="4127" t="n"/>
    </row>
    <row r="319">
      <c r="A319" s="9670">
        <f>IF(OR(Captura_Obra!A23="", (SUMIFS(Captura_Pegaso!$H:$H, Captura_Pegaso!$A:$A, Captura_Obra!A23, Captura_Pegaso!$D:$D, Captura_Obra!B23, Captura_Pegaso!$E:$E, Captura_Obra!D23) + SUMIFS(Captura_Marimba_M01!$G:$G, Captura_Marimba_M01!$A:$A, Captura_Obra!A23, Captura_Marimba_M01!$C:$C, Captura_Obra!B23, Captura_Marimba_M01!$D:$D, Captura_Obra!D23))&gt;0), "", "Huérfano Obra")</f>
        <v/>
      </c>
      <c r="B319" s="9671">
        <f>IF(OR(Captura_Obra!A23="", (SUMIFS(Captura_Pegaso!$H:$H, Captura_Pegaso!$A:$A, Captura_Obra!A23, Captura_Pegaso!$D:$D, Captura_Obra!B23, Captura_Pegaso!$E:$E, Captura_Obra!D23) + SUMIFS(Captura_Marimba_M01!$G:$G, Captura_Marimba_M01!$A:$A, Captura_Obra!A23, Captura_Marimba_M01!$C:$C, Captura_Obra!B23, Captura_Marimba_M01!$D:$D, Captura_Obra!D23))&gt;0), "", "No Reportado")</f>
        <v/>
      </c>
      <c r="C319" s="9672">
        <f>IF(OR(Captura_Obra!A23="", (SUMIFS(Captura_Pegaso!$H:$H, Captura_Pegaso!$A:$A, Captura_Obra!A23, Captura_Pegaso!$D:$D, Captura_Obra!B23, Captura_Pegaso!$E:$E, Captura_Obra!D23) + SUMIFS(Captura_Marimba_M01!$G:$G, Captura_Marimba_M01!$A:$A, Captura_Obra!A23, Captura_Marimba_M01!$C:$C, Captura_Obra!B23, Captura_Marimba_M01!$D:$D, Captura_Obra!D23))&gt;0), "", Captura_Obra!N23)</f>
        <v/>
      </c>
      <c r="D319" s="9673">
        <f>IF(OR(Captura_Obra!A23="", (SUMIFS(Captura_Pegaso!$H:$H, Captura_Pegaso!$A:$A, Captura_Obra!A23, Captura_Pegaso!$D:$D, Captura_Obra!B23, Captura_Pegaso!$E:$E, Captura_Obra!D23) + SUMIFS(Captura_Marimba_M01!$G:$G, Captura_Marimba_M01!$A:$A, Captura_Obra!A23, Captura_Marimba_M01!$C:$C, Captura_Obra!B23, Captura_Marimba_M01!$D:$D, Captura_Obra!D23))&gt;0), "", "❌ Falta en Pipa")</f>
        <v/>
      </c>
      <c r="E319" s="9674">
        <f>IF(OR(Captura_Obra!A23="", (SUMIFS(Captura_Pegaso!$H:$H, Captura_Pegaso!$A:$A, Captura_Obra!A23, Captura_Pegaso!$D:$D, Captura_Obra!B23, Captura_Pegaso!$E:$E, Captura_Obra!D23) + SUMIFS(Captura_Marimba_M01!$G:$G, Captura_Marimba_M01!$A:$A, Captura_Obra!A23, Captura_Marimba_M01!$C:$C, Captura_Obra!B23, Captura_Marimba_M01!$D:$D, Captura_Obra!D23))&gt;0), "", Captura_Obra!A23)</f>
        <v/>
      </c>
      <c r="F319" s="9675">
        <f>IF(OR(Captura_Obra!A23="", (SUMIFS(Captura_Pegaso!$H:$H, Captura_Pegaso!$A:$A, Captura_Obra!A23, Captura_Pegaso!$D:$D, Captura_Obra!B23, Captura_Pegaso!$E:$E, Captura_Obra!D23) + SUMIFS(Captura_Marimba_M01!$G:$G, Captura_Marimba_M01!$A:$A, Captura_Obra!A23, Captura_Marimba_M01!$C:$C, Captura_Obra!B23, Captura_Marimba_M01!$D:$D, Captura_Obra!D23))&gt;0), "", Captura_Obra!B23)</f>
        <v/>
      </c>
      <c r="G319" s="9676">
        <f>IF(OR(Captura_Obra!A23="", (SUMIFS(Captura_Pegaso!$H:$H, Captura_Pegaso!$A:$A, Captura_Obra!A23, Captura_Pegaso!$D:$D, Captura_Obra!B23, Captura_Pegaso!$E:$E, Captura_Obra!D23) + SUMIFS(Captura_Marimba_M01!$G:$G, Captura_Marimba_M01!$A:$A, Captura_Obra!A23, Captura_Marimba_M01!$C:$C, Captura_Obra!B23, Captura_Marimba_M01!$D:$D, Captura_Obra!D23))&gt;0), "", Captura_Obra!D23)</f>
        <v/>
      </c>
      <c r="H319" s="9677">
        <f>IF(OR(Captura_Obra!A23="", (SUMIFS(Captura_Pegaso!$H:$H, Captura_Pegaso!$A:$A, Captura_Obra!A23, Captura_Pegaso!$D:$D, Captura_Obra!B23, Captura_Pegaso!$E:$E, Captura_Obra!D23) + SUMIFS(Captura_Marimba_M01!$G:$G, Captura_Marimba_M01!$A:$A, Captura_Obra!A23, Captura_Marimba_M01!$C:$C, Captura_Obra!B23, Captura_Marimba_M01!$D:$D, Captura_Obra!D23))&gt;0), "", 0)</f>
        <v/>
      </c>
      <c r="I319" s="9678">
        <f>IF(OR(Captura_Obra!A23="", (SUMIFS(Captura_Pegaso!$H:$H, Captura_Pegaso!$A:$A, Captura_Obra!A23, Captura_Pegaso!$D:$D, Captura_Obra!B23, Captura_Pegaso!$E:$E, Captura_Obra!D23) + SUMIFS(Captura_Marimba_M01!$G:$G, Captura_Marimba_M01!$A:$A, Captura_Obra!A23, Captura_Marimba_M01!$C:$C, Captura_Obra!B23, Captura_Marimba_M01!$D:$D, Captura_Obra!D23))&gt;0), "", Captura_Obra!F23)</f>
        <v/>
      </c>
      <c r="J319" s="9679">
        <f>IF(OR(Captura_Obra!A23="", (SUMIFS(Captura_Pegaso!$H:$H, Captura_Pegaso!$A:$A, Captura_Obra!A23, Captura_Pegaso!$D:$D, Captura_Obra!B23, Captura_Pegaso!$E:$E, Captura_Obra!D23) + SUMIFS(Captura_Marimba_M01!$G:$G, Captura_Marimba_M01!$A:$A, Captura_Obra!A23, Captura_Marimba_M01!$C:$C, Captura_Obra!B23, Captura_Marimba_M01!$D:$D, Captura_Obra!D23))&gt;0), "", H319 - I319)</f>
        <v/>
      </c>
      <c r="K319" s="4128" t="n"/>
    </row>
    <row r="320">
      <c r="A320" s="9680">
        <f>IF(OR(Captura_Obra!A24="", (SUMIFS(Captura_Pegaso!$H:$H, Captura_Pegaso!$A:$A, Captura_Obra!A24, Captura_Pegaso!$D:$D, Captura_Obra!B24, Captura_Pegaso!$E:$E, Captura_Obra!D24) + SUMIFS(Captura_Marimba_M01!$G:$G, Captura_Marimba_M01!$A:$A, Captura_Obra!A24, Captura_Marimba_M01!$C:$C, Captura_Obra!B24, Captura_Marimba_M01!$D:$D, Captura_Obra!D24))&gt;0), "", "Huérfano Obra")</f>
        <v/>
      </c>
      <c r="B320" s="9681">
        <f>IF(OR(Captura_Obra!A24="", (SUMIFS(Captura_Pegaso!$H:$H, Captura_Pegaso!$A:$A, Captura_Obra!A24, Captura_Pegaso!$D:$D, Captura_Obra!B24, Captura_Pegaso!$E:$E, Captura_Obra!D24) + SUMIFS(Captura_Marimba_M01!$G:$G, Captura_Marimba_M01!$A:$A, Captura_Obra!A24, Captura_Marimba_M01!$C:$C, Captura_Obra!B24, Captura_Marimba_M01!$D:$D, Captura_Obra!D24))&gt;0), "", "No Reportado")</f>
        <v/>
      </c>
      <c r="C320" s="9682">
        <f>IF(OR(Captura_Obra!A24="", (SUMIFS(Captura_Pegaso!$H:$H, Captura_Pegaso!$A:$A, Captura_Obra!A24, Captura_Pegaso!$D:$D, Captura_Obra!B24, Captura_Pegaso!$E:$E, Captura_Obra!D24) + SUMIFS(Captura_Marimba_M01!$G:$G, Captura_Marimba_M01!$A:$A, Captura_Obra!A24, Captura_Marimba_M01!$C:$C, Captura_Obra!B24, Captura_Marimba_M01!$D:$D, Captura_Obra!D24))&gt;0), "", Captura_Obra!N24)</f>
        <v/>
      </c>
      <c r="D320" s="9683">
        <f>IF(OR(Captura_Obra!A24="", (SUMIFS(Captura_Pegaso!$H:$H, Captura_Pegaso!$A:$A, Captura_Obra!A24, Captura_Pegaso!$D:$D, Captura_Obra!B24, Captura_Pegaso!$E:$E, Captura_Obra!D24) + SUMIFS(Captura_Marimba_M01!$G:$G, Captura_Marimba_M01!$A:$A, Captura_Obra!A24, Captura_Marimba_M01!$C:$C, Captura_Obra!B24, Captura_Marimba_M01!$D:$D, Captura_Obra!D24))&gt;0), "", "❌ Falta en Pipa")</f>
        <v/>
      </c>
      <c r="E320" s="9684">
        <f>IF(OR(Captura_Obra!A24="", (SUMIFS(Captura_Pegaso!$H:$H, Captura_Pegaso!$A:$A, Captura_Obra!A24, Captura_Pegaso!$D:$D, Captura_Obra!B24, Captura_Pegaso!$E:$E, Captura_Obra!D24) + SUMIFS(Captura_Marimba_M01!$G:$G, Captura_Marimba_M01!$A:$A, Captura_Obra!A24, Captura_Marimba_M01!$C:$C, Captura_Obra!B24, Captura_Marimba_M01!$D:$D, Captura_Obra!D24))&gt;0), "", Captura_Obra!A24)</f>
        <v/>
      </c>
      <c r="F320" s="9685">
        <f>IF(OR(Captura_Obra!A24="", (SUMIFS(Captura_Pegaso!$H:$H, Captura_Pegaso!$A:$A, Captura_Obra!A24, Captura_Pegaso!$D:$D, Captura_Obra!B24, Captura_Pegaso!$E:$E, Captura_Obra!D24) + SUMIFS(Captura_Marimba_M01!$G:$G, Captura_Marimba_M01!$A:$A, Captura_Obra!A24, Captura_Marimba_M01!$C:$C, Captura_Obra!B24, Captura_Marimba_M01!$D:$D, Captura_Obra!D24))&gt;0), "", Captura_Obra!B24)</f>
        <v/>
      </c>
      <c r="G320" s="9686">
        <f>IF(OR(Captura_Obra!A24="", (SUMIFS(Captura_Pegaso!$H:$H, Captura_Pegaso!$A:$A, Captura_Obra!A24, Captura_Pegaso!$D:$D, Captura_Obra!B24, Captura_Pegaso!$E:$E, Captura_Obra!D24) + SUMIFS(Captura_Marimba_M01!$G:$G, Captura_Marimba_M01!$A:$A, Captura_Obra!A24, Captura_Marimba_M01!$C:$C, Captura_Obra!B24, Captura_Marimba_M01!$D:$D, Captura_Obra!D24))&gt;0), "", Captura_Obra!D24)</f>
        <v/>
      </c>
      <c r="H320" s="9687">
        <f>IF(OR(Captura_Obra!A24="", (SUMIFS(Captura_Pegaso!$H:$H, Captura_Pegaso!$A:$A, Captura_Obra!A24, Captura_Pegaso!$D:$D, Captura_Obra!B24, Captura_Pegaso!$E:$E, Captura_Obra!D24) + SUMIFS(Captura_Marimba_M01!$G:$G, Captura_Marimba_M01!$A:$A, Captura_Obra!A24, Captura_Marimba_M01!$C:$C, Captura_Obra!B24, Captura_Marimba_M01!$D:$D, Captura_Obra!D24))&gt;0), "", 0)</f>
        <v/>
      </c>
      <c r="I320" s="9688">
        <f>IF(OR(Captura_Obra!A24="", (SUMIFS(Captura_Pegaso!$H:$H, Captura_Pegaso!$A:$A, Captura_Obra!A24, Captura_Pegaso!$D:$D, Captura_Obra!B24, Captura_Pegaso!$E:$E, Captura_Obra!D24) + SUMIFS(Captura_Marimba_M01!$G:$G, Captura_Marimba_M01!$A:$A, Captura_Obra!A24, Captura_Marimba_M01!$C:$C, Captura_Obra!B24, Captura_Marimba_M01!$D:$D, Captura_Obra!D24))&gt;0), "", Captura_Obra!F24)</f>
        <v/>
      </c>
      <c r="J320" s="9689">
        <f>IF(OR(Captura_Obra!A24="", (SUMIFS(Captura_Pegaso!$H:$H, Captura_Pegaso!$A:$A, Captura_Obra!A24, Captura_Pegaso!$D:$D, Captura_Obra!B24, Captura_Pegaso!$E:$E, Captura_Obra!D24) + SUMIFS(Captura_Marimba_M01!$G:$G, Captura_Marimba_M01!$A:$A, Captura_Obra!A24, Captura_Marimba_M01!$C:$C, Captura_Obra!B24, Captura_Marimba_M01!$D:$D, Captura_Obra!D24))&gt;0), "", H320 - I320)</f>
        <v/>
      </c>
      <c r="K320" s="4129" t="n"/>
    </row>
    <row r="321">
      <c r="A321" s="9690">
        <f>IF(OR(Captura_Obra!A25="", (SUMIFS(Captura_Pegaso!$H:$H, Captura_Pegaso!$A:$A, Captura_Obra!A25, Captura_Pegaso!$D:$D, Captura_Obra!B25, Captura_Pegaso!$E:$E, Captura_Obra!D25) + SUMIFS(Captura_Marimba_M01!$G:$G, Captura_Marimba_M01!$A:$A, Captura_Obra!A25, Captura_Marimba_M01!$C:$C, Captura_Obra!B25, Captura_Marimba_M01!$D:$D, Captura_Obra!D25))&gt;0), "", "Huérfano Obra")</f>
        <v/>
      </c>
      <c r="B321" s="9691">
        <f>IF(OR(Captura_Obra!A25="", (SUMIFS(Captura_Pegaso!$H:$H, Captura_Pegaso!$A:$A, Captura_Obra!A25, Captura_Pegaso!$D:$D, Captura_Obra!B25, Captura_Pegaso!$E:$E, Captura_Obra!D25) + SUMIFS(Captura_Marimba_M01!$G:$G, Captura_Marimba_M01!$A:$A, Captura_Obra!A25, Captura_Marimba_M01!$C:$C, Captura_Obra!B25, Captura_Marimba_M01!$D:$D, Captura_Obra!D25))&gt;0), "", "No Reportado")</f>
        <v/>
      </c>
      <c r="C321" s="9692">
        <f>IF(OR(Captura_Obra!A25="", (SUMIFS(Captura_Pegaso!$H:$H, Captura_Pegaso!$A:$A, Captura_Obra!A25, Captura_Pegaso!$D:$D, Captura_Obra!B25, Captura_Pegaso!$E:$E, Captura_Obra!D25) + SUMIFS(Captura_Marimba_M01!$G:$G, Captura_Marimba_M01!$A:$A, Captura_Obra!A25, Captura_Marimba_M01!$C:$C, Captura_Obra!B25, Captura_Marimba_M01!$D:$D, Captura_Obra!D25))&gt;0), "", Captura_Obra!N25)</f>
        <v/>
      </c>
      <c r="D321" s="9693">
        <f>IF(OR(Captura_Obra!A25="", (SUMIFS(Captura_Pegaso!$H:$H, Captura_Pegaso!$A:$A, Captura_Obra!A25, Captura_Pegaso!$D:$D, Captura_Obra!B25, Captura_Pegaso!$E:$E, Captura_Obra!D25) + SUMIFS(Captura_Marimba_M01!$G:$G, Captura_Marimba_M01!$A:$A, Captura_Obra!A25, Captura_Marimba_M01!$C:$C, Captura_Obra!B25, Captura_Marimba_M01!$D:$D, Captura_Obra!D25))&gt;0), "", "❌ Falta en Pipa")</f>
        <v/>
      </c>
      <c r="E321" s="9694">
        <f>IF(OR(Captura_Obra!A25="", (SUMIFS(Captura_Pegaso!$H:$H, Captura_Pegaso!$A:$A, Captura_Obra!A25, Captura_Pegaso!$D:$D, Captura_Obra!B25, Captura_Pegaso!$E:$E, Captura_Obra!D25) + SUMIFS(Captura_Marimba_M01!$G:$G, Captura_Marimba_M01!$A:$A, Captura_Obra!A25, Captura_Marimba_M01!$C:$C, Captura_Obra!B25, Captura_Marimba_M01!$D:$D, Captura_Obra!D25))&gt;0), "", Captura_Obra!A25)</f>
        <v/>
      </c>
      <c r="F321" s="9695">
        <f>IF(OR(Captura_Obra!A25="", (SUMIFS(Captura_Pegaso!$H:$H, Captura_Pegaso!$A:$A, Captura_Obra!A25, Captura_Pegaso!$D:$D, Captura_Obra!B25, Captura_Pegaso!$E:$E, Captura_Obra!D25) + SUMIFS(Captura_Marimba_M01!$G:$G, Captura_Marimba_M01!$A:$A, Captura_Obra!A25, Captura_Marimba_M01!$C:$C, Captura_Obra!B25, Captura_Marimba_M01!$D:$D, Captura_Obra!D25))&gt;0), "", Captura_Obra!B25)</f>
        <v/>
      </c>
      <c r="G321" s="9696">
        <f>IF(OR(Captura_Obra!A25="", (SUMIFS(Captura_Pegaso!$H:$H, Captura_Pegaso!$A:$A, Captura_Obra!A25, Captura_Pegaso!$D:$D, Captura_Obra!B25, Captura_Pegaso!$E:$E, Captura_Obra!D25) + SUMIFS(Captura_Marimba_M01!$G:$G, Captura_Marimba_M01!$A:$A, Captura_Obra!A25, Captura_Marimba_M01!$C:$C, Captura_Obra!B25, Captura_Marimba_M01!$D:$D, Captura_Obra!D25))&gt;0), "", Captura_Obra!D25)</f>
        <v/>
      </c>
      <c r="H321" s="9697">
        <f>IF(OR(Captura_Obra!A25="", (SUMIFS(Captura_Pegaso!$H:$H, Captura_Pegaso!$A:$A, Captura_Obra!A25, Captura_Pegaso!$D:$D, Captura_Obra!B25, Captura_Pegaso!$E:$E, Captura_Obra!D25) + SUMIFS(Captura_Marimba_M01!$G:$G, Captura_Marimba_M01!$A:$A, Captura_Obra!A25, Captura_Marimba_M01!$C:$C, Captura_Obra!B25, Captura_Marimba_M01!$D:$D, Captura_Obra!D25))&gt;0), "", 0)</f>
        <v/>
      </c>
      <c r="I321" s="9698">
        <f>IF(OR(Captura_Obra!A25="", (SUMIFS(Captura_Pegaso!$H:$H, Captura_Pegaso!$A:$A, Captura_Obra!A25, Captura_Pegaso!$D:$D, Captura_Obra!B25, Captura_Pegaso!$E:$E, Captura_Obra!D25) + SUMIFS(Captura_Marimba_M01!$G:$G, Captura_Marimba_M01!$A:$A, Captura_Obra!A25, Captura_Marimba_M01!$C:$C, Captura_Obra!B25, Captura_Marimba_M01!$D:$D, Captura_Obra!D25))&gt;0), "", Captura_Obra!F25)</f>
        <v/>
      </c>
      <c r="J321" s="9699">
        <f>IF(OR(Captura_Obra!A25="", (SUMIFS(Captura_Pegaso!$H:$H, Captura_Pegaso!$A:$A, Captura_Obra!A25, Captura_Pegaso!$D:$D, Captura_Obra!B25, Captura_Pegaso!$E:$E, Captura_Obra!D25) + SUMIFS(Captura_Marimba_M01!$G:$G, Captura_Marimba_M01!$A:$A, Captura_Obra!A25, Captura_Marimba_M01!$C:$C, Captura_Obra!B25, Captura_Marimba_M01!$D:$D, Captura_Obra!D25))&gt;0), "", H321 - I321)</f>
        <v/>
      </c>
      <c r="K321" s="4130" t="n"/>
    </row>
    <row r="322">
      <c r="A322" s="9700">
        <f>IF(OR(Captura_Obra!A26="", (SUMIFS(Captura_Pegaso!$H:$H, Captura_Pegaso!$A:$A, Captura_Obra!A26, Captura_Pegaso!$D:$D, Captura_Obra!B26, Captura_Pegaso!$E:$E, Captura_Obra!D26) + SUMIFS(Captura_Marimba_M01!$G:$G, Captura_Marimba_M01!$A:$A, Captura_Obra!A26, Captura_Marimba_M01!$C:$C, Captura_Obra!B26, Captura_Marimba_M01!$D:$D, Captura_Obra!D26))&gt;0), "", "Huérfano Obra")</f>
        <v/>
      </c>
      <c r="B322" s="9701">
        <f>IF(OR(Captura_Obra!A26="", (SUMIFS(Captura_Pegaso!$H:$H, Captura_Pegaso!$A:$A, Captura_Obra!A26, Captura_Pegaso!$D:$D, Captura_Obra!B26, Captura_Pegaso!$E:$E, Captura_Obra!D26) + SUMIFS(Captura_Marimba_M01!$G:$G, Captura_Marimba_M01!$A:$A, Captura_Obra!A26, Captura_Marimba_M01!$C:$C, Captura_Obra!B26, Captura_Marimba_M01!$D:$D, Captura_Obra!D26))&gt;0), "", "No Reportado")</f>
        <v/>
      </c>
      <c r="C322" s="9702">
        <f>IF(OR(Captura_Obra!A26="", (SUMIFS(Captura_Pegaso!$H:$H, Captura_Pegaso!$A:$A, Captura_Obra!A26, Captura_Pegaso!$D:$D, Captura_Obra!B26, Captura_Pegaso!$E:$E, Captura_Obra!D26) + SUMIFS(Captura_Marimba_M01!$G:$G, Captura_Marimba_M01!$A:$A, Captura_Obra!A26, Captura_Marimba_M01!$C:$C, Captura_Obra!B26, Captura_Marimba_M01!$D:$D, Captura_Obra!D26))&gt;0), "", Captura_Obra!N26)</f>
        <v/>
      </c>
      <c r="D322" s="9703">
        <f>IF(OR(Captura_Obra!A26="", (SUMIFS(Captura_Pegaso!$H:$H, Captura_Pegaso!$A:$A, Captura_Obra!A26, Captura_Pegaso!$D:$D, Captura_Obra!B26, Captura_Pegaso!$E:$E, Captura_Obra!D26) + SUMIFS(Captura_Marimba_M01!$G:$G, Captura_Marimba_M01!$A:$A, Captura_Obra!A26, Captura_Marimba_M01!$C:$C, Captura_Obra!B26, Captura_Marimba_M01!$D:$D, Captura_Obra!D26))&gt;0), "", "❌ Falta en Pipa")</f>
        <v/>
      </c>
      <c r="E322" s="9704">
        <f>IF(OR(Captura_Obra!A26="", (SUMIFS(Captura_Pegaso!$H:$H, Captura_Pegaso!$A:$A, Captura_Obra!A26, Captura_Pegaso!$D:$D, Captura_Obra!B26, Captura_Pegaso!$E:$E, Captura_Obra!D26) + SUMIFS(Captura_Marimba_M01!$G:$G, Captura_Marimba_M01!$A:$A, Captura_Obra!A26, Captura_Marimba_M01!$C:$C, Captura_Obra!B26, Captura_Marimba_M01!$D:$D, Captura_Obra!D26))&gt;0), "", Captura_Obra!A26)</f>
        <v/>
      </c>
      <c r="F322" s="9705">
        <f>IF(OR(Captura_Obra!A26="", (SUMIFS(Captura_Pegaso!$H:$H, Captura_Pegaso!$A:$A, Captura_Obra!A26, Captura_Pegaso!$D:$D, Captura_Obra!B26, Captura_Pegaso!$E:$E, Captura_Obra!D26) + SUMIFS(Captura_Marimba_M01!$G:$G, Captura_Marimba_M01!$A:$A, Captura_Obra!A26, Captura_Marimba_M01!$C:$C, Captura_Obra!B26, Captura_Marimba_M01!$D:$D, Captura_Obra!D26))&gt;0), "", Captura_Obra!B26)</f>
        <v/>
      </c>
      <c r="G322" s="9706">
        <f>IF(OR(Captura_Obra!A26="", (SUMIFS(Captura_Pegaso!$H:$H, Captura_Pegaso!$A:$A, Captura_Obra!A26, Captura_Pegaso!$D:$D, Captura_Obra!B26, Captura_Pegaso!$E:$E, Captura_Obra!D26) + SUMIFS(Captura_Marimba_M01!$G:$G, Captura_Marimba_M01!$A:$A, Captura_Obra!A26, Captura_Marimba_M01!$C:$C, Captura_Obra!B26, Captura_Marimba_M01!$D:$D, Captura_Obra!D26))&gt;0), "", Captura_Obra!D26)</f>
        <v/>
      </c>
      <c r="H322" s="9707">
        <f>IF(OR(Captura_Obra!A26="", (SUMIFS(Captura_Pegaso!$H:$H, Captura_Pegaso!$A:$A, Captura_Obra!A26, Captura_Pegaso!$D:$D, Captura_Obra!B26, Captura_Pegaso!$E:$E, Captura_Obra!D26) + SUMIFS(Captura_Marimba_M01!$G:$G, Captura_Marimba_M01!$A:$A, Captura_Obra!A26, Captura_Marimba_M01!$C:$C, Captura_Obra!B26, Captura_Marimba_M01!$D:$D, Captura_Obra!D26))&gt;0), "", 0)</f>
        <v/>
      </c>
      <c r="I322" s="9708">
        <f>IF(OR(Captura_Obra!A26="", (SUMIFS(Captura_Pegaso!$H:$H, Captura_Pegaso!$A:$A, Captura_Obra!A26, Captura_Pegaso!$D:$D, Captura_Obra!B26, Captura_Pegaso!$E:$E, Captura_Obra!D26) + SUMIFS(Captura_Marimba_M01!$G:$G, Captura_Marimba_M01!$A:$A, Captura_Obra!A26, Captura_Marimba_M01!$C:$C, Captura_Obra!B26, Captura_Marimba_M01!$D:$D, Captura_Obra!D26))&gt;0), "", Captura_Obra!F26)</f>
        <v/>
      </c>
      <c r="J322" s="9709">
        <f>IF(OR(Captura_Obra!A26="", (SUMIFS(Captura_Pegaso!$H:$H, Captura_Pegaso!$A:$A, Captura_Obra!A26, Captura_Pegaso!$D:$D, Captura_Obra!B26, Captura_Pegaso!$E:$E, Captura_Obra!D26) + SUMIFS(Captura_Marimba_M01!$G:$G, Captura_Marimba_M01!$A:$A, Captura_Obra!A26, Captura_Marimba_M01!$C:$C, Captura_Obra!B26, Captura_Marimba_M01!$D:$D, Captura_Obra!D26))&gt;0), "", H322 - I322)</f>
        <v/>
      </c>
      <c r="K322" s="4131" t="n"/>
    </row>
    <row r="323">
      <c r="A323" s="9710">
        <f>IF(OR(Captura_Obra!A27="", (SUMIFS(Captura_Pegaso!$H:$H, Captura_Pegaso!$A:$A, Captura_Obra!A27, Captura_Pegaso!$D:$D, Captura_Obra!B27, Captura_Pegaso!$E:$E, Captura_Obra!D27) + SUMIFS(Captura_Marimba_M01!$G:$G, Captura_Marimba_M01!$A:$A, Captura_Obra!A27, Captura_Marimba_M01!$C:$C, Captura_Obra!B27, Captura_Marimba_M01!$D:$D, Captura_Obra!D27))&gt;0), "", "Huérfano Obra")</f>
        <v/>
      </c>
      <c r="B323" s="9711">
        <f>IF(OR(Captura_Obra!A27="", (SUMIFS(Captura_Pegaso!$H:$H, Captura_Pegaso!$A:$A, Captura_Obra!A27, Captura_Pegaso!$D:$D, Captura_Obra!B27, Captura_Pegaso!$E:$E, Captura_Obra!D27) + SUMIFS(Captura_Marimba_M01!$G:$G, Captura_Marimba_M01!$A:$A, Captura_Obra!A27, Captura_Marimba_M01!$C:$C, Captura_Obra!B27, Captura_Marimba_M01!$D:$D, Captura_Obra!D27))&gt;0), "", "No Reportado")</f>
        <v/>
      </c>
      <c r="C323" s="9712">
        <f>IF(OR(Captura_Obra!A27="", (SUMIFS(Captura_Pegaso!$H:$H, Captura_Pegaso!$A:$A, Captura_Obra!A27, Captura_Pegaso!$D:$D, Captura_Obra!B27, Captura_Pegaso!$E:$E, Captura_Obra!D27) + SUMIFS(Captura_Marimba_M01!$G:$G, Captura_Marimba_M01!$A:$A, Captura_Obra!A27, Captura_Marimba_M01!$C:$C, Captura_Obra!B27, Captura_Marimba_M01!$D:$D, Captura_Obra!D27))&gt;0), "", Captura_Obra!N27)</f>
        <v/>
      </c>
      <c r="D323" s="9713">
        <f>IF(OR(Captura_Obra!A27="", (SUMIFS(Captura_Pegaso!$H:$H, Captura_Pegaso!$A:$A, Captura_Obra!A27, Captura_Pegaso!$D:$D, Captura_Obra!B27, Captura_Pegaso!$E:$E, Captura_Obra!D27) + SUMIFS(Captura_Marimba_M01!$G:$G, Captura_Marimba_M01!$A:$A, Captura_Obra!A27, Captura_Marimba_M01!$C:$C, Captura_Obra!B27, Captura_Marimba_M01!$D:$D, Captura_Obra!D27))&gt;0), "", "❌ Falta en Pipa")</f>
        <v/>
      </c>
      <c r="E323" s="9714">
        <f>IF(OR(Captura_Obra!A27="", (SUMIFS(Captura_Pegaso!$H:$H, Captura_Pegaso!$A:$A, Captura_Obra!A27, Captura_Pegaso!$D:$D, Captura_Obra!B27, Captura_Pegaso!$E:$E, Captura_Obra!D27) + SUMIFS(Captura_Marimba_M01!$G:$G, Captura_Marimba_M01!$A:$A, Captura_Obra!A27, Captura_Marimba_M01!$C:$C, Captura_Obra!B27, Captura_Marimba_M01!$D:$D, Captura_Obra!D27))&gt;0), "", Captura_Obra!A27)</f>
        <v/>
      </c>
      <c r="F323" s="9715">
        <f>IF(OR(Captura_Obra!A27="", (SUMIFS(Captura_Pegaso!$H:$H, Captura_Pegaso!$A:$A, Captura_Obra!A27, Captura_Pegaso!$D:$D, Captura_Obra!B27, Captura_Pegaso!$E:$E, Captura_Obra!D27) + SUMIFS(Captura_Marimba_M01!$G:$G, Captura_Marimba_M01!$A:$A, Captura_Obra!A27, Captura_Marimba_M01!$C:$C, Captura_Obra!B27, Captura_Marimba_M01!$D:$D, Captura_Obra!D27))&gt;0), "", Captura_Obra!B27)</f>
        <v/>
      </c>
      <c r="G323" s="9716">
        <f>IF(OR(Captura_Obra!A27="", (SUMIFS(Captura_Pegaso!$H:$H, Captura_Pegaso!$A:$A, Captura_Obra!A27, Captura_Pegaso!$D:$D, Captura_Obra!B27, Captura_Pegaso!$E:$E, Captura_Obra!D27) + SUMIFS(Captura_Marimba_M01!$G:$G, Captura_Marimba_M01!$A:$A, Captura_Obra!A27, Captura_Marimba_M01!$C:$C, Captura_Obra!B27, Captura_Marimba_M01!$D:$D, Captura_Obra!D27))&gt;0), "", Captura_Obra!D27)</f>
        <v/>
      </c>
      <c r="H323" s="9717">
        <f>IF(OR(Captura_Obra!A27="", (SUMIFS(Captura_Pegaso!$H:$H, Captura_Pegaso!$A:$A, Captura_Obra!A27, Captura_Pegaso!$D:$D, Captura_Obra!B27, Captura_Pegaso!$E:$E, Captura_Obra!D27) + SUMIFS(Captura_Marimba_M01!$G:$G, Captura_Marimba_M01!$A:$A, Captura_Obra!A27, Captura_Marimba_M01!$C:$C, Captura_Obra!B27, Captura_Marimba_M01!$D:$D, Captura_Obra!D27))&gt;0), "", 0)</f>
        <v/>
      </c>
      <c r="I323" s="9718">
        <f>IF(OR(Captura_Obra!A27="", (SUMIFS(Captura_Pegaso!$H:$H, Captura_Pegaso!$A:$A, Captura_Obra!A27, Captura_Pegaso!$D:$D, Captura_Obra!B27, Captura_Pegaso!$E:$E, Captura_Obra!D27) + SUMIFS(Captura_Marimba_M01!$G:$G, Captura_Marimba_M01!$A:$A, Captura_Obra!A27, Captura_Marimba_M01!$C:$C, Captura_Obra!B27, Captura_Marimba_M01!$D:$D, Captura_Obra!D27))&gt;0), "", Captura_Obra!F27)</f>
        <v/>
      </c>
      <c r="J323" s="9719">
        <f>IF(OR(Captura_Obra!A27="", (SUMIFS(Captura_Pegaso!$H:$H, Captura_Pegaso!$A:$A, Captura_Obra!A27, Captura_Pegaso!$D:$D, Captura_Obra!B27, Captura_Pegaso!$E:$E, Captura_Obra!D27) + SUMIFS(Captura_Marimba_M01!$G:$G, Captura_Marimba_M01!$A:$A, Captura_Obra!A27, Captura_Marimba_M01!$C:$C, Captura_Obra!B27, Captura_Marimba_M01!$D:$D, Captura_Obra!D27))&gt;0), "", H323 - I323)</f>
        <v/>
      </c>
      <c r="K323" s="4132" t="n"/>
    </row>
    <row r="324">
      <c r="A324" s="9720">
        <f>IF(OR(Captura_Obra!A28="", (SUMIFS(Captura_Pegaso!$H:$H, Captura_Pegaso!$A:$A, Captura_Obra!A28, Captura_Pegaso!$D:$D, Captura_Obra!B28, Captura_Pegaso!$E:$E, Captura_Obra!D28) + SUMIFS(Captura_Marimba_M01!$G:$G, Captura_Marimba_M01!$A:$A, Captura_Obra!A28, Captura_Marimba_M01!$C:$C, Captura_Obra!B28, Captura_Marimba_M01!$D:$D, Captura_Obra!D28))&gt;0), "", "Huérfano Obra")</f>
        <v/>
      </c>
      <c r="B324" s="9721">
        <f>IF(OR(Captura_Obra!A28="", (SUMIFS(Captura_Pegaso!$H:$H, Captura_Pegaso!$A:$A, Captura_Obra!A28, Captura_Pegaso!$D:$D, Captura_Obra!B28, Captura_Pegaso!$E:$E, Captura_Obra!D28) + SUMIFS(Captura_Marimba_M01!$G:$G, Captura_Marimba_M01!$A:$A, Captura_Obra!A28, Captura_Marimba_M01!$C:$C, Captura_Obra!B28, Captura_Marimba_M01!$D:$D, Captura_Obra!D28))&gt;0), "", "No Reportado")</f>
        <v/>
      </c>
      <c r="C324" s="9722">
        <f>IF(OR(Captura_Obra!A28="", (SUMIFS(Captura_Pegaso!$H:$H, Captura_Pegaso!$A:$A, Captura_Obra!A28, Captura_Pegaso!$D:$D, Captura_Obra!B28, Captura_Pegaso!$E:$E, Captura_Obra!D28) + SUMIFS(Captura_Marimba_M01!$G:$G, Captura_Marimba_M01!$A:$A, Captura_Obra!A28, Captura_Marimba_M01!$C:$C, Captura_Obra!B28, Captura_Marimba_M01!$D:$D, Captura_Obra!D28))&gt;0), "", Captura_Obra!N28)</f>
        <v/>
      </c>
      <c r="D324" s="9723">
        <f>IF(OR(Captura_Obra!A28="", (SUMIFS(Captura_Pegaso!$H:$H, Captura_Pegaso!$A:$A, Captura_Obra!A28, Captura_Pegaso!$D:$D, Captura_Obra!B28, Captura_Pegaso!$E:$E, Captura_Obra!D28) + SUMIFS(Captura_Marimba_M01!$G:$G, Captura_Marimba_M01!$A:$A, Captura_Obra!A28, Captura_Marimba_M01!$C:$C, Captura_Obra!B28, Captura_Marimba_M01!$D:$D, Captura_Obra!D28))&gt;0), "", "❌ Falta en Pipa")</f>
        <v/>
      </c>
      <c r="E324" s="9724">
        <f>IF(OR(Captura_Obra!A28="", (SUMIFS(Captura_Pegaso!$H:$H, Captura_Pegaso!$A:$A, Captura_Obra!A28, Captura_Pegaso!$D:$D, Captura_Obra!B28, Captura_Pegaso!$E:$E, Captura_Obra!D28) + SUMIFS(Captura_Marimba_M01!$G:$G, Captura_Marimba_M01!$A:$A, Captura_Obra!A28, Captura_Marimba_M01!$C:$C, Captura_Obra!B28, Captura_Marimba_M01!$D:$D, Captura_Obra!D28))&gt;0), "", Captura_Obra!A28)</f>
        <v/>
      </c>
      <c r="F324" s="9725">
        <f>IF(OR(Captura_Obra!A28="", (SUMIFS(Captura_Pegaso!$H:$H, Captura_Pegaso!$A:$A, Captura_Obra!A28, Captura_Pegaso!$D:$D, Captura_Obra!B28, Captura_Pegaso!$E:$E, Captura_Obra!D28) + SUMIFS(Captura_Marimba_M01!$G:$G, Captura_Marimba_M01!$A:$A, Captura_Obra!A28, Captura_Marimba_M01!$C:$C, Captura_Obra!B28, Captura_Marimba_M01!$D:$D, Captura_Obra!D28))&gt;0), "", Captura_Obra!B28)</f>
        <v/>
      </c>
      <c r="G324" s="9726">
        <f>IF(OR(Captura_Obra!A28="", (SUMIFS(Captura_Pegaso!$H:$H, Captura_Pegaso!$A:$A, Captura_Obra!A28, Captura_Pegaso!$D:$D, Captura_Obra!B28, Captura_Pegaso!$E:$E, Captura_Obra!D28) + SUMIFS(Captura_Marimba_M01!$G:$G, Captura_Marimba_M01!$A:$A, Captura_Obra!A28, Captura_Marimba_M01!$C:$C, Captura_Obra!B28, Captura_Marimba_M01!$D:$D, Captura_Obra!D28))&gt;0), "", Captura_Obra!D28)</f>
        <v/>
      </c>
      <c r="H324" s="9727">
        <f>IF(OR(Captura_Obra!A28="", (SUMIFS(Captura_Pegaso!$H:$H, Captura_Pegaso!$A:$A, Captura_Obra!A28, Captura_Pegaso!$D:$D, Captura_Obra!B28, Captura_Pegaso!$E:$E, Captura_Obra!D28) + SUMIFS(Captura_Marimba_M01!$G:$G, Captura_Marimba_M01!$A:$A, Captura_Obra!A28, Captura_Marimba_M01!$C:$C, Captura_Obra!B28, Captura_Marimba_M01!$D:$D, Captura_Obra!D28))&gt;0), "", 0)</f>
        <v/>
      </c>
      <c r="I324" s="9728">
        <f>IF(OR(Captura_Obra!A28="", (SUMIFS(Captura_Pegaso!$H:$H, Captura_Pegaso!$A:$A, Captura_Obra!A28, Captura_Pegaso!$D:$D, Captura_Obra!B28, Captura_Pegaso!$E:$E, Captura_Obra!D28) + SUMIFS(Captura_Marimba_M01!$G:$G, Captura_Marimba_M01!$A:$A, Captura_Obra!A28, Captura_Marimba_M01!$C:$C, Captura_Obra!B28, Captura_Marimba_M01!$D:$D, Captura_Obra!D28))&gt;0), "", Captura_Obra!F28)</f>
        <v/>
      </c>
      <c r="J324" s="9729">
        <f>IF(OR(Captura_Obra!A28="", (SUMIFS(Captura_Pegaso!$H:$H, Captura_Pegaso!$A:$A, Captura_Obra!A28, Captura_Pegaso!$D:$D, Captura_Obra!B28, Captura_Pegaso!$E:$E, Captura_Obra!D28) + SUMIFS(Captura_Marimba_M01!$G:$G, Captura_Marimba_M01!$A:$A, Captura_Obra!A28, Captura_Marimba_M01!$C:$C, Captura_Obra!B28, Captura_Marimba_M01!$D:$D, Captura_Obra!D28))&gt;0), "", H324 - I324)</f>
        <v/>
      </c>
      <c r="K324" s="4133" t="n"/>
    </row>
    <row r="325">
      <c r="A325" s="9730">
        <f>IF(OR(Captura_Obra!A29="", (SUMIFS(Captura_Pegaso!$H:$H, Captura_Pegaso!$A:$A, Captura_Obra!A29, Captura_Pegaso!$D:$D, Captura_Obra!B29, Captura_Pegaso!$E:$E, Captura_Obra!D29) + SUMIFS(Captura_Marimba_M01!$G:$G, Captura_Marimba_M01!$A:$A, Captura_Obra!A29, Captura_Marimba_M01!$C:$C, Captura_Obra!B29, Captura_Marimba_M01!$D:$D, Captura_Obra!D29))&gt;0), "", "Huérfano Obra")</f>
        <v/>
      </c>
      <c r="B325" s="9731">
        <f>IF(OR(Captura_Obra!A29="", (SUMIFS(Captura_Pegaso!$H:$H, Captura_Pegaso!$A:$A, Captura_Obra!A29, Captura_Pegaso!$D:$D, Captura_Obra!B29, Captura_Pegaso!$E:$E, Captura_Obra!D29) + SUMIFS(Captura_Marimba_M01!$G:$G, Captura_Marimba_M01!$A:$A, Captura_Obra!A29, Captura_Marimba_M01!$C:$C, Captura_Obra!B29, Captura_Marimba_M01!$D:$D, Captura_Obra!D29))&gt;0), "", "No Reportado")</f>
        <v/>
      </c>
      <c r="C325" s="9732">
        <f>IF(OR(Captura_Obra!A29="", (SUMIFS(Captura_Pegaso!$H:$H, Captura_Pegaso!$A:$A, Captura_Obra!A29, Captura_Pegaso!$D:$D, Captura_Obra!B29, Captura_Pegaso!$E:$E, Captura_Obra!D29) + SUMIFS(Captura_Marimba_M01!$G:$G, Captura_Marimba_M01!$A:$A, Captura_Obra!A29, Captura_Marimba_M01!$C:$C, Captura_Obra!B29, Captura_Marimba_M01!$D:$D, Captura_Obra!D29))&gt;0), "", Captura_Obra!N29)</f>
        <v/>
      </c>
      <c r="D325" s="9733">
        <f>IF(OR(Captura_Obra!A29="", (SUMIFS(Captura_Pegaso!$H:$H, Captura_Pegaso!$A:$A, Captura_Obra!A29, Captura_Pegaso!$D:$D, Captura_Obra!B29, Captura_Pegaso!$E:$E, Captura_Obra!D29) + SUMIFS(Captura_Marimba_M01!$G:$G, Captura_Marimba_M01!$A:$A, Captura_Obra!A29, Captura_Marimba_M01!$C:$C, Captura_Obra!B29, Captura_Marimba_M01!$D:$D, Captura_Obra!D29))&gt;0), "", "❌ Falta en Pipa")</f>
        <v/>
      </c>
      <c r="E325" s="9734">
        <f>IF(OR(Captura_Obra!A29="", (SUMIFS(Captura_Pegaso!$H:$H, Captura_Pegaso!$A:$A, Captura_Obra!A29, Captura_Pegaso!$D:$D, Captura_Obra!B29, Captura_Pegaso!$E:$E, Captura_Obra!D29) + SUMIFS(Captura_Marimba_M01!$G:$G, Captura_Marimba_M01!$A:$A, Captura_Obra!A29, Captura_Marimba_M01!$C:$C, Captura_Obra!B29, Captura_Marimba_M01!$D:$D, Captura_Obra!D29))&gt;0), "", Captura_Obra!A29)</f>
        <v/>
      </c>
      <c r="F325" s="9735">
        <f>IF(OR(Captura_Obra!A29="", (SUMIFS(Captura_Pegaso!$H:$H, Captura_Pegaso!$A:$A, Captura_Obra!A29, Captura_Pegaso!$D:$D, Captura_Obra!B29, Captura_Pegaso!$E:$E, Captura_Obra!D29) + SUMIFS(Captura_Marimba_M01!$G:$G, Captura_Marimba_M01!$A:$A, Captura_Obra!A29, Captura_Marimba_M01!$C:$C, Captura_Obra!B29, Captura_Marimba_M01!$D:$D, Captura_Obra!D29))&gt;0), "", Captura_Obra!B29)</f>
        <v/>
      </c>
      <c r="G325" s="9736">
        <f>IF(OR(Captura_Obra!A29="", (SUMIFS(Captura_Pegaso!$H:$H, Captura_Pegaso!$A:$A, Captura_Obra!A29, Captura_Pegaso!$D:$D, Captura_Obra!B29, Captura_Pegaso!$E:$E, Captura_Obra!D29) + SUMIFS(Captura_Marimba_M01!$G:$G, Captura_Marimba_M01!$A:$A, Captura_Obra!A29, Captura_Marimba_M01!$C:$C, Captura_Obra!B29, Captura_Marimba_M01!$D:$D, Captura_Obra!D29))&gt;0), "", Captura_Obra!D29)</f>
        <v/>
      </c>
      <c r="H325" s="9737">
        <f>IF(OR(Captura_Obra!A29="", (SUMIFS(Captura_Pegaso!$H:$H, Captura_Pegaso!$A:$A, Captura_Obra!A29, Captura_Pegaso!$D:$D, Captura_Obra!B29, Captura_Pegaso!$E:$E, Captura_Obra!D29) + SUMIFS(Captura_Marimba_M01!$G:$G, Captura_Marimba_M01!$A:$A, Captura_Obra!A29, Captura_Marimba_M01!$C:$C, Captura_Obra!B29, Captura_Marimba_M01!$D:$D, Captura_Obra!D29))&gt;0), "", 0)</f>
        <v/>
      </c>
      <c r="I325" s="9738">
        <f>IF(OR(Captura_Obra!A29="", (SUMIFS(Captura_Pegaso!$H:$H, Captura_Pegaso!$A:$A, Captura_Obra!A29, Captura_Pegaso!$D:$D, Captura_Obra!B29, Captura_Pegaso!$E:$E, Captura_Obra!D29) + SUMIFS(Captura_Marimba_M01!$G:$G, Captura_Marimba_M01!$A:$A, Captura_Obra!A29, Captura_Marimba_M01!$C:$C, Captura_Obra!B29, Captura_Marimba_M01!$D:$D, Captura_Obra!D29))&gt;0), "", Captura_Obra!F29)</f>
        <v/>
      </c>
      <c r="J325" s="9739">
        <f>IF(OR(Captura_Obra!A29="", (SUMIFS(Captura_Pegaso!$H:$H, Captura_Pegaso!$A:$A, Captura_Obra!A29, Captura_Pegaso!$D:$D, Captura_Obra!B29, Captura_Pegaso!$E:$E, Captura_Obra!D29) + SUMIFS(Captura_Marimba_M01!$G:$G, Captura_Marimba_M01!$A:$A, Captura_Obra!A29, Captura_Marimba_M01!$C:$C, Captura_Obra!B29, Captura_Marimba_M01!$D:$D, Captura_Obra!D29))&gt;0), "", H325 - I325)</f>
        <v/>
      </c>
      <c r="K325" s="4134" t="n"/>
    </row>
    <row r="326">
      <c r="A326" s="9740">
        <f>IF(OR(Captura_Obra!A30="", (SUMIFS(Captura_Pegaso!$H:$H, Captura_Pegaso!$A:$A, Captura_Obra!A30, Captura_Pegaso!$D:$D, Captura_Obra!B30, Captura_Pegaso!$E:$E, Captura_Obra!D30) + SUMIFS(Captura_Marimba_M01!$G:$G, Captura_Marimba_M01!$A:$A, Captura_Obra!A30, Captura_Marimba_M01!$C:$C, Captura_Obra!B30, Captura_Marimba_M01!$D:$D, Captura_Obra!D30))&gt;0), "", "Huérfano Obra")</f>
        <v/>
      </c>
      <c r="B326" s="9741">
        <f>IF(OR(Captura_Obra!A30="", (SUMIFS(Captura_Pegaso!$H:$H, Captura_Pegaso!$A:$A, Captura_Obra!A30, Captura_Pegaso!$D:$D, Captura_Obra!B30, Captura_Pegaso!$E:$E, Captura_Obra!D30) + SUMIFS(Captura_Marimba_M01!$G:$G, Captura_Marimba_M01!$A:$A, Captura_Obra!A30, Captura_Marimba_M01!$C:$C, Captura_Obra!B30, Captura_Marimba_M01!$D:$D, Captura_Obra!D30))&gt;0), "", "No Reportado")</f>
        <v/>
      </c>
      <c r="C326" s="9742">
        <f>IF(OR(Captura_Obra!A30="", (SUMIFS(Captura_Pegaso!$H:$H, Captura_Pegaso!$A:$A, Captura_Obra!A30, Captura_Pegaso!$D:$D, Captura_Obra!B30, Captura_Pegaso!$E:$E, Captura_Obra!D30) + SUMIFS(Captura_Marimba_M01!$G:$G, Captura_Marimba_M01!$A:$A, Captura_Obra!A30, Captura_Marimba_M01!$C:$C, Captura_Obra!B30, Captura_Marimba_M01!$D:$D, Captura_Obra!D30))&gt;0), "", Captura_Obra!N30)</f>
        <v/>
      </c>
      <c r="D326" s="9743">
        <f>IF(OR(Captura_Obra!A30="", (SUMIFS(Captura_Pegaso!$H:$H, Captura_Pegaso!$A:$A, Captura_Obra!A30, Captura_Pegaso!$D:$D, Captura_Obra!B30, Captura_Pegaso!$E:$E, Captura_Obra!D30) + SUMIFS(Captura_Marimba_M01!$G:$G, Captura_Marimba_M01!$A:$A, Captura_Obra!A30, Captura_Marimba_M01!$C:$C, Captura_Obra!B30, Captura_Marimba_M01!$D:$D, Captura_Obra!D30))&gt;0), "", "❌ Falta en Pipa")</f>
        <v/>
      </c>
      <c r="E326" s="9744">
        <f>IF(OR(Captura_Obra!A30="", (SUMIFS(Captura_Pegaso!$H:$H, Captura_Pegaso!$A:$A, Captura_Obra!A30, Captura_Pegaso!$D:$D, Captura_Obra!B30, Captura_Pegaso!$E:$E, Captura_Obra!D30) + SUMIFS(Captura_Marimba_M01!$G:$G, Captura_Marimba_M01!$A:$A, Captura_Obra!A30, Captura_Marimba_M01!$C:$C, Captura_Obra!B30, Captura_Marimba_M01!$D:$D, Captura_Obra!D30))&gt;0), "", Captura_Obra!A30)</f>
        <v/>
      </c>
      <c r="F326" s="9745">
        <f>IF(OR(Captura_Obra!A30="", (SUMIFS(Captura_Pegaso!$H:$H, Captura_Pegaso!$A:$A, Captura_Obra!A30, Captura_Pegaso!$D:$D, Captura_Obra!B30, Captura_Pegaso!$E:$E, Captura_Obra!D30) + SUMIFS(Captura_Marimba_M01!$G:$G, Captura_Marimba_M01!$A:$A, Captura_Obra!A30, Captura_Marimba_M01!$C:$C, Captura_Obra!B30, Captura_Marimba_M01!$D:$D, Captura_Obra!D30))&gt;0), "", Captura_Obra!B30)</f>
        <v/>
      </c>
      <c r="G326" s="9746">
        <f>IF(OR(Captura_Obra!A30="", (SUMIFS(Captura_Pegaso!$H:$H, Captura_Pegaso!$A:$A, Captura_Obra!A30, Captura_Pegaso!$D:$D, Captura_Obra!B30, Captura_Pegaso!$E:$E, Captura_Obra!D30) + SUMIFS(Captura_Marimba_M01!$G:$G, Captura_Marimba_M01!$A:$A, Captura_Obra!A30, Captura_Marimba_M01!$C:$C, Captura_Obra!B30, Captura_Marimba_M01!$D:$D, Captura_Obra!D30))&gt;0), "", Captura_Obra!D30)</f>
        <v/>
      </c>
      <c r="H326" s="9747">
        <f>IF(OR(Captura_Obra!A30="", (SUMIFS(Captura_Pegaso!$H:$H, Captura_Pegaso!$A:$A, Captura_Obra!A30, Captura_Pegaso!$D:$D, Captura_Obra!B30, Captura_Pegaso!$E:$E, Captura_Obra!D30) + SUMIFS(Captura_Marimba_M01!$G:$G, Captura_Marimba_M01!$A:$A, Captura_Obra!A30, Captura_Marimba_M01!$C:$C, Captura_Obra!B30, Captura_Marimba_M01!$D:$D, Captura_Obra!D30))&gt;0), "", 0)</f>
        <v/>
      </c>
      <c r="I326" s="9748">
        <f>IF(OR(Captura_Obra!A30="", (SUMIFS(Captura_Pegaso!$H:$H, Captura_Pegaso!$A:$A, Captura_Obra!A30, Captura_Pegaso!$D:$D, Captura_Obra!B30, Captura_Pegaso!$E:$E, Captura_Obra!D30) + SUMIFS(Captura_Marimba_M01!$G:$G, Captura_Marimba_M01!$A:$A, Captura_Obra!A30, Captura_Marimba_M01!$C:$C, Captura_Obra!B30, Captura_Marimba_M01!$D:$D, Captura_Obra!D30))&gt;0), "", Captura_Obra!F30)</f>
        <v/>
      </c>
      <c r="J326" s="9749">
        <f>IF(OR(Captura_Obra!A30="", (SUMIFS(Captura_Pegaso!$H:$H, Captura_Pegaso!$A:$A, Captura_Obra!A30, Captura_Pegaso!$D:$D, Captura_Obra!B30, Captura_Pegaso!$E:$E, Captura_Obra!D30) + SUMIFS(Captura_Marimba_M01!$G:$G, Captura_Marimba_M01!$A:$A, Captura_Obra!A30, Captura_Marimba_M01!$C:$C, Captura_Obra!B30, Captura_Marimba_M01!$D:$D, Captura_Obra!D30))&gt;0), "", H326 - I326)</f>
        <v/>
      </c>
      <c r="K326" s="4135" t="n"/>
    </row>
    <row r="327">
      <c r="A327" s="9750">
        <f>IF(OR(Captura_Obra!A31="", (SUMIFS(Captura_Pegaso!$H:$H, Captura_Pegaso!$A:$A, Captura_Obra!A31, Captura_Pegaso!$D:$D, Captura_Obra!B31, Captura_Pegaso!$E:$E, Captura_Obra!D31) + SUMIFS(Captura_Marimba_M01!$G:$G, Captura_Marimba_M01!$A:$A, Captura_Obra!A31, Captura_Marimba_M01!$C:$C, Captura_Obra!B31, Captura_Marimba_M01!$D:$D, Captura_Obra!D31))&gt;0), "", "Huérfano Obra")</f>
        <v/>
      </c>
      <c r="B327" s="9751">
        <f>IF(OR(Captura_Obra!A31="", (SUMIFS(Captura_Pegaso!$H:$H, Captura_Pegaso!$A:$A, Captura_Obra!A31, Captura_Pegaso!$D:$D, Captura_Obra!B31, Captura_Pegaso!$E:$E, Captura_Obra!D31) + SUMIFS(Captura_Marimba_M01!$G:$G, Captura_Marimba_M01!$A:$A, Captura_Obra!A31, Captura_Marimba_M01!$C:$C, Captura_Obra!B31, Captura_Marimba_M01!$D:$D, Captura_Obra!D31))&gt;0), "", "No Reportado")</f>
        <v/>
      </c>
      <c r="C327" s="9752">
        <f>IF(OR(Captura_Obra!A31="", (SUMIFS(Captura_Pegaso!$H:$H, Captura_Pegaso!$A:$A, Captura_Obra!A31, Captura_Pegaso!$D:$D, Captura_Obra!B31, Captura_Pegaso!$E:$E, Captura_Obra!D31) + SUMIFS(Captura_Marimba_M01!$G:$G, Captura_Marimba_M01!$A:$A, Captura_Obra!A31, Captura_Marimba_M01!$C:$C, Captura_Obra!B31, Captura_Marimba_M01!$D:$D, Captura_Obra!D31))&gt;0), "", Captura_Obra!N31)</f>
        <v/>
      </c>
      <c r="D327" s="9753">
        <f>IF(OR(Captura_Obra!A31="", (SUMIFS(Captura_Pegaso!$H:$H, Captura_Pegaso!$A:$A, Captura_Obra!A31, Captura_Pegaso!$D:$D, Captura_Obra!B31, Captura_Pegaso!$E:$E, Captura_Obra!D31) + SUMIFS(Captura_Marimba_M01!$G:$G, Captura_Marimba_M01!$A:$A, Captura_Obra!A31, Captura_Marimba_M01!$C:$C, Captura_Obra!B31, Captura_Marimba_M01!$D:$D, Captura_Obra!D31))&gt;0), "", "❌ Falta en Pipa")</f>
        <v/>
      </c>
      <c r="E327" s="9754">
        <f>IF(OR(Captura_Obra!A31="", (SUMIFS(Captura_Pegaso!$H:$H, Captura_Pegaso!$A:$A, Captura_Obra!A31, Captura_Pegaso!$D:$D, Captura_Obra!B31, Captura_Pegaso!$E:$E, Captura_Obra!D31) + SUMIFS(Captura_Marimba_M01!$G:$G, Captura_Marimba_M01!$A:$A, Captura_Obra!A31, Captura_Marimba_M01!$C:$C, Captura_Obra!B31, Captura_Marimba_M01!$D:$D, Captura_Obra!D31))&gt;0), "", Captura_Obra!A31)</f>
        <v/>
      </c>
      <c r="F327" s="9755">
        <f>IF(OR(Captura_Obra!A31="", (SUMIFS(Captura_Pegaso!$H:$H, Captura_Pegaso!$A:$A, Captura_Obra!A31, Captura_Pegaso!$D:$D, Captura_Obra!B31, Captura_Pegaso!$E:$E, Captura_Obra!D31) + SUMIFS(Captura_Marimba_M01!$G:$G, Captura_Marimba_M01!$A:$A, Captura_Obra!A31, Captura_Marimba_M01!$C:$C, Captura_Obra!B31, Captura_Marimba_M01!$D:$D, Captura_Obra!D31))&gt;0), "", Captura_Obra!B31)</f>
        <v/>
      </c>
      <c r="G327" s="9756">
        <f>IF(OR(Captura_Obra!A31="", (SUMIFS(Captura_Pegaso!$H:$H, Captura_Pegaso!$A:$A, Captura_Obra!A31, Captura_Pegaso!$D:$D, Captura_Obra!B31, Captura_Pegaso!$E:$E, Captura_Obra!D31) + SUMIFS(Captura_Marimba_M01!$G:$G, Captura_Marimba_M01!$A:$A, Captura_Obra!A31, Captura_Marimba_M01!$C:$C, Captura_Obra!B31, Captura_Marimba_M01!$D:$D, Captura_Obra!D31))&gt;0), "", Captura_Obra!D31)</f>
        <v/>
      </c>
      <c r="H327" s="9757">
        <f>IF(OR(Captura_Obra!A31="", (SUMIFS(Captura_Pegaso!$H:$H, Captura_Pegaso!$A:$A, Captura_Obra!A31, Captura_Pegaso!$D:$D, Captura_Obra!B31, Captura_Pegaso!$E:$E, Captura_Obra!D31) + SUMIFS(Captura_Marimba_M01!$G:$G, Captura_Marimba_M01!$A:$A, Captura_Obra!A31, Captura_Marimba_M01!$C:$C, Captura_Obra!B31, Captura_Marimba_M01!$D:$D, Captura_Obra!D31))&gt;0), "", 0)</f>
        <v/>
      </c>
      <c r="I327" s="9758">
        <f>IF(OR(Captura_Obra!A31="", (SUMIFS(Captura_Pegaso!$H:$H, Captura_Pegaso!$A:$A, Captura_Obra!A31, Captura_Pegaso!$D:$D, Captura_Obra!B31, Captura_Pegaso!$E:$E, Captura_Obra!D31) + SUMIFS(Captura_Marimba_M01!$G:$G, Captura_Marimba_M01!$A:$A, Captura_Obra!A31, Captura_Marimba_M01!$C:$C, Captura_Obra!B31, Captura_Marimba_M01!$D:$D, Captura_Obra!D31))&gt;0), "", Captura_Obra!F31)</f>
        <v/>
      </c>
      <c r="J327" s="9759">
        <f>IF(OR(Captura_Obra!A31="", (SUMIFS(Captura_Pegaso!$H:$H, Captura_Pegaso!$A:$A, Captura_Obra!A31, Captura_Pegaso!$D:$D, Captura_Obra!B31, Captura_Pegaso!$E:$E, Captura_Obra!D31) + SUMIFS(Captura_Marimba_M01!$G:$G, Captura_Marimba_M01!$A:$A, Captura_Obra!A31, Captura_Marimba_M01!$C:$C, Captura_Obra!B31, Captura_Marimba_M01!$D:$D, Captura_Obra!D31))&gt;0), "", H327 - I327)</f>
        <v/>
      </c>
      <c r="K327" s="4136" t="n"/>
    </row>
    <row r="328">
      <c r="A328" s="9760">
        <f>IF(OR(Captura_Obra!A32="", (SUMIFS(Captura_Pegaso!$H:$H, Captura_Pegaso!$A:$A, Captura_Obra!A32, Captura_Pegaso!$D:$D, Captura_Obra!B32, Captura_Pegaso!$E:$E, Captura_Obra!D32) + SUMIFS(Captura_Marimba_M01!$G:$G, Captura_Marimba_M01!$A:$A, Captura_Obra!A32, Captura_Marimba_M01!$C:$C, Captura_Obra!B32, Captura_Marimba_M01!$D:$D, Captura_Obra!D32))&gt;0), "", "Huérfano Obra")</f>
        <v/>
      </c>
      <c r="B328" s="9761">
        <f>IF(OR(Captura_Obra!A32="", (SUMIFS(Captura_Pegaso!$H:$H, Captura_Pegaso!$A:$A, Captura_Obra!A32, Captura_Pegaso!$D:$D, Captura_Obra!B32, Captura_Pegaso!$E:$E, Captura_Obra!D32) + SUMIFS(Captura_Marimba_M01!$G:$G, Captura_Marimba_M01!$A:$A, Captura_Obra!A32, Captura_Marimba_M01!$C:$C, Captura_Obra!B32, Captura_Marimba_M01!$D:$D, Captura_Obra!D32))&gt;0), "", "No Reportado")</f>
        <v/>
      </c>
      <c r="C328" s="9762">
        <f>IF(OR(Captura_Obra!A32="", (SUMIFS(Captura_Pegaso!$H:$H, Captura_Pegaso!$A:$A, Captura_Obra!A32, Captura_Pegaso!$D:$D, Captura_Obra!B32, Captura_Pegaso!$E:$E, Captura_Obra!D32) + SUMIFS(Captura_Marimba_M01!$G:$G, Captura_Marimba_M01!$A:$A, Captura_Obra!A32, Captura_Marimba_M01!$C:$C, Captura_Obra!B32, Captura_Marimba_M01!$D:$D, Captura_Obra!D32))&gt;0), "", Captura_Obra!N32)</f>
        <v/>
      </c>
      <c r="D328" s="9763">
        <f>IF(OR(Captura_Obra!A32="", (SUMIFS(Captura_Pegaso!$H:$H, Captura_Pegaso!$A:$A, Captura_Obra!A32, Captura_Pegaso!$D:$D, Captura_Obra!B32, Captura_Pegaso!$E:$E, Captura_Obra!D32) + SUMIFS(Captura_Marimba_M01!$G:$G, Captura_Marimba_M01!$A:$A, Captura_Obra!A32, Captura_Marimba_M01!$C:$C, Captura_Obra!B32, Captura_Marimba_M01!$D:$D, Captura_Obra!D32))&gt;0), "", "❌ Falta en Pipa")</f>
        <v/>
      </c>
      <c r="E328" s="9764">
        <f>IF(OR(Captura_Obra!A32="", (SUMIFS(Captura_Pegaso!$H:$H, Captura_Pegaso!$A:$A, Captura_Obra!A32, Captura_Pegaso!$D:$D, Captura_Obra!B32, Captura_Pegaso!$E:$E, Captura_Obra!D32) + SUMIFS(Captura_Marimba_M01!$G:$G, Captura_Marimba_M01!$A:$A, Captura_Obra!A32, Captura_Marimba_M01!$C:$C, Captura_Obra!B32, Captura_Marimba_M01!$D:$D, Captura_Obra!D32))&gt;0), "", Captura_Obra!A32)</f>
        <v/>
      </c>
      <c r="F328" s="9765">
        <f>IF(OR(Captura_Obra!A32="", (SUMIFS(Captura_Pegaso!$H:$H, Captura_Pegaso!$A:$A, Captura_Obra!A32, Captura_Pegaso!$D:$D, Captura_Obra!B32, Captura_Pegaso!$E:$E, Captura_Obra!D32) + SUMIFS(Captura_Marimba_M01!$G:$G, Captura_Marimba_M01!$A:$A, Captura_Obra!A32, Captura_Marimba_M01!$C:$C, Captura_Obra!B32, Captura_Marimba_M01!$D:$D, Captura_Obra!D32))&gt;0), "", Captura_Obra!B32)</f>
        <v/>
      </c>
      <c r="G328" s="9766">
        <f>IF(OR(Captura_Obra!A32="", (SUMIFS(Captura_Pegaso!$H:$H, Captura_Pegaso!$A:$A, Captura_Obra!A32, Captura_Pegaso!$D:$D, Captura_Obra!B32, Captura_Pegaso!$E:$E, Captura_Obra!D32) + SUMIFS(Captura_Marimba_M01!$G:$G, Captura_Marimba_M01!$A:$A, Captura_Obra!A32, Captura_Marimba_M01!$C:$C, Captura_Obra!B32, Captura_Marimba_M01!$D:$D, Captura_Obra!D32))&gt;0), "", Captura_Obra!D32)</f>
        <v/>
      </c>
      <c r="H328" s="9767">
        <f>IF(OR(Captura_Obra!A32="", (SUMIFS(Captura_Pegaso!$H:$H, Captura_Pegaso!$A:$A, Captura_Obra!A32, Captura_Pegaso!$D:$D, Captura_Obra!B32, Captura_Pegaso!$E:$E, Captura_Obra!D32) + SUMIFS(Captura_Marimba_M01!$G:$G, Captura_Marimba_M01!$A:$A, Captura_Obra!A32, Captura_Marimba_M01!$C:$C, Captura_Obra!B32, Captura_Marimba_M01!$D:$D, Captura_Obra!D32))&gt;0), "", 0)</f>
        <v/>
      </c>
      <c r="I328" s="9768">
        <f>IF(OR(Captura_Obra!A32="", (SUMIFS(Captura_Pegaso!$H:$H, Captura_Pegaso!$A:$A, Captura_Obra!A32, Captura_Pegaso!$D:$D, Captura_Obra!B32, Captura_Pegaso!$E:$E, Captura_Obra!D32) + SUMIFS(Captura_Marimba_M01!$G:$G, Captura_Marimba_M01!$A:$A, Captura_Obra!A32, Captura_Marimba_M01!$C:$C, Captura_Obra!B32, Captura_Marimba_M01!$D:$D, Captura_Obra!D32))&gt;0), "", Captura_Obra!F32)</f>
        <v/>
      </c>
      <c r="J328" s="9769">
        <f>IF(OR(Captura_Obra!A32="", (SUMIFS(Captura_Pegaso!$H:$H, Captura_Pegaso!$A:$A, Captura_Obra!A32, Captura_Pegaso!$D:$D, Captura_Obra!B32, Captura_Pegaso!$E:$E, Captura_Obra!D32) + SUMIFS(Captura_Marimba_M01!$G:$G, Captura_Marimba_M01!$A:$A, Captura_Obra!A32, Captura_Marimba_M01!$C:$C, Captura_Obra!B32, Captura_Marimba_M01!$D:$D, Captura_Obra!D32))&gt;0), "", H328 - I328)</f>
        <v/>
      </c>
      <c r="K328" s="4137" t="n"/>
    </row>
    <row r="329">
      <c r="A329" s="9770">
        <f>IF(OR(Captura_Obra!A33="", (SUMIFS(Captura_Pegaso!$H:$H, Captura_Pegaso!$A:$A, Captura_Obra!A33, Captura_Pegaso!$D:$D, Captura_Obra!B33, Captura_Pegaso!$E:$E, Captura_Obra!D33) + SUMIFS(Captura_Marimba_M01!$G:$G, Captura_Marimba_M01!$A:$A, Captura_Obra!A33, Captura_Marimba_M01!$C:$C, Captura_Obra!B33, Captura_Marimba_M01!$D:$D, Captura_Obra!D33))&gt;0), "", "Huérfano Obra")</f>
        <v/>
      </c>
      <c r="B329" s="9771">
        <f>IF(OR(Captura_Obra!A33="", (SUMIFS(Captura_Pegaso!$H:$H, Captura_Pegaso!$A:$A, Captura_Obra!A33, Captura_Pegaso!$D:$D, Captura_Obra!B33, Captura_Pegaso!$E:$E, Captura_Obra!D33) + SUMIFS(Captura_Marimba_M01!$G:$G, Captura_Marimba_M01!$A:$A, Captura_Obra!A33, Captura_Marimba_M01!$C:$C, Captura_Obra!B33, Captura_Marimba_M01!$D:$D, Captura_Obra!D33))&gt;0), "", "No Reportado")</f>
        <v/>
      </c>
      <c r="C329" s="9772">
        <f>IF(OR(Captura_Obra!A33="", (SUMIFS(Captura_Pegaso!$H:$H, Captura_Pegaso!$A:$A, Captura_Obra!A33, Captura_Pegaso!$D:$D, Captura_Obra!B33, Captura_Pegaso!$E:$E, Captura_Obra!D33) + SUMIFS(Captura_Marimba_M01!$G:$G, Captura_Marimba_M01!$A:$A, Captura_Obra!A33, Captura_Marimba_M01!$C:$C, Captura_Obra!B33, Captura_Marimba_M01!$D:$D, Captura_Obra!D33))&gt;0), "", Captura_Obra!N33)</f>
        <v/>
      </c>
      <c r="D329" s="9773">
        <f>IF(OR(Captura_Obra!A33="", (SUMIFS(Captura_Pegaso!$H:$H, Captura_Pegaso!$A:$A, Captura_Obra!A33, Captura_Pegaso!$D:$D, Captura_Obra!B33, Captura_Pegaso!$E:$E, Captura_Obra!D33) + SUMIFS(Captura_Marimba_M01!$G:$G, Captura_Marimba_M01!$A:$A, Captura_Obra!A33, Captura_Marimba_M01!$C:$C, Captura_Obra!B33, Captura_Marimba_M01!$D:$D, Captura_Obra!D33))&gt;0), "", "❌ Falta en Pipa")</f>
        <v/>
      </c>
      <c r="E329" s="9774">
        <f>IF(OR(Captura_Obra!A33="", (SUMIFS(Captura_Pegaso!$H:$H, Captura_Pegaso!$A:$A, Captura_Obra!A33, Captura_Pegaso!$D:$D, Captura_Obra!B33, Captura_Pegaso!$E:$E, Captura_Obra!D33) + SUMIFS(Captura_Marimba_M01!$G:$G, Captura_Marimba_M01!$A:$A, Captura_Obra!A33, Captura_Marimba_M01!$C:$C, Captura_Obra!B33, Captura_Marimba_M01!$D:$D, Captura_Obra!D33))&gt;0), "", Captura_Obra!A33)</f>
        <v/>
      </c>
      <c r="F329" s="9775">
        <f>IF(OR(Captura_Obra!A33="", (SUMIFS(Captura_Pegaso!$H:$H, Captura_Pegaso!$A:$A, Captura_Obra!A33, Captura_Pegaso!$D:$D, Captura_Obra!B33, Captura_Pegaso!$E:$E, Captura_Obra!D33) + SUMIFS(Captura_Marimba_M01!$G:$G, Captura_Marimba_M01!$A:$A, Captura_Obra!A33, Captura_Marimba_M01!$C:$C, Captura_Obra!B33, Captura_Marimba_M01!$D:$D, Captura_Obra!D33))&gt;0), "", Captura_Obra!B33)</f>
        <v/>
      </c>
      <c r="G329" s="9776">
        <f>IF(OR(Captura_Obra!A33="", (SUMIFS(Captura_Pegaso!$H:$H, Captura_Pegaso!$A:$A, Captura_Obra!A33, Captura_Pegaso!$D:$D, Captura_Obra!B33, Captura_Pegaso!$E:$E, Captura_Obra!D33) + SUMIFS(Captura_Marimba_M01!$G:$G, Captura_Marimba_M01!$A:$A, Captura_Obra!A33, Captura_Marimba_M01!$C:$C, Captura_Obra!B33, Captura_Marimba_M01!$D:$D, Captura_Obra!D33))&gt;0), "", Captura_Obra!D33)</f>
        <v/>
      </c>
      <c r="H329" s="9777">
        <f>IF(OR(Captura_Obra!A33="", (SUMIFS(Captura_Pegaso!$H:$H, Captura_Pegaso!$A:$A, Captura_Obra!A33, Captura_Pegaso!$D:$D, Captura_Obra!B33, Captura_Pegaso!$E:$E, Captura_Obra!D33) + SUMIFS(Captura_Marimba_M01!$G:$G, Captura_Marimba_M01!$A:$A, Captura_Obra!A33, Captura_Marimba_M01!$C:$C, Captura_Obra!B33, Captura_Marimba_M01!$D:$D, Captura_Obra!D33))&gt;0), "", 0)</f>
        <v/>
      </c>
      <c r="I329" s="9778">
        <f>IF(OR(Captura_Obra!A33="", (SUMIFS(Captura_Pegaso!$H:$H, Captura_Pegaso!$A:$A, Captura_Obra!A33, Captura_Pegaso!$D:$D, Captura_Obra!B33, Captura_Pegaso!$E:$E, Captura_Obra!D33) + SUMIFS(Captura_Marimba_M01!$G:$G, Captura_Marimba_M01!$A:$A, Captura_Obra!A33, Captura_Marimba_M01!$C:$C, Captura_Obra!B33, Captura_Marimba_M01!$D:$D, Captura_Obra!D33))&gt;0), "", Captura_Obra!F33)</f>
        <v/>
      </c>
      <c r="J329" s="9779">
        <f>IF(OR(Captura_Obra!A33="", (SUMIFS(Captura_Pegaso!$H:$H, Captura_Pegaso!$A:$A, Captura_Obra!A33, Captura_Pegaso!$D:$D, Captura_Obra!B33, Captura_Pegaso!$E:$E, Captura_Obra!D33) + SUMIFS(Captura_Marimba_M01!$G:$G, Captura_Marimba_M01!$A:$A, Captura_Obra!A33, Captura_Marimba_M01!$C:$C, Captura_Obra!B33, Captura_Marimba_M01!$D:$D, Captura_Obra!D33))&gt;0), "", H329 - I329)</f>
        <v/>
      </c>
      <c r="K329" s="4138" t="n"/>
    </row>
    <row r="330">
      <c r="A330" s="9780">
        <f>IF(OR(Captura_Obra!A34="", (SUMIFS(Captura_Pegaso!$H:$H, Captura_Pegaso!$A:$A, Captura_Obra!A34, Captura_Pegaso!$D:$D, Captura_Obra!B34, Captura_Pegaso!$E:$E, Captura_Obra!D34) + SUMIFS(Captura_Marimba_M01!$G:$G, Captura_Marimba_M01!$A:$A, Captura_Obra!A34, Captura_Marimba_M01!$C:$C, Captura_Obra!B34, Captura_Marimba_M01!$D:$D, Captura_Obra!D34))&gt;0), "", "Huérfano Obra")</f>
        <v/>
      </c>
      <c r="B330" s="9781">
        <f>IF(OR(Captura_Obra!A34="", (SUMIFS(Captura_Pegaso!$H:$H, Captura_Pegaso!$A:$A, Captura_Obra!A34, Captura_Pegaso!$D:$D, Captura_Obra!B34, Captura_Pegaso!$E:$E, Captura_Obra!D34) + SUMIFS(Captura_Marimba_M01!$G:$G, Captura_Marimba_M01!$A:$A, Captura_Obra!A34, Captura_Marimba_M01!$C:$C, Captura_Obra!B34, Captura_Marimba_M01!$D:$D, Captura_Obra!D34))&gt;0), "", "No Reportado")</f>
        <v/>
      </c>
      <c r="C330" s="9782">
        <f>IF(OR(Captura_Obra!A34="", (SUMIFS(Captura_Pegaso!$H:$H, Captura_Pegaso!$A:$A, Captura_Obra!A34, Captura_Pegaso!$D:$D, Captura_Obra!B34, Captura_Pegaso!$E:$E, Captura_Obra!D34) + SUMIFS(Captura_Marimba_M01!$G:$G, Captura_Marimba_M01!$A:$A, Captura_Obra!A34, Captura_Marimba_M01!$C:$C, Captura_Obra!B34, Captura_Marimba_M01!$D:$D, Captura_Obra!D34))&gt;0), "", Captura_Obra!N34)</f>
        <v/>
      </c>
      <c r="D330" s="9783">
        <f>IF(OR(Captura_Obra!A34="", (SUMIFS(Captura_Pegaso!$H:$H, Captura_Pegaso!$A:$A, Captura_Obra!A34, Captura_Pegaso!$D:$D, Captura_Obra!B34, Captura_Pegaso!$E:$E, Captura_Obra!D34) + SUMIFS(Captura_Marimba_M01!$G:$G, Captura_Marimba_M01!$A:$A, Captura_Obra!A34, Captura_Marimba_M01!$C:$C, Captura_Obra!B34, Captura_Marimba_M01!$D:$D, Captura_Obra!D34))&gt;0), "", "❌ Falta en Pipa")</f>
        <v/>
      </c>
      <c r="E330" s="9784">
        <f>IF(OR(Captura_Obra!A34="", (SUMIFS(Captura_Pegaso!$H:$H, Captura_Pegaso!$A:$A, Captura_Obra!A34, Captura_Pegaso!$D:$D, Captura_Obra!B34, Captura_Pegaso!$E:$E, Captura_Obra!D34) + SUMIFS(Captura_Marimba_M01!$G:$G, Captura_Marimba_M01!$A:$A, Captura_Obra!A34, Captura_Marimba_M01!$C:$C, Captura_Obra!B34, Captura_Marimba_M01!$D:$D, Captura_Obra!D34))&gt;0), "", Captura_Obra!A34)</f>
        <v/>
      </c>
      <c r="F330" s="9785">
        <f>IF(OR(Captura_Obra!A34="", (SUMIFS(Captura_Pegaso!$H:$H, Captura_Pegaso!$A:$A, Captura_Obra!A34, Captura_Pegaso!$D:$D, Captura_Obra!B34, Captura_Pegaso!$E:$E, Captura_Obra!D34) + SUMIFS(Captura_Marimba_M01!$G:$G, Captura_Marimba_M01!$A:$A, Captura_Obra!A34, Captura_Marimba_M01!$C:$C, Captura_Obra!B34, Captura_Marimba_M01!$D:$D, Captura_Obra!D34))&gt;0), "", Captura_Obra!B34)</f>
        <v/>
      </c>
      <c r="G330" s="9786">
        <f>IF(OR(Captura_Obra!A34="", (SUMIFS(Captura_Pegaso!$H:$H, Captura_Pegaso!$A:$A, Captura_Obra!A34, Captura_Pegaso!$D:$D, Captura_Obra!B34, Captura_Pegaso!$E:$E, Captura_Obra!D34) + SUMIFS(Captura_Marimba_M01!$G:$G, Captura_Marimba_M01!$A:$A, Captura_Obra!A34, Captura_Marimba_M01!$C:$C, Captura_Obra!B34, Captura_Marimba_M01!$D:$D, Captura_Obra!D34))&gt;0), "", Captura_Obra!D34)</f>
        <v/>
      </c>
      <c r="H330" s="9787">
        <f>IF(OR(Captura_Obra!A34="", (SUMIFS(Captura_Pegaso!$H:$H, Captura_Pegaso!$A:$A, Captura_Obra!A34, Captura_Pegaso!$D:$D, Captura_Obra!B34, Captura_Pegaso!$E:$E, Captura_Obra!D34) + SUMIFS(Captura_Marimba_M01!$G:$G, Captura_Marimba_M01!$A:$A, Captura_Obra!A34, Captura_Marimba_M01!$C:$C, Captura_Obra!B34, Captura_Marimba_M01!$D:$D, Captura_Obra!D34))&gt;0), "", 0)</f>
        <v/>
      </c>
      <c r="I330" s="9788">
        <f>IF(OR(Captura_Obra!A34="", (SUMIFS(Captura_Pegaso!$H:$H, Captura_Pegaso!$A:$A, Captura_Obra!A34, Captura_Pegaso!$D:$D, Captura_Obra!B34, Captura_Pegaso!$E:$E, Captura_Obra!D34) + SUMIFS(Captura_Marimba_M01!$G:$G, Captura_Marimba_M01!$A:$A, Captura_Obra!A34, Captura_Marimba_M01!$C:$C, Captura_Obra!B34, Captura_Marimba_M01!$D:$D, Captura_Obra!D34))&gt;0), "", Captura_Obra!F34)</f>
        <v/>
      </c>
      <c r="J330" s="9789">
        <f>IF(OR(Captura_Obra!A34="", (SUMIFS(Captura_Pegaso!$H:$H, Captura_Pegaso!$A:$A, Captura_Obra!A34, Captura_Pegaso!$D:$D, Captura_Obra!B34, Captura_Pegaso!$E:$E, Captura_Obra!D34) + SUMIFS(Captura_Marimba_M01!$G:$G, Captura_Marimba_M01!$A:$A, Captura_Obra!A34, Captura_Marimba_M01!$C:$C, Captura_Obra!B34, Captura_Marimba_M01!$D:$D, Captura_Obra!D34))&gt;0), "", H330 - I330)</f>
        <v/>
      </c>
      <c r="K330" s="4139" t="n"/>
    </row>
    <row r="331">
      <c r="A331" s="9790">
        <f>IF(OR(Captura_Obra!A35="", (SUMIFS(Captura_Pegaso!$H:$H, Captura_Pegaso!$A:$A, Captura_Obra!A35, Captura_Pegaso!$D:$D, Captura_Obra!B35, Captura_Pegaso!$E:$E, Captura_Obra!D35) + SUMIFS(Captura_Marimba_M01!$G:$G, Captura_Marimba_M01!$A:$A, Captura_Obra!A35, Captura_Marimba_M01!$C:$C, Captura_Obra!B35, Captura_Marimba_M01!$D:$D, Captura_Obra!D35))&gt;0), "", "Huérfano Obra")</f>
        <v/>
      </c>
      <c r="B331" s="9791">
        <f>IF(OR(Captura_Obra!A35="", (SUMIFS(Captura_Pegaso!$H:$H, Captura_Pegaso!$A:$A, Captura_Obra!A35, Captura_Pegaso!$D:$D, Captura_Obra!B35, Captura_Pegaso!$E:$E, Captura_Obra!D35) + SUMIFS(Captura_Marimba_M01!$G:$G, Captura_Marimba_M01!$A:$A, Captura_Obra!A35, Captura_Marimba_M01!$C:$C, Captura_Obra!B35, Captura_Marimba_M01!$D:$D, Captura_Obra!D35))&gt;0), "", "No Reportado")</f>
        <v/>
      </c>
      <c r="C331" s="9792">
        <f>IF(OR(Captura_Obra!A35="", (SUMIFS(Captura_Pegaso!$H:$H, Captura_Pegaso!$A:$A, Captura_Obra!A35, Captura_Pegaso!$D:$D, Captura_Obra!B35, Captura_Pegaso!$E:$E, Captura_Obra!D35) + SUMIFS(Captura_Marimba_M01!$G:$G, Captura_Marimba_M01!$A:$A, Captura_Obra!A35, Captura_Marimba_M01!$C:$C, Captura_Obra!B35, Captura_Marimba_M01!$D:$D, Captura_Obra!D35))&gt;0), "", Captura_Obra!N35)</f>
        <v/>
      </c>
      <c r="D331" s="9793">
        <f>IF(OR(Captura_Obra!A35="", (SUMIFS(Captura_Pegaso!$H:$H, Captura_Pegaso!$A:$A, Captura_Obra!A35, Captura_Pegaso!$D:$D, Captura_Obra!B35, Captura_Pegaso!$E:$E, Captura_Obra!D35) + SUMIFS(Captura_Marimba_M01!$G:$G, Captura_Marimba_M01!$A:$A, Captura_Obra!A35, Captura_Marimba_M01!$C:$C, Captura_Obra!B35, Captura_Marimba_M01!$D:$D, Captura_Obra!D35))&gt;0), "", "❌ Falta en Pipa")</f>
        <v/>
      </c>
      <c r="E331" s="9794">
        <f>IF(OR(Captura_Obra!A35="", (SUMIFS(Captura_Pegaso!$H:$H, Captura_Pegaso!$A:$A, Captura_Obra!A35, Captura_Pegaso!$D:$D, Captura_Obra!B35, Captura_Pegaso!$E:$E, Captura_Obra!D35) + SUMIFS(Captura_Marimba_M01!$G:$G, Captura_Marimba_M01!$A:$A, Captura_Obra!A35, Captura_Marimba_M01!$C:$C, Captura_Obra!B35, Captura_Marimba_M01!$D:$D, Captura_Obra!D35))&gt;0), "", Captura_Obra!A35)</f>
        <v/>
      </c>
      <c r="F331" s="9795">
        <f>IF(OR(Captura_Obra!A35="", (SUMIFS(Captura_Pegaso!$H:$H, Captura_Pegaso!$A:$A, Captura_Obra!A35, Captura_Pegaso!$D:$D, Captura_Obra!B35, Captura_Pegaso!$E:$E, Captura_Obra!D35) + SUMIFS(Captura_Marimba_M01!$G:$G, Captura_Marimba_M01!$A:$A, Captura_Obra!A35, Captura_Marimba_M01!$C:$C, Captura_Obra!B35, Captura_Marimba_M01!$D:$D, Captura_Obra!D35))&gt;0), "", Captura_Obra!B35)</f>
        <v/>
      </c>
      <c r="G331" s="9796">
        <f>IF(OR(Captura_Obra!A35="", (SUMIFS(Captura_Pegaso!$H:$H, Captura_Pegaso!$A:$A, Captura_Obra!A35, Captura_Pegaso!$D:$D, Captura_Obra!B35, Captura_Pegaso!$E:$E, Captura_Obra!D35) + SUMIFS(Captura_Marimba_M01!$G:$G, Captura_Marimba_M01!$A:$A, Captura_Obra!A35, Captura_Marimba_M01!$C:$C, Captura_Obra!B35, Captura_Marimba_M01!$D:$D, Captura_Obra!D35))&gt;0), "", Captura_Obra!D35)</f>
        <v/>
      </c>
      <c r="H331" s="9797">
        <f>IF(OR(Captura_Obra!A35="", (SUMIFS(Captura_Pegaso!$H:$H, Captura_Pegaso!$A:$A, Captura_Obra!A35, Captura_Pegaso!$D:$D, Captura_Obra!B35, Captura_Pegaso!$E:$E, Captura_Obra!D35) + SUMIFS(Captura_Marimba_M01!$G:$G, Captura_Marimba_M01!$A:$A, Captura_Obra!A35, Captura_Marimba_M01!$C:$C, Captura_Obra!B35, Captura_Marimba_M01!$D:$D, Captura_Obra!D35))&gt;0), "", 0)</f>
        <v/>
      </c>
      <c r="I331" s="9798">
        <f>IF(OR(Captura_Obra!A35="", (SUMIFS(Captura_Pegaso!$H:$H, Captura_Pegaso!$A:$A, Captura_Obra!A35, Captura_Pegaso!$D:$D, Captura_Obra!B35, Captura_Pegaso!$E:$E, Captura_Obra!D35) + SUMIFS(Captura_Marimba_M01!$G:$G, Captura_Marimba_M01!$A:$A, Captura_Obra!A35, Captura_Marimba_M01!$C:$C, Captura_Obra!B35, Captura_Marimba_M01!$D:$D, Captura_Obra!D35))&gt;0), "", Captura_Obra!F35)</f>
        <v/>
      </c>
      <c r="J331" s="9799">
        <f>IF(OR(Captura_Obra!A35="", (SUMIFS(Captura_Pegaso!$H:$H, Captura_Pegaso!$A:$A, Captura_Obra!A35, Captura_Pegaso!$D:$D, Captura_Obra!B35, Captura_Pegaso!$E:$E, Captura_Obra!D35) + SUMIFS(Captura_Marimba_M01!$G:$G, Captura_Marimba_M01!$A:$A, Captura_Obra!A35, Captura_Marimba_M01!$C:$C, Captura_Obra!B35, Captura_Marimba_M01!$D:$D, Captura_Obra!D35))&gt;0), "", H331 - I331)</f>
        <v/>
      </c>
      <c r="K331" s="4140" t="n"/>
    </row>
    <row r="332">
      <c r="A332" s="9800">
        <f>IF(OR(Captura_Obra!A36="", (SUMIFS(Captura_Pegaso!$H:$H, Captura_Pegaso!$A:$A, Captura_Obra!A36, Captura_Pegaso!$D:$D, Captura_Obra!B36, Captura_Pegaso!$E:$E, Captura_Obra!D36) + SUMIFS(Captura_Marimba_M01!$G:$G, Captura_Marimba_M01!$A:$A, Captura_Obra!A36, Captura_Marimba_M01!$C:$C, Captura_Obra!B36, Captura_Marimba_M01!$D:$D, Captura_Obra!D36))&gt;0), "", "Huérfano Obra")</f>
        <v/>
      </c>
      <c r="B332" s="9801">
        <f>IF(OR(Captura_Obra!A36="", (SUMIFS(Captura_Pegaso!$H:$H, Captura_Pegaso!$A:$A, Captura_Obra!A36, Captura_Pegaso!$D:$D, Captura_Obra!B36, Captura_Pegaso!$E:$E, Captura_Obra!D36) + SUMIFS(Captura_Marimba_M01!$G:$G, Captura_Marimba_M01!$A:$A, Captura_Obra!A36, Captura_Marimba_M01!$C:$C, Captura_Obra!B36, Captura_Marimba_M01!$D:$D, Captura_Obra!D36))&gt;0), "", "No Reportado")</f>
        <v/>
      </c>
      <c r="C332" s="9802">
        <f>IF(OR(Captura_Obra!A36="", (SUMIFS(Captura_Pegaso!$H:$H, Captura_Pegaso!$A:$A, Captura_Obra!A36, Captura_Pegaso!$D:$D, Captura_Obra!B36, Captura_Pegaso!$E:$E, Captura_Obra!D36) + SUMIFS(Captura_Marimba_M01!$G:$G, Captura_Marimba_M01!$A:$A, Captura_Obra!A36, Captura_Marimba_M01!$C:$C, Captura_Obra!B36, Captura_Marimba_M01!$D:$D, Captura_Obra!D36))&gt;0), "", Captura_Obra!N36)</f>
        <v/>
      </c>
      <c r="D332" s="9803">
        <f>IF(OR(Captura_Obra!A36="", (SUMIFS(Captura_Pegaso!$H:$H, Captura_Pegaso!$A:$A, Captura_Obra!A36, Captura_Pegaso!$D:$D, Captura_Obra!B36, Captura_Pegaso!$E:$E, Captura_Obra!D36) + SUMIFS(Captura_Marimba_M01!$G:$G, Captura_Marimba_M01!$A:$A, Captura_Obra!A36, Captura_Marimba_M01!$C:$C, Captura_Obra!B36, Captura_Marimba_M01!$D:$D, Captura_Obra!D36))&gt;0), "", "❌ Falta en Pipa")</f>
        <v/>
      </c>
      <c r="E332" s="9804">
        <f>IF(OR(Captura_Obra!A36="", (SUMIFS(Captura_Pegaso!$H:$H, Captura_Pegaso!$A:$A, Captura_Obra!A36, Captura_Pegaso!$D:$D, Captura_Obra!B36, Captura_Pegaso!$E:$E, Captura_Obra!D36) + SUMIFS(Captura_Marimba_M01!$G:$G, Captura_Marimba_M01!$A:$A, Captura_Obra!A36, Captura_Marimba_M01!$C:$C, Captura_Obra!B36, Captura_Marimba_M01!$D:$D, Captura_Obra!D36))&gt;0), "", Captura_Obra!A36)</f>
        <v/>
      </c>
      <c r="F332" s="9805">
        <f>IF(OR(Captura_Obra!A36="", (SUMIFS(Captura_Pegaso!$H:$H, Captura_Pegaso!$A:$A, Captura_Obra!A36, Captura_Pegaso!$D:$D, Captura_Obra!B36, Captura_Pegaso!$E:$E, Captura_Obra!D36) + SUMIFS(Captura_Marimba_M01!$G:$G, Captura_Marimba_M01!$A:$A, Captura_Obra!A36, Captura_Marimba_M01!$C:$C, Captura_Obra!B36, Captura_Marimba_M01!$D:$D, Captura_Obra!D36))&gt;0), "", Captura_Obra!B36)</f>
        <v/>
      </c>
      <c r="G332" s="9806">
        <f>IF(OR(Captura_Obra!A36="", (SUMIFS(Captura_Pegaso!$H:$H, Captura_Pegaso!$A:$A, Captura_Obra!A36, Captura_Pegaso!$D:$D, Captura_Obra!B36, Captura_Pegaso!$E:$E, Captura_Obra!D36) + SUMIFS(Captura_Marimba_M01!$G:$G, Captura_Marimba_M01!$A:$A, Captura_Obra!A36, Captura_Marimba_M01!$C:$C, Captura_Obra!B36, Captura_Marimba_M01!$D:$D, Captura_Obra!D36))&gt;0), "", Captura_Obra!D36)</f>
        <v/>
      </c>
      <c r="H332" s="9807">
        <f>IF(OR(Captura_Obra!A36="", (SUMIFS(Captura_Pegaso!$H:$H, Captura_Pegaso!$A:$A, Captura_Obra!A36, Captura_Pegaso!$D:$D, Captura_Obra!B36, Captura_Pegaso!$E:$E, Captura_Obra!D36) + SUMIFS(Captura_Marimba_M01!$G:$G, Captura_Marimba_M01!$A:$A, Captura_Obra!A36, Captura_Marimba_M01!$C:$C, Captura_Obra!B36, Captura_Marimba_M01!$D:$D, Captura_Obra!D36))&gt;0), "", 0)</f>
        <v/>
      </c>
      <c r="I332" s="9808">
        <f>IF(OR(Captura_Obra!A36="", (SUMIFS(Captura_Pegaso!$H:$H, Captura_Pegaso!$A:$A, Captura_Obra!A36, Captura_Pegaso!$D:$D, Captura_Obra!B36, Captura_Pegaso!$E:$E, Captura_Obra!D36) + SUMIFS(Captura_Marimba_M01!$G:$G, Captura_Marimba_M01!$A:$A, Captura_Obra!A36, Captura_Marimba_M01!$C:$C, Captura_Obra!B36, Captura_Marimba_M01!$D:$D, Captura_Obra!D36))&gt;0), "", Captura_Obra!F36)</f>
        <v/>
      </c>
      <c r="J332" s="9809">
        <f>IF(OR(Captura_Obra!A36="", (SUMIFS(Captura_Pegaso!$H:$H, Captura_Pegaso!$A:$A, Captura_Obra!A36, Captura_Pegaso!$D:$D, Captura_Obra!B36, Captura_Pegaso!$E:$E, Captura_Obra!D36) + SUMIFS(Captura_Marimba_M01!$G:$G, Captura_Marimba_M01!$A:$A, Captura_Obra!A36, Captura_Marimba_M01!$C:$C, Captura_Obra!B36, Captura_Marimba_M01!$D:$D, Captura_Obra!D36))&gt;0), "", H332 - I332)</f>
        <v/>
      </c>
      <c r="K332" s="4141" t="n"/>
    </row>
    <row r="333">
      <c r="A333" s="9810">
        <f>IF(OR(Captura_Obra!A37="", (SUMIFS(Captura_Pegaso!$H:$H, Captura_Pegaso!$A:$A, Captura_Obra!A37, Captura_Pegaso!$D:$D, Captura_Obra!B37, Captura_Pegaso!$E:$E, Captura_Obra!D37) + SUMIFS(Captura_Marimba_M01!$G:$G, Captura_Marimba_M01!$A:$A, Captura_Obra!A37, Captura_Marimba_M01!$C:$C, Captura_Obra!B37, Captura_Marimba_M01!$D:$D, Captura_Obra!D37))&gt;0), "", "Huérfano Obra")</f>
        <v/>
      </c>
      <c r="B333" s="9811">
        <f>IF(OR(Captura_Obra!A37="", (SUMIFS(Captura_Pegaso!$H:$H, Captura_Pegaso!$A:$A, Captura_Obra!A37, Captura_Pegaso!$D:$D, Captura_Obra!B37, Captura_Pegaso!$E:$E, Captura_Obra!D37) + SUMIFS(Captura_Marimba_M01!$G:$G, Captura_Marimba_M01!$A:$A, Captura_Obra!A37, Captura_Marimba_M01!$C:$C, Captura_Obra!B37, Captura_Marimba_M01!$D:$D, Captura_Obra!D37))&gt;0), "", "No Reportado")</f>
        <v/>
      </c>
      <c r="C333" s="9812">
        <f>IF(OR(Captura_Obra!A37="", (SUMIFS(Captura_Pegaso!$H:$H, Captura_Pegaso!$A:$A, Captura_Obra!A37, Captura_Pegaso!$D:$D, Captura_Obra!B37, Captura_Pegaso!$E:$E, Captura_Obra!D37) + SUMIFS(Captura_Marimba_M01!$G:$G, Captura_Marimba_M01!$A:$A, Captura_Obra!A37, Captura_Marimba_M01!$C:$C, Captura_Obra!B37, Captura_Marimba_M01!$D:$D, Captura_Obra!D37))&gt;0), "", Captura_Obra!N37)</f>
        <v/>
      </c>
      <c r="D333" s="9813">
        <f>IF(OR(Captura_Obra!A37="", (SUMIFS(Captura_Pegaso!$H:$H, Captura_Pegaso!$A:$A, Captura_Obra!A37, Captura_Pegaso!$D:$D, Captura_Obra!B37, Captura_Pegaso!$E:$E, Captura_Obra!D37) + SUMIFS(Captura_Marimba_M01!$G:$G, Captura_Marimba_M01!$A:$A, Captura_Obra!A37, Captura_Marimba_M01!$C:$C, Captura_Obra!B37, Captura_Marimba_M01!$D:$D, Captura_Obra!D37))&gt;0), "", "❌ Falta en Pipa")</f>
        <v/>
      </c>
      <c r="E333" s="9814">
        <f>IF(OR(Captura_Obra!A37="", (SUMIFS(Captura_Pegaso!$H:$H, Captura_Pegaso!$A:$A, Captura_Obra!A37, Captura_Pegaso!$D:$D, Captura_Obra!B37, Captura_Pegaso!$E:$E, Captura_Obra!D37) + SUMIFS(Captura_Marimba_M01!$G:$G, Captura_Marimba_M01!$A:$A, Captura_Obra!A37, Captura_Marimba_M01!$C:$C, Captura_Obra!B37, Captura_Marimba_M01!$D:$D, Captura_Obra!D37))&gt;0), "", Captura_Obra!A37)</f>
        <v/>
      </c>
      <c r="F333" s="9815">
        <f>IF(OR(Captura_Obra!A37="", (SUMIFS(Captura_Pegaso!$H:$H, Captura_Pegaso!$A:$A, Captura_Obra!A37, Captura_Pegaso!$D:$D, Captura_Obra!B37, Captura_Pegaso!$E:$E, Captura_Obra!D37) + SUMIFS(Captura_Marimba_M01!$G:$G, Captura_Marimba_M01!$A:$A, Captura_Obra!A37, Captura_Marimba_M01!$C:$C, Captura_Obra!B37, Captura_Marimba_M01!$D:$D, Captura_Obra!D37))&gt;0), "", Captura_Obra!B37)</f>
        <v/>
      </c>
      <c r="G333" s="9816">
        <f>IF(OR(Captura_Obra!A37="", (SUMIFS(Captura_Pegaso!$H:$H, Captura_Pegaso!$A:$A, Captura_Obra!A37, Captura_Pegaso!$D:$D, Captura_Obra!B37, Captura_Pegaso!$E:$E, Captura_Obra!D37) + SUMIFS(Captura_Marimba_M01!$G:$G, Captura_Marimba_M01!$A:$A, Captura_Obra!A37, Captura_Marimba_M01!$C:$C, Captura_Obra!B37, Captura_Marimba_M01!$D:$D, Captura_Obra!D37))&gt;0), "", Captura_Obra!D37)</f>
        <v/>
      </c>
      <c r="H333" s="9817">
        <f>IF(OR(Captura_Obra!A37="", (SUMIFS(Captura_Pegaso!$H:$H, Captura_Pegaso!$A:$A, Captura_Obra!A37, Captura_Pegaso!$D:$D, Captura_Obra!B37, Captura_Pegaso!$E:$E, Captura_Obra!D37) + SUMIFS(Captura_Marimba_M01!$G:$G, Captura_Marimba_M01!$A:$A, Captura_Obra!A37, Captura_Marimba_M01!$C:$C, Captura_Obra!B37, Captura_Marimba_M01!$D:$D, Captura_Obra!D37))&gt;0), "", 0)</f>
        <v/>
      </c>
      <c r="I333" s="9818">
        <f>IF(OR(Captura_Obra!A37="", (SUMIFS(Captura_Pegaso!$H:$H, Captura_Pegaso!$A:$A, Captura_Obra!A37, Captura_Pegaso!$D:$D, Captura_Obra!B37, Captura_Pegaso!$E:$E, Captura_Obra!D37) + SUMIFS(Captura_Marimba_M01!$G:$G, Captura_Marimba_M01!$A:$A, Captura_Obra!A37, Captura_Marimba_M01!$C:$C, Captura_Obra!B37, Captura_Marimba_M01!$D:$D, Captura_Obra!D37))&gt;0), "", Captura_Obra!F37)</f>
        <v/>
      </c>
      <c r="J333" s="9819">
        <f>IF(OR(Captura_Obra!A37="", (SUMIFS(Captura_Pegaso!$H:$H, Captura_Pegaso!$A:$A, Captura_Obra!A37, Captura_Pegaso!$D:$D, Captura_Obra!B37, Captura_Pegaso!$E:$E, Captura_Obra!D37) + SUMIFS(Captura_Marimba_M01!$G:$G, Captura_Marimba_M01!$A:$A, Captura_Obra!A37, Captura_Marimba_M01!$C:$C, Captura_Obra!B37, Captura_Marimba_M01!$D:$D, Captura_Obra!D37))&gt;0), "", H333 - I333)</f>
        <v/>
      </c>
      <c r="K333" s="4142" t="n"/>
    </row>
    <row r="334">
      <c r="A334" s="9820">
        <f>IF(OR(Captura_Obra!A38="", (SUMIFS(Captura_Pegaso!$H:$H, Captura_Pegaso!$A:$A, Captura_Obra!A38, Captura_Pegaso!$D:$D, Captura_Obra!B38, Captura_Pegaso!$E:$E, Captura_Obra!D38) + SUMIFS(Captura_Marimba_M01!$G:$G, Captura_Marimba_M01!$A:$A, Captura_Obra!A38, Captura_Marimba_M01!$C:$C, Captura_Obra!B38, Captura_Marimba_M01!$D:$D, Captura_Obra!D38))&gt;0), "", "Huérfano Obra")</f>
        <v/>
      </c>
      <c r="B334" s="9821">
        <f>IF(OR(Captura_Obra!A38="", (SUMIFS(Captura_Pegaso!$H:$H, Captura_Pegaso!$A:$A, Captura_Obra!A38, Captura_Pegaso!$D:$D, Captura_Obra!B38, Captura_Pegaso!$E:$E, Captura_Obra!D38) + SUMIFS(Captura_Marimba_M01!$G:$G, Captura_Marimba_M01!$A:$A, Captura_Obra!A38, Captura_Marimba_M01!$C:$C, Captura_Obra!B38, Captura_Marimba_M01!$D:$D, Captura_Obra!D38))&gt;0), "", "No Reportado")</f>
        <v/>
      </c>
      <c r="C334" s="9822">
        <f>IF(OR(Captura_Obra!A38="", (SUMIFS(Captura_Pegaso!$H:$H, Captura_Pegaso!$A:$A, Captura_Obra!A38, Captura_Pegaso!$D:$D, Captura_Obra!B38, Captura_Pegaso!$E:$E, Captura_Obra!D38) + SUMIFS(Captura_Marimba_M01!$G:$G, Captura_Marimba_M01!$A:$A, Captura_Obra!A38, Captura_Marimba_M01!$C:$C, Captura_Obra!B38, Captura_Marimba_M01!$D:$D, Captura_Obra!D38))&gt;0), "", Captura_Obra!N38)</f>
        <v/>
      </c>
      <c r="D334" s="9823">
        <f>IF(OR(Captura_Obra!A38="", (SUMIFS(Captura_Pegaso!$H:$H, Captura_Pegaso!$A:$A, Captura_Obra!A38, Captura_Pegaso!$D:$D, Captura_Obra!B38, Captura_Pegaso!$E:$E, Captura_Obra!D38) + SUMIFS(Captura_Marimba_M01!$G:$G, Captura_Marimba_M01!$A:$A, Captura_Obra!A38, Captura_Marimba_M01!$C:$C, Captura_Obra!B38, Captura_Marimba_M01!$D:$D, Captura_Obra!D38))&gt;0), "", "❌ Falta en Pipa")</f>
        <v/>
      </c>
      <c r="E334" s="9824">
        <f>IF(OR(Captura_Obra!A38="", (SUMIFS(Captura_Pegaso!$H:$H, Captura_Pegaso!$A:$A, Captura_Obra!A38, Captura_Pegaso!$D:$D, Captura_Obra!B38, Captura_Pegaso!$E:$E, Captura_Obra!D38) + SUMIFS(Captura_Marimba_M01!$G:$G, Captura_Marimba_M01!$A:$A, Captura_Obra!A38, Captura_Marimba_M01!$C:$C, Captura_Obra!B38, Captura_Marimba_M01!$D:$D, Captura_Obra!D38))&gt;0), "", Captura_Obra!A38)</f>
        <v/>
      </c>
      <c r="F334" s="9825">
        <f>IF(OR(Captura_Obra!A38="", (SUMIFS(Captura_Pegaso!$H:$H, Captura_Pegaso!$A:$A, Captura_Obra!A38, Captura_Pegaso!$D:$D, Captura_Obra!B38, Captura_Pegaso!$E:$E, Captura_Obra!D38) + SUMIFS(Captura_Marimba_M01!$G:$G, Captura_Marimba_M01!$A:$A, Captura_Obra!A38, Captura_Marimba_M01!$C:$C, Captura_Obra!B38, Captura_Marimba_M01!$D:$D, Captura_Obra!D38))&gt;0), "", Captura_Obra!B38)</f>
        <v/>
      </c>
      <c r="G334" s="9826">
        <f>IF(OR(Captura_Obra!A38="", (SUMIFS(Captura_Pegaso!$H:$H, Captura_Pegaso!$A:$A, Captura_Obra!A38, Captura_Pegaso!$D:$D, Captura_Obra!B38, Captura_Pegaso!$E:$E, Captura_Obra!D38) + SUMIFS(Captura_Marimba_M01!$G:$G, Captura_Marimba_M01!$A:$A, Captura_Obra!A38, Captura_Marimba_M01!$C:$C, Captura_Obra!B38, Captura_Marimba_M01!$D:$D, Captura_Obra!D38))&gt;0), "", Captura_Obra!D38)</f>
        <v/>
      </c>
      <c r="H334" s="9827">
        <f>IF(OR(Captura_Obra!A38="", (SUMIFS(Captura_Pegaso!$H:$H, Captura_Pegaso!$A:$A, Captura_Obra!A38, Captura_Pegaso!$D:$D, Captura_Obra!B38, Captura_Pegaso!$E:$E, Captura_Obra!D38) + SUMIFS(Captura_Marimba_M01!$G:$G, Captura_Marimba_M01!$A:$A, Captura_Obra!A38, Captura_Marimba_M01!$C:$C, Captura_Obra!B38, Captura_Marimba_M01!$D:$D, Captura_Obra!D38))&gt;0), "", 0)</f>
        <v/>
      </c>
      <c r="I334" s="9828">
        <f>IF(OR(Captura_Obra!A38="", (SUMIFS(Captura_Pegaso!$H:$H, Captura_Pegaso!$A:$A, Captura_Obra!A38, Captura_Pegaso!$D:$D, Captura_Obra!B38, Captura_Pegaso!$E:$E, Captura_Obra!D38) + SUMIFS(Captura_Marimba_M01!$G:$G, Captura_Marimba_M01!$A:$A, Captura_Obra!A38, Captura_Marimba_M01!$C:$C, Captura_Obra!B38, Captura_Marimba_M01!$D:$D, Captura_Obra!D38))&gt;0), "", Captura_Obra!F38)</f>
        <v/>
      </c>
      <c r="J334" s="9829">
        <f>IF(OR(Captura_Obra!A38="", (SUMIFS(Captura_Pegaso!$H:$H, Captura_Pegaso!$A:$A, Captura_Obra!A38, Captura_Pegaso!$D:$D, Captura_Obra!B38, Captura_Pegaso!$E:$E, Captura_Obra!D38) + SUMIFS(Captura_Marimba_M01!$G:$G, Captura_Marimba_M01!$A:$A, Captura_Obra!A38, Captura_Marimba_M01!$C:$C, Captura_Obra!B38, Captura_Marimba_M01!$D:$D, Captura_Obra!D38))&gt;0), "", H334 - I334)</f>
        <v/>
      </c>
      <c r="K334" s="4143" t="n"/>
    </row>
    <row r="335">
      <c r="A335" s="9830">
        <f>IF(OR(Captura_Obra!A39="", (SUMIFS(Captura_Pegaso!$H:$H, Captura_Pegaso!$A:$A, Captura_Obra!A39, Captura_Pegaso!$D:$D, Captura_Obra!B39, Captura_Pegaso!$E:$E, Captura_Obra!D39) + SUMIFS(Captura_Marimba_M01!$G:$G, Captura_Marimba_M01!$A:$A, Captura_Obra!A39, Captura_Marimba_M01!$C:$C, Captura_Obra!B39, Captura_Marimba_M01!$D:$D, Captura_Obra!D39))&gt;0), "", "Huérfano Obra")</f>
        <v/>
      </c>
      <c r="B335" s="9831">
        <f>IF(OR(Captura_Obra!A39="", (SUMIFS(Captura_Pegaso!$H:$H, Captura_Pegaso!$A:$A, Captura_Obra!A39, Captura_Pegaso!$D:$D, Captura_Obra!B39, Captura_Pegaso!$E:$E, Captura_Obra!D39) + SUMIFS(Captura_Marimba_M01!$G:$G, Captura_Marimba_M01!$A:$A, Captura_Obra!A39, Captura_Marimba_M01!$C:$C, Captura_Obra!B39, Captura_Marimba_M01!$D:$D, Captura_Obra!D39))&gt;0), "", "No Reportado")</f>
        <v/>
      </c>
      <c r="C335" s="9832">
        <f>IF(OR(Captura_Obra!A39="", (SUMIFS(Captura_Pegaso!$H:$H, Captura_Pegaso!$A:$A, Captura_Obra!A39, Captura_Pegaso!$D:$D, Captura_Obra!B39, Captura_Pegaso!$E:$E, Captura_Obra!D39) + SUMIFS(Captura_Marimba_M01!$G:$G, Captura_Marimba_M01!$A:$A, Captura_Obra!A39, Captura_Marimba_M01!$C:$C, Captura_Obra!B39, Captura_Marimba_M01!$D:$D, Captura_Obra!D39))&gt;0), "", Captura_Obra!N39)</f>
        <v/>
      </c>
      <c r="D335" s="9833">
        <f>IF(OR(Captura_Obra!A39="", (SUMIFS(Captura_Pegaso!$H:$H, Captura_Pegaso!$A:$A, Captura_Obra!A39, Captura_Pegaso!$D:$D, Captura_Obra!B39, Captura_Pegaso!$E:$E, Captura_Obra!D39) + SUMIFS(Captura_Marimba_M01!$G:$G, Captura_Marimba_M01!$A:$A, Captura_Obra!A39, Captura_Marimba_M01!$C:$C, Captura_Obra!B39, Captura_Marimba_M01!$D:$D, Captura_Obra!D39))&gt;0), "", "❌ Falta en Pipa")</f>
        <v/>
      </c>
      <c r="E335" s="9834">
        <f>IF(OR(Captura_Obra!A39="", (SUMIFS(Captura_Pegaso!$H:$H, Captura_Pegaso!$A:$A, Captura_Obra!A39, Captura_Pegaso!$D:$D, Captura_Obra!B39, Captura_Pegaso!$E:$E, Captura_Obra!D39) + SUMIFS(Captura_Marimba_M01!$G:$G, Captura_Marimba_M01!$A:$A, Captura_Obra!A39, Captura_Marimba_M01!$C:$C, Captura_Obra!B39, Captura_Marimba_M01!$D:$D, Captura_Obra!D39))&gt;0), "", Captura_Obra!A39)</f>
        <v/>
      </c>
      <c r="F335" s="9835">
        <f>IF(OR(Captura_Obra!A39="", (SUMIFS(Captura_Pegaso!$H:$H, Captura_Pegaso!$A:$A, Captura_Obra!A39, Captura_Pegaso!$D:$D, Captura_Obra!B39, Captura_Pegaso!$E:$E, Captura_Obra!D39) + SUMIFS(Captura_Marimba_M01!$G:$G, Captura_Marimba_M01!$A:$A, Captura_Obra!A39, Captura_Marimba_M01!$C:$C, Captura_Obra!B39, Captura_Marimba_M01!$D:$D, Captura_Obra!D39))&gt;0), "", Captura_Obra!B39)</f>
        <v/>
      </c>
      <c r="G335" s="9836">
        <f>IF(OR(Captura_Obra!A39="", (SUMIFS(Captura_Pegaso!$H:$H, Captura_Pegaso!$A:$A, Captura_Obra!A39, Captura_Pegaso!$D:$D, Captura_Obra!B39, Captura_Pegaso!$E:$E, Captura_Obra!D39) + SUMIFS(Captura_Marimba_M01!$G:$G, Captura_Marimba_M01!$A:$A, Captura_Obra!A39, Captura_Marimba_M01!$C:$C, Captura_Obra!B39, Captura_Marimba_M01!$D:$D, Captura_Obra!D39))&gt;0), "", Captura_Obra!D39)</f>
        <v/>
      </c>
      <c r="H335" s="9837">
        <f>IF(OR(Captura_Obra!A39="", (SUMIFS(Captura_Pegaso!$H:$H, Captura_Pegaso!$A:$A, Captura_Obra!A39, Captura_Pegaso!$D:$D, Captura_Obra!B39, Captura_Pegaso!$E:$E, Captura_Obra!D39) + SUMIFS(Captura_Marimba_M01!$G:$G, Captura_Marimba_M01!$A:$A, Captura_Obra!A39, Captura_Marimba_M01!$C:$C, Captura_Obra!B39, Captura_Marimba_M01!$D:$D, Captura_Obra!D39))&gt;0), "", 0)</f>
        <v/>
      </c>
      <c r="I335" s="9838">
        <f>IF(OR(Captura_Obra!A39="", (SUMIFS(Captura_Pegaso!$H:$H, Captura_Pegaso!$A:$A, Captura_Obra!A39, Captura_Pegaso!$D:$D, Captura_Obra!B39, Captura_Pegaso!$E:$E, Captura_Obra!D39) + SUMIFS(Captura_Marimba_M01!$G:$G, Captura_Marimba_M01!$A:$A, Captura_Obra!A39, Captura_Marimba_M01!$C:$C, Captura_Obra!B39, Captura_Marimba_M01!$D:$D, Captura_Obra!D39))&gt;0), "", Captura_Obra!F39)</f>
        <v/>
      </c>
      <c r="J335" s="9839">
        <f>IF(OR(Captura_Obra!A39="", (SUMIFS(Captura_Pegaso!$H:$H, Captura_Pegaso!$A:$A, Captura_Obra!A39, Captura_Pegaso!$D:$D, Captura_Obra!B39, Captura_Pegaso!$E:$E, Captura_Obra!D39) + SUMIFS(Captura_Marimba_M01!$G:$G, Captura_Marimba_M01!$A:$A, Captura_Obra!A39, Captura_Marimba_M01!$C:$C, Captura_Obra!B39, Captura_Marimba_M01!$D:$D, Captura_Obra!D39))&gt;0), "", H335 - I335)</f>
        <v/>
      </c>
      <c r="K335" s="4144" t="n"/>
    </row>
    <row r="336">
      <c r="A336" s="9840">
        <f>IF(OR(Captura_Obra!A40="", (SUMIFS(Captura_Pegaso!$H:$H, Captura_Pegaso!$A:$A, Captura_Obra!A40, Captura_Pegaso!$D:$D, Captura_Obra!B40, Captura_Pegaso!$E:$E, Captura_Obra!D40) + SUMIFS(Captura_Marimba_M01!$G:$G, Captura_Marimba_M01!$A:$A, Captura_Obra!A40, Captura_Marimba_M01!$C:$C, Captura_Obra!B40, Captura_Marimba_M01!$D:$D, Captura_Obra!D40))&gt;0), "", "Huérfano Obra")</f>
        <v/>
      </c>
      <c r="B336" s="9841">
        <f>IF(OR(Captura_Obra!A40="", (SUMIFS(Captura_Pegaso!$H:$H, Captura_Pegaso!$A:$A, Captura_Obra!A40, Captura_Pegaso!$D:$D, Captura_Obra!B40, Captura_Pegaso!$E:$E, Captura_Obra!D40) + SUMIFS(Captura_Marimba_M01!$G:$G, Captura_Marimba_M01!$A:$A, Captura_Obra!A40, Captura_Marimba_M01!$C:$C, Captura_Obra!B40, Captura_Marimba_M01!$D:$D, Captura_Obra!D40))&gt;0), "", "No Reportado")</f>
        <v/>
      </c>
      <c r="C336" s="9842">
        <f>IF(OR(Captura_Obra!A40="", (SUMIFS(Captura_Pegaso!$H:$H, Captura_Pegaso!$A:$A, Captura_Obra!A40, Captura_Pegaso!$D:$D, Captura_Obra!B40, Captura_Pegaso!$E:$E, Captura_Obra!D40) + SUMIFS(Captura_Marimba_M01!$G:$G, Captura_Marimba_M01!$A:$A, Captura_Obra!A40, Captura_Marimba_M01!$C:$C, Captura_Obra!B40, Captura_Marimba_M01!$D:$D, Captura_Obra!D40))&gt;0), "", Captura_Obra!N40)</f>
        <v/>
      </c>
      <c r="D336" s="9843">
        <f>IF(OR(Captura_Obra!A40="", (SUMIFS(Captura_Pegaso!$H:$H, Captura_Pegaso!$A:$A, Captura_Obra!A40, Captura_Pegaso!$D:$D, Captura_Obra!B40, Captura_Pegaso!$E:$E, Captura_Obra!D40) + SUMIFS(Captura_Marimba_M01!$G:$G, Captura_Marimba_M01!$A:$A, Captura_Obra!A40, Captura_Marimba_M01!$C:$C, Captura_Obra!B40, Captura_Marimba_M01!$D:$D, Captura_Obra!D40))&gt;0), "", "❌ Falta en Pipa")</f>
        <v/>
      </c>
      <c r="E336" s="9844">
        <f>IF(OR(Captura_Obra!A40="", (SUMIFS(Captura_Pegaso!$H:$H, Captura_Pegaso!$A:$A, Captura_Obra!A40, Captura_Pegaso!$D:$D, Captura_Obra!B40, Captura_Pegaso!$E:$E, Captura_Obra!D40) + SUMIFS(Captura_Marimba_M01!$G:$G, Captura_Marimba_M01!$A:$A, Captura_Obra!A40, Captura_Marimba_M01!$C:$C, Captura_Obra!B40, Captura_Marimba_M01!$D:$D, Captura_Obra!D40))&gt;0), "", Captura_Obra!A40)</f>
        <v/>
      </c>
      <c r="F336" s="9845">
        <f>IF(OR(Captura_Obra!A40="", (SUMIFS(Captura_Pegaso!$H:$H, Captura_Pegaso!$A:$A, Captura_Obra!A40, Captura_Pegaso!$D:$D, Captura_Obra!B40, Captura_Pegaso!$E:$E, Captura_Obra!D40) + SUMIFS(Captura_Marimba_M01!$G:$G, Captura_Marimba_M01!$A:$A, Captura_Obra!A40, Captura_Marimba_M01!$C:$C, Captura_Obra!B40, Captura_Marimba_M01!$D:$D, Captura_Obra!D40))&gt;0), "", Captura_Obra!B40)</f>
        <v/>
      </c>
      <c r="G336" s="9846">
        <f>IF(OR(Captura_Obra!A40="", (SUMIFS(Captura_Pegaso!$H:$H, Captura_Pegaso!$A:$A, Captura_Obra!A40, Captura_Pegaso!$D:$D, Captura_Obra!B40, Captura_Pegaso!$E:$E, Captura_Obra!D40) + SUMIFS(Captura_Marimba_M01!$G:$G, Captura_Marimba_M01!$A:$A, Captura_Obra!A40, Captura_Marimba_M01!$C:$C, Captura_Obra!B40, Captura_Marimba_M01!$D:$D, Captura_Obra!D40))&gt;0), "", Captura_Obra!D40)</f>
        <v/>
      </c>
      <c r="H336" s="9847">
        <f>IF(OR(Captura_Obra!A40="", (SUMIFS(Captura_Pegaso!$H:$H, Captura_Pegaso!$A:$A, Captura_Obra!A40, Captura_Pegaso!$D:$D, Captura_Obra!B40, Captura_Pegaso!$E:$E, Captura_Obra!D40) + SUMIFS(Captura_Marimba_M01!$G:$G, Captura_Marimba_M01!$A:$A, Captura_Obra!A40, Captura_Marimba_M01!$C:$C, Captura_Obra!B40, Captura_Marimba_M01!$D:$D, Captura_Obra!D40))&gt;0), "", 0)</f>
        <v/>
      </c>
      <c r="I336" s="9848">
        <f>IF(OR(Captura_Obra!A40="", (SUMIFS(Captura_Pegaso!$H:$H, Captura_Pegaso!$A:$A, Captura_Obra!A40, Captura_Pegaso!$D:$D, Captura_Obra!B40, Captura_Pegaso!$E:$E, Captura_Obra!D40) + SUMIFS(Captura_Marimba_M01!$G:$G, Captura_Marimba_M01!$A:$A, Captura_Obra!A40, Captura_Marimba_M01!$C:$C, Captura_Obra!B40, Captura_Marimba_M01!$D:$D, Captura_Obra!D40))&gt;0), "", Captura_Obra!F40)</f>
        <v/>
      </c>
      <c r="J336" s="9849">
        <f>IF(OR(Captura_Obra!A40="", (SUMIFS(Captura_Pegaso!$H:$H, Captura_Pegaso!$A:$A, Captura_Obra!A40, Captura_Pegaso!$D:$D, Captura_Obra!B40, Captura_Pegaso!$E:$E, Captura_Obra!D40) + SUMIFS(Captura_Marimba_M01!$G:$G, Captura_Marimba_M01!$A:$A, Captura_Obra!A40, Captura_Marimba_M01!$C:$C, Captura_Obra!B40, Captura_Marimba_M01!$D:$D, Captura_Obra!D40))&gt;0), "", H336 - I336)</f>
        <v/>
      </c>
      <c r="K336" s="4145" t="n"/>
    </row>
    <row r="337">
      <c r="A337" s="9850">
        <f>IF(OR(Captura_Obra!A41="", (SUMIFS(Captura_Pegaso!$H:$H, Captura_Pegaso!$A:$A, Captura_Obra!A41, Captura_Pegaso!$D:$D, Captura_Obra!B41, Captura_Pegaso!$E:$E, Captura_Obra!D41) + SUMIFS(Captura_Marimba_M01!$G:$G, Captura_Marimba_M01!$A:$A, Captura_Obra!A41, Captura_Marimba_M01!$C:$C, Captura_Obra!B41, Captura_Marimba_M01!$D:$D, Captura_Obra!D41))&gt;0), "", "Huérfano Obra")</f>
        <v/>
      </c>
      <c r="B337" s="9851">
        <f>IF(OR(Captura_Obra!A41="", (SUMIFS(Captura_Pegaso!$H:$H, Captura_Pegaso!$A:$A, Captura_Obra!A41, Captura_Pegaso!$D:$D, Captura_Obra!B41, Captura_Pegaso!$E:$E, Captura_Obra!D41) + SUMIFS(Captura_Marimba_M01!$G:$G, Captura_Marimba_M01!$A:$A, Captura_Obra!A41, Captura_Marimba_M01!$C:$C, Captura_Obra!B41, Captura_Marimba_M01!$D:$D, Captura_Obra!D41))&gt;0), "", "No Reportado")</f>
        <v/>
      </c>
      <c r="C337" s="9852">
        <f>IF(OR(Captura_Obra!A41="", (SUMIFS(Captura_Pegaso!$H:$H, Captura_Pegaso!$A:$A, Captura_Obra!A41, Captura_Pegaso!$D:$D, Captura_Obra!B41, Captura_Pegaso!$E:$E, Captura_Obra!D41) + SUMIFS(Captura_Marimba_M01!$G:$G, Captura_Marimba_M01!$A:$A, Captura_Obra!A41, Captura_Marimba_M01!$C:$C, Captura_Obra!B41, Captura_Marimba_M01!$D:$D, Captura_Obra!D41))&gt;0), "", Captura_Obra!N41)</f>
        <v/>
      </c>
      <c r="D337" s="9853">
        <f>IF(OR(Captura_Obra!A41="", (SUMIFS(Captura_Pegaso!$H:$H, Captura_Pegaso!$A:$A, Captura_Obra!A41, Captura_Pegaso!$D:$D, Captura_Obra!B41, Captura_Pegaso!$E:$E, Captura_Obra!D41) + SUMIFS(Captura_Marimba_M01!$G:$G, Captura_Marimba_M01!$A:$A, Captura_Obra!A41, Captura_Marimba_M01!$C:$C, Captura_Obra!B41, Captura_Marimba_M01!$D:$D, Captura_Obra!D41))&gt;0), "", "❌ Falta en Pipa")</f>
        <v/>
      </c>
      <c r="E337" s="9854">
        <f>IF(OR(Captura_Obra!A41="", (SUMIFS(Captura_Pegaso!$H:$H, Captura_Pegaso!$A:$A, Captura_Obra!A41, Captura_Pegaso!$D:$D, Captura_Obra!B41, Captura_Pegaso!$E:$E, Captura_Obra!D41) + SUMIFS(Captura_Marimba_M01!$G:$G, Captura_Marimba_M01!$A:$A, Captura_Obra!A41, Captura_Marimba_M01!$C:$C, Captura_Obra!B41, Captura_Marimba_M01!$D:$D, Captura_Obra!D41))&gt;0), "", Captura_Obra!A41)</f>
        <v/>
      </c>
      <c r="F337" s="9855">
        <f>IF(OR(Captura_Obra!A41="", (SUMIFS(Captura_Pegaso!$H:$H, Captura_Pegaso!$A:$A, Captura_Obra!A41, Captura_Pegaso!$D:$D, Captura_Obra!B41, Captura_Pegaso!$E:$E, Captura_Obra!D41) + SUMIFS(Captura_Marimba_M01!$G:$G, Captura_Marimba_M01!$A:$A, Captura_Obra!A41, Captura_Marimba_M01!$C:$C, Captura_Obra!B41, Captura_Marimba_M01!$D:$D, Captura_Obra!D41))&gt;0), "", Captura_Obra!B41)</f>
        <v/>
      </c>
      <c r="G337" s="9856">
        <f>IF(OR(Captura_Obra!A41="", (SUMIFS(Captura_Pegaso!$H:$H, Captura_Pegaso!$A:$A, Captura_Obra!A41, Captura_Pegaso!$D:$D, Captura_Obra!B41, Captura_Pegaso!$E:$E, Captura_Obra!D41) + SUMIFS(Captura_Marimba_M01!$G:$G, Captura_Marimba_M01!$A:$A, Captura_Obra!A41, Captura_Marimba_M01!$C:$C, Captura_Obra!B41, Captura_Marimba_M01!$D:$D, Captura_Obra!D41))&gt;0), "", Captura_Obra!D41)</f>
        <v/>
      </c>
      <c r="H337" s="9857">
        <f>IF(OR(Captura_Obra!A41="", (SUMIFS(Captura_Pegaso!$H:$H, Captura_Pegaso!$A:$A, Captura_Obra!A41, Captura_Pegaso!$D:$D, Captura_Obra!B41, Captura_Pegaso!$E:$E, Captura_Obra!D41) + SUMIFS(Captura_Marimba_M01!$G:$G, Captura_Marimba_M01!$A:$A, Captura_Obra!A41, Captura_Marimba_M01!$C:$C, Captura_Obra!B41, Captura_Marimba_M01!$D:$D, Captura_Obra!D41))&gt;0), "", 0)</f>
        <v/>
      </c>
      <c r="I337" s="9858">
        <f>IF(OR(Captura_Obra!A41="", (SUMIFS(Captura_Pegaso!$H:$H, Captura_Pegaso!$A:$A, Captura_Obra!A41, Captura_Pegaso!$D:$D, Captura_Obra!B41, Captura_Pegaso!$E:$E, Captura_Obra!D41) + SUMIFS(Captura_Marimba_M01!$G:$G, Captura_Marimba_M01!$A:$A, Captura_Obra!A41, Captura_Marimba_M01!$C:$C, Captura_Obra!B41, Captura_Marimba_M01!$D:$D, Captura_Obra!D41))&gt;0), "", Captura_Obra!F41)</f>
        <v/>
      </c>
      <c r="J337" s="9859">
        <f>IF(OR(Captura_Obra!A41="", (SUMIFS(Captura_Pegaso!$H:$H, Captura_Pegaso!$A:$A, Captura_Obra!A41, Captura_Pegaso!$D:$D, Captura_Obra!B41, Captura_Pegaso!$E:$E, Captura_Obra!D41) + SUMIFS(Captura_Marimba_M01!$G:$G, Captura_Marimba_M01!$A:$A, Captura_Obra!A41, Captura_Marimba_M01!$C:$C, Captura_Obra!B41, Captura_Marimba_M01!$D:$D, Captura_Obra!D41))&gt;0), "", H337 - I337)</f>
        <v/>
      </c>
      <c r="K337" s="4146" t="n"/>
    </row>
    <row r="338">
      <c r="A338" s="9860">
        <f>IF(OR(Captura_Obra!A42="", (SUMIFS(Captura_Pegaso!$H:$H, Captura_Pegaso!$A:$A, Captura_Obra!A42, Captura_Pegaso!$D:$D, Captura_Obra!B42, Captura_Pegaso!$E:$E, Captura_Obra!D42) + SUMIFS(Captura_Marimba_M01!$G:$G, Captura_Marimba_M01!$A:$A, Captura_Obra!A42, Captura_Marimba_M01!$C:$C, Captura_Obra!B42, Captura_Marimba_M01!$D:$D, Captura_Obra!D42))&gt;0), "", "Huérfano Obra")</f>
        <v/>
      </c>
      <c r="B338" s="9861">
        <f>IF(OR(Captura_Obra!A42="", (SUMIFS(Captura_Pegaso!$H:$H, Captura_Pegaso!$A:$A, Captura_Obra!A42, Captura_Pegaso!$D:$D, Captura_Obra!B42, Captura_Pegaso!$E:$E, Captura_Obra!D42) + SUMIFS(Captura_Marimba_M01!$G:$G, Captura_Marimba_M01!$A:$A, Captura_Obra!A42, Captura_Marimba_M01!$C:$C, Captura_Obra!B42, Captura_Marimba_M01!$D:$D, Captura_Obra!D42))&gt;0), "", "No Reportado")</f>
        <v/>
      </c>
      <c r="C338" s="9862">
        <f>IF(OR(Captura_Obra!A42="", (SUMIFS(Captura_Pegaso!$H:$H, Captura_Pegaso!$A:$A, Captura_Obra!A42, Captura_Pegaso!$D:$D, Captura_Obra!B42, Captura_Pegaso!$E:$E, Captura_Obra!D42) + SUMIFS(Captura_Marimba_M01!$G:$G, Captura_Marimba_M01!$A:$A, Captura_Obra!A42, Captura_Marimba_M01!$C:$C, Captura_Obra!B42, Captura_Marimba_M01!$D:$D, Captura_Obra!D42))&gt;0), "", Captura_Obra!N42)</f>
        <v/>
      </c>
      <c r="D338" s="9863">
        <f>IF(OR(Captura_Obra!A42="", (SUMIFS(Captura_Pegaso!$H:$H, Captura_Pegaso!$A:$A, Captura_Obra!A42, Captura_Pegaso!$D:$D, Captura_Obra!B42, Captura_Pegaso!$E:$E, Captura_Obra!D42) + SUMIFS(Captura_Marimba_M01!$G:$G, Captura_Marimba_M01!$A:$A, Captura_Obra!A42, Captura_Marimba_M01!$C:$C, Captura_Obra!B42, Captura_Marimba_M01!$D:$D, Captura_Obra!D42))&gt;0), "", "❌ Falta en Pipa")</f>
        <v/>
      </c>
      <c r="E338" s="9864">
        <f>IF(OR(Captura_Obra!A42="", (SUMIFS(Captura_Pegaso!$H:$H, Captura_Pegaso!$A:$A, Captura_Obra!A42, Captura_Pegaso!$D:$D, Captura_Obra!B42, Captura_Pegaso!$E:$E, Captura_Obra!D42) + SUMIFS(Captura_Marimba_M01!$G:$G, Captura_Marimba_M01!$A:$A, Captura_Obra!A42, Captura_Marimba_M01!$C:$C, Captura_Obra!B42, Captura_Marimba_M01!$D:$D, Captura_Obra!D42))&gt;0), "", Captura_Obra!A42)</f>
        <v/>
      </c>
      <c r="F338" s="9865">
        <f>IF(OR(Captura_Obra!A42="", (SUMIFS(Captura_Pegaso!$H:$H, Captura_Pegaso!$A:$A, Captura_Obra!A42, Captura_Pegaso!$D:$D, Captura_Obra!B42, Captura_Pegaso!$E:$E, Captura_Obra!D42) + SUMIFS(Captura_Marimba_M01!$G:$G, Captura_Marimba_M01!$A:$A, Captura_Obra!A42, Captura_Marimba_M01!$C:$C, Captura_Obra!B42, Captura_Marimba_M01!$D:$D, Captura_Obra!D42))&gt;0), "", Captura_Obra!B42)</f>
        <v/>
      </c>
      <c r="G338" s="9866">
        <f>IF(OR(Captura_Obra!A42="", (SUMIFS(Captura_Pegaso!$H:$H, Captura_Pegaso!$A:$A, Captura_Obra!A42, Captura_Pegaso!$D:$D, Captura_Obra!B42, Captura_Pegaso!$E:$E, Captura_Obra!D42) + SUMIFS(Captura_Marimba_M01!$G:$G, Captura_Marimba_M01!$A:$A, Captura_Obra!A42, Captura_Marimba_M01!$C:$C, Captura_Obra!B42, Captura_Marimba_M01!$D:$D, Captura_Obra!D42))&gt;0), "", Captura_Obra!D42)</f>
        <v/>
      </c>
      <c r="H338" s="9867">
        <f>IF(OR(Captura_Obra!A42="", (SUMIFS(Captura_Pegaso!$H:$H, Captura_Pegaso!$A:$A, Captura_Obra!A42, Captura_Pegaso!$D:$D, Captura_Obra!B42, Captura_Pegaso!$E:$E, Captura_Obra!D42) + SUMIFS(Captura_Marimba_M01!$G:$G, Captura_Marimba_M01!$A:$A, Captura_Obra!A42, Captura_Marimba_M01!$C:$C, Captura_Obra!B42, Captura_Marimba_M01!$D:$D, Captura_Obra!D42))&gt;0), "", 0)</f>
        <v/>
      </c>
      <c r="I338" s="9868">
        <f>IF(OR(Captura_Obra!A42="", (SUMIFS(Captura_Pegaso!$H:$H, Captura_Pegaso!$A:$A, Captura_Obra!A42, Captura_Pegaso!$D:$D, Captura_Obra!B42, Captura_Pegaso!$E:$E, Captura_Obra!D42) + SUMIFS(Captura_Marimba_M01!$G:$G, Captura_Marimba_M01!$A:$A, Captura_Obra!A42, Captura_Marimba_M01!$C:$C, Captura_Obra!B42, Captura_Marimba_M01!$D:$D, Captura_Obra!D42))&gt;0), "", Captura_Obra!F42)</f>
        <v/>
      </c>
      <c r="J338" s="9869">
        <f>IF(OR(Captura_Obra!A42="", (SUMIFS(Captura_Pegaso!$H:$H, Captura_Pegaso!$A:$A, Captura_Obra!A42, Captura_Pegaso!$D:$D, Captura_Obra!B42, Captura_Pegaso!$E:$E, Captura_Obra!D42) + SUMIFS(Captura_Marimba_M01!$G:$G, Captura_Marimba_M01!$A:$A, Captura_Obra!A42, Captura_Marimba_M01!$C:$C, Captura_Obra!B42, Captura_Marimba_M01!$D:$D, Captura_Obra!D42))&gt;0), "", H338 - I338)</f>
        <v/>
      </c>
      <c r="K338" s="4147" t="n"/>
    </row>
    <row r="339">
      <c r="A339" s="9870">
        <f>IF(OR(Captura_Obra!A43="", (SUMIFS(Captura_Pegaso!$H:$H, Captura_Pegaso!$A:$A, Captura_Obra!A43, Captura_Pegaso!$D:$D, Captura_Obra!B43, Captura_Pegaso!$E:$E, Captura_Obra!D43) + SUMIFS(Captura_Marimba_M01!$G:$G, Captura_Marimba_M01!$A:$A, Captura_Obra!A43, Captura_Marimba_M01!$C:$C, Captura_Obra!B43, Captura_Marimba_M01!$D:$D, Captura_Obra!D43))&gt;0), "", "Huérfano Obra")</f>
        <v/>
      </c>
      <c r="B339" s="9871">
        <f>IF(OR(Captura_Obra!A43="", (SUMIFS(Captura_Pegaso!$H:$H, Captura_Pegaso!$A:$A, Captura_Obra!A43, Captura_Pegaso!$D:$D, Captura_Obra!B43, Captura_Pegaso!$E:$E, Captura_Obra!D43) + SUMIFS(Captura_Marimba_M01!$G:$G, Captura_Marimba_M01!$A:$A, Captura_Obra!A43, Captura_Marimba_M01!$C:$C, Captura_Obra!B43, Captura_Marimba_M01!$D:$D, Captura_Obra!D43))&gt;0), "", "No Reportado")</f>
        <v/>
      </c>
      <c r="C339" s="9872">
        <f>IF(OR(Captura_Obra!A43="", (SUMIFS(Captura_Pegaso!$H:$H, Captura_Pegaso!$A:$A, Captura_Obra!A43, Captura_Pegaso!$D:$D, Captura_Obra!B43, Captura_Pegaso!$E:$E, Captura_Obra!D43) + SUMIFS(Captura_Marimba_M01!$G:$G, Captura_Marimba_M01!$A:$A, Captura_Obra!A43, Captura_Marimba_M01!$C:$C, Captura_Obra!B43, Captura_Marimba_M01!$D:$D, Captura_Obra!D43))&gt;0), "", Captura_Obra!N43)</f>
        <v/>
      </c>
      <c r="D339" s="9873">
        <f>IF(OR(Captura_Obra!A43="", (SUMIFS(Captura_Pegaso!$H:$H, Captura_Pegaso!$A:$A, Captura_Obra!A43, Captura_Pegaso!$D:$D, Captura_Obra!B43, Captura_Pegaso!$E:$E, Captura_Obra!D43) + SUMIFS(Captura_Marimba_M01!$G:$G, Captura_Marimba_M01!$A:$A, Captura_Obra!A43, Captura_Marimba_M01!$C:$C, Captura_Obra!B43, Captura_Marimba_M01!$D:$D, Captura_Obra!D43))&gt;0), "", "❌ Falta en Pipa")</f>
        <v/>
      </c>
      <c r="E339" s="9874">
        <f>IF(OR(Captura_Obra!A43="", (SUMIFS(Captura_Pegaso!$H:$H, Captura_Pegaso!$A:$A, Captura_Obra!A43, Captura_Pegaso!$D:$D, Captura_Obra!B43, Captura_Pegaso!$E:$E, Captura_Obra!D43) + SUMIFS(Captura_Marimba_M01!$G:$G, Captura_Marimba_M01!$A:$A, Captura_Obra!A43, Captura_Marimba_M01!$C:$C, Captura_Obra!B43, Captura_Marimba_M01!$D:$D, Captura_Obra!D43))&gt;0), "", Captura_Obra!A43)</f>
        <v/>
      </c>
      <c r="F339" s="9875">
        <f>IF(OR(Captura_Obra!A43="", (SUMIFS(Captura_Pegaso!$H:$H, Captura_Pegaso!$A:$A, Captura_Obra!A43, Captura_Pegaso!$D:$D, Captura_Obra!B43, Captura_Pegaso!$E:$E, Captura_Obra!D43) + SUMIFS(Captura_Marimba_M01!$G:$G, Captura_Marimba_M01!$A:$A, Captura_Obra!A43, Captura_Marimba_M01!$C:$C, Captura_Obra!B43, Captura_Marimba_M01!$D:$D, Captura_Obra!D43))&gt;0), "", Captura_Obra!B43)</f>
        <v/>
      </c>
      <c r="G339" s="9876">
        <f>IF(OR(Captura_Obra!A43="", (SUMIFS(Captura_Pegaso!$H:$H, Captura_Pegaso!$A:$A, Captura_Obra!A43, Captura_Pegaso!$D:$D, Captura_Obra!B43, Captura_Pegaso!$E:$E, Captura_Obra!D43) + SUMIFS(Captura_Marimba_M01!$G:$G, Captura_Marimba_M01!$A:$A, Captura_Obra!A43, Captura_Marimba_M01!$C:$C, Captura_Obra!B43, Captura_Marimba_M01!$D:$D, Captura_Obra!D43))&gt;0), "", Captura_Obra!D43)</f>
        <v/>
      </c>
      <c r="H339" s="9877">
        <f>IF(OR(Captura_Obra!A43="", (SUMIFS(Captura_Pegaso!$H:$H, Captura_Pegaso!$A:$A, Captura_Obra!A43, Captura_Pegaso!$D:$D, Captura_Obra!B43, Captura_Pegaso!$E:$E, Captura_Obra!D43) + SUMIFS(Captura_Marimba_M01!$G:$G, Captura_Marimba_M01!$A:$A, Captura_Obra!A43, Captura_Marimba_M01!$C:$C, Captura_Obra!B43, Captura_Marimba_M01!$D:$D, Captura_Obra!D43))&gt;0), "", 0)</f>
        <v/>
      </c>
      <c r="I339" s="9878">
        <f>IF(OR(Captura_Obra!A43="", (SUMIFS(Captura_Pegaso!$H:$H, Captura_Pegaso!$A:$A, Captura_Obra!A43, Captura_Pegaso!$D:$D, Captura_Obra!B43, Captura_Pegaso!$E:$E, Captura_Obra!D43) + SUMIFS(Captura_Marimba_M01!$G:$G, Captura_Marimba_M01!$A:$A, Captura_Obra!A43, Captura_Marimba_M01!$C:$C, Captura_Obra!B43, Captura_Marimba_M01!$D:$D, Captura_Obra!D43))&gt;0), "", Captura_Obra!F43)</f>
        <v/>
      </c>
      <c r="J339" s="9879">
        <f>IF(OR(Captura_Obra!A43="", (SUMIFS(Captura_Pegaso!$H:$H, Captura_Pegaso!$A:$A, Captura_Obra!A43, Captura_Pegaso!$D:$D, Captura_Obra!B43, Captura_Pegaso!$E:$E, Captura_Obra!D43) + SUMIFS(Captura_Marimba_M01!$G:$G, Captura_Marimba_M01!$A:$A, Captura_Obra!A43, Captura_Marimba_M01!$C:$C, Captura_Obra!B43, Captura_Marimba_M01!$D:$D, Captura_Obra!D43))&gt;0), "", H339 - I339)</f>
        <v/>
      </c>
      <c r="K339" s="4148" t="n"/>
    </row>
    <row r="340">
      <c r="A340" s="9880">
        <f>IF(OR(Captura_Obra!A44="", (SUMIFS(Captura_Pegaso!$H:$H, Captura_Pegaso!$A:$A, Captura_Obra!A44, Captura_Pegaso!$D:$D, Captura_Obra!B44, Captura_Pegaso!$E:$E, Captura_Obra!D44) + SUMIFS(Captura_Marimba_M01!$G:$G, Captura_Marimba_M01!$A:$A, Captura_Obra!A44, Captura_Marimba_M01!$C:$C, Captura_Obra!B44, Captura_Marimba_M01!$D:$D, Captura_Obra!D44))&gt;0), "", "Huérfano Obra")</f>
        <v/>
      </c>
      <c r="B340" s="9881">
        <f>IF(OR(Captura_Obra!A44="", (SUMIFS(Captura_Pegaso!$H:$H, Captura_Pegaso!$A:$A, Captura_Obra!A44, Captura_Pegaso!$D:$D, Captura_Obra!B44, Captura_Pegaso!$E:$E, Captura_Obra!D44) + SUMIFS(Captura_Marimba_M01!$G:$G, Captura_Marimba_M01!$A:$A, Captura_Obra!A44, Captura_Marimba_M01!$C:$C, Captura_Obra!B44, Captura_Marimba_M01!$D:$D, Captura_Obra!D44))&gt;0), "", "No Reportado")</f>
        <v/>
      </c>
      <c r="C340" s="9882">
        <f>IF(OR(Captura_Obra!A44="", (SUMIFS(Captura_Pegaso!$H:$H, Captura_Pegaso!$A:$A, Captura_Obra!A44, Captura_Pegaso!$D:$D, Captura_Obra!B44, Captura_Pegaso!$E:$E, Captura_Obra!D44) + SUMIFS(Captura_Marimba_M01!$G:$G, Captura_Marimba_M01!$A:$A, Captura_Obra!A44, Captura_Marimba_M01!$C:$C, Captura_Obra!B44, Captura_Marimba_M01!$D:$D, Captura_Obra!D44))&gt;0), "", Captura_Obra!N44)</f>
        <v/>
      </c>
      <c r="D340" s="9883">
        <f>IF(OR(Captura_Obra!A44="", (SUMIFS(Captura_Pegaso!$H:$H, Captura_Pegaso!$A:$A, Captura_Obra!A44, Captura_Pegaso!$D:$D, Captura_Obra!B44, Captura_Pegaso!$E:$E, Captura_Obra!D44) + SUMIFS(Captura_Marimba_M01!$G:$G, Captura_Marimba_M01!$A:$A, Captura_Obra!A44, Captura_Marimba_M01!$C:$C, Captura_Obra!B44, Captura_Marimba_M01!$D:$D, Captura_Obra!D44))&gt;0), "", "❌ Falta en Pipa")</f>
        <v/>
      </c>
      <c r="E340" s="9884">
        <f>IF(OR(Captura_Obra!A44="", (SUMIFS(Captura_Pegaso!$H:$H, Captura_Pegaso!$A:$A, Captura_Obra!A44, Captura_Pegaso!$D:$D, Captura_Obra!B44, Captura_Pegaso!$E:$E, Captura_Obra!D44) + SUMIFS(Captura_Marimba_M01!$G:$G, Captura_Marimba_M01!$A:$A, Captura_Obra!A44, Captura_Marimba_M01!$C:$C, Captura_Obra!B44, Captura_Marimba_M01!$D:$D, Captura_Obra!D44))&gt;0), "", Captura_Obra!A44)</f>
        <v/>
      </c>
      <c r="F340" s="9885">
        <f>IF(OR(Captura_Obra!A44="", (SUMIFS(Captura_Pegaso!$H:$H, Captura_Pegaso!$A:$A, Captura_Obra!A44, Captura_Pegaso!$D:$D, Captura_Obra!B44, Captura_Pegaso!$E:$E, Captura_Obra!D44) + SUMIFS(Captura_Marimba_M01!$G:$G, Captura_Marimba_M01!$A:$A, Captura_Obra!A44, Captura_Marimba_M01!$C:$C, Captura_Obra!B44, Captura_Marimba_M01!$D:$D, Captura_Obra!D44))&gt;0), "", Captura_Obra!B44)</f>
        <v/>
      </c>
      <c r="G340" s="9886">
        <f>IF(OR(Captura_Obra!A44="", (SUMIFS(Captura_Pegaso!$H:$H, Captura_Pegaso!$A:$A, Captura_Obra!A44, Captura_Pegaso!$D:$D, Captura_Obra!B44, Captura_Pegaso!$E:$E, Captura_Obra!D44) + SUMIFS(Captura_Marimba_M01!$G:$G, Captura_Marimba_M01!$A:$A, Captura_Obra!A44, Captura_Marimba_M01!$C:$C, Captura_Obra!B44, Captura_Marimba_M01!$D:$D, Captura_Obra!D44))&gt;0), "", Captura_Obra!D44)</f>
        <v/>
      </c>
      <c r="H340" s="9887">
        <f>IF(OR(Captura_Obra!A44="", (SUMIFS(Captura_Pegaso!$H:$H, Captura_Pegaso!$A:$A, Captura_Obra!A44, Captura_Pegaso!$D:$D, Captura_Obra!B44, Captura_Pegaso!$E:$E, Captura_Obra!D44) + SUMIFS(Captura_Marimba_M01!$G:$G, Captura_Marimba_M01!$A:$A, Captura_Obra!A44, Captura_Marimba_M01!$C:$C, Captura_Obra!B44, Captura_Marimba_M01!$D:$D, Captura_Obra!D44))&gt;0), "", 0)</f>
        <v/>
      </c>
      <c r="I340" s="9888">
        <f>IF(OR(Captura_Obra!A44="", (SUMIFS(Captura_Pegaso!$H:$H, Captura_Pegaso!$A:$A, Captura_Obra!A44, Captura_Pegaso!$D:$D, Captura_Obra!B44, Captura_Pegaso!$E:$E, Captura_Obra!D44) + SUMIFS(Captura_Marimba_M01!$G:$G, Captura_Marimba_M01!$A:$A, Captura_Obra!A44, Captura_Marimba_M01!$C:$C, Captura_Obra!B44, Captura_Marimba_M01!$D:$D, Captura_Obra!D44))&gt;0), "", Captura_Obra!F44)</f>
        <v/>
      </c>
      <c r="J340" s="9889">
        <f>IF(OR(Captura_Obra!A44="", (SUMIFS(Captura_Pegaso!$H:$H, Captura_Pegaso!$A:$A, Captura_Obra!A44, Captura_Pegaso!$D:$D, Captura_Obra!B44, Captura_Pegaso!$E:$E, Captura_Obra!D44) + SUMIFS(Captura_Marimba_M01!$G:$G, Captura_Marimba_M01!$A:$A, Captura_Obra!A44, Captura_Marimba_M01!$C:$C, Captura_Obra!B44, Captura_Marimba_M01!$D:$D, Captura_Obra!D44))&gt;0), "", H340 - I340)</f>
        <v/>
      </c>
      <c r="K340" s="4149" t="n"/>
    </row>
    <row r="341">
      <c r="A341" s="9890">
        <f>IF(OR(Captura_Obra!A45="", (SUMIFS(Captura_Pegaso!$H:$H, Captura_Pegaso!$A:$A, Captura_Obra!A45, Captura_Pegaso!$D:$D, Captura_Obra!B45, Captura_Pegaso!$E:$E, Captura_Obra!D45) + SUMIFS(Captura_Marimba_M01!$G:$G, Captura_Marimba_M01!$A:$A, Captura_Obra!A45, Captura_Marimba_M01!$C:$C, Captura_Obra!B45, Captura_Marimba_M01!$D:$D, Captura_Obra!D45))&gt;0), "", "Huérfano Obra")</f>
        <v/>
      </c>
      <c r="B341" s="9891">
        <f>IF(OR(Captura_Obra!A45="", (SUMIFS(Captura_Pegaso!$H:$H, Captura_Pegaso!$A:$A, Captura_Obra!A45, Captura_Pegaso!$D:$D, Captura_Obra!B45, Captura_Pegaso!$E:$E, Captura_Obra!D45) + SUMIFS(Captura_Marimba_M01!$G:$G, Captura_Marimba_M01!$A:$A, Captura_Obra!A45, Captura_Marimba_M01!$C:$C, Captura_Obra!B45, Captura_Marimba_M01!$D:$D, Captura_Obra!D45))&gt;0), "", "No Reportado")</f>
        <v/>
      </c>
      <c r="C341" s="9892">
        <f>IF(OR(Captura_Obra!A45="", (SUMIFS(Captura_Pegaso!$H:$H, Captura_Pegaso!$A:$A, Captura_Obra!A45, Captura_Pegaso!$D:$D, Captura_Obra!B45, Captura_Pegaso!$E:$E, Captura_Obra!D45) + SUMIFS(Captura_Marimba_M01!$G:$G, Captura_Marimba_M01!$A:$A, Captura_Obra!A45, Captura_Marimba_M01!$C:$C, Captura_Obra!B45, Captura_Marimba_M01!$D:$D, Captura_Obra!D45))&gt;0), "", Captura_Obra!N45)</f>
        <v/>
      </c>
      <c r="D341" s="9893">
        <f>IF(OR(Captura_Obra!A45="", (SUMIFS(Captura_Pegaso!$H:$H, Captura_Pegaso!$A:$A, Captura_Obra!A45, Captura_Pegaso!$D:$D, Captura_Obra!B45, Captura_Pegaso!$E:$E, Captura_Obra!D45) + SUMIFS(Captura_Marimba_M01!$G:$G, Captura_Marimba_M01!$A:$A, Captura_Obra!A45, Captura_Marimba_M01!$C:$C, Captura_Obra!B45, Captura_Marimba_M01!$D:$D, Captura_Obra!D45))&gt;0), "", "❌ Falta en Pipa")</f>
        <v/>
      </c>
      <c r="E341" s="9894">
        <f>IF(OR(Captura_Obra!A45="", (SUMIFS(Captura_Pegaso!$H:$H, Captura_Pegaso!$A:$A, Captura_Obra!A45, Captura_Pegaso!$D:$D, Captura_Obra!B45, Captura_Pegaso!$E:$E, Captura_Obra!D45) + SUMIFS(Captura_Marimba_M01!$G:$G, Captura_Marimba_M01!$A:$A, Captura_Obra!A45, Captura_Marimba_M01!$C:$C, Captura_Obra!B45, Captura_Marimba_M01!$D:$D, Captura_Obra!D45))&gt;0), "", Captura_Obra!A45)</f>
        <v/>
      </c>
      <c r="F341" s="9895">
        <f>IF(OR(Captura_Obra!A45="", (SUMIFS(Captura_Pegaso!$H:$H, Captura_Pegaso!$A:$A, Captura_Obra!A45, Captura_Pegaso!$D:$D, Captura_Obra!B45, Captura_Pegaso!$E:$E, Captura_Obra!D45) + SUMIFS(Captura_Marimba_M01!$G:$G, Captura_Marimba_M01!$A:$A, Captura_Obra!A45, Captura_Marimba_M01!$C:$C, Captura_Obra!B45, Captura_Marimba_M01!$D:$D, Captura_Obra!D45))&gt;0), "", Captura_Obra!B45)</f>
        <v/>
      </c>
      <c r="G341" s="9896">
        <f>IF(OR(Captura_Obra!A45="", (SUMIFS(Captura_Pegaso!$H:$H, Captura_Pegaso!$A:$A, Captura_Obra!A45, Captura_Pegaso!$D:$D, Captura_Obra!B45, Captura_Pegaso!$E:$E, Captura_Obra!D45) + SUMIFS(Captura_Marimba_M01!$G:$G, Captura_Marimba_M01!$A:$A, Captura_Obra!A45, Captura_Marimba_M01!$C:$C, Captura_Obra!B45, Captura_Marimba_M01!$D:$D, Captura_Obra!D45))&gt;0), "", Captura_Obra!D45)</f>
        <v/>
      </c>
      <c r="H341" s="9897">
        <f>IF(OR(Captura_Obra!A45="", (SUMIFS(Captura_Pegaso!$H:$H, Captura_Pegaso!$A:$A, Captura_Obra!A45, Captura_Pegaso!$D:$D, Captura_Obra!B45, Captura_Pegaso!$E:$E, Captura_Obra!D45) + SUMIFS(Captura_Marimba_M01!$G:$G, Captura_Marimba_M01!$A:$A, Captura_Obra!A45, Captura_Marimba_M01!$C:$C, Captura_Obra!B45, Captura_Marimba_M01!$D:$D, Captura_Obra!D45))&gt;0), "", 0)</f>
        <v/>
      </c>
      <c r="I341" s="9898">
        <f>IF(OR(Captura_Obra!A45="", (SUMIFS(Captura_Pegaso!$H:$H, Captura_Pegaso!$A:$A, Captura_Obra!A45, Captura_Pegaso!$D:$D, Captura_Obra!B45, Captura_Pegaso!$E:$E, Captura_Obra!D45) + SUMIFS(Captura_Marimba_M01!$G:$G, Captura_Marimba_M01!$A:$A, Captura_Obra!A45, Captura_Marimba_M01!$C:$C, Captura_Obra!B45, Captura_Marimba_M01!$D:$D, Captura_Obra!D45))&gt;0), "", Captura_Obra!F45)</f>
        <v/>
      </c>
      <c r="J341" s="9899">
        <f>IF(OR(Captura_Obra!A45="", (SUMIFS(Captura_Pegaso!$H:$H, Captura_Pegaso!$A:$A, Captura_Obra!A45, Captura_Pegaso!$D:$D, Captura_Obra!B45, Captura_Pegaso!$E:$E, Captura_Obra!D45) + SUMIFS(Captura_Marimba_M01!$G:$G, Captura_Marimba_M01!$A:$A, Captura_Obra!A45, Captura_Marimba_M01!$C:$C, Captura_Obra!B45, Captura_Marimba_M01!$D:$D, Captura_Obra!D45))&gt;0), "", H341 - I341)</f>
        <v/>
      </c>
      <c r="K341" s="4150" t="n"/>
    </row>
    <row r="342">
      <c r="A342" s="9900">
        <f>IF(OR(Captura_Obra!A46="", (SUMIFS(Captura_Pegaso!$H:$H, Captura_Pegaso!$A:$A, Captura_Obra!A46, Captura_Pegaso!$D:$D, Captura_Obra!B46, Captura_Pegaso!$E:$E, Captura_Obra!D46) + SUMIFS(Captura_Marimba_M01!$G:$G, Captura_Marimba_M01!$A:$A, Captura_Obra!A46, Captura_Marimba_M01!$C:$C, Captura_Obra!B46, Captura_Marimba_M01!$D:$D, Captura_Obra!D46))&gt;0), "", "Huérfano Obra")</f>
        <v/>
      </c>
      <c r="B342" s="9901">
        <f>IF(OR(Captura_Obra!A46="", (SUMIFS(Captura_Pegaso!$H:$H, Captura_Pegaso!$A:$A, Captura_Obra!A46, Captura_Pegaso!$D:$D, Captura_Obra!B46, Captura_Pegaso!$E:$E, Captura_Obra!D46) + SUMIFS(Captura_Marimba_M01!$G:$G, Captura_Marimba_M01!$A:$A, Captura_Obra!A46, Captura_Marimba_M01!$C:$C, Captura_Obra!B46, Captura_Marimba_M01!$D:$D, Captura_Obra!D46))&gt;0), "", "No Reportado")</f>
        <v/>
      </c>
      <c r="C342" s="9902">
        <f>IF(OR(Captura_Obra!A46="", (SUMIFS(Captura_Pegaso!$H:$H, Captura_Pegaso!$A:$A, Captura_Obra!A46, Captura_Pegaso!$D:$D, Captura_Obra!B46, Captura_Pegaso!$E:$E, Captura_Obra!D46) + SUMIFS(Captura_Marimba_M01!$G:$G, Captura_Marimba_M01!$A:$A, Captura_Obra!A46, Captura_Marimba_M01!$C:$C, Captura_Obra!B46, Captura_Marimba_M01!$D:$D, Captura_Obra!D46))&gt;0), "", Captura_Obra!N46)</f>
        <v/>
      </c>
      <c r="D342" s="9903">
        <f>IF(OR(Captura_Obra!A46="", (SUMIFS(Captura_Pegaso!$H:$H, Captura_Pegaso!$A:$A, Captura_Obra!A46, Captura_Pegaso!$D:$D, Captura_Obra!B46, Captura_Pegaso!$E:$E, Captura_Obra!D46) + SUMIFS(Captura_Marimba_M01!$G:$G, Captura_Marimba_M01!$A:$A, Captura_Obra!A46, Captura_Marimba_M01!$C:$C, Captura_Obra!B46, Captura_Marimba_M01!$D:$D, Captura_Obra!D46))&gt;0), "", "❌ Falta en Pipa")</f>
        <v/>
      </c>
      <c r="E342" s="9904">
        <f>IF(OR(Captura_Obra!A46="", (SUMIFS(Captura_Pegaso!$H:$H, Captura_Pegaso!$A:$A, Captura_Obra!A46, Captura_Pegaso!$D:$D, Captura_Obra!B46, Captura_Pegaso!$E:$E, Captura_Obra!D46) + SUMIFS(Captura_Marimba_M01!$G:$G, Captura_Marimba_M01!$A:$A, Captura_Obra!A46, Captura_Marimba_M01!$C:$C, Captura_Obra!B46, Captura_Marimba_M01!$D:$D, Captura_Obra!D46))&gt;0), "", Captura_Obra!A46)</f>
        <v/>
      </c>
      <c r="F342" s="9905">
        <f>IF(OR(Captura_Obra!A46="", (SUMIFS(Captura_Pegaso!$H:$H, Captura_Pegaso!$A:$A, Captura_Obra!A46, Captura_Pegaso!$D:$D, Captura_Obra!B46, Captura_Pegaso!$E:$E, Captura_Obra!D46) + SUMIFS(Captura_Marimba_M01!$G:$G, Captura_Marimba_M01!$A:$A, Captura_Obra!A46, Captura_Marimba_M01!$C:$C, Captura_Obra!B46, Captura_Marimba_M01!$D:$D, Captura_Obra!D46))&gt;0), "", Captura_Obra!B46)</f>
        <v/>
      </c>
      <c r="G342" s="9906">
        <f>IF(OR(Captura_Obra!A46="", (SUMIFS(Captura_Pegaso!$H:$H, Captura_Pegaso!$A:$A, Captura_Obra!A46, Captura_Pegaso!$D:$D, Captura_Obra!B46, Captura_Pegaso!$E:$E, Captura_Obra!D46) + SUMIFS(Captura_Marimba_M01!$G:$G, Captura_Marimba_M01!$A:$A, Captura_Obra!A46, Captura_Marimba_M01!$C:$C, Captura_Obra!B46, Captura_Marimba_M01!$D:$D, Captura_Obra!D46))&gt;0), "", Captura_Obra!D46)</f>
        <v/>
      </c>
      <c r="H342" s="9907">
        <f>IF(OR(Captura_Obra!A46="", (SUMIFS(Captura_Pegaso!$H:$H, Captura_Pegaso!$A:$A, Captura_Obra!A46, Captura_Pegaso!$D:$D, Captura_Obra!B46, Captura_Pegaso!$E:$E, Captura_Obra!D46) + SUMIFS(Captura_Marimba_M01!$G:$G, Captura_Marimba_M01!$A:$A, Captura_Obra!A46, Captura_Marimba_M01!$C:$C, Captura_Obra!B46, Captura_Marimba_M01!$D:$D, Captura_Obra!D46))&gt;0), "", 0)</f>
        <v/>
      </c>
      <c r="I342" s="9908">
        <f>IF(OR(Captura_Obra!A46="", (SUMIFS(Captura_Pegaso!$H:$H, Captura_Pegaso!$A:$A, Captura_Obra!A46, Captura_Pegaso!$D:$D, Captura_Obra!B46, Captura_Pegaso!$E:$E, Captura_Obra!D46) + SUMIFS(Captura_Marimba_M01!$G:$G, Captura_Marimba_M01!$A:$A, Captura_Obra!A46, Captura_Marimba_M01!$C:$C, Captura_Obra!B46, Captura_Marimba_M01!$D:$D, Captura_Obra!D46))&gt;0), "", Captura_Obra!F46)</f>
        <v/>
      </c>
      <c r="J342" s="9909">
        <f>IF(OR(Captura_Obra!A46="", (SUMIFS(Captura_Pegaso!$H:$H, Captura_Pegaso!$A:$A, Captura_Obra!A46, Captura_Pegaso!$D:$D, Captura_Obra!B46, Captura_Pegaso!$E:$E, Captura_Obra!D46) + SUMIFS(Captura_Marimba_M01!$G:$G, Captura_Marimba_M01!$A:$A, Captura_Obra!A46, Captura_Marimba_M01!$C:$C, Captura_Obra!B46, Captura_Marimba_M01!$D:$D, Captura_Obra!D46))&gt;0), "", H342 - I342)</f>
        <v/>
      </c>
      <c r="K342" s="4151" t="n"/>
    </row>
    <row r="343">
      <c r="A343" s="9910">
        <f>IF(OR(Captura_Obra!A47="", (SUMIFS(Captura_Pegaso!$H:$H, Captura_Pegaso!$A:$A, Captura_Obra!A47, Captura_Pegaso!$D:$D, Captura_Obra!B47, Captura_Pegaso!$E:$E, Captura_Obra!D47) + SUMIFS(Captura_Marimba_M01!$G:$G, Captura_Marimba_M01!$A:$A, Captura_Obra!A47, Captura_Marimba_M01!$C:$C, Captura_Obra!B47, Captura_Marimba_M01!$D:$D, Captura_Obra!D47))&gt;0), "", "Huérfano Obra")</f>
        <v/>
      </c>
      <c r="B343" s="9911">
        <f>IF(OR(Captura_Obra!A47="", (SUMIFS(Captura_Pegaso!$H:$H, Captura_Pegaso!$A:$A, Captura_Obra!A47, Captura_Pegaso!$D:$D, Captura_Obra!B47, Captura_Pegaso!$E:$E, Captura_Obra!D47) + SUMIFS(Captura_Marimba_M01!$G:$G, Captura_Marimba_M01!$A:$A, Captura_Obra!A47, Captura_Marimba_M01!$C:$C, Captura_Obra!B47, Captura_Marimba_M01!$D:$D, Captura_Obra!D47))&gt;0), "", "No Reportado")</f>
        <v/>
      </c>
      <c r="C343" s="9912">
        <f>IF(OR(Captura_Obra!A47="", (SUMIFS(Captura_Pegaso!$H:$H, Captura_Pegaso!$A:$A, Captura_Obra!A47, Captura_Pegaso!$D:$D, Captura_Obra!B47, Captura_Pegaso!$E:$E, Captura_Obra!D47) + SUMIFS(Captura_Marimba_M01!$G:$G, Captura_Marimba_M01!$A:$A, Captura_Obra!A47, Captura_Marimba_M01!$C:$C, Captura_Obra!B47, Captura_Marimba_M01!$D:$D, Captura_Obra!D47))&gt;0), "", Captura_Obra!N47)</f>
        <v/>
      </c>
      <c r="D343" s="9913">
        <f>IF(OR(Captura_Obra!A47="", (SUMIFS(Captura_Pegaso!$H:$H, Captura_Pegaso!$A:$A, Captura_Obra!A47, Captura_Pegaso!$D:$D, Captura_Obra!B47, Captura_Pegaso!$E:$E, Captura_Obra!D47) + SUMIFS(Captura_Marimba_M01!$G:$G, Captura_Marimba_M01!$A:$A, Captura_Obra!A47, Captura_Marimba_M01!$C:$C, Captura_Obra!B47, Captura_Marimba_M01!$D:$D, Captura_Obra!D47))&gt;0), "", "❌ Falta en Pipa")</f>
        <v/>
      </c>
      <c r="E343" s="9914">
        <f>IF(OR(Captura_Obra!A47="", (SUMIFS(Captura_Pegaso!$H:$H, Captura_Pegaso!$A:$A, Captura_Obra!A47, Captura_Pegaso!$D:$D, Captura_Obra!B47, Captura_Pegaso!$E:$E, Captura_Obra!D47) + SUMIFS(Captura_Marimba_M01!$G:$G, Captura_Marimba_M01!$A:$A, Captura_Obra!A47, Captura_Marimba_M01!$C:$C, Captura_Obra!B47, Captura_Marimba_M01!$D:$D, Captura_Obra!D47))&gt;0), "", Captura_Obra!A47)</f>
        <v/>
      </c>
      <c r="F343" s="9915">
        <f>IF(OR(Captura_Obra!A47="", (SUMIFS(Captura_Pegaso!$H:$H, Captura_Pegaso!$A:$A, Captura_Obra!A47, Captura_Pegaso!$D:$D, Captura_Obra!B47, Captura_Pegaso!$E:$E, Captura_Obra!D47) + SUMIFS(Captura_Marimba_M01!$G:$G, Captura_Marimba_M01!$A:$A, Captura_Obra!A47, Captura_Marimba_M01!$C:$C, Captura_Obra!B47, Captura_Marimba_M01!$D:$D, Captura_Obra!D47))&gt;0), "", Captura_Obra!B47)</f>
        <v/>
      </c>
      <c r="G343" s="9916">
        <f>IF(OR(Captura_Obra!A47="", (SUMIFS(Captura_Pegaso!$H:$H, Captura_Pegaso!$A:$A, Captura_Obra!A47, Captura_Pegaso!$D:$D, Captura_Obra!B47, Captura_Pegaso!$E:$E, Captura_Obra!D47) + SUMIFS(Captura_Marimba_M01!$G:$G, Captura_Marimba_M01!$A:$A, Captura_Obra!A47, Captura_Marimba_M01!$C:$C, Captura_Obra!B47, Captura_Marimba_M01!$D:$D, Captura_Obra!D47))&gt;0), "", Captura_Obra!D47)</f>
        <v/>
      </c>
      <c r="H343" s="9917">
        <f>IF(OR(Captura_Obra!A47="", (SUMIFS(Captura_Pegaso!$H:$H, Captura_Pegaso!$A:$A, Captura_Obra!A47, Captura_Pegaso!$D:$D, Captura_Obra!B47, Captura_Pegaso!$E:$E, Captura_Obra!D47) + SUMIFS(Captura_Marimba_M01!$G:$G, Captura_Marimba_M01!$A:$A, Captura_Obra!A47, Captura_Marimba_M01!$C:$C, Captura_Obra!B47, Captura_Marimba_M01!$D:$D, Captura_Obra!D47))&gt;0), "", 0)</f>
        <v/>
      </c>
      <c r="I343" s="9918">
        <f>IF(OR(Captura_Obra!A47="", (SUMIFS(Captura_Pegaso!$H:$H, Captura_Pegaso!$A:$A, Captura_Obra!A47, Captura_Pegaso!$D:$D, Captura_Obra!B47, Captura_Pegaso!$E:$E, Captura_Obra!D47) + SUMIFS(Captura_Marimba_M01!$G:$G, Captura_Marimba_M01!$A:$A, Captura_Obra!A47, Captura_Marimba_M01!$C:$C, Captura_Obra!B47, Captura_Marimba_M01!$D:$D, Captura_Obra!D47))&gt;0), "", Captura_Obra!F47)</f>
        <v/>
      </c>
      <c r="J343" s="9919">
        <f>IF(OR(Captura_Obra!A47="", (SUMIFS(Captura_Pegaso!$H:$H, Captura_Pegaso!$A:$A, Captura_Obra!A47, Captura_Pegaso!$D:$D, Captura_Obra!B47, Captura_Pegaso!$E:$E, Captura_Obra!D47) + SUMIFS(Captura_Marimba_M01!$G:$G, Captura_Marimba_M01!$A:$A, Captura_Obra!A47, Captura_Marimba_M01!$C:$C, Captura_Obra!B47, Captura_Marimba_M01!$D:$D, Captura_Obra!D47))&gt;0), "", H343 - I343)</f>
        <v/>
      </c>
      <c r="K343" s="4152" t="n"/>
    </row>
    <row r="344">
      <c r="A344" s="9920">
        <f>IF(OR(Captura_Obra!A48="", (SUMIFS(Captura_Pegaso!$H:$H, Captura_Pegaso!$A:$A, Captura_Obra!A48, Captura_Pegaso!$D:$D, Captura_Obra!B48, Captura_Pegaso!$E:$E, Captura_Obra!D48) + SUMIFS(Captura_Marimba_M01!$G:$G, Captura_Marimba_M01!$A:$A, Captura_Obra!A48, Captura_Marimba_M01!$C:$C, Captura_Obra!B48, Captura_Marimba_M01!$D:$D, Captura_Obra!D48))&gt;0), "", "Huérfano Obra")</f>
        <v/>
      </c>
      <c r="B344" s="9921">
        <f>IF(OR(Captura_Obra!A48="", (SUMIFS(Captura_Pegaso!$H:$H, Captura_Pegaso!$A:$A, Captura_Obra!A48, Captura_Pegaso!$D:$D, Captura_Obra!B48, Captura_Pegaso!$E:$E, Captura_Obra!D48) + SUMIFS(Captura_Marimba_M01!$G:$G, Captura_Marimba_M01!$A:$A, Captura_Obra!A48, Captura_Marimba_M01!$C:$C, Captura_Obra!B48, Captura_Marimba_M01!$D:$D, Captura_Obra!D48))&gt;0), "", "No Reportado")</f>
        <v/>
      </c>
      <c r="C344" s="9922">
        <f>IF(OR(Captura_Obra!A48="", (SUMIFS(Captura_Pegaso!$H:$H, Captura_Pegaso!$A:$A, Captura_Obra!A48, Captura_Pegaso!$D:$D, Captura_Obra!B48, Captura_Pegaso!$E:$E, Captura_Obra!D48) + SUMIFS(Captura_Marimba_M01!$G:$G, Captura_Marimba_M01!$A:$A, Captura_Obra!A48, Captura_Marimba_M01!$C:$C, Captura_Obra!B48, Captura_Marimba_M01!$D:$D, Captura_Obra!D48))&gt;0), "", Captura_Obra!N48)</f>
        <v/>
      </c>
      <c r="D344" s="9923">
        <f>IF(OR(Captura_Obra!A48="", (SUMIFS(Captura_Pegaso!$H:$H, Captura_Pegaso!$A:$A, Captura_Obra!A48, Captura_Pegaso!$D:$D, Captura_Obra!B48, Captura_Pegaso!$E:$E, Captura_Obra!D48) + SUMIFS(Captura_Marimba_M01!$G:$G, Captura_Marimba_M01!$A:$A, Captura_Obra!A48, Captura_Marimba_M01!$C:$C, Captura_Obra!B48, Captura_Marimba_M01!$D:$D, Captura_Obra!D48))&gt;0), "", "❌ Falta en Pipa")</f>
        <v/>
      </c>
      <c r="E344" s="9924">
        <f>IF(OR(Captura_Obra!A48="", (SUMIFS(Captura_Pegaso!$H:$H, Captura_Pegaso!$A:$A, Captura_Obra!A48, Captura_Pegaso!$D:$D, Captura_Obra!B48, Captura_Pegaso!$E:$E, Captura_Obra!D48) + SUMIFS(Captura_Marimba_M01!$G:$G, Captura_Marimba_M01!$A:$A, Captura_Obra!A48, Captura_Marimba_M01!$C:$C, Captura_Obra!B48, Captura_Marimba_M01!$D:$D, Captura_Obra!D48))&gt;0), "", Captura_Obra!A48)</f>
        <v/>
      </c>
      <c r="F344" s="9925">
        <f>IF(OR(Captura_Obra!A48="", (SUMIFS(Captura_Pegaso!$H:$H, Captura_Pegaso!$A:$A, Captura_Obra!A48, Captura_Pegaso!$D:$D, Captura_Obra!B48, Captura_Pegaso!$E:$E, Captura_Obra!D48) + SUMIFS(Captura_Marimba_M01!$G:$G, Captura_Marimba_M01!$A:$A, Captura_Obra!A48, Captura_Marimba_M01!$C:$C, Captura_Obra!B48, Captura_Marimba_M01!$D:$D, Captura_Obra!D48))&gt;0), "", Captura_Obra!B48)</f>
        <v/>
      </c>
      <c r="G344" s="9926">
        <f>IF(OR(Captura_Obra!A48="", (SUMIFS(Captura_Pegaso!$H:$H, Captura_Pegaso!$A:$A, Captura_Obra!A48, Captura_Pegaso!$D:$D, Captura_Obra!B48, Captura_Pegaso!$E:$E, Captura_Obra!D48) + SUMIFS(Captura_Marimba_M01!$G:$G, Captura_Marimba_M01!$A:$A, Captura_Obra!A48, Captura_Marimba_M01!$C:$C, Captura_Obra!B48, Captura_Marimba_M01!$D:$D, Captura_Obra!D48))&gt;0), "", Captura_Obra!D48)</f>
        <v/>
      </c>
      <c r="H344" s="9927">
        <f>IF(OR(Captura_Obra!A48="", (SUMIFS(Captura_Pegaso!$H:$H, Captura_Pegaso!$A:$A, Captura_Obra!A48, Captura_Pegaso!$D:$D, Captura_Obra!B48, Captura_Pegaso!$E:$E, Captura_Obra!D48) + SUMIFS(Captura_Marimba_M01!$G:$G, Captura_Marimba_M01!$A:$A, Captura_Obra!A48, Captura_Marimba_M01!$C:$C, Captura_Obra!B48, Captura_Marimba_M01!$D:$D, Captura_Obra!D48))&gt;0), "", 0)</f>
        <v/>
      </c>
      <c r="I344" s="9928">
        <f>IF(OR(Captura_Obra!A48="", (SUMIFS(Captura_Pegaso!$H:$H, Captura_Pegaso!$A:$A, Captura_Obra!A48, Captura_Pegaso!$D:$D, Captura_Obra!B48, Captura_Pegaso!$E:$E, Captura_Obra!D48) + SUMIFS(Captura_Marimba_M01!$G:$G, Captura_Marimba_M01!$A:$A, Captura_Obra!A48, Captura_Marimba_M01!$C:$C, Captura_Obra!B48, Captura_Marimba_M01!$D:$D, Captura_Obra!D48))&gt;0), "", Captura_Obra!F48)</f>
        <v/>
      </c>
      <c r="J344" s="9929">
        <f>IF(OR(Captura_Obra!A48="", (SUMIFS(Captura_Pegaso!$H:$H, Captura_Pegaso!$A:$A, Captura_Obra!A48, Captura_Pegaso!$D:$D, Captura_Obra!B48, Captura_Pegaso!$E:$E, Captura_Obra!D48) + SUMIFS(Captura_Marimba_M01!$G:$G, Captura_Marimba_M01!$A:$A, Captura_Obra!A48, Captura_Marimba_M01!$C:$C, Captura_Obra!B48, Captura_Marimba_M01!$D:$D, Captura_Obra!D48))&gt;0), "", H344 - I344)</f>
        <v/>
      </c>
      <c r="K344" s="4153" t="n"/>
    </row>
    <row r="345">
      <c r="A345" s="9930">
        <f>IF(OR(Captura_Obra!A49="", (SUMIFS(Captura_Pegaso!$H:$H, Captura_Pegaso!$A:$A, Captura_Obra!A49, Captura_Pegaso!$D:$D, Captura_Obra!B49, Captura_Pegaso!$E:$E, Captura_Obra!D49) + SUMIFS(Captura_Marimba_M01!$G:$G, Captura_Marimba_M01!$A:$A, Captura_Obra!A49, Captura_Marimba_M01!$C:$C, Captura_Obra!B49, Captura_Marimba_M01!$D:$D, Captura_Obra!D49))&gt;0), "", "Huérfano Obra")</f>
        <v/>
      </c>
      <c r="B345" s="9931">
        <f>IF(OR(Captura_Obra!A49="", (SUMIFS(Captura_Pegaso!$H:$H, Captura_Pegaso!$A:$A, Captura_Obra!A49, Captura_Pegaso!$D:$D, Captura_Obra!B49, Captura_Pegaso!$E:$E, Captura_Obra!D49) + SUMIFS(Captura_Marimba_M01!$G:$G, Captura_Marimba_M01!$A:$A, Captura_Obra!A49, Captura_Marimba_M01!$C:$C, Captura_Obra!B49, Captura_Marimba_M01!$D:$D, Captura_Obra!D49))&gt;0), "", "No Reportado")</f>
        <v/>
      </c>
      <c r="C345" s="9932">
        <f>IF(OR(Captura_Obra!A49="", (SUMIFS(Captura_Pegaso!$H:$H, Captura_Pegaso!$A:$A, Captura_Obra!A49, Captura_Pegaso!$D:$D, Captura_Obra!B49, Captura_Pegaso!$E:$E, Captura_Obra!D49) + SUMIFS(Captura_Marimba_M01!$G:$G, Captura_Marimba_M01!$A:$A, Captura_Obra!A49, Captura_Marimba_M01!$C:$C, Captura_Obra!B49, Captura_Marimba_M01!$D:$D, Captura_Obra!D49))&gt;0), "", Captura_Obra!N49)</f>
        <v/>
      </c>
      <c r="D345" s="9933">
        <f>IF(OR(Captura_Obra!A49="", (SUMIFS(Captura_Pegaso!$H:$H, Captura_Pegaso!$A:$A, Captura_Obra!A49, Captura_Pegaso!$D:$D, Captura_Obra!B49, Captura_Pegaso!$E:$E, Captura_Obra!D49) + SUMIFS(Captura_Marimba_M01!$G:$G, Captura_Marimba_M01!$A:$A, Captura_Obra!A49, Captura_Marimba_M01!$C:$C, Captura_Obra!B49, Captura_Marimba_M01!$D:$D, Captura_Obra!D49))&gt;0), "", "❌ Falta en Pipa")</f>
        <v/>
      </c>
      <c r="E345" s="9934">
        <f>IF(OR(Captura_Obra!A49="", (SUMIFS(Captura_Pegaso!$H:$H, Captura_Pegaso!$A:$A, Captura_Obra!A49, Captura_Pegaso!$D:$D, Captura_Obra!B49, Captura_Pegaso!$E:$E, Captura_Obra!D49) + SUMIFS(Captura_Marimba_M01!$G:$G, Captura_Marimba_M01!$A:$A, Captura_Obra!A49, Captura_Marimba_M01!$C:$C, Captura_Obra!B49, Captura_Marimba_M01!$D:$D, Captura_Obra!D49))&gt;0), "", Captura_Obra!A49)</f>
        <v/>
      </c>
      <c r="F345" s="9935">
        <f>IF(OR(Captura_Obra!A49="", (SUMIFS(Captura_Pegaso!$H:$H, Captura_Pegaso!$A:$A, Captura_Obra!A49, Captura_Pegaso!$D:$D, Captura_Obra!B49, Captura_Pegaso!$E:$E, Captura_Obra!D49) + SUMIFS(Captura_Marimba_M01!$G:$G, Captura_Marimba_M01!$A:$A, Captura_Obra!A49, Captura_Marimba_M01!$C:$C, Captura_Obra!B49, Captura_Marimba_M01!$D:$D, Captura_Obra!D49))&gt;0), "", Captura_Obra!B49)</f>
        <v/>
      </c>
      <c r="G345" s="9936">
        <f>IF(OR(Captura_Obra!A49="", (SUMIFS(Captura_Pegaso!$H:$H, Captura_Pegaso!$A:$A, Captura_Obra!A49, Captura_Pegaso!$D:$D, Captura_Obra!B49, Captura_Pegaso!$E:$E, Captura_Obra!D49) + SUMIFS(Captura_Marimba_M01!$G:$G, Captura_Marimba_M01!$A:$A, Captura_Obra!A49, Captura_Marimba_M01!$C:$C, Captura_Obra!B49, Captura_Marimba_M01!$D:$D, Captura_Obra!D49))&gt;0), "", Captura_Obra!D49)</f>
        <v/>
      </c>
      <c r="H345" s="9937">
        <f>IF(OR(Captura_Obra!A49="", (SUMIFS(Captura_Pegaso!$H:$H, Captura_Pegaso!$A:$A, Captura_Obra!A49, Captura_Pegaso!$D:$D, Captura_Obra!B49, Captura_Pegaso!$E:$E, Captura_Obra!D49) + SUMIFS(Captura_Marimba_M01!$G:$G, Captura_Marimba_M01!$A:$A, Captura_Obra!A49, Captura_Marimba_M01!$C:$C, Captura_Obra!B49, Captura_Marimba_M01!$D:$D, Captura_Obra!D49))&gt;0), "", 0)</f>
        <v/>
      </c>
      <c r="I345" s="9938">
        <f>IF(OR(Captura_Obra!A49="", (SUMIFS(Captura_Pegaso!$H:$H, Captura_Pegaso!$A:$A, Captura_Obra!A49, Captura_Pegaso!$D:$D, Captura_Obra!B49, Captura_Pegaso!$E:$E, Captura_Obra!D49) + SUMIFS(Captura_Marimba_M01!$G:$G, Captura_Marimba_M01!$A:$A, Captura_Obra!A49, Captura_Marimba_M01!$C:$C, Captura_Obra!B49, Captura_Marimba_M01!$D:$D, Captura_Obra!D49))&gt;0), "", Captura_Obra!F49)</f>
        <v/>
      </c>
      <c r="J345" s="9939">
        <f>IF(OR(Captura_Obra!A49="", (SUMIFS(Captura_Pegaso!$H:$H, Captura_Pegaso!$A:$A, Captura_Obra!A49, Captura_Pegaso!$D:$D, Captura_Obra!B49, Captura_Pegaso!$E:$E, Captura_Obra!D49) + SUMIFS(Captura_Marimba_M01!$G:$G, Captura_Marimba_M01!$A:$A, Captura_Obra!A49, Captura_Marimba_M01!$C:$C, Captura_Obra!B49, Captura_Marimba_M01!$D:$D, Captura_Obra!D49))&gt;0), "", H345 - I345)</f>
        <v/>
      </c>
      <c r="K345" s="4154" t="n"/>
    </row>
    <row r="346">
      <c r="A346" s="9940">
        <f>IF(OR(Captura_Obra!A50="", (SUMIFS(Captura_Pegaso!$H:$H, Captura_Pegaso!$A:$A, Captura_Obra!A50, Captura_Pegaso!$D:$D, Captura_Obra!B50, Captura_Pegaso!$E:$E, Captura_Obra!D50) + SUMIFS(Captura_Marimba_M01!$G:$G, Captura_Marimba_M01!$A:$A, Captura_Obra!A50, Captura_Marimba_M01!$C:$C, Captura_Obra!B50, Captura_Marimba_M01!$D:$D, Captura_Obra!D50))&gt;0), "", "Huérfano Obra")</f>
        <v/>
      </c>
      <c r="B346" s="9941">
        <f>IF(OR(Captura_Obra!A50="", (SUMIFS(Captura_Pegaso!$H:$H, Captura_Pegaso!$A:$A, Captura_Obra!A50, Captura_Pegaso!$D:$D, Captura_Obra!B50, Captura_Pegaso!$E:$E, Captura_Obra!D50) + SUMIFS(Captura_Marimba_M01!$G:$G, Captura_Marimba_M01!$A:$A, Captura_Obra!A50, Captura_Marimba_M01!$C:$C, Captura_Obra!B50, Captura_Marimba_M01!$D:$D, Captura_Obra!D50))&gt;0), "", "No Reportado")</f>
        <v/>
      </c>
      <c r="C346" s="9942">
        <f>IF(OR(Captura_Obra!A50="", (SUMIFS(Captura_Pegaso!$H:$H, Captura_Pegaso!$A:$A, Captura_Obra!A50, Captura_Pegaso!$D:$D, Captura_Obra!B50, Captura_Pegaso!$E:$E, Captura_Obra!D50) + SUMIFS(Captura_Marimba_M01!$G:$G, Captura_Marimba_M01!$A:$A, Captura_Obra!A50, Captura_Marimba_M01!$C:$C, Captura_Obra!B50, Captura_Marimba_M01!$D:$D, Captura_Obra!D50))&gt;0), "", Captura_Obra!N50)</f>
        <v/>
      </c>
      <c r="D346" s="9943">
        <f>IF(OR(Captura_Obra!A50="", (SUMIFS(Captura_Pegaso!$H:$H, Captura_Pegaso!$A:$A, Captura_Obra!A50, Captura_Pegaso!$D:$D, Captura_Obra!B50, Captura_Pegaso!$E:$E, Captura_Obra!D50) + SUMIFS(Captura_Marimba_M01!$G:$G, Captura_Marimba_M01!$A:$A, Captura_Obra!A50, Captura_Marimba_M01!$C:$C, Captura_Obra!B50, Captura_Marimba_M01!$D:$D, Captura_Obra!D50))&gt;0), "", "❌ Falta en Pipa")</f>
        <v/>
      </c>
      <c r="E346" s="9944">
        <f>IF(OR(Captura_Obra!A50="", (SUMIFS(Captura_Pegaso!$H:$H, Captura_Pegaso!$A:$A, Captura_Obra!A50, Captura_Pegaso!$D:$D, Captura_Obra!B50, Captura_Pegaso!$E:$E, Captura_Obra!D50) + SUMIFS(Captura_Marimba_M01!$G:$G, Captura_Marimba_M01!$A:$A, Captura_Obra!A50, Captura_Marimba_M01!$C:$C, Captura_Obra!B50, Captura_Marimba_M01!$D:$D, Captura_Obra!D50))&gt;0), "", Captura_Obra!A50)</f>
        <v/>
      </c>
      <c r="F346" s="9945">
        <f>IF(OR(Captura_Obra!A50="", (SUMIFS(Captura_Pegaso!$H:$H, Captura_Pegaso!$A:$A, Captura_Obra!A50, Captura_Pegaso!$D:$D, Captura_Obra!B50, Captura_Pegaso!$E:$E, Captura_Obra!D50) + SUMIFS(Captura_Marimba_M01!$G:$G, Captura_Marimba_M01!$A:$A, Captura_Obra!A50, Captura_Marimba_M01!$C:$C, Captura_Obra!B50, Captura_Marimba_M01!$D:$D, Captura_Obra!D50))&gt;0), "", Captura_Obra!B50)</f>
        <v/>
      </c>
      <c r="G346" s="9946">
        <f>IF(OR(Captura_Obra!A50="", (SUMIFS(Captura_Pegaso!$H:$H, Captura_Pegaso!$A:$A, Captura_Obra!A50, Captura_Pegaso!$D:$D, Captura_Obra!B50, Captura_Pegaso!$E:$E, Captura_Obra!D50) + SUMIFS(Captura_Marimba_M01!$G:$G, Captura_Marimba_M01!$A:$A, Captura_Obra!A50, Captura_Marimba_M01!$C:$C, Captura_Obra!B50, Captura_Marimba_M01!$D:$D, Captura_Obra!D50))&gt;0), "", Captura_Obra!D50)</f>
        <v/>
      </c>
      <c r="H346" s="9947">
        <f>IF(OR(Captura_Obra!A50="", (SUMIFS(Captura_Pegaso!$H:$H, Captura_Pegaso!$A:$A, Captura_Obra!A50, Captura_Pegaso!$D:$D, Captura_Obra!B50, Captura_Pegaso!$E:$E, Captura_Obra!D50) + SUMIFS(Captura_Marimba_M01!$G:$G, Captura_Marimba_M01!$A:$A, Captura_Obra!A50, Captura_Marimba_M01!$C:$C, Captura_Obra!B50, Captura_Marimba_M01!$D:$D, Captura_Obra!D50))&gt;0), "", 0)</f>
        <v/>
      </c>
      <c r="I346" s="9948">
        <f>IF(OR(Captura_Obra!A50="", (SUMIFS(Captura_Pegaso!$H:$H, Captura_Pegaso!$A:$A, Captura_Obra!A50, Captura_Pegaso!$D:$D, Captura_Obra!B50, Captura_Pegaso!$E:$E, Captura_Obra!D50) + SUMIFS(Captura_Marimba_M01!$G:$G, Captura_Marimba_M01!$A:$A, Captura_Obra!A50, Captura_Marimba_M01!$C:$C, Captura_Obra!B50, Captura_Marimba_M01!$D:$D, Captura_Obra!D50))&gt;0), "", Captura_Obra!F50)</f>
        <v/>
      </c>
      <c r="J346" s="9949">
        <f>IF(OR(Captura_Obra!A50="", (SUMIFS(Captura_Pegaso!$H:$H, Captura_Pegaso!$A:$A, Captura_Obra!A50, Captura_Pegaso!$D:$D, Captura_Obra!B50, Captura_Pegaso!$E:$E, Captura_Obra!D50) + SUMIFS(Captura_Marimba_M01!$G:$G, Captura_Marimba_M01!$A:$A, Captura_Obra!A50, Captura_Marimba_M01!$C:$C, Captura_Obra!B50, Captura_Marimba_M01!$D:$D, Captura_Obra!D50))&gt;0), "", H346 - I346)</f>
        <v/>
      </c>
      <c r="K346" s="4155" t="n"/>
    </row>
    <row r="347">
      <c r="A347" s="9950">
        <f>IF(OR(Captura_Obra!A51="", (SUMIFS(Captura_Pegaso!$H:$H, Captura_Pegaso!$A:$A, Captura_Obra!A51, Captura_Pegaso!$D:$D, Captura_Obra!B51, Captura_Pegaso!$E:$E, Captura_Obra!D51) + SUMIFS(Captura_Marimba_M01!$G:$G, Captura_Marimba_M01!$A:$A, Captura_Obra!A51, Captura_Marimba_M01!$C:$C, Captura_Obra!B51, Captura_Marimba_M01!$D:$D, Captura_Obra!D51))&gt;0), "", "Huérfano Obra")</f>
        <v/>
      </c>
      <c r="B347" s="9951">
        <f>IF(OR(Captura_Obra!A51="", (SUMIFS(Captura_Pegaso!$H:$H, Captura_Pegaso!$A:$A, Captura_Obra!A51, Captura_Pegaso!$D:$D, Captura_Obra!B51, Captura_Pegaso!$E:$E, Captura_Obra!D51) + SUMIFS(Captura_Marimba_M01!$G:$G, Captura_Marimba_M01!$A:$A, Captura_Obra!A51, Captura_Marimba_M01!$C:$C, Captura_Obra!B51, Captura_Marimba_M01!$D:$D, Captura_Obra!D51))&gt;0), "", "No Reportado")</f>
        <v/>
      </c>
      <c r="C347" s="9952">
        <f>IF(OR(Captura_Obra!A51="", (SUMIFS(Captura_Pegaso!$H:$H, Captura_Pegaso!$A:$A, Captura_Obra!A51, Captura_Pegaso!$D:$D, Captura_Obra!B51, Captura_Pegaso!$E:$E, Captura_Obra!D51) + SUMIFS(Captura_Marimba_M01!$G:$G, Captura_Marimba_M01!$A:$A, Captura_Obra!A51, Captura_Marimba_M01!$C:$C, Captura_Obra!B51, Captura_Marimba_M01!$D:$D, Captura_Obra!D51))&gt;0), "", Captura_Obra!N51)</f>
        <v/>
      </c>
      <c r="D347" s="9953">
        <f>IF(OR(Captura_Obra!A51="", (SUMIFS(Captura_Pegaso!$H:$H, Captura_Pegaso!$A:$A, Captura_Obra!A51, Captura_Pegaso!$D:$D, Captura_Obra!B51, Captura_Pegaso!$E:$E, Captura_Obra!D51) + SUMIFS(Captura_Marimba_M01!$G:$G, Captura_Marimba_M01!$A:$A, Captura_Obra!A51, Captura_Marimba_M01!$C:$C, Captura_Obra!B51, Captura_Marimba_M01!$D:$D, Captura_Obra!D51))&gt;0), "", "❌ Falta en Pipa")</f>
        <v/>
      </c>
      <c r="E347" s="9954">
        <f>IF(OR(Captura_Obra!A51="", (SUMIFS(Captura_Pegaso!$H:$H, Captura_Pegaso!$A:$A, Captura_Obra!A51, Captura_Pegaso!$D:$D, Captura_Obra!B51, Captura_Pegaso!$E:$E, Captura_Obra!D51) + SUMIFS(Captura_Marimba_M01!$G:$G, Captura_Marimba_M01!$A:$A, Captura_Obra!A51, Captura_Marimba_M01!$C:$C, Captura_Obra!B51, Captura_Marimba_M01!$D:$D, Captura_Obra!D51))&gt;0), "", Captura_Obra!A51)</f>
        <v/>
      </c>
      <c r="F347" s="9955">
        <f>IF(OR(Captura_Obra!A51="", (SUMIFS(Captura_Pegaso!$H:$H, Captura_Pegaso!$A:$A, Captura_Obra!A51, Captura_Pegaso!$D:$D, Captura_Obra!B51, Captura_Pegaso!$E:$E, Captura_Obra!D51) + SUMIFS(Captura_Marimba_M01!$G:$G, Captura_Marimba_M01!$A:$A, Captura_Obra!A51, Captura_Marimba_M01!$C:$C, Captura_Obra!B51, Captura_Marimba_M01!$D:$D, Captura_Obra!D51))&gt;0), "", Captura_Obra!B51)</f>
        <v/>
      </c>
      <c r="G347" s="9956">
        <f>IF(OR(Captura_Obra!A51="", (SUMIFS(Captura_Pegaso!$H:$H, Captura_Pegaso!$A:$A, Captura_Obra!A51, Captura_Pegaso!$D:$D, Captura_Obra!B51, Captura_Pegaso!$E:$E, Captura_Obra!D51) + SUMIFS(Captura_Marimba_M01!$G:$G, Captura_Marimba_M01!$A:$A, Captura_Obra!A51, Captura_Marimba_M01!$C:$C, Captura_Obra!B51, Captura_Marimba_M01!$D:$D, Captura_Obra!D51))&gt;0), "", Captura_Obra!D51)</f>
        <v/>
      </c>
      <c r="H347" s="9957">
        <f>IF(OR(Captura_Obra!A51="", (SUMIFS(Captura_Pegaso!$H:$H, Captura_Pegaso!$A:$A, Captura_Obra!A51, Captura_Pegaso!$D:$D, Captura_Obra!B51, Captura_Pegaso!$E:$E, Captura_Obra!D51) + SUMIFS(Captura_Marimba_M01!$G:$G, Captura_Marimba_M01!$A:$A, Captura_Obra!A51, Captura_Marimba_M01!$C:$C, Captura_Obra!B51, Captura_Marimba_M01!$D:$D, Captura_Obra!D51))&gt;0), "", 0)</f>
        <v/>
      </c>
      <c r="I347" s="9958">
        <f>IF(OR(Captura_Obra!A51="", (SUMIFS(Captura_Pegaso!$H:$H, Captura_Pegaso!$A:$A, Captura_Obra!A51, Captura_Pegaso!$D:$D, Captura_Obra!B51, Captura_Pegaso!$E:$E, Captura_Obra!D51) + SUMIFS(Captura_Marimba_M01!$G:$G, Captura_Marimba_M01!$A:$A, Captura_Obra!A51, Captura_Marimba_M01!$C:$C, Captura_Obra!B51, Captura_Marimba_M01!$D:$D, Captura_Obra!D51))&gt;0), "", Captura_Obra!F51)</f>
        <v/>
      </c>
      <c r="J347" s="9959">
        <f>IF(OR(Captura_Obra!A51="", (SUMIFS(Captura_Pegaso!$H:$H, Captura_Pegaso!$A:$A, Captura_Obra!A51, Captura_Pegaso!$D:$D, Captura_Obra!B51, Captura_Pegaso!$E:$E, Captura_Obra!D51) + SUMIFS(Captura_Marimba_M01!$G:$G, Captura_Marimba_M01!$A:$A, Captura_Obra!A51, Captura_Marimba_M01!$C:$C, Captura_Obra!B51, Captura_Marimba_M01!$D:$D, Captura_Obra!D51))&gt;0), "", H347 - I347)</f>
        <v/>
      </c>
      <c r="K347" s="4156" t="n"/>
    </row>
    <row r="348">
      <c r="A348" s="9960">
        <f>IF(OR(Captura_Obra!A52="", (SUMIFS(Captura_Pegaso!$H:$H, Captura_Pegaso!$A:$A, Captura_Obra!A52, Captura_Pegaso!$D:$D, Captura_Obra!B52, Captura_Pegaso!$E:$E, Captura_Obra!D52) + SUMIFS(Captura_Marimba_M01!$G:$G, Captura_Marimba_M01!$A:$A, Captura_Obra!A52, Captura_Marimba_M01!$C:$C, Captura_Obra!B52, Captura_Marimba_M01!$D:$D, Captura_Obra!D52))&gt;0), "", "Huérfano Obra")</f>
        <v/>
      </c>
      <c r="B348" s="9961">
        <f>IF(OR(Captura_Obra!A52="", (SUMIFS(Captura_Pegaso!$H:$H, Captura_Pegaso!$A:$A, Captura_Obra!A52, Captura_Pegaso!$D:$D, Captura_Obra!B52, Captura_Pegaso!$E:$E, Captura_Obra!D52) + SUMIFS(Captura_Marimba_M01!$G:$G, Captura_Marimba_M01!$A:$A, Captura_Obra!A52, Captura_Marimba_M01!$C:$C, Captura_Obra!B52, Captura_Marimba_M01!$D:$D, Captura_Obra!D52))&gt;0), "", "No Reportado")</f>
        <v/>
      </c>
      <c r="C348" s="9962">
        <f>IF(OR(Captura_Obra!A52="", (SUMIFS(Captura_Pegaso!$H:$H, Captura_Pegaso!$A:$A, Captura_Obra!A52, Captura_Pegaso!$D:$D, Captura_Obra!B52, Captura_Pegaso!$E:$E, Captura_Obra!D52) + SUMIFS(Captura_Marimba_M01!$G:$G, Captura_Marimba_M01!$A:$A, Captura_Obra!A52, Captura_Marimba_M01!$C:$C, Captura_Obra!B52, Captura_Marimba_M01!$D:$D, Captura_Obra!D52))&gt;0), "", Captura_Obra!N52)</f>
        <v/>
      </c>
      <c r="D348" s="9963">
        <f>IF(OR(Captura_Obra!A52="", (SUMIFS(Captura_Pegaso!$H:$H, Captura_Pegaso!$A:$A, Captura_Obra!A52, Captura_Pegaso!$D:$D, Captura_Obra!B52, Captura_Pegaso!$E:$E, Captura_Obra!D52) + SUMIFS(Captura_Marimba_M01!$G:$G, Captura_Marimba_M01!$A:$A, Captura_Obra!A52, Captura_Marimba_M01!$C:$C, Captura_Obra!B52, Captura_Marimba_M01!$D:$D, Captura_Obra!D52))&gt;0), "", "❌ Falta en Pipa")</f>
        <v/>
      </c>
      <c r="E348" s="9964">
        <f>IF(OR(Captura_Obra!A52="", (SUMIFS(Captura_Pegaso!$H:$H, Captura_Pegaso!$A:$A, Captura_Obra!A52, Captura_Pegaso!$D:$D, Captura_Obra!B52, Captura_Pegaso!$E:$E, Captura_Obra!D52) + SUMIFS(Captura_Marimba_M01!$G:$G, Captura_Marimba_M01!$A:$A, Captura_Obra!A52, Captura_Marimba_M01!$C:$C, Captura_Obra!B52, Captura_Marimba_M01!$D:$D, Captura_Obra!D52))&gt;0), "", Captura_Obra!A52)</f>
        <v/>
      </c>
      <c r="F348" s="9965">
        <f>IF(OR(Captura_Obra!A52="", (SUMIFS(Captura_Pegaso!$H:$H, Captura_Pegaso!$A:$A, Captura_Obra!A52, Captura_Pegaso!$D:$D, Captura_Obra!B52, Captura_Pegaso!$E:$E, Captura_Obra!D52) + SUMIFS(Captura_Marimba_M01!$G:$G, Captura_Marimba_M01!$A:$A, Captura_Obra!A52, Captura_Marimba_M01!$C:$C, Captura_Obra!B52, Captura_Marimba_M01!$D:$D, Captura_Obra!D52))&gt;0), "", Captura_Obra!B52)</f>
        <v/>
      </c>
      <c r="G348" s="9966">
        <f>IF(OR(Captura_Obra!A52="", (SUMIFS(Captura_Pegaso!$H:$H, Captura_Pegaso!$A:$A, Captura_Obra!A52, Captura_Pegaso!$D:$D, Captura_Obra!B52, Captura_Pegaso!$E:$E, Captura_Obra!D52) + SUMIFS(Captura_Marimba_M01!$G:$G, Captura_Marimba_M01!$A:$A, Captura_Obra!A52, Captura_Marimba_M01!$C:$C, Captura_Obra!B52, Captura_Marimba_M01!$D:$D, Captura_Obra!D52))&gt;0), "", Captura_Obra!D52)</f>
        <v/>
      </c>
      <c r="H348" s="9967">
        <f>IF(OR(Captura_Obra!A52="", (SUMIFS(Captura_Pegaso!$H:$H, Captura_Pegaso!$A:$A, Captura_Obra!A52, Captura_Pegaso!$D:$D, Captura_Obra!B52, Captura_Pegaso!$E:$E, Captura_Obra!D52) + SUMIFS(Captura_Marimba_M01!$G:$G, Captura_Marimba_M01!$A:$A, Captura_Obra!A52, Captura_Marimba_M01!$C:$C, Captura_Obra!B52, Captura_Marimba_M01!$D:$D, Captura_Obra!D52))&gt;0), "", 0)</f>
        <v/>
      </c>
      <c r="I348" s="9968">
        <f>IF(OR(Captura_Obra!A52="", (SUMIFS(Captura_Pegaso!$H:$H, Captura_Pegaso!$A:$A, Captura_Obra!A52, Captura_Pegaso!$D:$D, Captura_Obra!B52, Captura_Pegaso!$E:$E, Captura_Obra!D52) + SUMIFS(Captura_Marimba_M01!$G:$G, Captura_Marimba_M01!$A:$A, Captura_Obra!A52, Captura_Marimba_M01!$C:$C, Captura_Obra!B52, Captura_Marimba_M01!$D:$D, Captura_Obra!D52))&gt;0), "", Captura_Obra!F52)</f>
        <v/>
      </c>
      <c r="J348" s="9969">
        <f>IF(OR(Captura_Obra!A52="", (SUMIFS(Captura_Pegaso!$H:$H, Captura_Pegaso!$A:$A, Captura_Obra!A52, Captura_Pegaso!$D:$D, Captura_Obra!B52, Captura_Pegaso!$E:$E, Captura_Obra!D52) + SUMIFS(Captura_Marimba_M01!$G:$G, Captura_Marimba_M01!$A:$A, Captura_Obra!A52, Captura_Marimba_M01!$C:$C, Captura_Obra!B52, Captura_Marimba_M01!$D:$D, Captura_Obra!D52))&gt;0), "", H348 - I348)</f>
        <v/>
      </c>
      <c r="K348" s="4157" t="n"/>
    </row>
    <row r="349">
      <c r="A349" s="9970">
        <f>IF(OR(Captura_Obra!A53="", (SUMIFS(Captura_Pegaso!$H:$H, Captura_Pegaso!$A:$A, Captura_Obra!A53, Captura_Pegaso!$D:$D, Captura_Obra!B53, Captura_Pegaso!$E:$E, Captura_Obra!D53) + SUMIFS(Captura_Marimba_M01!$G:$G, Captura_Marimba_M01!$A:$A, Captura_Obra!A53, Captura_Marimba_M01!$C:$C, Captura_Obra!B53, Captura_Marimba_M01!$D:$D, Captura_Obra!D53))&gt;0), "", "Huérfano Obra")</f>
        <v/>
      </c>
      <c r="B349" s="9971">
        <f>IF(OR(Captura_Obra!A53="", (SUMIFS(Captura_Pegaso!$H:$H, Captura_Pegaso!$A:$A, Captura_Obra!A53, Captura_Pegaso!$D:$D, Captura_Obra!B53, Captura_Pegaso!$E:$E, Captura_Obra!D53) + SUMIFS(Captura_Marimba_M01!$G:$G, Captura_Marimba_M01!$A:$A, Captura_Obra!A53, Captura_Marimba_M01!$C:$C, Captura_Obra!B53, Captura_Marimba_M01!$D:$D, Captura_Obra!D53))&gt;0), "", "No Reportado")</f>
        <v/>
      </c>
      <c r="C349" s="9972">
        <f>IF(OR(Captura_Obra!A53="", (SUMIFS(Captura_Pegaso!$H:$H, Captura_Pegaso!$A:$A, Captura_Obra!A53, Captura_Pegaso!$D:$D, Captura_Obra!B53, Captura_Pegaso!$E:$E, Captura_Obra!D53) + SUMIFS(Captura_Marimba_M01!$G:$G, Captura_Marimba_M01!$A:$A, Captura_Obra!A53, Captura_Marimba_M01!$C:$C, Captura_Obra!B53, Captura_Marimba_M01!$D:$D, Captura_Obra!D53))&gt;0), "", Captura_Obra!N53)</f>
        <v/>
      </c>
      <c r="D349" s="9973">
        <f>IF(OR(Captura_Obra!A53="", (SUMIFS(Captura_Pegaso!$H:$H, Captura_Pegaso!$A:$A, Captura_Obra!A53, Captura_Pegaso!$D:$D, Captura_Obra!B53, Captura_Pegaso!$E:$E, Captura_Obra!D53) + SUMIFS(Captura_Marimba_M01!$G:$G, Captura_Marimba_M01!$A:$A, Captura_Obra!A53, Captura_Marimba_M01!$C:$C, Captura_Obra!B53, Captura_Marimba_M01!$D:$D, Captura_Obra!D53))&gt;0), "", "❌ Falta en Pipa")</f>
        <v/>
      </c>
      <c r="E349" s="9974">
        <f>IF(OR(Captura_Obra!A53="", (SUMIFS(Captura_Pegaso!$H:$H, Captura_Pegaso!$A:$A, Captura_Obra!A53, Captura_Pegaso!$D:$D, Captura_Obra!B53, Captura_Pegaso!$E:$E, Captura_Obra!D53) + SUMIFS(Captura_Marimba_M01!$G:$G, Captura_Marimba_M01!$A:$A, Captura_Obra!A53, Captura_Marimba_M01!$C:$C, Captura_Obra!B53, Captura_Marimba_M01!$D:$D, Captura_Obra!D53))&gt;0), "", Captura_Obra!A53)</f>
        <v/>
      </c>
      <c r="F349" s="9975">
        <f>IF(OR(Captura_Obra!A53="", (SUMIFS(Captura_Pegaso!$H:$H, Captura_Pegaso!$A:$A, Captura_Obra!A53, Captura_Pegaso!$D:$D, Captura_Obra!B53, Captura_Pegaso!$E:$E, Captura_Obra!D53) + SUMIFS(Captura_Marimba_M01!$G:$G, Captura_Marimba_M01!$A:$A, Captura_Obra!A53, Captura_Marimba_M01!$C:$C, Captura_Obra!B53, Captura_Marimba_M01!$D:$D, Captura_Obra!D53))&gt;0), "", Captura_Obra!B53)</f>
        <v/>
      </c>
      <c r="G349" s="9976">
        <f>IF(OR(Captura_Obra!A53="", (SUMIFS(Captura_Pegaso!$H:$H, Captura_Pegaso!$A:$A, Captura_Obra!A53, Captura_Pegaso!$D:$D, Captura_Obra!B53, Captura_Pegaso!$E:$E, Captura_Obra!D53) + SUMIFS(Captura_Marimba_M01!$G:$G, Captura_Marimba_M01!$A:$A, Captura_Obra!A53, Captura_Marimba_M01!$C:$C, Captura_Obra!B53, Captura_Marimba_M01!$D:$D, Captura_Obra!D53))&gt;0), "", Captura_Obra!D53)</f>
        <v/>
      </c>
      <c r="H349" s="9977">
        <f>IF(OR(Captura_Obra!A53="", (SUMIFS(Captura_Pegaso!$H:$H, Captura_Pegaso!$A:$A, Captura_Obra!A53, Captura_Pegaso!$D:$D, Captura_Obra!B53, Captura_Pegaso!$E:$E, Captura_Obra!D53) + SUMIFS(Captura_Marimba_M01!$G:$G, Captura_Marimba_M01!$A:$A, Captura_Obra!A53, Captura_Marimba_M01!$C:$C, Captura_Obra!B53, Captura_Marimba_M01!$D:$D, Captura_Obra!D53))&gt;0), "", 0)</f>
        <v/>
      </c>
      <c r="I349" s="9978">
        <f>IF(OR(Captura_Obra!A53="", (SUMIFS(Captura_Pegaso!$H:$H, Captura_Pegaso!$A:$A, Captura_Obra!A53, Captura_Pegaso!$D:$D, Captura_Obra!B53, Captura_Pegaso!$E:$E, Captura_Obra!D53) + SUMIFS(Captura_Marimba_M01!$G:$G, Captura_Marimba_M01!$A:$A, Captura_Obra!A53, Captura_Marimba_M01!$C:$C, Captura_Obra!B53, Captura_Marimba_M01!$D:$D, Captura_Obra!D53))&gt;0), "", Captura_Obra!F53)</f>
        <v/>
      </c>
      <c r="J349" s="9979">
        <f>IF(OR(Captura_Obra!A53="", (SUMIFS(Captura_Pegaso!$H:$H, Captura_Pegaso!$A:$A, Captura_Obra!A53, Captura_Pegaso!$D:$D, Captura_Obra!B53, Captura_Pegaso!$E:$E, Captura_Obra!D53) + SUMIFS(Captura_Marimba_M01!$G:$G, Captura_Marimba_M01!$A:$A, Captura_Obra!A53, Captura_Marimba_M01!$C:$C, Captura_Obra!B53, Captura_Marimba_M01!$D:$D, Captura_Obra!D53))&gt;0), "", H349 - I349)</f>
        <v/>
      </c>
      <c r="K349" s="4158" t="n"/>
    </row>
    <row r="350">
      <c r="A350" s="9980">
        <f>IF(OR(Captura_Obra!A54="", (SUMIFS(Captura_Pegaso!$H:$H, Captura_Pegaso!$A:$A, Captura_Obra!A54, Captura_Pegaso!$D:$D, Captura_Obra!B54, Captura_Pegaso!$E:$E, Captura_Obra!D54) + SUMIFS(Captura_Marimba_M01!$G:$G, Captura_Marimba_M01!$A:$A, Captura_Obra!A54, Captura_Marimba_M01!$C:$C, Captura_Obra!B54, Captura_Marimba_M01!$D:$D, Captura_Obra!D54))&gt;0), "", "Huérfano Obra")</f>
        <v/>
      </c>
      <c r="B350" s="9981">
        <f>IF(OR(Captura_Obra!A54="", (SUMIFS(Captura_Pegaso!$H:$H, Captura_Pegaso!$A:$A, Captura_Obra!A54, Captura_Pegaso!$D:$D, Captura_Obra!B54, Captura_Pegaso!$E:$E, Captura_Obra!D54) + SUMIFS(Captura_Marimba_M01!$G:$G, Captura_Marimba_M01!$A:$A, Captura_Obra!A54, Captura_Marimba_M01!$C:$C, Captura_Obra!B54, Captura_Marimba_M01!$D:$D, Captura_Obra!D54))&gt;0), "", "No Reportado")</f>
        <v/>
      </c>
      <c r="C350" s="9982">
        <f>IF(OR(Captura_Obra!A54="", (SUMIFS(Captura_Pegaso!$H:$H, Captura_Pegaso!$A:$A, Captura_Obra!A54, Captura_Pegaso!$D:$D, Captura_Obra!B54, Captura_Pegaso!$E:$E, Captura_Obra!D54) + SUMIFS(Captura_Marimba_M01!$G:$G, Captura_Marimba_M01!$A:$A, Captura_Obra!A54, Captura_Marimba_M01!$C:$C, Captura_Obra!B54, Captura_Marimba_M01!$D:$D, Captura_Obra!D54))&gt;0), "", Captura_Obra!N54)</f>
        <v/>
      </c>
      <c r="D350" s="9983">
        <f>IF(OR(Captura_Obra!A54="", (SUMIFS(Captura_Pegaso!$H:$H, Captura_Pegaso!$A:$A, Captura_Obra!A54, Captura_Pegaso!$D:$D, Captura_Obra!B54, Captura_Pegaso!$E:$E, Captura_Obra!D54) + SUMIFS(Captura_Marimba_M01!$G:$G, Captura_Marimba_M01!$A:$A, Captura_Obra!A54, Captura_Marimba_M01!$C:$C, Captura_Obra!B54, Captura_Marimba_M01!$D:$D, Captura_Obra!D54))&gt;0), "", "❌ Falta en Pipa")</f>
        <v/>
      </c>
      <c r="E350" s="9984">
        <f>IF(OR(Captura_Obra!A54="", (SUMIFS(Captura_Pegaso!$H:$H, Captura_Pegaso!$A:$A, Captura_Obra!A54, Captura_Pegaso!$D:$D, Captura_Obra!B54, Captura_Pegaso!$E:$E, Captura_Obra!D54) + SUMIFS(Captura_Marimba_M01!$G:$G, Captura_Marimba_M01!$A:$A, Captura_Obra!A54, Captura_Marimba_M01!$C:$C, Captura_Obra!B54, Captura_Marimba_M01!$D:$D, Captura_Obra!D54))&gt;0), "", Captura_Obra!A54)</f>
        <v/>
      </c>
      <c r="F350" s="9985">
        <f>IF(OR(Captura_Obra!A54="", (SUMIFS(Captura_Pegaso!$H:$H, Captura_Pegaso!$A:$A, Captura_Obra!A54, Captura_Pegaso!$D:$D, Captura_Obra!B54, Captura_Pegaso!$E:$E, Captura_Obra!D54) + SUMIFS(Captura_Marimba_M01!$G:$G, Captura_Marimba_M01!$A:$A, Captura_Obra!A54, Captura_Marimba_M01!$C:$C, Captura_Obra!B54, Captura_Marimba_M01!$D:$D, Captura_Obra!D54))&gt;0), "", Captura_Obra!B54)</f>
        <v/>
      </c>
      <c r="G350" s="9986">
        <f>IF(OR(Captura_Obra!A54="", (SUMIFS(Captura_Pegaso!$H:$H, Captura_Pegaso!$A:$A, Captura_Obra!A54, Captura_Pegaso!$D:$D, Captura_Obra!B54, Captura_Pegaso!$E:$E, Captura_Obra!D54) + SUMIFS(Captura_Marimba_M01!$G:$G, Captura_Marimba_M01!$A:$A, Captura_Obra!A54, Captura_Marimba_M01!$C:$C, Captura_Obra!B54, Captura_Marimba_M01!$D:$D, Captura_Obra!D54))&gt;0), "", Captura_Obra!D54)</f>
        <v/>
      </c>
      <c r="H350" s="9987">
        <f>IF(OR(Captura_Obra!A54="", (SUMIFS(Captura_Pegaso!$H:$H, Captura_Pegaso!$A:$A, Captura_Obra!A54, Captura_Pegaso!$D:$D, Captura_Obra!B54, Captura_Pegaso!$E:$E, Captura_Obra!D54) + SUMIFS(Captura_Marimba_M01!$G:$G, Captura_Marimba_M01!$A:$A, Captura_Obra!A54, Captura_Marimba_M01!$C:$C, Captura_Obra!B54, Captura_Marimba_M01!$D:$D, Captura_Obra!D54))&gt;0), "", 0)</f>
        <v/>
      </c>
      <c r="I350" s="9988">
        <f>IF(OR(Captura_Obra!A54="", (SUMIFS(Captura_Pegaso!$H:$H, Captura_Pegaso!$A:$A, Captura_Obra!A54, Captura_Pegaso!$D:$D, Captura_Obra!B54, Captura_Pegaso!$E:$E, Captura_Obra!D54) + SUMIFS(Captura_Marimba_M01!$G:$G, Captura_Marimba_M01!$A:$A, Captura_Obra!A54, Captura_Marimba_M01!$C:$C, Captura_Obra!B54, Captura_Marimba_M01!$D:$D, Captura_Obra!D54))&gt;0), "", Captura_Obra!F54)</f>
        <v/>
      </c>
      <c r="J350" s="9989">
        <f>IF(OR(Captura_Obra!A54="", (SUMIFS(Captura_Pegaso!$H:$H, Captura_Pegaso!$A:$A, Captura_Obra!A54, Captura_Pegaso!$D:$D, Captura_Obra!B54, Captura_Pegaso!$E:$E, Captura_Obra!D54) + SUMIFS(Captura_Marimba_M01!$G:$G, Captura_Marimba_M01!$A:$A, Captura_Obra!A54, Captura_Marimba_M01!$C:$C, Captura_Obra!B54, Captura_Marimba_M01!$D:$D, Captura_Obra!D54))&gt;0), "", H350 - I350)</f>
        <v/>
      </c>
      <c r="K350" s="4159" t="n"/>
    </row>
    <row r="351">
      <c r="A351" s="9990">
        <f>IF(OR(Captura_Obra!A55="", (SUMIFS(Captura_Pegaso!$H:$H, Captura_Pegaso!$A:$A, Captura_Obra!A55, Captura_Pegaso!$D:$D, Captura_Obra!B55, Captura_Pegaso!$E:$E, Captura_Obra!D55) + SUMIFS(Captura_Marimba_M01!$G:$G, Captura_Marimba_M01!$A:$A, Captura_Obra!A55, Captura_Marimba_M01!$C:$C, Captura_Obra!B55, Captura_Marimba_M01!$D:$D, Captura_Obra!D55))&gt;0), "", "Huérfano Obra")</f>
        <v/>
      </c>
      <c r="B351" s="9991">
        <f>IF(OR(Captura_Obra!A55="", (SUMIFS(Captura_Pegaso!$H:$H, Captura_Pegaso!$A:$A, Captura_Obra!A55, Captura_Pegaso!$D:$D, Captura_Obra!B55, Captura_Pegaso!$E:$E, Captura_Obra!D55) + SUMIFS(Captura_Marimba_M01!$G:$G, Captura_Marimba_M01!$A:$A, Captura_Obra!A55, Captura_Marimba_M01!$C:$C, Captura_Obra!B55, Captura_Marimba_M01!$D:$D, Captura_Obra!D55))&gt;0), "", "No Reportado")</f>
        <v/>
      </c>
      <c r="C351" s="9992">
        <f>IF(OR(Captura_Obra!A55="", (SUMIFS(Captura_Pegaso!$H:$H, Captura_Pegaso!$A:$A, Captura_Obra!A55, Captura_Pegaso!$D:$D, Captura_Obra!B55, Captura_Pegaso!$E:$E, Captura_Obra!D55) + SUMIFS(Captura_Marimba_M01!$G:$G, Captura_Marimba_M01!$A:$A, Captura_Obra!A55, Captura_Marimba_M01!$C:$C, Captura_Obra!B55, Captura_Marimba_M01!$D:$D, Captura_Obra!D55))&gt;0), "", Captura_Obra!N55)</f>
        <v/>
      </c>
      <c r="D351" s="9993">
        <f>IF(OR(Captura_Obra!A55="", (SUMIFS(Captura_Pegaso!$H:$H, Captura_Pegaso!$A:$A, Captura_Obra!A55, Captura_Pegaso!$D:$D, Captura_Obra!B55, Captura_Pegaso!$E:$E, Captura_Obra!D55) + SUMIFS(Captura_Marimba_M01!$G:$G, Captura_Marimba_M01!$A:$A, Captura_Obra!A55, Captura_Marimba_M01!$C:$C, Captura_Obra!B55, Captura_Marimba_M01!$D:$D, Captura_Obra!D55))&gt;0), "", "❌ Falta en Pipa")</f>
        <v/>
      </c>
      <c r="E351" s="9994">
        <f>IF(OR(Captura_Obra!A55="", (SUMIFS(Captura_Pegaso!$H:$H, Captura_Pegaso!$A:$A, Captura_Obra!A55, Captura_Pegaso!$D:$D, Captura_Obra!B55, Captura_Pegaso!$E:$E, Captura_Obra!D55) + SUMIFS(Captura_Marimba_M01!$G:$G, Captura_Marimba_M01!$A:$A, Captura_Obra!A55, Captura_Marimba_M01!$C:$C, Captura_Obra!B55, Captura_Marimba_M01!$D:$D, Captura_Obra!D55))&gt;0), "", Captura_Obra!A55)</f>
        <v/>
      </c>
      <c r="F351" s="9995">
        <f>IF(OR(Captura_Obra!A55="", (SUMIFS(Captura_Pegaso!$H:$H, Captura_Pegaso!$A:$A, Captura_Obra!A55, Captura_Pegaso!$D:$D, Captura_Obra!B55, Captura_Pegaso!$E:$E, Captura_Obra!D55) + SUMIFS(Captura_Marimba_M01!$G:$G, Captura_Marimba_M01!$A:$A, Captura_Obra!A55, Captura_Marimba_M01!$C:$C, Captura_Obra!B55, Captura_Marimba_M01!$D:$D, Captura_Obra!D55))&gt;0), "", Captura_Obra!B55)</f>
        <v/>
      </c>
      <c r="G351" s="9996">
        <f>IF(OR(Captura_Obra!A55="", (SUMIFS(Captura_Pegaso!$H:$H, Captura_Pegaso!$A:$A, Captura_Obra!A55, Captura_Pegaso!$D:$D, Captura_Obra!B55, Captura_Pegaso!$E:$E, Captura_Obra!D55) + SUMIFS(Captura_Marimba_M01!$G:$G, Captura_Marimba_M01!$A:$A, Captura_Obra!A55, Captura_Marimba_M01!$C:$C, Captura_Obra!B55, Captura_Marimba_M01!$D:$D, Captura_Obra!D55))&gt;0), "", Captura_Obra!D55)</f>
        <v/>
      </c>
      <c r="H351" s="9997">
        <f>IF(OR(Captura_Obra!A55="", (SUMIFS(Captura_Pegaso!$H:$H, Captura_Pegaso!$A:$A, Captura_Obra!A55, Captura_Pegaso!$D:$D, Captura_Obra!B55, Captura_Pegaso!$E:$E, Captura_Obra!D55) + SUMIFS(Captura_Marimba_M01!$G:$G, Captura_Marimba_M01!$A:$A, Captura_Obra!A55, Captura_Marimba_M01!$C:$C, Captura_Obra!B55, Captura_Marimba_M01!$D:$D, Captura_Obra!D55))&gt;0), "", 0)</f>
        <v/>
      </c>
      <c r="I351" s="9998">
        <f>IF(OR(Captura_Obra!A55="", (SUMIFS(Captura_Pegaso!$H:$H, Captura_Pegaso!$A:$A, Captura_Obra!A55, Captura_Pegaso!$D:$D, Captura_Obra!B55, Captura_Pegaso!$E:$E, Captura_Obra!D55) + SUMIFS(Captura_Marimba_M01!$G:$G, Captura_Marimba_M01!$A:$A, Captura_Obra!A55, Captura_Marimba_M01!$C:$C, Captura_Obra!B55, Captura_Marimba_M01!$D:$D, Captura_Obra!D55))&gt;0), "", Captura_Obra!F55)</f>
        <v/>
      </c>
      <c r="J351" s="9999">
        <f>IF(OR(Captura_Obra!A55="", (SUMIFS(Captura_Pegaso!$H:$H, Captura_Pegaso!$A:$A, Captura_Obra!A55, Captura_Pegaso!$D:$D, Captura_Obra!B55, Captura_Pegaso!$E:$E, Captura_Obra!D55) + SUMIFS(Captura_Marimba_M01!$G:$G, Captura_Marimba_M01!$A:$A, Captura_Obra!A55, Captura_Marimba_M01!$C:$C, Captura_Obra!B55, Captura_Marimba_M01!$D:$D, Captura_Obra!D55))&gt;0), "", H351 - I351)</f>
        <v/>
      </c>
      <c r="K351" s="4160" t="n"/>
    </row>
    <row r="352">
      <c r="A352" s="10000">
        <f>IF(OR(Captura_Obra!A56="", (SUMIFS(Captura_Pegaso!$H:$H, Captura_Pegaso!$A:$A, Captura_Obra!A56, Captura_Pegaso!$D:$D, Captura_Obra!B56, Captura_Pegaso!$E:$E, Captura_Obra!D56) + SUMIFS(Captura_Marimba_M01!$G:$G, Captura_Marimba_M01!$A:$A, Captura_Obra!A56, Captura_Marimba_M01!$C:$C, Captura_Obra!B56, Captura_Marimba_M01!$D:$D, Captura_Obra!D56))&gt;0), "", "Huérfano Obra")</f>
        <v/>
      </c>
      <c r="B352" s="10001">
        <f>IF(OR(Captura_Obra!A56="", (SUMIFS(Captura_Pegaso!$H:$H, Captura_Pegaso!$A:$A, Captura_Obra!A56, Captura_Pegaso!$D:$D, Captura_Obra!B56, Captura_Pegaso!$E:$E, Captura_Obra!D56) + SUMIFS(Captura_Marimba_M01!$G:$G, Captura_Marimba_M01!$A:$A, Captura_Obra!A56, Captura_Marimba_M01!$C:$C, Captura_Obra!B56, Captura_Marimba_M01!$D:$D, Captura_Obra!D56))&gt;0), "", "No Reportado")</f>
        <v/>
      </c>
      <c r="C352" s="10002">
        <f>IF(OR(Captura_Obra!A56="", (SUMIFS(Captura_Pegaso!$H:$H, Captura_Pegaso!$A:$A, Captura_Obra!A56, Captura_Pegaso!$D:$D, Captura_Obra!B56, Captura_Pegaso!$E:$E, Captura_Obra!D56) + SUMIFS(Captura_Marimba_M01!$G:$G, Captura_Marimba_M01!$A:$A, Captura_Obra!A56, Captura_Marimba_M01!$C:$C, Captura_Obra!B56, Captura_Marimba_M01!$D:$D, Captura_Obra!D56))&gt;0), "", Captura_Obra!N56)</f>
        <v/>
      </c>
      <c r="D352" s="10003">
        <f>IF(OR(Captura_Obra!A56="", (SUMIFS(Captura_Pegaso!$H:$H, Captura_Pegaso!$A:$A, Captura_Obra!A56, Captura_Pegaso!$D:$D, Captura_Obra!B56, Captura_Pegaso!$E:$E, Captura_Obra!D56) + SUMIFS(Captura_Marimba_M01!$G:$G, Captura_Marimba_M01!$A:$A, Captura_Obra!A56, Captura_Marimba_M01!$C:$C, Captura_Obra!B56, Captura_Marimba_M01!$D:$D, Captura_Obra!D56))&gt;0), "", "❌ Falta en Pipa")</f>
        <v/>
      </c>
      <c r="E352" s="10004">
        <f>IF(OR(Captura_Obra!A56="", (SUMIFS(Captura_Pegaso!$H:$H, Captura_Pegaso!$A:$A, Captura_Obra!A56, Captura_Pegaso!$D:$D, Captura_Obra!B56, Captura_Pegaso!$E:$E, Captura_Obra!D56) + SUMIFS(Captura_Marimba_M01!$G:$G, Captura_Marimba_M01!$A:$A, Captura_Obra!A56, Captura_Marimba_M01!$C:$C, Captura_Obra!B56, Captura_Marimba_M01!$D:$D, Captura_Obra!D56))&gt;0), "", Captura_Obra!A56)</f>
        <v/>
      </c>
      <c r="F352" s="10005">
        <f>IF(OR(Captura_Obra!A56="", (SUMIFS(Captura_Pegaso!$H:$H, Captura_Pegaso!$A:$A, Captura_Obra!A56, Captura_Pegaso!$D:$D, Captura_Obra!B56, Captura_Pegaso!$E:$E, Captura_Obra!D56) + SUMIFS(Captura_Marimba_M01!$G:$G, Captura_Marimba_M01!$A:$A, Captura_Obra!A56, Captura_Marimba_M01!$C:$C, Captura_Obra!B56, Captura_Marimba_M01!$D:$D, Captura_Obra!D56))&gt;0), "", Captura_Obra!B56)</f>
        <v/>
      </c>
      <c r="G352" s="10006">
        <f>IF(OR(Captura_Obra!A56="", (SUMIFS(Captura_Pegaso!$H:$H, Captura_Pegaso!$A:$A, Captura_Obra!A56, Captura_Pegaso!$D:$D, Captura_Obra!B56, Captura_Pegaso!$E:$E, Captura_Obra!D56) + SUMIFS(Captura_Marimba_M01!$G:$G, Captura_Marimba_M01!$A:$A, Captura_Obra!A56, Captura_Marimba_M01!$C:$C, Captura_Obra!B56, Captura_Marimba_M01!$D:$D, Captura_Obra!D56))&gt;0), "", Captura_Obra!D56)</f>
        <v/>
      </c>
      <c r="H352" s="10007">
        <f>IF(OR(Captura_Obra!A56="", (SUMIFS(Captura_Pegaso!$H:$H, Captura_Pegaso!$A:$A, Captura_Obra!A56, Captura_Pegaso!$D:$D, Captura_Obra!B56, Captura_Pegaso!$E:$E, Captura_Obra!D56) + SUMIFS(Captura_Marimba_M01!$G:$G, Captura_Marimba_M01!$A:$A, Captura_Obra!A56, Captura_Marimba_M01!$C:$C, Captura_Obra!B56, Captura_Marimba_M01!$D:$D, Captura_Obra!D56))&gt;0), "", 0)</f>
        <v/>
      </c>
      <c r="I352" s="10008">
        <f>IF(OR(Captura_Obra!A56="", (SUMIFS(Captura_Pegaso!$H:$H, Captura_Pegaso!$A:$A, Captura_Obra!A56, Captura_Pegaso!$D:$D, Captura_Obra!B56, Captura_Pegaso!$E:$E, Captura_Obra!D56) + SUMIFS(Captura_Marimba_M01!$G:$G, Captura_Marimba_M01!$A:$A, Captura_Obra!A56, Captura_Marimba_M01!$C:$C, Captura_Obra!B56, Captura_Marimba_M01!$D:$D, Captura_Obra!D56))&gt;0), "", Captura_Obra!F56)</f>
        <v/>
      </c>
      <c r="J352" s="10009">
        <f>IF(OR(Captura_Obra!A56="", (SUMIFS(Captura_Pegaso!$H:$H, Captura_Pegaso!$A:$A, Captura_Obra!A56, Captura_Pegaso!$D:$D, Captura_Obra!B56, Captura_Pegaso!$E:$E, Captura_Obra!D56) + SUMIFS(Captura_Marimba_M01!$G:$G, Captura_Marimba_M01!$A:$A, Captura_Obra!A56, Captura_Marimba_M01!$C:$C, Captura_Obra!B56, Captura_Marimba_M01!$D:$D, Captura_Obra!D56))&gt;0), "", H352 - I352)</f>
        <v/>
      </c>
      <c r="K352" s="4161" t="n"/>
    </row>
    <row r="353">
      <c r="A353" s="10010">
        <f>IF(OR(Captura_Obra!A57="", (SUMIFS(Captura_Pegaso!$H:$H, Captura_Pegaso!$A:$A, Captura_Obra!A57, Captura_Pegaso!$D:$D, Captura_Obra!B57, Captura_Pegaso!$E:$E, Captura_Obra!D57) + SUMIFS(Captura_Marimba_M01!$G:$G, Captura_Marimba_M01!$A:$A, Captura_Obra!A57, Captura_Marimba_M01!$C:$C, Captura_Obra!B57, Captura_Marimba_M01!$D:$D, Captura_Obra!D57))&gt;0), "", "Huérfano Obra")</f>
        <v/>
      </c>
      <c r="B353" s="10011">
        <f>IF(OR(Captura_Obra!A57="", (SUMIFS(Captura_Pegaso!$H:$H, Captura_Pegaso!$A:$A, Captura_Obra!A57, Captura_Pegaso!$D:$D, Captura_Obra!B57, Captura_Pegaso!$E:$E, Captura_Obra!D57) + SUMIFS(Captura_Marimba_M01!$G:$G, Captura_Marimba_M01!$A:$A, Captura_Obra!A57, Captura_Marimba_M01!$C:$C, Captura_Obra!B57, Captura_Marimba_M01!$D:$D, Captura_Obra!D57))&gt;0), "", "No Reportado")</f>
        <v/>
      </c>
      <c r="C353" s="10012">
        <f>IF(OR(Captura_Obra!A57="", (SUMIFS(Captura_Pegaso!$H:$H, Captura_Pegaso!$A:$A, Captura_Obra!A57, Captura_Pegaso!$D:$D, Captura_Obra!B57, Captura_Pegaso!$E:$E, Captura_Obra!D57) + SUMIFS(Captura_Marimba_M01!$G:$G, Captura_Marimba_M01!$A:$A, Captura_Obra!A57, Captura_Marimba_M01!$C:$C, Captura_Obra!B57, Captura_Marimba_M01!$D:$D, Captura_Obra!D57))&gt;0), "", Captura_Obra!N57)</f>
        <v/>
      </c>
      <c r="D353" s="10013">
        <f>IF(OR(Captura_Obra!A57="", (SUMIFS(Captura_Pegaso!$H:$H, Captura_Pegaso!$A:$A, Captura_Obra!A57, Captura_Pegaso!$D:$D, Captura_Obra!B57, Captura_Pegaso!$E:$E, Captura_Obra!D57) + SUMIFS(Captura_Marimba_M01!$G:$G, Captura_Marimba_M01!$A:$A, Captura_Obra!A57, Captura_Marimba_M01!$C:$C, Captura_Obra!B57, Captura_Marimba_M01!$D:$D, Captura_Obra!D57))&gt;0), "", "❌ Falta en Pipa")</f>
        <v/>
      </c>
      <c r="E353" s="10014">
        <f>IF(OR(Captura_Obra!A57="", (SUMIFS(Captura_Pegaso!$H:$H, Captura_Pegaso!$A:$A, Captura_Obra!A57, Captura_Pegaso!$D:$D, Captura_Obra!B57, Captura_Pegaso!$E:$E, Captura_Obra!D57) + SUMIFS(Captura_Marimba_M01!$G:$G, Captura_Marimba_M01!$A:$A, Captura_Obra!A57, Captura_Marimba_M01!$C:$C, Captura_Obra!B57, Captura_Marimba_M01!$D:$D, Captura_Obra!D57))&gt;0), "", Captura_Obra!A57)</f>
        <v/>
      </c>
      <c r="F353" s="10015">
        <f>IF(OR(Captura_Obra!A57="", (SUMIFS(Captura_Pegaso!$H:$H, Captura_Pegaso!$A:$A, Captura_Obra!A57, Captura_Pegaso!$D:$D, Captura_Obra!B57, Captura_Pegaso!$E:$E, Captura_Obra!D57) + SUMIFS(Captura_Marimba_M01!$G:$G, Captura_Marimba_M01!$A:$A, Captura_Obra!A57, Captura_Marimba_M01!$C:$C, Captura_Obra!B57, Captura_Marimba_M01!$D:$D, Captura_Obra!D57))&gt;0), "", Captura_Obra!B57)</f>
        <v/>
      </c>
      <c r="G353" s="10016">
        <f>IF(OR(Captura_Obra!A57="", (SUMIFS(Captura_Pegaso!$H:$H, Captura_Pegaso!$A:$A, Captura_Obra!A57, Captura_Pegaso!$D:$D, Captura_Obra!B57, Captura_Pegaso!$E:$E, Captura_Obra!D57) + SUMIFS(Captura_Marimba_M01!$G:$G, Captura_Marimba_M01!$A:$A, Captura_Obra!A57, Captura_Marimba_M01!$C:$C, Captura_Obra!B57, Captura_Marimba_M01!$D:$D, Captura_Obra!D57))&gt;0), "", Captura_Obra!D57)</f>
        <v/>
      </c>
      <c r="H353" s="10017">
        <f>IF(OR(Captura_Obra!A57="", (SUMIFS(Captura_Pegaso!$H:$H, Captura_Pegaso!$A:$A, Captura_Obra!A57, Captura_Pegaso!$D:$D, Captura_Obra!B57, Captura_Pegaso!$E:$E, Captura_Obra!D57) + SUMIFS(Captura_Marimba_M01!$G:$G, Captura_Marimba_M01!$A:$A, Captura_Obra!A57, Captura_Marimba_M01!$C:$C, Captura_Obra!B57, Captura_Marimba_M01!$D:$D, Captura_Obra!D57))&gt;0), "", 0)</f>
        <v/>
      </c>
      <c r="I353" s="10018">
        <f>IF(OR(Captura_Obra!A57="", (SUMIFS(Captura_Pegaso!$H:$H, Captura_Pegaso!$A:$A, Captura_Obra!A57, Captura_Pegaso!$D:$D, Captura_Obra!B57, Captura_Pegaso!$E:$E, Captura_Obra!D57) + SUMIFS(Captura_Marimba_M01!$G:$G, Captura_Marimba_M01!$A:$A, Captura_Obra!A57, Captura_Marimba_M01!$C:$C, Captura_Obra!B57, Captura_Marimba_M01!$D:$D, Captura_Obra!D57))&gt;0), "", Captura_Obra!F57)</f>
        <v/>
      </c>
      <c r="J353" s="10019">
        <f>IF(OR(Captura_Obra!A57="", (SUMIFS(Captura_Pegaso!$H:$H, Captura_Pegaso!$A:$A, Captura_Obra!A57, Captura_Pegaso!$D:$D, Captura_Obra!B57, Captura_Pegaso!$E:$E, Captura_Obra!D57) + SUMIFS(Captura_Marimba_M01!$G:$G, Captura_Marimba_M01!$A:$A, Captura_Obra!A57, Captura_Marimba_M01!$C:$C, Captura_Obra!B57, Captura_Marimba_M01!$D:$D, Captura_Obra!D57))&gt;0), "", H353 - I353)</f>
        <v/>
      </c>
      <c r="K353" s="4162" t="n"/>
    </row>
    <row r="354">
      <c r="A354" s="10020">
        <f>IF(OR(Captura_Obra!A58="", (SUMIFS(Captura_Pegaso!$H:$H, Captura_Pegaso!$A:$A, Captura_Obra!A58, Captura_Pegaso!$D:$D, Captura_Obra!B58, Captura_Pegaso!$E:$E, Captura_Obra!D58) + SUMIFS(Captura_Marimba_M01!$G:$G, Captura_Marimba_M01!$A:$A, Captura_Obra!A58, Captura_Marimba_M01!$C:$C, Captura_Obra!B58, Captura_Marimba_M01!$D:$D, Captura_Obra!D58))&gt;0), "", "Huérfano Obra")</f>
        <v/>
      </c>
      <c r="B354" s="10021">
        <f>IF(OR(Captura_Obra!A58="", (SUMIFS(Captura_Pegaso!$H:$H, Captura_Pegaso!$A:$A, Captura_Obra!A58, Captura_Pegaso!$D:$D, Captura_Obra!B58, Captura_Pegaso!$E:$E, Captura_Obra!D58) + SUMIFS(Captura_Marimba_M01!$G:$G, Captura_Marimba_M01!$A:$A, Captura_Obra!A58, Captura_Marimba_M01!$C:$C, Captura_Obra!B58, Captura_Marimba_M01!$D:$D, Captura_Obra!D58))&gt;0), "", "No Reportado")</f>
        <v/>
      </c>
      <c r="C354" s="10022">
        <f>IF(OR(Captura_Obra!A58="", (SUMIFS(Captura_Pegaso!$H:$H, Captura_Pegaso!$A:$A, Captura_Obra!A58, Captura_Pegaso!$D:$D, Captura_Obra!B58, Captura_Pegaso!$E:$E, Captura_Obra!D58) + SUMIFS(Captura_Marimba_M01!$G:$G, Captura_Marimba_M01!$A:$A, Captura_Obra!A58, Captura_Marimba_M01!$C:$C, Captura_Obra!B58, Captura_Marimba_M01!$D:$D, Captura_Obra!D58))&gt;0), "", Captura_Obra!N58)</f>
        <v/>
      </c>
      <c r="D354" s="10023">
        <f>IF(OR(Captura_Obra!A58="", (SUMIFS(Captura_Pegaso!$H:$H, Captura_Pegaso!$A:$A, Captura_Obra!A58, Captura_Pegaso!$D:$D, Captura_Obra!B58, Captura_Pegaso!$E:$E, Captura_Obra!D58) + SUMIFS(Captura_Marimba_M01!$G:$G, Captura_Marimba_M01!$A:$A, Captura_Obra!A58, Captura_Marimba_M01!$C:$C, Captura_Obra!B58, Captura_Marimba_M01!$D:$D, Captura_Obra!D58))&gt;0), "", "❌ Falta en Pipa")</f>
        <v/>
      </c>
      <c r="E354" s="10024">
        <f>IF(OR(Captura_Obra!A58="", (SUMIFS(Captura_Pegaso!$H:$H, Captura_Pegaso!$A:$A, Captura_Obra!A58, Captura_Pegaso!$D:$D, Captura_Obra!B58, Captura_Pegaso!$E:$E, Captura_Obra!D58) + SUMIFS(Captura_Marimba_M01!$G:$G, Captura_Marimba_M01!$A:$A, Captura_Obra!A58, Captura_Marimba_M01!$C:$C, Captura_Obra!B58, Captura_Marimba_M01!$D:$D, Captura_Obra!D58))&gt;0), "", Captura_Obra!A58)</f>
        <v/>
      </c>
      <c r="F354" s="10025">
        <f>IF(OR(Captura_Obra!A58="", (SUMIFS(Captura_Pegaso!$H:$H, Captura_Pegaso!$A:$A, Captura_Obra!A58, Captura_Pegaso!$D:$D, Captura_Obra!B58, Captura_Pegaso!$E:$E, Captura_Obra!D58) + SUMIFS(Captura_Marimba_M01!$G:$G, Captura_Marimba_M01!$A:$A, Captura_Obra!A58, Captura_Marimba_M01!$C:$C, Captura_Obra!B58, Captura_Marimba_M01!$D:$D, Captura_Obra!D58))&gt;0), "", Captura_Obra!B58)</f>
        <v/>
      </c>
      <c r="G354" s="10026">
        <f>IF(OR(Captura_Obra!A58="", (SUMIFS(Captura_Pegaso!$H:$H, Captura_Pegaso!$A:$A, Captura_Obra!A58, Captura_Pegaso!$D:$D, Captura_Obra!B58, Captura_Pegaso!$E:$E, Captura_Obra!D58) + SUMIFS(Captura_Marimba_M01!$G:$G, Captura_Marimba_M01!$A:$A, Captura_Obra!A58, Captura_Marimba_M01!$C:$C, Captura_Obra!B58, Captura_Marimba_M01!$D:$D, Captura_Obra!D58))&gt;0), "", Captura_Obra!D58)</f>
        <v/>
      </c>
      <c r="H354" s="10027">
        <f>IF(OR(Captura_Obra!A58="", (SUMIFS(Captura_Pegaso!$H:$H, Captura_Pegaso!$A:$A, Captura_Obra!A58, Captura_Pegaso!$D:$D, Captura_Obra!B58, Captura_Pegaso!$E:$E, Captura_Obra!D58) + SUMIFS(Captura_Marimba_M01!$G:$G, Captura_Marimba_M01!$A:$A, Captura_Obra!A58, Captura_Marimba_M01!$C:$C, Captura_Obra!B58, Captura_Marimba_M01!$D:$D, Captura_Obra!D58))&gt;0), "", 0)</f>
        <v/>
      </c>
      <c r="I354" s="10028">
        <f>IF(OR(Captura_Obra!A58="", (SUMIFS(Captura_Pegaso!$H:$H, Captura_Pegaso!$A:$A, Captura_Obra!A58, Captura_Pegaso!$D:$D, Captura_Obra!B58, Captura_Pegaso!$E:$E, Captura_Obra!D58) + SUMIFS(Captura_Marimba_M01!$G:$G, Captura_Marimba_M01!$A:$A, Captura_Obra!A58, Captura_Marimba_M01!$C:$C, Captura_Obra!B58, Captura_Marimba_M01!$D:$D, Captura_Obra!D58))&gt;0), "", Captura_Obra!F58)</f>
        <v/>
      </c>
      <c r="J354" s="10029">
        <f>IF(OR(Captura_Obra!A58="", (SUMIFS(Captura_Pegaso!$H:$H, Captura_Pegaso!$A:$A, Captura_Obra!A58, Captura_Pegaso!$D:$D, Captura_Obra!B58, Captura_Pegaso!$E:$E, Captura_Obra!D58) + SUMIFS(Captura_Marimba_M01!$G:$G, Captura_Marimba_M01!$A:$A, Captura_Obra!A58, Captura_Marimba_M01!$C:$C, Captura_Obra!B58, Captura_Marimba_M01!$D:$D, Captura_Obra!D58))&gt;0), "", H354 - I354)</f>
        <v/>
      </c>
      <c r="K354" s="4163" t="n"/>
    </row>
    <row r="355">
      <c r="A355" s="10030">
        <f>IF(OR(Captura_Obra!A59="", (SUMIFS(Captura_Pegaso!$H:$H, Captura_Pegaso!$A:$A, Captura_Obra!A59, Captura_Pegaso!$D:$D, Captura_Obra!B59, Captura_Pegaso!$E:$E, Captura_Obra!D59) + SUMIFS(Captura_Marimba_M01!$G:$G, Captura_Marimba_M01!$A:$A, Captura_Obra!A59, Captura_Marimba_M01!$C:$C, Captura_Obra!B59, Captura_Marimba_M01!$D:$D, Captura_Obra!D59))&gt;0), "", "Huérfano Obra")</f>
        <v/>
      </c>
      <c r="B355" s="10031">
        <f>IF(OR(Captura_Obra!A59="", (SUMIFS(Captura_Pegaso!$H:$H, Captura_Pegaso!$A:$A, Captura_Obra!A59, Captura_Pegaso!$D:$D, Captura_Obra!B59, Captura_Pegaso!$E:$E, Captura_Obra!D59) + SUMIFS(Captura_Marimba_M01!$G:$G, Captura_Marimba_M01!$A:$A, Captura_Obra!A59, Captura_Marimba_M01!$C:$C, Captura_Obra!B59, Captura_Marimba_M01!$D:$D, Captura_Obra!D59))&gt;0), "", "No Reportado")</f>
        <v/>
      </c>
      <c r="C355" s="10032">
        <f>IF(OR(Captura_Obra!A59="", (SUMIFS(Captura_Pegaso!$H:$H, Captura_Pegaso!$A:$A, Captura_Obra!A59, Captura_Pegaso!$D:$D, Captura_Obra!B59, Captura_Pegaso!$E:$E, Captura_Obra!D59) + SUMIFS(Captura_Marimba_M01!$G:$G, Captura_Marimba_M01!$A:$A, Captura_Obra!A59, Captura_Marimba_M01!$C:$C, Captura_Obra!B59, Captura_Marimba_M01!$D:$D, Captura_Obra!D59))&gt;0), "", Captura_Obra!N59)</f>
        <v/>
      </c>
      <c r="D355" s="10033">
        <f>IF(OR(Captura_Obra!A59="", (SUMIFS(Captura_Pegaso!$H:$H, Captura_Pegaso!$A:$A, Captura_Obra!A59, Captura_Pegaso!$D:$D, Captura_Obra!B59, Captura_Pegaso!$E:$E, Captura_Obra!D59) + SUMIFS(Captura_Marimba_M01!$G:$G, Captura_Marimba_M01!$A:$A, Captura_Obra!A59, Captura_Marimba_M01!$C:$C, Captura_Obra!B59, Captura_Marimba_M01!$D:$D, Captura_Obra!D59))&gt;0), "", "❌ Falta en Pipa")</f>
        <v/>
      </c>
      <c r="E355" s="10034">
        <f>IF(OR(Captura_Obra!A59="", (SUMIFS(Captura_Pegaso!$H:$H, Captura_Pegaso!$A:$A, Captura_Obra!A59, Captura_Pegaso!$D:$D, Captura_Obra!B59, Captura_Pegaso!$E:$E, Captura_Obra!D59) + SUMIFS(Captura_Marimba_M01!$G:$G, Captura_Marimba_M01!$A:$A, Captura_Obra!A59, Captura_Marimba_M01!$C:$C, Captura_Obra!B59, Captura_Marimba_M01!$D:$D, Captura_Obra!D59))&gt;0), "", Captura_Obra!A59)</f>
        <v/>
      </c>
      <c r="F355" s="10035">
        <f>IF(OR(Captura_Obra!A59="", (SUMIFS(Captura_Pegaso!$H:$H, Captura_Pegaso!$A:$A, Captura_Obra!A59, Captura_Pegaso!$D:$D, Captura_Obra!B59, Captura_Pegaso!$E:$E, Captura_Obra!D59) + SUMIFS(Captura_Marimba_M01!$G:$G, Captura_Marimba_M01!$A:$A, Captura_Obra!A59, Captura_Marimba_M01!$C:$C, Captura_Obra!B59, Captura_Marimba_M01!$D:$D, Captura_Obra!D59))&gt;0), "", Captura_Obra!B59)</f>
        <v/>
      </c>
      <c r="G355" s="10036">
        <f>IF(OR(Captura_Obra!A59="", (SUMIFS(Captura_Pegaso!$H:$H, Captura_Pegaso!$A:$A, Captura_Obra!A59, Captura_Pegaso!$D:$D, Captura_Obra!B59, Captura_Pegaso!$E:$E, Captura_Obra!D59) + SUMIFS(Captura_Marimba_M01!$G:$G, Captura_Marimba_M01!$A:$A, Captura_Obra!A59, Captura_Marimba_M01!$C:$C, Captura_Obra!B59, Captura_Marimba_M01!$D:$D, Captura_Obra!D59))&gt;0), "", Captura_Obra!D59)</f>
        <v/>
      </c>
      <c r="H355" s="10037">
        <f>IF(OR(Captura_Obra!A59="", (SUMIFS(Captura_Pegaso!$H:$H, Captura_Pegaso!$A:$A, Captura_Obra!A59, Captura_Pegaso!$D:$D, Captura_Obra!B59, Captura_Pegaso!$E:$E, Captura_Obra!D59) + SUMIFS(Captura_Marimba_M01!$G:$G, Captura_Marimba_M01!$A:$A, Captura_Obra!A59, Captura_Marimba_M01!$C:$C, Captura_Obra!B59, Captura_Marimba_M01!$D:$D, Captura_Obra!D59))&gt;0), "", 0)</f>
        <v/>
      </c>
      <c r="I355" s="10038">
        <f>IF(OR(Captura_Obra!A59="", (SUMIFS(Captura_Pegaso!$H:$H, Captura_Pegaso!$A:$A, Captura_Obra!A59, Captura_Pegaso!$D:$D, Captura_Obra!B59, Captura_Pegaso!$E:$E, Captura_Obra!D59) + SUMIFS(Captura_Marimba_M01!$G:$G, Captura_Marimba_M01!$A:$A, Captura_Obra!A59, Captura_Marimba_M01!$C:$C, Captura_Obra!B59, Captura_Marimba_M01!$D:$D, Captura_Obra!D59))&gt;0), "", Captura_Obra!F59)</f>
        <v/>
      </c>
      <c r="J355" s="10039">
        <f>IF(OR(Captura_Obra!A59="", (SUMIFS(Captura_Pegaso!$H:$H, Captura_Pegaso!$A:$A, Captura_Obra!A59, Captura_Pegaso!$D:$D, Captura_Obra!B59, Captura_Pegaso!$E:$E, Captura_Obra!D59) + SUMIFS(Captura_Marimba_M01!$G:$G, Captura_Marimba_M01!$A:$A, Captura_Obra!A59, Captura_Marimba_M01!$C:$C, Captura_Obra!B59, Captura_Marimba_M01!$D:$D, Captura_Obra!D59))&gt;0), "", H355 - I355)</f>
        <v/>
      </c>
      <c r="K355" s="4164" t="n"/>
    </row>
    <row r="356">
      <c r="A356" s="10040">
        <f>IF(OR(Captura_Obra!A60="", (SUMIFS(Captura_Pegaso!$H:$H, Captura_Pegaso!$A:$A, Captura_Obra!A60, Captura_Pegaso!$D:$D, Captura_Obra!B60, Captura_Pegaso!$E:$E, Captura_Obra!D60) + SUMIFS(Captura_Marimba_M01!$G:$G, Captura_Marimba_M01!$A:$A, Captura_Obra!A60, Captura_Marimba_M01!$C:$C, Captura_Obra!B60, Captura_Marimba_M01!$D:$D, Captura_Obra!D60))&gt;0), "", "Huérfano Obra")</f>
        <v/>
      </c>
      <c r="B356" s="10041">
        <f>IF(OR(Captura_Obra!A60="", (SUMIFS(Captura_Pegaso!$H:$H, Captura_Pegaso!$A:$A, Captura_Obra!A60, Captura_Pegaso!$D:$D, Captura_Obra!B60, Captura_Pegaso!$E:$E, Captura_Obra!D60) + SUMIFS(Captura_Marimba_M01!$G:$G, Captura_Marimba_M01!$A:$A, Captura_Obra!A60, Captura_Marimba_M01!$C:$C, Captura_Obra!B60, Captura_Marimba_M01!$D:$D, Captura_Obra!D60))&gt;0), "", "No Reportado")</f>
        <v/>
      </c>
      <c r="C356" s="10042">
        <f>IF(OR(Captura_Obra!A60="", (SUMIFS(Captura_Pegaso!$H:$H, Captura_Pegaso!$A:$A, Captura_Obra!A60, Captura_Pegaso!$D:$D, Captura_Obra!B60, Captura_Pegaso!$E:$E, Captura_Obra!D60) + SUMIFS(Captura_Marimba_M01!$G:$G, Captura_Marimba_M01!$A:$A, Captura_Obra!A60, Captura_Marimba_M01!$C:$C, Captura_Obra!B60, Captura_Marimba_M01!$D:$D, Captura_Obra!D60))&gt;0), "", Captura_Obra!N60)</f>
        <v/>
      </c>
      <c r="D356" s="10043">
        <f>IF(OR(Captura_Obra!A60="", (SUMIFS(Captura_Pegaso!$H:$H, Captura_Pegaso!$A:$A, Captura_Obra!A60, Captura_Pegaso!$D:$D, Captura_Obra!B60, Captura_Pegaso!$E:$E, Captura_Obra!D60) + SUMIFS(Captura_Marimba_M01!$G:$G, Captura_Marimba_M01!$A:$A, Captura_Obra!A60, Captura_Marimba_M01!$C:$C, Captura_Obra!B60, Captura_Marimba_M01!$D:$D, Captura_Obra!D60))&gt;0), "", "❌ Falta en Pipa")</f>
        <v/>
      </c>
      <c r="E356" s="10044">
        <f>IF(OR(Captura_Obra!A60="", (SUMIFS(Captura_Pegaso!$H:$H, Captura_Pegaso!$A:$A, Captura_Obra!A60, Captura_Pegaso!$D:$D, Captura_Obra!B60, Captura_Pegaso!$E:$E, Captura_Obra!D60) + SUMIFS(Captura_Marimba_M01!$G:$G, Captura_Marimba_M01!$A:$A, Captura_Obra!A60, Captura_Marimba_M01!$C:$C, Captura_Obra!B60, Captura_Marimba_M01!$D:$D, Captura_Obra!D60))&gt;0), "", Captura_Obra!A60)</f>
        <v/>
      </c>
      <c r="F356" s="10045">
        <f>IF(OR(Captura_Obra!A60="", (SUMIFS(Captura_Pegaso!$H:$H, Captura_Pegaso!$A:$A, Captura_Obra!A60, Captura_Pegaso!$D:$D, Captura_Obra!B60, Captura_Pegaso!$E:$E, Captura_Obra!D60) + SUMIFS(Captura_Marimba_M01!$G:$G, Captura_Marimba_M01!$A:$A, Captura_Obra!A60, Captura_Marimba_M01!$C:$C, Captura_Obra!B60, Captura_Marimba_M01!$D:$D, Captura_Obra!D60))&gt;0), "", Captura_Obra!B60)</f>
        <v/>
      </c>
      <c r="G356" s="10046">
        <f>IF(OR(Captura_Obra!A60="", (SUMIFS(Captura_Pegaso!$H:$H, Captura_Pegaso!$A:$A, Captura_Obra!A60, Captura_Pegaso!$D:$D, Captura_Obra!B60, Captura_Pegaso!$E:$E, Captura_Obra!D60) + SUMIFS(Captura_Marimba_M01!$G:$G, Captura_Marimba_M01!$A:$A, Captura_Obra!A60, Captura_Marimba_M01!$C:$C, Captura_Obra!B60, Captura_Marimba_M01!$D:$D, Captura_Obra!D60))&gt;0), "", Captura_Obra!D60)</f>
        <v/>
      </c>
      <c r="H356" s="10047">
        <f>IF(OR(Captura_Obra!A60="", (SUMIFS(Captura_Pegaso!$H:$H, Captura_Pegaso!$A:$A, Captura_Obra!A60, Captura_Pegaso!$D:$D, Captura_Obra!B60, Captura_Pegaso!$E:$E, Captura_Obra!D60) + SUMIFS(Captura_Marimba_M01!$G:$G, Captura_Marimba_M01!$A:$A, Captura_Obra!A60, Captura_Marimba_M01!$C:$C, Captura_Obra!B60, Captura_Marimba_M01!$D:$D, Captura_Obra!D60))&gt;0), "", 0)</f>
        <v/>
      </c>
      <c r="I356" s="10048">
        <f>IF(OR(Captura_Obra!A60="", (SUMIFS(Captura_Pegaso!$H:$H, Captura_Pegaso!$A:$A, Captura_Obra!A60, Captura_Pegaso!$D:$D, Captura_Obra!B60, Captura_Pegaso!$E:$E, Captura_Obra!D60) + SUMIFS(Captura_Marimba_M01!$G:$G, Captura_Marimba_M01!$A:$A, Captura_Obra!A60, Captura_Marimba_M01!$C:$C, Captura_Obra!B60, Captura_Marimba_M01!$D:$D, Captura_Obra!D60))&gt;0), "", Captura_Obra!F60)</f>
        <v/>
      </c>
      <c r="J356" s="10049">
        <f>IF(OR(Captura_Obra!A60="", (SUMIFS(Captura_Pegaso!$H:$H, Captura_Pegaso!$A:$A, Captura_Obra!A60, Captura_Pegaso!$D:$D, Captura_Obra!B60, Captura_Pegaso!$E:$E, Captura_Obra!D60) + SUMIFS(Captura_Marimba_M01!$G:$G, Captura_Marimba_M01!$A:$A, Captura_Obra!A60, Captura_Marimba_M01!$C:$C, Captura_Obra!B60, Captura_Marimba_M01!$D:$D, Captura_Obra!D60))&gt;0), "", H356 - I356)</f>
        <v/>
      </c>
      <c r="K356" s="4165" t="n"/>
    </row>
    <row r="357">
      <c r="A357" s="10050">
        <f>IF(OR(Captura_Obra!A61="", (SUMIFS(Captura_Pegaso!$H:$H, Captura_Pegaso!$A:$A, Captura_Obra!A61, Captura_Pegaso!$D:$D, Captura_Obra!B61, Captura_Pegaso!$E:$E, Captura_Obra!D61) + SUMIFS(Captura_Marimba_M01!$G:$G, Captura_Marimba_M01!$A:$A, Captura_Obra!A61, Captura_Marimba_M01!$C:$C, Captura_Obra!B61, Captura_Marimba_M01!$D:$D, Captura_Obra!D61))&gt;0), "", "Huérfano Obra")</f>
        <v/>
      </c>
      <c r="B357" s="10051">
        <f>IF(OR(Captura_Obra!A61="", (SUMIFS(Captura_Pegaso!$H:$H, Captura_Pegaso!$A:$A, Captura_Obra!A61, Captura_Pegaso!$D:$D, Captura_Obra!B61, Captura_Pegaso!$E:$E, Captura_Obra!D61) + SUMIFS(Captura_Marimba_M01!$G:$G, Captura_Marimba_M01!$A:$A, Captura_Obra!A61, Captura_Marimba_M01!$C:$C, Captura_Obra!B61, Captura_Marimba_M01!$D:$D, Captura_Obra!D61))&gt;0), "", "No Reportado")</f>
        <v/>
      </c>
      <c r="C357" s="10052">
        <f>IF(OR(Captura_Obra!A61="", (SUMIFS(Captura_Pegaso!$H:$H, Captura_Pegaso!$A:$A, Captura_Obra!A61, Captura_Pegaso!$D:$D, Captura_Obra!B61, Captura_Pegaso!$E:$E, Captura_Obra!D61) + SUMIFS(Captura_Marimba_M01!$G:$G, Captura_Marimba_M01!$A:$A, Captura_Obra!A61, Captura_Marimba_M01!$C:$C, Captura_Obra!B61, Captura_Marimba_M01!$D:$D, Captura_Obra!D61))&gt;0), "", Captura_Obra!N61)</f>
        <v/>
      </c>
      <c r="D357" s="10053">
        <f>IF(OR(Captura_Obra!A61="", (SUMIFS(Captura_Pegaso!$H:$H, Captura_Pegaso!$A:$A, Captura_Obra!A61, Captura_Pegaso!$D:$D, Captura_Obra!B61, Captura_Pegaso!$E:$E, Captura_Obra!D61) + SUMIFS(Captura_Marimba_M01!$G:$G, Captura_Marimba_M01!$A:$A, Captura_Obra!A61, Captura_Marimba_M01!$C:$C, Captura_Obra!B61, Captura_Marimba_M01!$D:$D, Captura_Obra!D61))&gt;0), "", "❌ Falta en Pipa")</f>
        <v/>
      </c>
      <c r="E357" s="10054">
        <f>IF(OR(Captura_Obra!A61="", (SUMIFS(Captura_Pegaso!$H:$H, Captura_Pegaso!$A:$A, Captura_Obra!A61, Captura_Pegaso!$D:$D, Captura_Obra!B61, Captura_Pegaso!$E:$E, Captura_Obra!D61) + SUMIFS(Captura_Marimba_M01!$G:$G, Captura_Marimba_M01!$A:$A, Captura_Obra!A61, Captura_Marimba_M01!$C:$C, Captura_Obra!B61, Captura_Marimba_M01!$D:$D, Captura_Obra!D61))&gt;0), "", Captura_Obra!A61)</f>
        <v/>
      </c>
      <c r="F357" s="10055">
        <f>IF(OR(Captura_Obra!A61="", (SUMIFS(Captura_Pegaso!$H:$H, Captura_Pegaso!$A:$A, Captura_Obra!A61, Captura_Pegaso!$D:$D, Captura_Obra!B61, Captura_Pegaso!$E:$E, Captura_Obra!D61) + SUMIFS(Captura_Marimba_M01!$G:$G, Captura_Marimba_M01!$A:$A, Captura_Obra!A61, Captura_Marimba_M01!$C:$C, Captura_Obra!B61, Captura_Marimba_M01!$D:$D, Captura_Obra!D61))&gt;0), "", Captura_Obra!B61)</f>
        <v/>
      </c>
      <c r="G357" s="10056">
        <f>IF(OR(Captura_Obra!A61="", (SUMIFS(Captura_Pegaso!$H:$H, Captura_Pegaso!$A:$A, Captura_Obra!A61, Captura_Pegaso!$D:$D, Captura_Obra!B61, Captura_Pegaso!$E:$E, Captura_Obra!D61) + SUMIFS(Captura_Marimba_M01!$G:$G, Captura_Marimba_M01!$A:$A, Captura_Obra!A61, Captura_Marimba_M01!$C:$C, Captura_Obra!B61, Captura_Marimba_M01!$D:$D, Captura_Obra!D61))&gt;0), "", Captura_Obra!D61)</f>
        <v/>
      </c>
      <c r="H357" s="10057">
        <f>IF(OR(Captura_Obra!A61="", (SUMIFS(Captura_Pegaso!$H:$H, Captura_Pegaso!$A:$A, Captura_Obra!A61, Captura_Pegaso!$D:$D, Captura_Obra!B61, Captura_Pegaso!$E:$E, Captura_Obra!D61) + SUMIFS(Captura_Marimba_M01!$G:$G, Captura_Marimba_M01!$A:$A, Captura_Obra!A61, Captura_Marimba_M01!$C:$C, Captura_Obra!B61, Captura_Marimba_M01!$D:$D, Captura_Obra!D61))&gt;0), "", 0)</f>
        <v/>
      </c>
      <c r="I357" s="10058">
        <f>IF(OR(Captura_Obra!A61="", (SUMIFS(Captura_Pegaso!$H:$H, Captura_Pegaso!$A:$A, Captura_Obra!A61, Captura_Pegaso!$D:$D, Captura_Obra!B61, Captura_Pegaso!$E:$E, Captura_Obra!D61) + SUMIFS(Captura_Marimba_M01!$G:$G, Captura_Marimba_M01!$A:$A, Captura_Obra!A61, Captura_Marimba_M01!$C:$C, Captura_Obra!B61, Captura_Marimba_M01!$D:$D, Captura_Obra!D61))&gt;0), "", Captura_Obra!F61)</f>
        <v/>
      </c>
      <c r="J357" s="10059">
        <f>IF(OR(Captura_Obra!A61="", (SUMIFS(Captura_Pegaso!$H:$H, Captura_Pegaso!$A:$A, Captura_Obra!A61, Captura_Pegaso!$D:$D, Captura_Obra!B61, Captura_Pegaso!$E:$E, Captura_Obra!D61) + SUMIFS(Captura_Marimba_M01!$G:$G, Captura_Marimba_M01!$A:$A, Captura_Obra!A61, Captura_Marimba_M01!$C:$C, Captura_Obra!B61, Captura_Marimba_M01!$D:$D, Captura_Obra!D61))&gt;0), "", H357 - I357)</f>
        <v/>
      </c>
      <c r="K357" s="4166" t="n"/>
    </row>
    <row r="358">
      <c r="A358" s="10060">
        <f>IF(OR(Captura_Obra!A62="", (SUMIFS(Captura_Pegaso!$H:$H, Captura_Pegaso!$A:$A, Captura_Obra!A62, Captura_Pegaso!$D:$D, Captura_Obra!B62, Captura_Pegaso!$E:$E, Captura_Obra!D62) + SUMIFS(Captura_Marimba_M01!$G:$G, Captura_Marimba_M01!$A:$A, Captura_Obra!A62, Captura_Marimba_M01!$C:$C, Captura_Obra!B62, Captura_Marimba_M01!$D:$D, Captura_Obra!D62))&gt;0), "", "Huérfano Obra")</f>
        <v/>
      </c>
      <c r="B358" s="10061">
        <f>IF(OR(Captura_Obra!A62="", (SUMIFS(Captura_Pegaso!$H:$H, Captura_Pegaso!$A:$A, Captura_Obra!A62, Captura_Pegaso!$D:$D, Captura_Obra!B62, Captura_Pegaso!$E:$E, Captura_Obra!D62) + SUMIFS(Captura_Marimba_M01!$G:$G, Captura_Marimba_M01!$A:$A, Captura_Obra!A62, Captura_Marimba_M01!$C:$C, Captura_Obra!B62, Captura_Marimba_M01!$D:$D, Captura_Obra!D62))&gt;0), "", "No Reportado")</f>
        <v/>
      </c>
      <c r="C358" s="10062">
        <f>IF(OR(Captura_Obra!A62="", (SUMIFS(Captura_Pegaso!$H:$H, Captura_Pegaso!$A:$A, Captura_Obra!A62, Captura_Pegaso!$D:$D, Captura_Obra!B62, Captura_Pegaso!$E:$E, Captura_Obra!D62) + SUMIFS(Captura_Marimba_M01!$G:$G, Captura_Marimba_M01!$A:$A, Captura_Obra!A62, Captura_Marimba_M01!$C:$C, Captura_Obra!B62, Captura_Marimba_M01!$D:$D, Captura_Obra!D62))&gt;0), "", Captura_Obra!N62)</f>
        <v/>
      </c>
      <c r="D358" s="10063">
        <f>IF(OR(Captura_Obra!A62="", (SUMIFS(Captura_Pegaso!$H:$H, Captura_Pegaso!$A:$A, Captura_Obra!A62, Captura_Pegaso!$D:$D, Captura_Obra!B62, Captura_Pegaso!$E:$E, Captura_Obra!D62) + SUMIFS(Captura_Marimba_M01!$G:$G, Captura_Marimba_M01!$A:$A, Captura_Obra!A62, Captura_Marimba_M01!$C:$C, Captura_Obra!B62, Captura_Marimba_M01!$D:$D, Captura_Obra!D62))&gt;0), "", "❌ Falta en Pipa")</f>
        <v/>
      </c>
      <c r="E358" s="10064">
        <f>IF(OR(Captura_Obra!A62="", (SUMIFS(Captura_Pegaso!$H:$H, Captura_Pegaso!$A:$A, Captura_Obra!A62, Captura_Pegaso!$D:$D, Captura_Obra!B62, Captura_Pegaso!$E:$E, Captura_Obra!D62) + SUMIFS(Captura_Marimba_M01!$G:$G, Captura_Marimba_M01!$A:$A, Captura_Obra!A62, Captura_Marimba_M01!$C:$C, Captura_Obra!B62, Captura_Marimba_M01!$D:$D, Captura_Obra!D62))&gt;0), "", Captura_Obra!A62)</f>
        <v/>
      </c>
      <c r="F358" s="10065">
        <f>IF(OR(Captura_Obra!A62="", (SUMIFS(Captura_Pegaso!$H:$H, Captura_Pegaso!$A:$A, Captura_Obra!A62, Captura_Pegaso!$D:$D, Captura_Obra!B62, Captura_Pegaso!$E:$E, Captura_Obra!D62) + SUMIFS(Captura_Marimba_M01!$G:$G, Captura_Marimba_M01!$A:$A, Captura_Obra!A62, Captura_Marimba_M01!$C:$C, Captura_Obra!B62, Captura_Marimba_M01!$D:$D, Captura_Obra!D62))&gt;0), "", Captura_Obra!B62)</f>
        <v/>
      </c>
      <c r="G358" s="10066">
        <f>IF(OR(Captura_Obra!A62="", (SUMIFS(Captura_Pegaso!$H:$H, Captura_Pegaso!$A:$A, Captura_Obra!A62, Captura_Pegaso!$D:$D, Captura_Obra!B62, Captura_Pegaso!$E:$E, Captura_Obra!D62) + SUMIFS(Captura_Marimba_M01!$G:$G, Captura_Marimba_M01!$A:$A, Captura_Obra!A62, Captura_Marimba_M01!$C:$C, Captura_Obra!B62, Captura_Marimba_M01!$D:$D, Captura_Obra!D62))&gt;0), "", Captura_Obra!D62)</f>
        <v/>
      </c>
      <c r="H358" s="10067">
        <f>IF(OR(Captura_Obra!A62="", (SUMIFS(Captura_Pegaso!$H:$H, Captura_Pegaso!$A:$A, Captura_Obra!A62, Captura_Pegaso!$D:$D, Captura_Obra!B62, Captura_Pegaso!$E:$E, Captura_Obra!D62) + SUMIFS(Captura_Marimba_M01!$G:$G, Captura_Marimba_M01!$A:$A, Captura_Obra!A62, Captura_Marimba_M01!$C:$C, Captura_Obra!B62, Captura_Marimba_M01!$D:$D, Captura_Obra!D62))&gt;0), "", 0)</f>
        <v/>
      </c>
      <c r="I358" s="10068">
        <f>IF(OR(Captura_Obra!A62="", (SUMIFS(Captura_Pegaso!$H:$H, Captura_Pegaso!$A:$A, Captura_Obra!A62, Captura_Pegaso!$D:$D, Captura_Obra!B62, Captura_Pegaso!$E:$E, Captura_Obra!D62) + SUMIFS(Captura_Marimba_M01!$G:$G, Captura_Marimba_M01!$A:$A, Captura_Obra!A62, Captura_Marimba_M01!$C:$C, Captura_Obra!B62, Captura_Marimba_M01!$D:$D, Captura_Obra!D62))&gt;0), "", Captura_Obra!F62)</f>
        <v/>
      </c>
      <c r="J358" s="10069">
        <f>IF(OR(Captura_Obra!A62="", (SUMIFS(Captura_Pegaso!$H:$H, Captura_Pegaso!$A:$A, Captura_Obra!A62, Captura_Pegaso!$D:$D, Captura_Obra!B62, Captura_Pegaso!$E:$E, Captura_Obra!D62) + SUMIFS(Captura_Marimba_M01!$G:$G, Captura_Marimba_M01!$A:$A, Captura_Obra!A62, Captura_Marimba_M01!$C:$C, Captura_Obra!B62, Captura_Marimba_M01!$D:$D, Captura_Obra!D62))&gt;0), "", H358 - I358)</f>
        <v/>
      </c>
      <c r="K358" s="4167" t="n"/>
    </row>
    <row r="359">
      <c r="A359" s="10070">
        <f>IF(OR(Captura_Obra!A63="", (SUMIFS(Captura_Pegaso!$H:$H, Captura_Pegaso!$A:$A, Captura_Obra!A63, Captura_Pegaso!$D:$D, Captura_Obra!B63, Captura_Pegaso!$E:$E, Captura_Obra!D63) + SUMIFS(Captura_Marimba_M01!$G:$G, Captura_Marimba_M01!$A:$A, Captura_Obra!A63, Captura_Marimba_M01!$C:$C, Captura_Obra!B63, Captura_Marimba_M01!$D:$D, Captura_Obra!D63))&gt;0), "", "Huérfano Obra")</f>
        <v/>
      </c>
      <c r="B359" s="10071">
        <f>IF(OR(Captura_Obra!A63="", (SUMIFS(Captura_Pegaso!$H:$H, Captura_Pegaso!$A:$A, Captura_Obra!A63, Captura_Pegaso!$D:$D, Captura_Obra!B63, Captura_Pegaso!$E:$E, Captura_Obra!D63) + SUMIFS(Captura_Marimba_M01!$G:$G, Captura_Marimba_M01!$A:$A, Captura_Obra!A63, Captura_Marimba_M01!$C:$C, Captura_Obra!B63, Captura_Marimba_M01!$D:$D, Captura_Obra!D63))&gt;0), "", "No Reportado")</f>
        <v/>
      </c>
      <c r="C359" s="10072">
        <f>IF(OR(Captura_Obra!A63="", (SUMIFS(Captura_Pegaso!$H:$H, Captura_Pegaso!$A:$A, Captura_Obra!A63, Captura_Pegaso!$D:$D, Captura_Obra!B63, Captura_Pegaso!$E:$E, Captura_Obra!D63) + SUMIFS(Captura_Marimba_M01!$G:$G, Captura_Marimba_M01!$A:$A, Captura_Obra!A63, Captura_Marimba_M01!$C:$C, Captura_Obra!B63, Captura_Marimba_M01!$D:$D, Captura_Obra!D63))&gt;0), "", Captura_Obra!N63)</f>
        <v/>
      </c>
      <c r="D359" s="10073">
        <f>IF(OR(Captura_Obra!A63="", (SUMIFS(Captura_Pegaso!$H:$H, Captura_Pegaso!$A:$A, Captura_Obra!A63, Captura_Pegaso!$D:$D, Captura_Obra!B63, Captura_Pegaso!$E:$E, Captura_Obra!D63) + SUMIFS(Captura_Marimba_M01!$G:$G, Captura_Marimba_M01!$A:$A, Captura_Obra!A63, Captura_Marimba_M01!$C:$C, Captura_Obra!B63, Captura_Marimba_M01!$D:$D, Captura_Obra!D63))&gt;0), "", "❌ Falta en Pipa")</f>
        <v/>
      </c>
      <c r="E359" s="10074">
        <f>IF(OR(Captura_Obra!A63="", (SUMIFS(Captura_Pegaso!$H:$H, Captura_Pegaso!$A:$A, Captura_Obra!A63, Captura_Pegaso!$D:$D, Captura_Obra!B63, Captura_Pegaso!$E:$E, Captura_Obra!D63) + SUMIFS(Captura_Marimba_M01!$G:$G, Captura_Marimba_M01!$A:$A, Captura_Obra!A63, Captura_Marimba_M01!$C:$C, Captura_Obra!B63, Captura_Marimba_M01!$D:$D, Captura_Obra!D63))&gt;0), "", Captura_Obra!A63)</f>
        <v/>
      </c>
      <c r="F359" s="10075">
        <f>IF(OR(Captura_Obra!A63="", (SUMIFS(Captura_Pegaso!$H:$H, Captura_Pegaso!$A:$A, Captura_Obra!A63, Captura_Pegaso!$D:$D, Captura_Obra!B63, Captura_Pegaso!$E:$E, Captura_Obra!D63) + SUMIFS(Captura_Marimba_M01!$G:$G, Captura_Marimba_M01!$A:$A, Captura_Obra!A63, Captura_Marimba_M01!$C:$C, Captura_Obra!B63, Captura_Marimba_M01!$D:$D, Captura_Obra!D63))&gt;0), "", Captura_Obra!B63)</f>
        <v/>
      </c>
      <c r="G359" s="10076">
        <f>IF(OR(Captura_Obra!A63="", (SUMIFS(Captura_Pegaso!$H:$H, Captura_Pegaso!$A:$A, Captura_Obra!A63, Captura_Pegaso!$D:$D, Captura_Obra!B63, Captura_Pegaso!$E:$E, Captura_Obra!D63) + SUMIFS(Captura_Marimba_M01!$G:$G, Captura_Marimba_M01!$A:$A, Captura_Obra!A63, Captura_Marimba_M01!$C:$C, Captura_Obra!B63, Captura_Marimba_M01!$D:$D, Captura_Obra!D63))&gt;0), "", Captura_Obra!D63)</f>
        <v/>
      </c>
      <c r="H359" s="10077">
        <f>IF(OR(Captura_Obra!A63="", (SUMIFS(Captura_Pegaso!$H:$H, Captura_Pegaso!$A:$A, Captura_Obra!A63, Captura_Pegaso!$D:$D, Captura_Obra!B63, Captura_Pegaso!$E:$E, Captura_Obra!D63) + SUMIFS(Captura_Marimba_M01!$G:$G, Captura_Marimba_M01!$A:$A, Captura_Obra!A63, Captura_Marimba_M01!$C:$C, Captura_Obra!B63, Captura_Marimba_M01!$D:$D, Captura_Obra!D63))&gt;0), "", 0)</f>
        <v/>
      </c>
      <c r="I359" s="10078">
        <f>IF(OR(Captura_Obra!A63="", (SUMIFS(Captura_Pegaso!$H:$H, Captura_Pegaso!$A:$A, Captura_Obra!A63, Captura_Pegaso!$D:$D, Captura_Obra!B63, Captura_Pegaso!$E:$E, Captura_Obra!D63) + SUMIFS(Captura_Marimba_M01!$G:$G, Captura_Marimba_M01!$A:$A, Captura_Obra!A63, Captura_Marimba_M01!$C:$C, Captura_Obra!B63, Captura_Marimba_M01!$D:$D, Captura_Obra!D63))&gt;0), "", Captura_Obra!F63)</f>
        <v/>
      </c>
      <c r="J359" s="10079">
        <f>IF(OR(Captura_Obra!A63="", (SUMIFS(Captura_Pegaso!$H:$H, Captura_Pegaso!$A:$A, Captura_Obra!A63, Captura_Pegaso!$D:$D, Captura_Obra!B63, Captura_Pegaso!$E:$E, Captura_Obra!D63) + SUMIFS(Captura_Marimba_M01!$G:$G, Captura_Marimba_M01!$A:$A, Captura_Obra!A63, Captura_Marimba_M01!$C:$C, Captura_Obra!B63, Captura_Marimba_M01!$D:$D, Captura_Obra!D63))&gt;0), "", H359 - I359)</f>
        <v/>
      </c>
      <c r="K359" s="4168" t="n"/>
    </row>
    <row r="360">
      <c r="A360" s="10080">
        <f>IF(OR(Captura_Obra!A64="", (SUMIFS(Captura_Pegaso!$H:$H, Captura_Pegaso!$A:$A, Captura_Obra!A64, Captura_Pegaso!$D:$D, Captura_Obra!B64, Captura_Pegaso!$E:$E, Captura_Obra!D64) + SUMIFS(Captura_Marimba_M01!$G:$G, Captura_Marimba_M01!$A:$A, Captura_Obra!A64, Captura_Marimba_M01!$C:$C, Captura_Obra!B64, Captura_Marimba_M01!$D:$D, Captura_Obra!D64))&gt;0), "", "Huérfano Obra")</f>
        <v/>
      </c>
      <c r="B360" s="10081">
        <f>IF(OR(Captura_Obra!A64="", (SUMIFS(Captura_Pegaso!$H:$H, Captura_Pegaso!$A:$A, Captura_Obra!A64, Captura_Pegaso!$D:$D, Captura_Obra!B64, Captura_Pegaso!$E:$E, Captura_Obra!D64) + SUMIFS(Captura_Marimba_M01!$G:$G, Captura_Marimba_M01!$A:$A, Captura_Obra!A64, Captura_Marimba_M01!$C:$C, Captura_Obra!B64, Captura_Marimba_M01!$D:$D, Captura_Obra!D64))&gt;0), "", "No Reportado")</f>
        <v/>
      </c>
      <c r="C360" s="10082">
        <f>IF(OR(Captura_Obra!A64="", (SUMIFS(Captura_Pegaso!$H:$H, Captura_Pegaso!$A:$A, Captura_Obra!A64, Captura_Pegaso!$D:$D, Captura_Obra!B64, Captura_Pegaso!$E:$E, Captura_Obra!D64) + SUMIFS(Captura_Marimba_M01!$G:$G, Captura_Marimba_M01!$A:$A, Captura_Obra!A64, Captura_Marimba_M01!$C:$C, Captura_Obra!B64, Captura_Marimba_M01!$D:$D, Captura_Obra!D64))&gt;0), "", Captura_Obra!N64)</f>
        <v/>
      </c>
      <c r="D360" s="10083">
        <f>IF(OR(Captura_Obra!A64="", (SUMIFS(Captura_Pegaso!$H:$H, Captura_Pegaso!$A:$A, Captura_Obra!A64, Captura_Pegaso!$D:$D, Captura_Obra!B64, Captura_Pegaso!$E:$E, Captura_Obra!D64) + SUMIFS(Captura_Marimba_M01!$G:$G, Captura_Marimba_M01!$A:$A, Captura_Obra!A64, Captura_Marimba_M01!$C:$C, Captura_Obra!B64, Captura_Marimba_M01!$D:$D, Captura_Obra!D64))&gt;0), "", "❌ Falta en Pipa")</f>
        <v/>
      </c>
      <c r="E360" s="10084">
        <f>IF(OR(Captura_Obra!A64="", (SUMIFS(Captura_Pegaso!$H:$H, Captura_Pegaso!$A:$A, Captura_Obra!A64, Captura_Pegaso!$D:$D, Captura_Obra!B64, Captura_Pegaso!$E:$E, Captura_Obra!D64) + SUMIFS(Captura_Marimba_M01!$G:$G, Captura_Marimba_M01!$A:$A, Captura_Obra!A64, Captura_Marimba_M01!$C:$C, Captura_Obra!B64, Captura_Marimba_M01!$D:$D, Captura_Obra!D64))&gt;0), "", Captura_Obra!A64)</f>
        <v/>
      </c>
      <c r="F360" s="10085">
        <f>IF(OR(Captura_Obra!A64="", (SUMIFS(Captura_Pegaso!$H:$H, Captura_Pegaso!$A:$A, Captura_Obra!A64, Captura_Pegaso!$D:$D, Captura_Obra!B64, Captura_Pegaso!$E:$E, Captura_Obra!D64) + SUMIFS(Captura_Marimba_M01!$G:$G, Captura_Marimba_M01!$A:$A, Captura_Obra!A64, Captura_Marimba_M01!$C:$C, Captura_Obra!B64, Captura_Marimba_M01!$D:$D, Captura_Obra!D64))&gt;0), "", Captura_Obra!B64)</f>
        <v/>
      </c>
      <c r="G360" s="10086">
        <f>IF(OR(Captura_Obra!A64="", (SUMIFS(Captura_Pegaso!$H:$H, Captura_Pegaso!$A:$A, Captura_Obra!A64, Captura_Pegaso!$D:$D, Captura_Obra!B64, Captura_Pegaso!$E:$E, Captura_Obra!D64) + SUMIFS(Captura_Marimba_M01!$G:$G, Captura_Marimba_M01!$A:$A, Captura_Obra!A64, Captura_Marimba_M01!$C:$C, Captura_Obra!B64, Captura_Marimba_M01!$D:$D, Captura_Obra!D64))&gt;0), "", Captura_Obra!D64)</f>
        <v/>
      </c>
      <c r="H360" s="10087">
        <f>IF(OR(Captura_Obra!A64="", (SUMIFS(Captura_Pegaso!$H:$H, Captura_Pegaso!$A:$A, Captura_Obra!A64, Captura_Pegaso!$D:$D, Captura_Obra!B64, Captura_Pegaso!$E:$E, Captura_Obra!D64) + SUMIFS(Captura_Marimba_M01!$G:$G, Captura_Marimba_M01!$A:$A, Captura_Obra!A64, Captura_Marimba_M01!$C:$C, Captura_Obra!B64, Captura_Marimba_M01!$D:$D, Captura_Obra!D64))&gt;0), "", 0)</f>
        <v/>
      </c>
      <c r="I360" s="10088">
        <f>IF(OR(Captura_Obra!A64="", (SUMIFS(Captura_Pegaso!$H:$H, Captura_Pegaso!$A:$A, Captura_Obra!A64, Captura_Pegaso!$D:$D, Captura_Obra!B64, Captura_Pegaso!$E:$E, Captura_Obra!D64) + SUMIFS(Captura_Marimba_M01!$G:$G, Captura_Marimba_M01!$A:$A, Captura_Obra!A64, Captura_Marimba_M01!$C:$C, Captura_Obra!B64, Captura_Marimba_M01!$D:$D, Captura_Obra!D64))&gt;0), "", Captura_Obra!F64)</f>
        <v/>
      </c>
      <c r="J360" s="10089">
        <f>IF(OR(Captura_Obra!A64="", (SUMIFS(Captura_Pegaso!$H:$H, Captura_Pegaso!$A:$A, Captura_Obra!A64, Captura_Pegaso!$D:$D, Captura_Obra!B64, Captura_Pegaso!$E:$E, Captura_Obra!D64) + SUMIFS(Captura_Marimba_M01!$G:$G, Captura_Marimba_M01!$A:$A, Captura_Obra!A64, Captura_Marimba_M01!$C:$C, Captura_Obra!B64, Captura_Marimba_M01!$D:$D, Captura_Obra!D64))&gt;0), "", H360 - I360)</f>
        <v/>
      </c>
      <c r="K360" s="4169" t="n"/>
    </row>
    <row r="361">
      <c r="A361" s="10090">
        <f>IF(OR(Captura_Obra!A65="", (SUMIFS(Captura_Pegaso!$H:$H, Captura_Pegaso!$A:$A, Captura_Obra!A65, Captura_Pegaso!$D:$D, Captura_Obra!B65, Captura_Pegaso!$E:$E, Captura_Obra!D65) + SUMIFS(Captura_Marimba_M01!$G:$G, Captura_Marimba_M01!$A:$A, Captura_Obra!A65, Captura_Marimba_M01!$C:$C, Captura_Obra!B65, Captura_Marimba_M01!$D:$D, Captura_Obra!D65))&gt;0), "", "Huérfano Obra")</f>
        <v/>
      </c>
      <c r="B361" s="10091">
        <f>IF(OR(Captura_Obra!A65="", (SUMIFS(Captura_Pegaso!$H:$H, Captura_Pegaso!$A:$A, Captura_Obra!A65, Captura_Pegaso!$D:$D, Captura_Obra!B65, Captura_Pegaso!$E:$E, Captura_Obra!D65) + SUMIFS(Captura_Marimba_M01!$G:$G, Captura_Marimba_M01!$A:$A, Captura_Obra!A65, Captura_Marimba_M01!$C:$C, Captura_Obra!B65, Captura_Marimba_M01!$D:$D, Captura_Obra!D65))&gt;0), "", "No Reportado")</f>
        <v/>
      </c>
      <c r="C361" s="10092">
        <f>IF(OR(Captura_Obra!A65="", (SUMIFS(Captura_Pegaso!$H:$H, Captura_Pegaso!$A:$A, Captura_Obra!A65, Captura_Pegaso!$D:$D, Captura_Obra!B65, Captura_Pegaso!$E:$E, Captura_Obra!D65) + SUMIFS(Captura_Marimba_M01!$G:$G, Captura_Marimba_M01!$A:$A, Captura_Obra!A65, Captura_Marimba_M01!$C:$C, Captura_Obra!B65, Captura_Marimba_M01!$D:$D, Captura_Obra!D65))&gt;0), "", Captura_Obra!N65)</f>
        <v/>
      </c>
      <c r="D361" s="10093">
        <f>IF(OR(Captura_Obra!A65="", (SUMIFS(Captura_Pegaso!$H:$H, Captura_Pegaso!$A:$A, Captura_Obra!A65, Captura_Pegaso!$D:$D, Captura_Obra!B65, Captura_Pegaso!$E:$E, Captura_Obra!D65) + SUMIFS(Captura_Marimba_M01!$G:$G, Captura_Marimba_M01!$A:$A, Captura_Obra!A65, Captura_Marimba_M01!$C:$C, Captura_Obra!B65, Captura_Marimba_M01!$D:$D, Captura_Obra!D65))&gt;0), "", "❌ Falta en Pipa")</f>
        <v/>
      </c>
      <c r="E361" s="10094">
        <f>IF(OR(Captura_Obra!A65="", (SUMIFS(Captura_Pegaso!$H:$H, Captura_Pegaso!$A:$A, Captura_Obra!A65, Captura_Pegaso!$D:$D, Captura_Obra!B65, Captura_Pegaso!$E:$E, Captura_Obra!D65) + SUMIFS(Captura_Marimba_M01!$G:$G, Captura_Marimba_M01!$A:$A, Captura_Obra!A65, Captura_Marimba_M01!$C:$C, Captura_Obra!B65, Captura_Marimba_M01!$D:$D, Captura_Obra!D65))&gt;0), "", Captura_Obra!A65)</f>
        <v/>
      </c>
      <c r="F361" s="10095">
        <f>IF(OR(Captura_Obra!A65="", (SUMIFS(Captura_Pegaso!$H:$H, Captura_Pegaso!$A:$A, Captura_Obra!A65, Captura_Pegaso!$D:$D, Captura_Obra!B65, Captura_Pegaso!$E:$E, Captura_Obra!D65) + SUMIFS(Captura_Marimba_M01!$G:$G, Captura_Marimba_M01!$A:$A, Captura_Obra!A65, Captura_Marimba_M01!$C:$C, Captura_Obra!B65, Captura_Marimba_M01!$D:$D, Captura_Obra!D65))&gt;0), "", Captura_Obra!B65)</f>
        <v/>
      </c>
      <c r="G361" s="10096">
        <f>IF(OR(Captura_Obra!A65="", (SUMIFS(Captura_Pegaso!$H:$H, Captura_Pegaso!$A:$A, Captura_Obra!A65, Captura_Pegaso!$D:$D, Captura_Obra!B65, Captura_Pegaso!$E:$E, Captura_Obra!D65) + SUMIFS(Captura_Marimba_M01!$G:$G, Captura_Marimba_M01!$A:$A, Captura_Obra!A65, Captura_Marimba_M01!$C:$C, Captura_Obra!B65, Captura_Marimba_M01!$D:$D, Captura_Obra!D65))&gt;0), "", Captura_Obra!D65)</f>
        <v/>
      </c>
      <c r="H361" s="10097">
        <f>IF(OR(Captura_Obra!A65="", (SUMIFS(Captura_Pegaso!$H:$H, Captura_Pegaso!$A:$A, Captura_Obra!A65, Captura_Pegaso!$D:$D, Captura_Obra!B65, Captura_Pegaso!$E:$E, Captura_Obra!D65) + SUMIFS(Captura_Marimba_M01!$G:$G, Captura_Marimba_M01!$A:$A, Captura_Obra!A65, Captura_Marimba_M01!$C:$C, Captura_Obra!B65, Captura_Marimba_M01!$D:$D, Captura_Obra!D65))&gt;0), "", 0)</f>
        <v/>
      </c>
      <c r="I361" s="10098">
        <f>IF(OR(Captura_Obra!A65="", (SUMIFS(Captura_Pegaso!$H:$H, Captura_Pegaso!$A:$A, Captura_Obra!A65, Captura_Pegaso!$D:$D, Captura_Obra!B65, Captura_Pegaso!$E:$E, Captura_Obra!D65) + SUMIFS(Captura_Marimba_M01!$G:$G, Captura_Marimba_M01!$A:$A, Captura_Obra!A65, Captura_Marimba_M01!$C:$C, Captura_Obra!B65, Captura_Marimba_M01!$D:$D, Captura_Obra!D65))&gt;0), "", Captura_Obra!F65)</f>
        <v/>
      </c>
      <c r="J361" s="10099">
        <f>IF(OR(Captura_Obra!A65="", (SUMIFS(Captura_Pegaso!$H:$H, Captura_Pegaso!$A:$A, Captura_Obra!A65, Captura_Pegaso!$D:$D, Captura_Obra!B65, Captura_Pegaso!$E:$E, Captura_Obra!D65) + SUMIFS(Captura_Marimba_M01!$G:$G, Captura_Marimba_M01!$A:$A, Captura_Obra!A65, Captura_Marimba_M01!$C:$C, Captura_Obra!B65, Captura_Marimba_M01!$D:$D, Captura_Obra!D65))&gt;0), "", H361 - I361)</f>
        <v/>
      </c>
      <c r="K361" s="4170" t="n"/>
    </row>
    <row r="362">
      <c r="A362" s="10100">
        <f>IF(OR(Captura_Obra!A66="", (SUMIFS(Captura_Pegaso!$H:$H, Captura_Pegaso!$A:$A, Captura_Obra!A66, Captura_Pegaso!$D:$D, Captura_Obra!B66, Captura_Pegaso!$E:$E, Captura_Obra!D66) + SUMIFS(Captura_Marimba_M01!$G:$G, Captura_Marimba_M01!$A:$A, Captura_Obra!A66, Captura_Marimba_M01!$C:$C, Captura_Obra!B66, Captura_Marimba_M01!$D:$D, Captura_Obra!D66))&gt;0), "", "Huérfano Obra")</f>
        <v/>
      </c>
      <c r="B362" s="10101">
        <f>IF(OR(Captura_Obra!A66="", (SUMIFS(Captura_Pegaso!$H:$H, Captura_Pegaso!$A:$A, Captura_Obra!A66, Captura_Pegaso!$D:$D, Captura_Obra!B66, Captura_Pegaso!$E:$E, Captura_Obra!D66) + SUMIFS(Captura_Marimba_M01!$G:$G, Captura_Marimba_M01!$A:$A, Captura_Obra!A66, Captura_Marimba_M01!$C:$C, Captura_Obra!B66, Captura_Marimba_M01!$D:$D, Captura_Obra!D66))&gt;0), "", "No Reportado")</f>
        <v/>
      </c>
      <c r="C362" s="10102">
        <f>IF(OR(Captura_Obra!A66="", (SUMIFS(Captura_Pegaso!$H:$H, Captura_Pegaso!$A:$A, Captura_Obra!A66, Captura_Pegaso!$D:$D, Captura_Obra!B66, Captura_Pegaso!$E:$E, Captura_Obra!D66) + SUMIFS(Captura_Marimba_M01!$G:$G, Captura_Marimba_M01!$A:$A, Captura_Obra!A66, Captura_Marimba_M01!$C:$C, Captura_Obra!B66, Captura_Marimba_M01!$D:$D, Captura_Obra!D66))&gt;0), "", Captura_Obra!N66)</f>
        <v/>
      </c>
      <c r="D362" s="10103">
        <f>IF(OR(Captura_Obra!A66="", (SUMIFS(Captura_Pegaso!$H:$H, Captura_Pegaso!$A:$A, Captura_Obra!A66, Captura_Pegaso!$D:$D, Captura_Obra!B66, Captura_Pegaso!$E:$E, Captura_Obra!D66) + SUMIFS(Captura_Marimba_M01!$G:$G, Captura_Marimba_M01!$A:$A, Captura_Obra!A66, Captura_Marimba_M01!$C:$C, Captura_Obra!B66, Captura_Marimba_M01!$D:$D, Captura_Obra!D66))&gt;0), "", "❌ Falta en Pipa")</f>
        <v/>
      </c>
      <c r="E362" s="10104">
        <f>IF(OR(Captura_Obra!A66="", (SUMIFS(Captura_Pegaso!$H:$H, Captura_Pegaso!$A:$A, Captura_Obra!A66, Captura_Pegaso!$D:$D, Captura_Obra!B66, Captura_Pegaso!$E:$E, Captura_Obra!D66) + SUMIFS(Captura_Marimba_M01!$G:$G, Captura_Marimba_M01!$A:$A, Captura_Obra!A66, Captura_Marimba_M01!$C:$C, Captura_Obra!B66, Captura_Marimba_M01!$D:$D, Captura_Obra!D66))&gt;0), "", Captura_Obra!A66)</f>
        <v/>
      </c>
      <c r="F362" s="10105">
        <f>IF(OR(Captura_Obra!A66="", (SUMIFS(Captura_Pegaso!$H:$H, Captura_Pegaso!$A:$A, Captura_Obra!A66, Captura_Pegaso!$D:$D, Captura_Obra!B66, Captura_Pegaso!$E:$E, Captura_Obra!D66) + SUMIFS(Captura_Marimba_M01!$G:$G, Captura_Marimba_M01!$A:$A, Captura_Obra!A66, Captura_Marimba_M01!$C:$C, Captura_Obra!B66, Captura_Marimba_M01!$D:$D, Captura_Obra!D66))&gt;0), "", Captura_Obra!B66)</f>
        <v/>
      </c>
      <c r="G362" s="10106">
        <f>IF(OR(Captura_Obra!A66="", (SUMIFS(Captura_Pegaso!$H:$H, Captura_Pegaso!$A:$A, Captura_Obra!A66, Captura_Pegaso!$D:$D, Captura_Obra!B66, Captura_Pegaso!$E:$E, Captura_Obra!D66) + SUMIFS(Captura_Marimba_M01!$G:$G, Captura_Marimba_M01!$A:$A, Captura_Obra!A66, Captura_Marimba_M01!$C:$C, Captura_Obra!B66, Captura_Marimba_M01!$D:$D, Captura_Obra!D66))&gt;0), "", Captura_Obra!D66)</f>
        <v/>
      </c>
      <c r="H362" s="10107">
        <f>IF(OR(Captura_Obra!A66="", (SUMIFS(Captura_Pegaso!$H:$H, Captura_Pegaso!$A:$A, Captura_Obra!A66, Captura_Pegaso!$D:$D, Captura_Obra!B66, Captura_Pegaso!$E:$E, Captura_Obra!D66) + SUMIFS(Captura_Marimba_M01!$G:$G, Captura_Marimba_M01!$A:$A, Captura_Obra!A66, Captura_Marimba_M01!$C:$C, Captura_Obra!B66, Captura_Marimba_M01!$D:$D, Captura_Obra!D66))&gt;0), "", 0)</f>
        <v/>
      </c>
      <c r="I362" s="10108">
        <f>IF(OR(Captura_Obra!A66="", (SUMIFS(Captura_Pegaso!$H:$H, Captura_Pegaso!$A:$A, Captura_Obra!A66, Captura_Pegaso!$D:$D, Captura_Obra!B66, Captura_Pegaso!$E:$E, Captura_Obra!D66) + SUMIFS(Captura_Marimba_M01!$G:$G, Captura_Marimba_M01!$A:$A, Captura_Obra!A66, Captura_Marimba_M01!$C:$C, Captura_Obra!B66, Captura_Marimba_M01!$D:$D, Captura_Obra!D66))&gt;0), "", Captura_Obra!F66)</f>
        <v/>
      </c>
      <c r="J362" s="10109">
        <f>IF(OR(Captura_Obra!A66="", (SUMIFS(Captura_Pegaso!$H:$H, Captura_Pegaso!$A:$A, Captura_Obra!A66, Captura_Pegaso!$D:$D, Captura_Obra!B66, Captura_Pegaso!$E:$E, Captura_Obra!D66) + SUMIFS(Captura_Marimba_M01!$G:$G, Captura_Marimba_M01!$A:$A, Captura_Obra!A66, Captura_Marimba_M01!$C:$C, Captura_Obra!B66, Captura_Marimba_M01!$D:$D, Captura_Obra!D66))&gt;0), "", H362 - I362)</f>
        <v/>
      </c>
      <c r="K362" s="4171" t="n"/>
    </row>
    <row r="363">
      <c r="A363" s="10110">
        <f>IF(OR(Captura_Obra!A67="", (SUMIFS(Captura_Pegaso!$H:$H, Captura_Pegaso!$A:$A, Captura_Obra!A67, Captura_Pegaso!$D:$D, Captura_Obra!B67, Captura_Pegaso!$E:$E, Captura_Obra!D67) + SUMIFS(Captura_Marimba_M01!$G:$G, Captura_Marimba_M01!$A:$A, Captura_Obra!A67, Captura_Marimba_M01!$C:$C, Captura_Obra!B67, Captura_Marimba_M01!$D:$D, Captura_Obra!D67))&gt;0), "", "Huérfano Obra")</f>
        <v/>
      </c>
      <c r="B363" s="10111">
        <f>IF(OR(Captura_Obra!A67="", (SUMIFS(Captura_Pegaso!$H:$H, Captura_Pegaso!$A:$A, Captura_Obra!A67, Captura_Pegaso!$D:$D, Captura_Obra!B67, Captura_Pegaso!$E:$E, Captura_Obra!D67) + SUMIFS(Captura_Marimba_M01!$G:$G, Captura_Marimba_M01!$A:$A, Captura_Obra!A67, Captura_Marimba_M01!$C:$C, Captura_Obra!B67, Captura_Marimba_M01!$D:$D, Captura_Obra!D67))&gt;0), "", "No Reportado")</f>
        <v/>
      </c>
      <c r="C363" s="10112">
        <f>IF(OR(Captura_Obra!A67="", (SUMIFS(Captura_Pegaso!$H:$H, Captura_Pegaso!$A:$A, Captura_Obra!A67, Captura_Pegaso!$D:$D, Captura_Obra!B67, Captura_Pegaso!$E:$E, Captura_Obra!D67) + SUMIFS(Captura_Marimba_M01!$G:$G, Captura_Marimba_M01!$A:$A, Captura_Obra!A67, Captura_Marimba_M01!$C:$C, Captura_Obra!B67, Captura_Marimba_M01!$D:$D, Captura_Obra!D67))&gt;0), "", Captura_Obra!N67)</f>
        <v/>
      </c>
      <c r="D363" s="10113">
        <f>IF(OR(Captura_Obra!A67="", (SUMIFS(Captura_Pegaso!$H:$H, Captura_Pegaso!$A:$A, Captura_Obra!A67, Captura_Pegaso!$D:$D, Captura_Obra!B67, Captura_Pegaso!$E:$E, Captura_Obra!D67) + SUMIFS(Captura_Marimba_M01!$G:$G, Captura_Marimba_M01!$A:$A, Captura_Obra!A67, Captura_Marimba_M01!$C:$C, Captura_Obra!B67, Captura_Marimba_M01!$D:$D, Captura_Obra!D67))&gt;0), "", "❌ Falta en Pipa")</f>
        <v/>
      </c>
      <c r="E363" s="10114">
        <f>IF(OR(Captura_Obra!A67="", (SUMIFS(Captura_Pegaso!$H:$H, Captura_Pegaso!$A:$A, Captura_Obra!A67, Captura_Pegaso!$D:$D, Captura_Obra!B67, Captura_Pegaso!$E:$E, Captura_Obra!D67) + SUMIFS(Captura_Marimba_M01!$G:$G, Captura_Marimba_M01!$A:$A, Captura_Obra!A67, Captura_Marimba_M01!$C:$C, Captura_Obra!B67, Captura_Marimba_M01!$D:$D, Captura_Obra!D67))&gt;0), "", Captura_Obra!A67)</f>
        <v/>
      </c>
      <c r="F363" s="10115">
        <f>IF(OR(Captura_Obra!A67="", (SUMIFS(Captura_Pegaso!$H:$H, Captura_Pegaso!$A:$A, Captura_Obra!A67, Captura_Pegaso!$D:$D, Captura_Obra!B67, Captura_Pegaso!$E:$E, Captura_Obra!D67) + SUMIFS(Captura_Marimba_M01!$G:$G, Captura_Marimba_M01!$A:$A, Captura_Obra!A67, Captura_Marimba_M01!$C:$C, Captura_Obra!B67, Captura_Marimba_M01!$D:$D, Captura_Obra!D67))&gt;0), "", Captura_Obra!B67)</f>
        <v/>
      </c>
      <c r="G363" s="10116">
        <f>IF(OR(Captura_Obra!A67="", (SUMIFS(Captura_Pegaso!$H:$H, Captura_Pegaso!$A:$A, Captura_Obra!A67, Captura_Pegaso!$D:$D, Captura_Obra!B67, Captura_Pegaso!$E:$E, Captura_Obra!D67) + SUMIFS(Captura_Marimba_M01!$G:$G, Captura_Marimba_M01!$A:$A, Captura_Obra!A67, Captura_Marimba_M01!$C:$C, Captura_Obra!B67, Captura_Marimba_M01!$D:$D, Captura_Obra!D67))&gt;0), "", Captura_Obra!D67)</f>
        <v/>
      </c>
      <c r="H363" s="10117">
        <f>IF(OR(Captura_Obra!A67="", (SUMIFS(Captura_Pegaso!$H:$H, Captura_Pegaso!$A:$A, Captura_Obra!A67, Captura_Pegaso!$D:$D, Captura_Obra!B67, Captura_Pegaso!$E:$E, Captura_Obra!D67) + SUMIFS(Captura_Marimba_M01!$G:$G, Captura_Marimba_M01!$A:$A, Captura_Obra!A67, Captura_Marimba_M01!$C:$C, Captura_Obra!B67, Captura_Marimba_M01!$D:$D, Captura_Obra!D67))&gt;0), "", 0)</f>
        <v/>
      </c>
      <c r="I363" s="10118">
        <f>IF(OR(Captura_Obra!A67="", (SUMIFS(Captura_Pegaso!$H:$H, Captura_Pegaso!$A:$A, Captura_Obra!A67, Captura_Pegaso!$D:$D, Captura_Obra!B67, Captura_Pegaso!$E:$E, Captura_Obra!D67) + SUMIFS(Captura_Marimba_M01!$G:$G, Captura_Marimba_M01!$A:$A, Captura_Obra!A67, Captura_Marimba_M01!$C:$C, Captura_Obra!B67, Captura_Marimba_M01!$D:$D, Captura_Obra!D67))&gt;0), "", Captura_Obra!F67)</f>
        <v/>
      </c>
      <c r="J363" s="10119">
        <f>IF(OR(Captura_Obra!A67="", (SUMIFS(Captura_Pegaso!$H:$H, Captura_Pegaso!$A:$A, Captura_Obra!A67, Captura_Pegaso!$D:$D, Captura_Obra!B67, Captura_Pegaso!$E:$E, Captura_Obra!D67) + SUMIFS(Captura_Marimba_M01!$G:$G, Captura_Marimba_M01!$A:$A, Captura_Obra!A67, Captura_Marimba_M01!$C:$C, Captura_Obra!B67, Captura_Marimba_M01!$D:$D, Captura_Obra!D67))&gt;0), "", H363 - I363)</f>
        <v/>
      </c>
      <c r="K363" s="4172" t="n"/>
    </row>
    <row r="364">
      <c r="A364" s="10120">
        <f>IF(OR(Captura_Obra!A68="", (SUMIFS(Captura_Pegaso!$H:$H, Captura_Pegaso!$A:$A, Captura_Obra!A68, Captura_Pegaso!$D:$D, Captura_Obra!B68, Captura_Pegaso!$E:$E, Captura_Obra!D68) + SUMIFS(Captura_Marimba_M01!$G:$G, Captura_Marimba_M01!$A:$A, Captura_Obra!A68, Captura_Marimba_M01!$C:$C, Captura_Obra!B68, Captura_Marimba_M01!$D:$D, Captura_Obra!D68))&gt;0), "", "Huérfano Obra")</f>
        <v/>
      </c>
      <c r="B364" s="10121">
        <f>IF(OR(Captura_Obra!A68="", (SUMIFS(Captura_Pegaso!$H:$H, Captura_Pegaso!$A:$A, Captura_Obra!A68, Captura_Pegaso!$D:$D, Captura_Obra!B68, Captura_Pegaso!$E:$E, Captura_Obra!D68) + SUMIFS(Captura_Marimba_M01!$G:$G, Captura_Marimba_M01!$A:$A, Captura_Obra!A68, Captura_Marimba_M01!$C:$C, Captura_Obra!B68, Captura_Marimba_M01!$D:$D, Captura_Obra!D68))&gt;0), "", "No Reportado")</f>
        <v/>
      </c>
      <c r="C364" s="10122">
        <f>IF(OR(Captura_Obra!A68="", (SUMIFS(Captura_Pegaso!$H:$H, Captura_Pegaso!$A:$A, Captura_Obra!A68, Captura_Pegaso!$D:$D, Captura_Obra!B68, Captura_Pegaso!$E:$E, Captura_Obra!D68) + SUMIFS(Captura_Marimba_M01!$G:$G, Captura_Marimba_M01!$A:$A, Captura_Obra!A68, Captura_Marimba_M01!$C:$C, Captura_Obra!B68, Captura_Marimba_M01!$D:$D, Captura_Obra!D68))&gt;0), "", Captura_Obra!N68)</f>
        <v/>
      </c>
      <c r="D364" s="10123">
        <f>IF(OR(Captura_Obra!A68="", (SUMIFS(Captura_Pegaso!$H:$H, Captura_Pegaso!$A:$A, Captura_Obra!A68, Captura_Pegaso!$D:$D, Captura_Obra!B68, Captura_Pegaso!$E:$E, Captura_Obra!D68) + SUMIFS(Captura_Marimba_M01!$G:$G, Captura_Marimba_M01!$A:$A, Captura_Obra!A68, Captura_Marimba_M01!$C:$C, Captura_Obra!B68, Captura_Marimba_M01!$D:$D, Captura_Obra!D68))&gt;0), "", "❌ Falta en Pipa")</f>
        <v/>
      </c>
      <c r="E364" s="10124">
        <f>IF(OR(Captura_Obra!A68="", (SUMIFS(Captura_Pegaso!$H:$H, Captura_Pegaso!$A:$A, Captura_Obra!A68, Captura_Pegaso!$D:$D, Captura_Obra!B68, Captura_Pegaso!$E:$E, Captura_Obra!D68) + SUMIFS(Captura_Marimba_M01!$G:$G, Captura_Marimba_M01!$A:$A, Captura_Obra!A68, Captura_Marimba_M01!$C:$C, Captura_Obra!B68, Captura_Marimba_M01!$D:$D, Captura_Obra!D68))&gt;0), "", Captura_Obra!A68)</f>
        <v/>
      </c>
      <c r="F364" s="10125">
        <f>IF(OR(Captura_Obra!A68="", (SUMIFS(Captura_Pegaso!$H:$H, Captura_Pegaso!$A:$A, Captura_Obra!A68, Captura_Pegaso!$D:$D, Captura_Obra!B68, Captura_Pegaso!$E:$E, Captura_Obra!D68) + SUMIFS(Captura_Marimba_M01!$G:$G, Captura_Marimba_M01!$A:$A, Captura_Obra!A68, Captura_Marimba_M01!$C:$C, Captura_Obra!B68, Captura_Marimba_M01!$D:$D, Captura_Obra!D68))&gt;0), "", Captura_Obra!B68)</f>
        <v/>
      </c>
      <c r="G364" s="10126">
        <f>IF(OR(Captura_Obra!A68="", (SUMIFS(Captura_Pegaso!$H:$H, Captura_Pegaso!$A:$A, Captura_Obra!A68, Captura_Pegaso!$D:$D, Captura_Obra!B68, Captura_Pegaso!$E:$E, Captura_Obra!D68) + SUMIFS(Captura_Marimba_M01!$G:$G, Captura_Marimba_M01!$A:$A, Captura_Obra!A68, Captura_Marimba_M01!$C:$C, Captura_Obra!B68, Captura_Marimba_M01!$D:$D, Captura_Obra!D68))&gt;0), "", Captura_Obra!D68)</f>
        <v/>
      </c>
      <c r="H364" s="10127">
        <f>IF(OR(Captura_Obra!A68="", (SUMIFS(Captura_Pegaso!$H:$H, Captura_Pegaso!$A:$A, Captura_Obra!A68, Captura_Pegaso!$D:$D, Captura_Obra!B68, Captura_Pegaso!$E:$E, Captura_Obra!D68) + SUMIFS(Captura_Marimba_M01!$G:$G, Captura_Marimba_M01!$A:$A, Captura_Obra!A68, Captura_Marimba_M01!$C:$C, Captura_Obra!B68, Captura_Marimba_M01!$D:$D, Captura_Obra!D68))&gt;0), "", 0)</f>
        <v/>
      </c>
      <c r="I364" s="10128">
        <f>IF(OR(Captura_Obra!A68="", (SUMIFS(Captura_Pegaso!$H:$H, Captura_Pegaso!$A:$A, Captura_Obra!A68, Captura_Pegaso!$D:$D, Captura_Obra!B68, Captura_Pegaso!$E:$E, Captura_Obra!D68) + SUMIFS(Captura_Marimba_M01!$G:$G, Captura_Marimba_M01!$A:$A, Captura_Obra!A68, Captura_Marimba_M01!$C:$C, Captura_Obra!B68, Captura_Marimba_M01!$D:$D, Captura_Obra!D68))&gt;0), "", Captura_Obra!F68)</f>
        <v/>
      </c>
      <c r="J364" s="10129">
        <f>IF(OR(Captura_Obra!A68="", (SUMIFS(Captura_Pegaso!$H:$H, Captura_Pegaso!$A:$A, Captura_Obra!A68, Captura_Pegaso!$D:$D, Captura_Obra!B68, Captura_Pegaso!$E:$E, Captura_Obra!D68) + SUMIFS(Captura_Marimba_M01!$G:$G, Captura_Marimba_M01!$A:$A, Captura_Obra!A68, Captura_Marimba_M01!$C:$C, Captura_Obra!B68, Captura_Marimba_M01!$D:$D, Captura_Obra!D68))&gt;0), "", H364 - I364)</f>
        <v/>
      </c>
      <c r="K364" s="4173" t="n"/>
    </row>
    <row r="365">
      <c r="A365" s="10130">
        <f>IF(OR(Captura_Obra!A69="", (SUMIFS(Captura_Pegaso!$H:$H, Captura_Pegaso!$A:$A, Captura_Obra!A69, Captura_Pegaso!$D:$D, Captura_Obra!B69, Captura_Pegaso!$E:$E, Captura_Obra!D69) + SUMIFS(Captura_Marimba_M01!$G:$G, Captura_Marimba_M01!$A:$A, Captura_Obra!A69, Captura_Marimba_M01!$C:$C, Captura_Obra!B69, Captura_Marimba_M01!$D:$D, Captura_Obra!D69))&gt;0), "", "Huérfano Obra")</f>
        <v/>
      </c>
      <c r="B365" s="10131">
        <f>IF(OR(Captura_Obra!A69="", (SUMIFS(Captura_Pegaso!$H:$H, Captura_Pegaso!$A:$A, Captura_Obra!A69, Captura_Pegaso!$D:$D, Captura_Obra!B69, Captura_Pegaso!$E:$E, Captura_Obra!D69) + SUMIFS(Captura_Marimba_M01!$G:$G, Captura_Marimba_M01!$A:$A, Captura_Obra!A69, Captura_Marimba_M01!$C:$C, Captura_Obra!B69, Captura_Marimba_M01!$D:$D, Captura_Obra!D69))&gt;0), "", "No Reportado")</f>
        <v/>
      </c>
      <c r="C365" s="10132">
        <f>IF(OR(Captura_Obra!A69="", (SUMIFS(Captura_Pegaso!$H:$H, Captura_Pegaso!$A:$A, Captura_Obra!A69, Captura_Pegaso!$D:$D, Captura_Obra!B69, Captura_Pegaso!$E:$E, Captura_Obra!D69) + SUMIFS(Captura_Marimba_M01!$G:$G, Captura_Marimba_M01!$A:$A, Captura_Obra!A69, Captura_Marimba_M01!$C:$C, Captura_Obra!B69, Captura_Marimba_M01!$D:$D, Captura_Obra!D69))&gt;0), "", Captura_Obra!N69)</f>
        <v/>
      </c>
      <c r="D365" s="10133">
        <f>IF(OR(Captura_Obra!A69="", (SUMIFS(Captura_Pegaso!$H:$H, Captura_Pegaso!$A:$A, Captura_Obra!A69, Captura_Pegaso!$D:$D, Captura_Obra!B69, Captura_Pegaso!$E:$E, Captura_Obra!D69) + SUMIFS(Captura_Marimba_M01!$G:$G, Captura_Marimba_M01!$A:$A, Captura_Obra!A69, Captura_Marimba_M01!$C:$C, Captura_Obra!B69, Captura_Marimba_M01!$D:$D, Captura_Obra!D69))&gt;0), "", "❌ Falta en Pipa")</f>
        <v/>
      </c>
      <c r="E365" s="10134">
        <f>IF(OR(Captura_Obra!A69="", (SUMIFS(Captura_Pegaso!$H:$H, Captura_Pegaso!$A:$A, Captura_Obra!A69, Captura_Pegaso!$D:$D, Captura_Obra!B69, Captura_Pegaso!$E:$E, Captura_Obra!D69) + SUMIFS(Captura_Marimba_M01!$G:$G, Captura_Marimba_M01!$A:$A, Captura_Obra!A69, Captura_Marimba_M01!$C:$C, Captura_Obra!B69, Captura_Marimba_M01!$D:$D, Captura_Obra!D69))&gt;0), "", Captura_Obra!A69)</f>
        <v/>
      </c>
      <c r="F365" s="10135">
        <f>IF(OR(Captura_Obra!A69="", (SUMIFS(Captura_Pegaso!$H:$H, Captura_Pegaso!$A:$A, Captura_Obra!A69, Captura_Pegaso!$D:$D, Captura_Obra!B69, Captura_Pegaso!$E:$E, Captura_Obra!D69) + SUMIFS(Captura_Marimba_M01!$G:$G, Captura_Marimba_M01!$A:$A, Captura_Obra!A69, Captura_Marimba_M01!$C:$C, Captura_Obra!B69, Captura_Marimba_M01!$D:$D, Captura_Obra!D69))&gt;0), "", Captura_Obra!B69)</f>
        <v/>
      </c>
      <c r="G365" s="10136">
        <f>IF(OR(Captura_Obra!A69="", (SUMIFS(Captura_Pegaso!$H:$H, Captura_Pegaso!$A:$A, Captura_Obra!A69, Captura_Pegaso!$D:$D, Captura_Obra!B69, Captura_Pegaso!$E:$E, Captura_Obra!D69) + SUMIFS(Captura_Marimba_M01!$G:$G, Captura_Marimba_M01!$A:$A, Captura_Obra!A69, Captura_Marimba_M01!$C:$C, Captura_Obra!B69, Captura_Marimba_M01!$D:$D, Captura_Obra!D69))&gt;0), "", Captura_Obra!D69)</f>
        <v/>
      </c>
      <c r="H365" s="10137">
        <f>IF(OR(Captura_Obra!A69="", (SUMIFS(Captura_Pegaso!$H:$H, Captura_Pegaso!$A:$A, Captura_Obra!A69, Captura_Pegaso!$D:$D, Captura_Obra!B69, Captura_Pegaso!$E:$E, Captura_Obra!D69) + SUMIFS(Captura_Marimba_M01!$G:$G, Captura_Marimba_M01!$A:$A, Captura_Obra!A69, Captura_Marimba_M01!$C:$C, Captura_Obra!B69, Captura_Marimba_M01!$D:$D, Captura_Obra!D69))&gt;0), "", 0)</f>
        <v/>
      </c>
      <c r="I365" s="10138">
        <f>IF(OR(Captura_Obra!A69="", (SUMIFS(Captura_Pegaso!$H:$H, Captura_Pegaso!$A:$A, Captura_Obra!A69, Captura_Pegaso!$D:$D, Captura_Obra!B69, Captura_Pegaso!$E:$E, Captura_Obra!D69) + SUMIFS(Captura_Marimba_M01!$G:$G, Captura_Marimba_M01!$A:$A, Captura_Obra!A69, Captura_Marimba_M01!$C:$C, Captura_Obra!B69, Captura_Marimba_M01!$D:$D, Captura_Obra!D69))&gt;0), "", Captura_Obra!F69)</f>
        <v/>
      </c>
      <c r="J365" s="10139">
        <f>IF(OR(Captura_Obra!A69="", (SUMIFS(Captura_Pegaso!$H:$H, Captura_Pegaso!$A:$A, Captura_Obra!A69, Captura_Pegaso!$D:$D, Captura_Obra!B69, Captura_Pegaso!$E:$E, Captura_Obra!D69) + SUMIFS(Captura_Marimba_M01!$G:$G, Captura_Marimba_M01!$A:$A, Captura_Obra!A69, Captura_Marimba_M01!$C:$C, Captura_Obra!B69, Captura_Marimba_M01!$D:$D, Captura_Obra!D69))&gt;0), "", H365 - I365)</f>
        <v/>
      </c>
      <c r="K365" s="4174" t="n"/>
    </row>
    <row r="366">
      <c r="A366" s="10140">
        <f>IF(OR(Captura_Obra!A70="", (SUMIFS(Captura_Pegaso!$H:$H, Captura_Pegaso!$A:$A, Captura_Obra!A70, Captura_Pegaso!$D:$D, Captura_Obra!B70, Captura_Pegaso!$E:$E, Captura_Obra!D70) + SUMIFS(Captura_Marimba_M01!$G:$G, Captura_Marimba_M01!$A:$A, Captura_Obra!A70, Captura_Marimba_M01!$C:$C, Captura_Obra!B70, Captura_Marimba_M01!$D:$D, Captura_Obra!D70))&gt;0), "", "Huérfano Obra")</f>
        <v/>
      </c>
      <c r="B366" s="10141">
        <f>IF(OR(Captura_Obra!A70="", (SUMIFS(Captura_Pegaso!$H:$H, Captura_Pegaso!$A:$A, Captura_Obra!A70, Captura_Pegaso!$D:$D, Captura_Obra!B70, Captura_Pegaso!$E:$E, Captura_Obra!D70) + SUMIFS(Captura_Marimba_M01!$G:$G, Captura_Marimba_M01!$A:$A, Captura_Obra!A70, Captura_Marimba_M01!$C:$C, Captura_Obra!B70, Captura_Marimba_M01!$D:$D, Captura_Obra!D70))&gt;0), "", "No Reportado")</f>
        <v/>
      </c>
      <c r="C366" s="10142">
        <f>IF(OR(Captura_Obra!A70="", (SUMIFS(Captura_Pegaso!$H:$H, Captura_Pegaso!$A:$A, Captura_Obra!A70, Captura_Pegaso!$D:$D, Captura_Obra!B70, Captura_Pegaso!$E:$E, Captura_Obra!D70) + SUMIFS(Captura_Marimba_M01!$G:$G, Captura_Marimba_M01!$A:$A, Captura_Obra!A70, Captura_Marimba_M01!$C:$C, Captura_Obra!B70, Captura_Marimba_M01!$D:$D, Captura_Obra!D70))&gt;0), "", Captura_Obra!N70)</f>
        <v/>
      </c>
      <c r="D366" s="10143">
        <f>IF(OR(Captura_Obra!A70="", (SUMIFS(Captura_Pegaso!$H:$H, Captura_Pegaso!$A:$A, Captura_Obra!A70, Captura_Pegaso!$D:$D, Captura_Obra!B70, Captura_Pegaso!$E:$E, Captura_Obra!D70) + SUMIFS(Captura_Marimba_M01!$G:$G, Captura_Marimba_M01!$A:$A, Captura_Obra!A70, Captura_Marimba_M01!$C:$C, Captura_Obra!B70, Captura_Marimba_M01!$D:$D, Captura_Obra!D70))&gt;0), "", "❌ Falta en Pipa")</f>
        <v/>
      </c>
      <c r="E366" s="10144">
        <f>IF(OR(Captura_Obra!A70="", (SUMIFS(Captura_Pegaso!$H:$H, Captura_Pegaso!$A:$A, Captura_Obra!A70, Captura_Pegaso!$D:$D, Captura_Obra!B70, Captura_Pegaso!$E:$E, Captura_Obra!D70) + SUMIFS(Captura_Marimba_M01!$G:$G, Captura_Marimba_M01!$A:$A, Captura_Obra!A70, Captura_Marimba_M01!$C:$C, Captura_Obra!B70, Captura_Marimba_M01!$D:$D, Captura_Obra!D70))&gt;0), "", Captura_Obra!A70)</f>
        <v/>
      </c>
      <c r="F366" s="10145">
        <f>IF(OR(Captura_Obra!A70="", (SUMIFS(Captura_Pegaso!$H:$H, Captura_Pegaso!$A:$A, Captura_Obra!A70, Captura_Pegaso!$D:$D, Captura_Obra!B70, Captura_Pegaso!$E:$E, Captura_Obra!D70) + SUMIFS(Captura_Marimba_M01!$G:$G, Captura_Marimba_M01!$A:$A, Captura_Obra!A70, Captura_Marimba_M01!$C:$C, Captura_Obra!B70, Captura_Marimba_M01!$D:$D, Captura_Obra!D70))&gt;0), "", Captura_Obra!B70)</f>
        <v/>
      </c>
      <c r="G366" s="10146">
        <f>IF(OR(Captura_Obra!A70="", (SUMIFS(Captura_Pegaso!$H:$H, Captura_Pegaso!$A:$A, Captura_Obra!A70, Captura_Pegaso!$D:$D, Captura_Obra!B70, Captura_Pegaso!$E:$E, Captura_Obra!D70) + SUMIFS(Captura_Marimba_M01!$G:$G, Captura_Marimba_M01!$A:$A, Captura_Obra!A70, Captura_Marimba_M01!$C:$C, Captura_Obra!B70, Captura_Marimba_M01!$D:$D, Captura_Obra!D70))&gt;0), "", Captura_Obra!D70)</f>
        <v/>
      </c>
      <c r="H366" s="10147">
        <f>IF(OR(Captura_Obra!A70="", (SUMIFS(Captura_Pegaso!$H:$H, Captura_Pegaso!$A:$A, Captura_Obra!A70, Captura_Pegaso!$D:$D, Captura_Obra!B70, Captura_Pegaso!$E:$E, Captura_Obra!D70) + SUMIFS(Captura_Marimba_M01!$G:$G, Captura_Marimba_M01!$A:$A, Captura_Obra!A70, Captura_Marimba_M01!$C:$C, Captura_Obra!B70, Captura_Marimba_M01!$D:$D, Captura_Obra!D70))&gt;0), "", 0)</f>
        <v/>
      </c>
      <c r="I366" s="10148">
        <f>IF(OR(Captura_Obra!A70="", (SUMIFS(Captura_Pegaso!$H:$H, Captura_Pegaso!$A:$A, Captura_Obra!A70, Captura_Pegaso!$D:$D, Captura_Obra!B70, Captura_Pegaso!$E:$E, Captura_Obra!D70) + SUMIFS(Captura_Marimba_M01!$G:$G, Captura_Marimba_M01!$A:$A, Captura_Obra!A70, Captura_Marimba_M01!$C:$C, Captura_Obra!B70, Captura_Marimba_M01!$D:$D, Captura_Obra!D70))&gt;0), "", Captura_Obra!F70)</f>
        <v/>
      </c>
      <c r="J366" s="10149">
        <f>IF(OR(Captura_Obra!A70="", (SUMIFS(Captura_Pegaso!$H:$H, Captura_Pegaso!$A:$A, Captura_Obra!A70, Captura_Pegaso!$D:$D, Captura_Obra!B70, Captura_Pegaso!$E:$E, Captura_Obra!D70) + SUMIFS(Captura_Marimba_M01!$G:$G, Captura_Marimba_M01!$A:$A, Captura_Obra!A70, Captura_Marimba_M01!$C:$C, Captura_Obra!B70, Captura_Marimba_M01!$D:$D, Captura_Obra!D70))&gt;0), "", H366 - I366)</f>
        <v/>
      </c>
      <c r="K366" s="4175" t="n"/>
    </row>
    <row r="367">
      <c r="A367" s="10150">
        <f>IF(OR(Captura_Obra!A71="", (SUMIFS(Captura_Pegaso!$H:$H, Captura_Pegaso!$A:$A, Captura_Obra!A71, Captura_Pegaso!$D:$D, Captura_Obra!B71, Captura_Pegaso!$E:$E, Captura_Obra!D71) + SUMIFS(Captura_Marimba_M01!$G:$G, Captura_Marimba_M01!$A:$A, Captura_Obra!A71, Captura_Marimba_M01!$C:$C, Captura_Obra!B71, Captura_Marimba_M01!$D:$D, Captura_Obra!D71))&gt;0), "", "Huérfano Obra")</f>
        <v/>
      </c>
      <c r="B367" s="10151">
        <f>IF(OR(Captura_Obra!A71="", (SUMIFS(Captura_Pegaso!$H:$H, Captura_Pegaso!$A:$A, Captura_Obra!A71, Captura_Pegaso!$D:$D, Captura_Obra!B71, Captura_Pegaso!$E:$E, Captura_Obra!D71) + SUMIFS(Captura_Marimba_M01!$G:$G, Captura_Marimba_M01!$A:$A, Captura_Obra!A71, Captura_Marimba_M01!$C:$C, Captura_Obra!B71, Captura_Marimba_M01!$D:$D, Captura_Obra!D71))&gt;0), "", "No Reportado")</f>
        <v/>
      </c>
      <c r="C367" s="10152">
        <f>IF(OR(Captura_Obra!A71="", (SUMIFS(Captura_Pegaso!$H:$H, Captura_Pegaso!$A:$A, Captura_Obra!A71, Captura_Pegaso!$D:$D, Captura_Obra!B71, Captura_Pegaso!$E:$E, Captura_Obra!D71) + SUMIFS(Captura_Marimba_M01!$G:$G, Captura_Marimba_M01!$A:$A, Captura_Obra!A71, Captura_Marimba_M01!$C:$C, Captura_Obra!B71, Captura_Marimba_M01!$D:$D, Captura_Obra!D71))&gt;0), "", Captura_Obra!N71)</f>
        <v/>
      </c>
      <c r="D367" s="10153">
        <f>IF(OR(Captura_Obra!A71="", (SUMIFS(Captura_Pegaso!$H:$H, Captura_Pegaso!$A:$A, Captura_Obra!A71, Captura_Pegaso!$D:$D, Captura_Obra!B71, Captura_Pegaso!$E:$E, Captura_Obra!D71) + SUMIFS(Captura_Marimba_M01!$G:$G, Captura_Marimba_M01!$A:$A, Captura_Obra!A71, Captura_Marimba_M01!$C:$C, Captura_Obra!B71, Captura_Marimba_M01!$D:$D, Captura_Obra!D71))&gt;0), "", "❌ Falta en Pipa")</f>
        <v/>
      </c>
      <c r="E367" s="10154">
        <f>IF(OR(Captura_Obra!A71="", (SUMIFS(Captura_Pegaso!$H:$H, Captura_Pegaso!$A:$A, Captura_Obra!A71, Captura_Pegaso!$D:$D, Captura_Obra!B71, Captura_Pegaso!$E:$E, Captura_Obra!D71) + SUMIFS(Captura_Marimba_M01!$G:$G, Captura_Marimba_M01!$A:$A, Captura_Obra!A71, Captura_Marimba_M01!$C:$C, Captura_Obra!B71, Captura_Marimba_M01!$D:$D, Captura_Obra!D71))&gt;0), "", Captura_Obra!A71)</f>
        <v/>
      </c>
      <c r="F367" s="10155">
        <f>IF(OR(Captura_Obra!A71="", (SUMIFS(Captura_Pegaso!$H:$H, Captura_Pegaso!$A:$A, Captura_Obra!A71, Captura_Pegaso!$D:$D, Captura_Obra!B71, Captura_Pegaso!$E:$E, Captura_Obra!D71) + SUMIFS(Captura_Marimba_M01!$G:$G, Captura_Marimba_M01!$A:$A, Captura_Obra!A71, Captura_Marimba_M01!$C:$C, Captura_Obra!B71, Captura_Marimba_M01!$D:$D, Captura_Obra!D71))&gt;0), "", Captura_Obra!B71)</f>
        <v/>
      </c>
      <c r="G367" s="10156">
        <f>IF(OR(Captura_Obra!A71="", (SUMIFS(Captura_Pegaso!$H:$H, Captura_Pegaso!$A:$A, Captura_Obra!A71, Captura_Pegaso!$D:$D, Captura_Obra!B71, Captura_Pegaso!$E:$E, Captura_Obra!D71) + SUMIFS(Captura_Marimba_M01!$G:$G, Captura_Marimba_M01!$A:$A, Captura_Obra!A71, Captura_Marimba_M01!$C:$C, Captura_Obra!B71, Captura_Marimba_M01!$D:$D, Captura_Obra!D71))&gt;0), "", Captura_Obra!D71)</f>
        <v/>
      </c>
      <c r="H367" s="10157">
        <f>IF(OR(Captura_Obra!A71="", (SUMIFS(Captura_Pegaso!$H:$H, Captura_Pegaso!$A:$A, Captura_Obra!A71, Captura_Pegaso!$D:$D, Captura_Obra!B71, Captura_Pegaso!$E:$E, Captura_Obra!D71) + SUMIFS(Captura_Marimba_M01!$G:$G, Captura_Marimba_M01!$A:$A, Captura_Obra!A71, Captura_Marimba_M01!$C:$C, Captura_Obra!B71, Captura_Marimba_M01!$D:$D, Captura_Obra!D71))&gt;0), "", 0)</f>
        <v/>
      </c>
      <c r="I367" s="10158">
        <f>IF(OR(Captura_Obra!A71="", (SUMIFS(Captura_Pegaso!$H:$H, Captura_Pegaso!$A:$A, Captura_Obra!A71, Captura_Pegaso!$D:$D, Captura_Obra!B71, Captura_Pegaso!$E:$E, Captura_Obra!D71) + SUMIFS(Captura_Marimba_M01!$G:$G, Captura_Marimba_M01!$A:$A, Captura_Obra!A71, Captura_Marimba_M01!$C:$C, Captura_Obra!B71, Captura_Marimba_M01!$D:$D, Captura_Obra!D71))&gt;0), "", Captura_Obra!F71)</f>
        <v/>
      </c>
      <c r="J367" s="10159">
        <f>IF(OR(Captura_Obra!A71="", (SUMIFS(Captura_Pegaso!$H:$H, Captura_Pegaso!$A:$A, Captura_Obra!A71, Captura_Pegaso!$D:$D, Captura_Obra!B71, Captura_Pegaso!$E:$E, Captura_Obra!D71) + SUMIFS(Captura_Marimba_M01!$G:$G, Captura_Marimba_M01!$A:$A, Captura_Obra!A71, Captura_Marimba_M01!$C:$C, Captura_Obra!B71, Captura_Marimba_M01!$D:$D, Captura_Obra!D71))&gt;0), "", H367 - I367)</f>
        <v/>
      </c>
      <c r="K367" s="4176" t="n"/>
    </row>
    <row r="368">
      <c r="A368" s="10160">
        <f>IF(OR(Captura_Obra!A72="", (SUMIFS(Captura_Pegaso!$H:$H, Captura_Pegaso!$A:$A, Captura_Obra!A72, Captura_Pegaso!$D:$D, Captura_Obra!B72, Captura_Pegaso!$E:$E, Captura_Obra!D72) + SUMIFS(Captura_Marimba_M01!$G:$G, Captura_Marimba_M01!$A:$A, Captura_Obra!A72, Captura_Marimba_M01!$C:$C, Captura_Obra!B72, Captura_Marimba_M01!$D:$D, Captura_Obra!D72))&gt;0), "", "Huérfano Obra")</f>
        <v/>
      </c>
      <c r="B368" s="10161">
        <f>IF(OR(Captura_Obra!A72="", (SUMIFS(Captura_Pegaso!$H:$H, Captura_Pegaso!$A:$A, Captura_Obra!A72, Captura_Pegaso!$D:$D, Captura_Obra!B72, Captura_Pegaso!$E:$E, Captura_Obra!D72) + SUMIFS(Captura_Marimba_M01!$G:$G, Captura_Marimba_M01!$A:$A, Captura_Obra!A72, Captura_Marimba_M01!$C:$C, Captura_Obra!B72, Captura_Marimba_M01!$D:$D, Captura_Obra!D72))&gt;0), "", "No Reportado")</f>
        <v/>
      </c>
      <c r="C368" s="10162">
        <f>IF(OR(Captura_Obra!A72="", (SUMIFS(Captura_Pegaso!$H:$H, Captura_Pegaso!$A:$A, Captura_Obra!A72, Captura_Pegaso!$D:$D, Captura_Obra!B72, Captura_Pegaso!$E:$E, Captura_Obra!D72) + SUMIFS(Captura_Marimba_M01!$G:$G, Captura_Marimba_M01!$A:$A, Captura_Obra!A72, Captura_Marimba_M01!$C:$C, Captura_Obra!B72, Captura_Marimba_M01!$D:$D, Captura_Obra!D72))&gt;0), "", Captura_Obra!N72)</f>
        <v/>
      </c>
      <c r="D368" s="10163">
        <f>IF(OR(Captura_Obra!A72="", (SUMIFS(Captura_Pegaso!$H:$H, Captura_Pegaso!$A:$A, Captura_Obra!A72, Captura_Pegaso!$D:$D, Captura_Obra!B72, Captura_Pegaso!$E:$E, Captura_Obra!D72) + SUMIFS(Captura_Marimba_M01!$G:$G, Captura_Marimba_M01!$A:$A, Captura_Obra!A72, Captura_Marimba_M01!$C:$C, Captura_Obra!B72, Captura_Marimba_M01!$D:$D, Captura_Obra!D72))&gt;0), "", "❌ Falta en Pipa")</f>
        <v/>
      </c>
      <c r="E368" s="10164">
        <f>IF(OR(Captura_Obra!A72="", (SUMIFS(Captura_Pegaso!$H:$H, Captura_Pegaso!$A:$A, Captura_Obra!A72, Captura_Pegaso!$D:$D, Captura_Obra!B72, Captura_Pegaso!$E:$E, Captura_Obra!D72) + SUMIFS(Captura_Marimba_M01!$G:$G, Captura_Marimba_M01!$A:$A, Captura_Obra!A72, Captura_Marimba_M01!$C:$C, Captura_Obra!B72, Captura_Marimba_M01!$D:$D, Captura_Obra!D72))&gt;0), "", Captura_Obra!A72)</f>
        <v/>
      </c>
      <c r="F368" s="10165">
        <f>IF(OR(Captura_Obra!A72="", (SUMIFS(Captura_Pegaso!$H:$H, Captura_Pegaso!$A:$A, Captura_Obra!A72, Captura_Pegaso!$D:$D, Captura_Obra!B72, Captura_Pegaso!$E:$E, Captura_Obra!D72) + SUMIFS(Captura_Marimba_M01!$G:$G, Captura_Marimba_M01!$A:$A, Captura_Obra!A72, Captura_Marimba_M01!$C:$C, Captura_Obra!B72, Captura_Marimba_M01!$D:$D, Captura_Obra!D72))&gt;0), "", Captura_Obra!B72)</f>
        <v/>
      </c>
      <c r="G368" s="10166">
        <f>IF(OR(Captura_Obra!A72="", (SUMIFS(Captura_Pegaso!$H:$H, Captura_Pegaso!$A:$A, Captura_Obra!A72, Captura_Pegaso!$D:$D, Captura_Obra!B72, Captura_Pegaso!$E:$E, Captura_Obra!D72) + SUMIFS(Captura_Marimba_M01!$G:$G, Captura_Marimba_M01!$A:$A, Captura_Obra!A72, Captura_Marimba_M01!$C:$C, Captura_Obra!B72, Captura_Marimba_M01!$D:$D, Captura_Obra!D72))&gt;0), "", Captura_Obra!D72)</f>
        <v/>
      </c>
      <c r="H368" s="10167">
        <f>IF(OR(Captura_Obra!A72="", (SUMIFS(Captura_Pegaso!$H:$H, Captura_Pegaso!$A:$A, Captura_Obra!A72, Captura_Pegaso!$D:$D, Captura_Obra!B72, Captura_Pegaso!$E:$E, Captura_Obra!D72) + SUMIFS(Captura_Marimba_M01!$G:$G, Captura_Marimba_M01!$A:$A, Captura_Obra!A72, Captura_Marimba_M01!$C:$C, Captura_Obra!B72, Captura_Marimba_M01!$D:$D, Captura_Obra!D72))&gt;0), "", 0)</f>
        <v/>
      </c>
      <c r="I368" s="10168">
        <f>IF(OR(Captura_Obra!A72="", (SUMIFS(Captura_Pegaso!$H:$H, Captura_Pegaso!$A:$A, Captura_Obra!A72, Captura_Pegaso!$D:$D, Captura_Obra!B72, Captura_Pegaso!$E:$E, Captura_Obra!D72) + SUMIFS(Captura_Marimba_M01!$G:$G, Captura_Marimba_M01!$A:$A, Captura_Obra!A72, Captura_Marimba_M01!$C:$C, Captura_Obra!B72, Captura_Marimba_M01!$D:$D, Captura_Obra!D72))&gt;0), "", Captura_Obra!F72)</f>
        <v/>
      </c>
      <c r="J368" s="10169">
        <f>IF(OR(Captura_Obra!A72="", (SUMIFS(Captura_Pegaso!$H:$H, Captura_Pegaso!$A:$A, Captura_Obra!A72, Captura_Pegaso!$D:$D, Captura_Obra!B72, Captura_Pegaso!$E:$E, Captura_Obra!D72) + SUMIFS(Captura_Marimba_M01!$G:$G, Captura_Marimba_M01!$A:$A, Captura_Obra!A72, Captura_Marimba_M01!$C:$C, Captura_Obra!B72, Captura_Marimba_M01!$D:$D, Captura_Obra!D72))&gt;0), "", H368 - I368)</f>
        <v/>
      </c>
      <c r="K368" s="4177" t="n"/>
    </row>
    <row r="369">
      <c r="A369" s="10170">
        <f>IF(OR(Captura_Obra!A73="", (SUMIFS(Captura_Pegaso!$H:$H, Captura_Pegaso!$A:$A, Captura_Obra!A73, Captura_Pegaso!$D:$D, Captura_Obra!B73, Captura_Pegaso!$E:$E, Captura_Obra!D73) + SUMIFS(Captura_Marimba_M01!$G:$G, Captura_Marimba_M01!$A:$A, Captura_Obra!A73, Captura_Marimba_M01!$C:$C, Captura_Obra!B73, Captura_Marimba_M01!$D:$D, Captura_Obra!D73))&gt;0), "", "Huérfano Obra")</f>
        <v/>
      </c>
      <c r="B369" s="10171">
        <f>IF(OR(Captura_Obra!A73="", (SUMIFS(Captura_Pegaso!$H:$H, Captura_Pegaso!$A:$A, Captura_Obra!A73, Captura_Pegaso!$D:$D, Captura_Obra!B73, Captura_Pegaso!$E:$E, Captura_Obra!D73) + SUMIFS(Captura_Marimba_M01!$G:$G, Captura_Marimba_M01!$A:$A, Captura_Obra!A73, Captura_Marimba_M01!$C:$C, Captura_Obra!B73, Captura_Marimba_M01!$D:$D, Captura_Obra!D73))&gt;0), "", "No Reportado")</f>
        <v/>
      </c>
      <c r="C369" s="10172">
        <f>IF(OR(Captura_Obra!A73="", (SUMIFS(Captura_Pegaso!$H:$H, Captura_Pegaso!$A:$A, Captura_Obra!A73, Captura_Pegaso!$D:$D, Captura_Obra!B73, Captura_Pegaso!$E:$E, Captura_Obra!D73) + SUMIFS(Captura_Marimba_M01!$G:$G, Captura_Marimba_M01!$A:$A, Captura_Obra!A73, Captura_Marimba_M01!$C:$C, Captura_Obra!B73, Captura_Marimba_M01!$D:$D, Captura_Obra!D73))&gt;0), "", Captura_Obra!N73)</f>
        <v/>
      </c>
      <c r="D369" s="10173">
        <f>IF(OR(Captura_Obra!A73="", (SUMIFS(Captura_Pegaso!$H:$H, Captura_Pegaso!$A:$A, Captura_Obra!A73, Captura_Pegaso!$D:$D, Captura_Obra!B73, Captura_Pegaso!$E:$E, Captura_Obra!D73) + SUMIFS(Captura_Marimba_M01!$G:$G, Captura_Marimba_M01!$A:$A, Captura_Obra!A73, Captura_Marimba_M01!$C:$C, Captura_Obra!B73, Captura_Marimba_M01!$D:$D, Captura_Obra!D73))&gt;0), "", "❌ Falta en Pipa")</f>
        <v/>
      </c>
      <c r="E369" s="10174">
        <f>IF(OR(Captura_Obra!A73="", (SUMIFS(Captura_Pegaso!$H:$H, Captura_Pegaso!$A:$A, Captura_Obra!A73, Captura_Pegaso!$D:$D, Captura_Obra!B73, Captura_Pegaso!$E:$E, Captura_Obra!D73) + SUMIFS(Captura_Marimba_M01!$G:$G, Captura_Marimba_M01!$A:$A, Captura_Obra!A73, Captura_Marimba_M01!$C:$C, Captura_Obra!B73, Captura_Marimba_M01!$D:$D, Captura_Obra!D73))&gt;0), "", Captura_Obra!A73)</f>
        <v/>
      </c>
      <c r="F369" s="10175">
        <f>IF(OR(Captura_Obra!A73="", (SUMIFS(Captura_Pegaso!$H:$H, Captura_Pegaso!$A:$A, Captura_Obra!A73, Captura_Pegaso!$D:$D, Captura_Obra!B73, Captura_Pegaso!$E:$E, Captura_Obra!D73) + SUMIFS(Captura_Marimba_M01!$G:$G, Captura_Marimba_M01!$A:$A, Captura_Obra!A73, Captura_Marimba_M01!$C:$C, Captura_Obra!B73, Captura_Marimba_M01!$D:$D, Captura_Obra!D73))&gt;0), "", Captura_Obra!B73)</f>
        <v/>
      </c>
      <c r="G369" s="10176">
        <f>IF(OR(Captura_Obra!A73="", (SUMIFS(Captura_Pegaso!$H:$H, Captura_Pegaso!$A:$A, Captura_Obra!A73, Captura_Pegaso!$D:$D, Captura_Obra!B73, Captura_Pegaso!$E:$E, Captura_Obra!D73) + SUMIFS(Captura_Marimba_M01!$G:$G, Captura_Marimba_M01!$A:$A, Captura_Obra!A73, Captura_Marimba_M01!$C:$C, Captura_Obra!B73, Captura_Marimba_M01!$D:$D, Captura_Obra!D73))&gt;0), "", Captura_Obra!D73)</f>
        <v/>
      </c>
      <c r="H369" s="10177">
        <f>IF(OR(Captura_Obra!A73="", (SUMIFS(Captura_Pegaso!$H:$H, Captura_Pegaso!$A:$A, Captura_Obra!A73, Captura_Pegaso!$D:$D, Captura_Obra!B73, Captura_Pegaso!$E:$E, Captura_Obra!D73) + SUMIFS(Captura_Marimba_M01!$G:$G, Captura_Marimba_M01!$A:$A, Captura_Obra!A73, Captura_Marimba_M01!$C:$C, Captura_Obra!B73, Captura_Marimba_M01!$D:$D, Captura_Obra!D73))&gt;0), "", 0)</f>
        <v/>
      </c>
      <c r="I369" s="10178">
        <f>IF(OR(Captura_Obra!A73="", (SUMIFS(Captura_Pegaso!$H:$H, Captura_Pegaso!$A:$A, Captura_Obra!A73, Captura_Pegaso!$D:$D, Captura_Obra!B73, Captura_Pegaso!$E:$E, Captura_Obra!D73) + SUMIFS(Captura_Marimba_M01!$G:$G, Captura_Marimba_M01!$A:$A, Captura_Obra!A73, Captura_Marimba_M01!$C:$C, Captura_Obra!B73, Captura_Marimba_M01!$D:$D, Captura_Obra!D73))&gt;0), "", Captura_Obra!F73)</f>
        <v/>
      </c>
      <c r="J369" s="10179">
        <f>IF(OR(Captura_Obra!A73="", (SUMIFS(Captura_Pegaso!$H:$H, Captura_Pegaso!$A:$A, Captura_Obra!A73, Captura_Pegaso!$D:$D, Captura_Obra!B73, Captura_Pegaso!$E:$E, Captura_Obra!D73) + SUMIFS(Captura_Marimba_M01!$G:$G, Captura_Marimba_M01!$A:$A, Captura_Obra!A73, Captura_Marimba_M01!$C:$C, Captura_Obra!B73, Captura_Marimba_M01!$D:$D, Captura_Obra!D73))&gt;0), "", H369 - I369)</f>
        <v/>
      </c>
      <c r="K369" s="4178" t="n"/>
    </row>
    <row r="370">
      <c r="A370" s="10180">
        <f>IF(OR(Captura_Obra!A74="", (SUMIFS(Captura_Pegaso!$H:$H, Captura_Pegaso!$A:$A, Captura_Obra!A74, Captura_Pegaso!$D:$D, Captura_Obra!B74, Captura_Pegaso!$E:$E, Captura_Obra!D74) + SUMIFS(Captura_Marimba_M01!$G:$G, Captura_Marimba_M01!$A:$A, Captura_Obra!A74, Captura_Marimba_M01!$C:$C, Captura_Obra!B74, Captura_Marimba_M01!$D:$D, Captura_Obra!D74))&gt;0), "", "Huérfano Obra")</f>
        <v/>
      </c>
      <c r="B370" s="10181">
        <f>IF(OR(Captura_Obra!A74="", (SUMIFS(Captura_Pegaso!$H:$H, Captura_Pegaso!$A:$A, Captura_Obra!A74, Captura_Pegaso!$D:$D, Captura_Obra!B74, Captura_Pegaso!$E:$E, Captura_Obra!D74) + SUMIFS(Captura_Marimba_M01!$G:$G, Captura_Marimba_M01!$A:$A, Captura_Obra!A74, Captura_Marimba_M01!$C:$C, Captura_Obra!B74, Captura_Marimba_M01!$D:$D, Captura_Obra!D74))&gt;0), "", "No Reportado")</f>
        <v/>
      </c>
      <c r="C370" s="10182">
        <f>IF(OR(Captura_Obra!A74="", (SUMIFS(Captura_Pegaso!$H:$H, Captura_Pegaso!$A:$A, Captura_Obra!A74, Captura_Pegaso!$D:$D, Captura_Obra!B74, Captura_Pegaso!$E:$E, Captura_Obra!D74) + SUMIFS(Captura_Marimba_M01!$G:$G, Captura_Marimba_M01!$A:$A, Captura_Obra!A74, Captura_Marimba_M01!$C:$C, Captura_Obra!B74, Captura_Marimba_M01!$D:$D, Captura_Obra!D74))&gt;0), "", Captura_Obra!N74)</f>
        <v/>
      </c>
      <c r="D370" s="10183">
        <f>IF(OR(Captura_Obra!A74="", (SUMIFS(Captura_Pegaso!$H:$H, Captura_Pegaso!$A:$A, Captura_Obra!A74, Captura_Pegaso!$D:$D, Captura_Obra!B74, Captura_Pegaso!$E:$E, Captura_Obra!D74) + SUMIFS(Captura_Marimba_M01!$G:$G, Captura_Marimba_M01!$A:$A, Captura_Obra!A74, Captura_Marimba_M01!$C:$C, Captura_Obra!B74, Captura_Marimba_M01!$D:$D, Captura_Obra!D74))&gt;0), "", "❌ Falta en Pipa")</f>
        <v/>
      </c>
      <c r="E370" s="10184">
        <f>IF(OR(Captura_Obra!A74="", (SUMIFS(Captura_Pegaso!$H:$H, Captura_Pegaso!$A:$A, Captura_Obra!A74, Captura_Pegaso!$D:$D, Captura_Obra!B74, Captura_Pegaso!$E:$E, Captura_Obra!D74) + SUMIFS(Captura_Marimba_M01!$G:$G, Captura_Marimba_M01!$A:$A, Captura_Obra!A74, Captura_Marimba_M01!$C:$C, Captura_Obra!B74, Captura_Marimba_M01!$D:$D, Captura_Obra!D74))&gt;0), "", Captura_Obra!A74)</f>
        <v/>
      </c>
      <c r="F370" s="10185">
        <f>IF(OR(Captura_Obra!A74="", (SUMIFS(Captura_Pegaso!$H:$H, Captura_Pegaso!$A:$A, Captura_Obra!A74, Captura_Pegaso!$D:$D, Captura_Obra!B74, Captura_Pegaso!$E:$E, Captura_Obra!D74) + SUMIFS(Captura_Marimba_M01!$G:$G, Captura_Marimba_M01!$A:$A, Captura_Obra!A74, Captura_Marimba_M01!$C:$C, Captura_Obra!B74, Captura_Marimba_M01!$D:$D, Captura_Obra!D74))&gt;0), "", Captura_Obra!B74)</f>
        <v/>
      </c>
      <c r="G370" s="10186">
        <f>IF(OR(Captura_Obra!A74="", (SUMIFS(Captura_Pegaso!$H:$H, Captura_Pegaso!$A:$A, Captura_Obra!A74, Captura_Pegaso!$D:$D, Captura_Obra!B74, Captura_Pegaso!$E:$E, Captura_Obra!D74) + SUMIFS(Captura_Marimba_M01!$G:$G, Captura_Marimba_M01!$A:$A, Captura_Obra!A74, Captura_Marimba_M01!$C:$C, Captura_Obra!B74, Captura_Marimba_M01!$D:$D, Captura_Obra!D74))&gt;0), "", Captura_Obra!D74)</f>
        <v/>
      </c>
      <c r="H370" s="10187">
        <f>IF(OR(Captura_Obra!A74="", (SUMIFS(Captura_Pegaso!$H:$H, Captura_Pegaso!$A:$A, Captura_Obra!A74, Captura_Pegaso!$D:$D, Captura_Obra!B74, Captura_Pegaso!$E:$E, Captura_Obra!D74) + SUMIFS(Captura_Marimba_M01!$G:$G, Captura_Marimba_M01!$A:$A, Captura_Obra!A74, Captura_Marimba_M01!$C:$C, Captura_Obra!B74, Captura_Marimba_M01!$D:$D, Captura_Obra!D74))&gt;0), "", 0)</f>
        <v/>
      </c>
      <c r="I370" s="10188">
        <f>IF(OR(Captura_Obra!A74="", (SUMIFS(Captura_Pegaso!$H:$H, Captura_Pegaso!$A:$A, Captura_Obra!A74, Captura_Pegaso!$D:$D, Captura_Obra!B74, Captura_Pegaso!$E:$E, Captura_Obra!D74) + SUMIFS(Captura_Marimba_M01!$G:$G, Captura_Marimba_M01!$A:$A, Captura_Obra!A74, Captura_Marimba_M01!$C:$C, Captura_Obra!B74, Captura_Marimba_M01!$D:$D, Captura_Obra!D74))&gt;0), "", Captura_Obra!F74)</f>
        <v/>
      </c>
      <c r="J370" s="10189">
        <f>IF(OR(Captura_Obra!A74="", (SUMIFS(Captura_Pegaso!$H:$H, Captura_Pegaso!$A:$A, Captura_Obra!A74, Captura_Pegaso!$D:$D, Captura_Obra!B74, Captura_Pegaso!$E:$E, Captura_Obra!D74) + SUMIFS(Captura_Marimba_M01!$G:$G, Captura_Marimba_M01!$A:$A, Captura_Obra!A74, Captura_Marimba_M01!$C:$C, Captura_Obra!B74, Captura_Marimba_M01!$D:$D, Captura_Obra!D74))&gt;0), "", H370 - I370)</f>
        <v/>
      </c>
      <c r="K370" s="4179" t="n"/>
    </row>
    <row r="371">
      <c r="A371" s="10190">
        <f>IF(OR(Captura_Obra!A75="", (SUMIFS(Captura_Pegaso!$H:$H, Captura_Pegaso!$A:$A, Captura_Obra!A75, Captura_Pegaso!$D:$D, Captura_Obra!B75, Captura_Pegaso!$E:$E, Captura_Obra!D75) + SUMIFS(Captura_Marimba_M01!$G:$G, Captura_Marimba_M01!$A:$A, Captura_Obra!A75, Captura_Marimba_M01!$C:$C, Captura_Obra!B75, Captura_Marimba_M01!$D:$D, Captura_Obra!D75))&gt;0), "", "Huérfano Obra")</f>
        <v/>
      </c>
      <c r="B371" s="10191">
        <f>IF(OR(Captura_Obra!A75="", (SUMIFS(Captura_Pegaso!$H:$H, Captura_Pegaso!$A:$A, Captura_Obra!A75, Captura_Pegaso!$D:$D, Captura_Obra!B75, Captura_Pegaso!$E:$E, Captura_Obra!D75) + SUMIFS(Captura_Marimba_M01!$G:$G, Captura_Marimba_M01!$A:$A, Captura_Obra!A75, Captura_Marimba_M01!$C:$C, Captura_Obra!B75, Captura_Marimba_M01!$D:$D, Captura_Obra!D75))&gt;0), "", "No Reportado")</f>
        <v/>
      </c>
      <c r="C371" s="10192">
        <f>IF(OR(Captura_Obra!A75="", (SUMIFS(Captura_Pegaso!$H:$H, Captura_Pegaso!$A:$A, Captura_Obra!A75, Captura_Pegaso!$D:$D, Captura_Obra!B75, Captura_Pegaso!$E:$E, Captura_Obra!D75) + SUMIFS(Captura_Marimba_M01!$G:$G, Captura_Marimba_M01!$A:$A, Captura_Obra!A75, Captura_Marimba_M01!$C:$C, Captura_Obra!B75, Captura_Marimba_M01!$D:$D, Captura_Obra!D75))&gt;0), "", Captura_Obra!N75)</f>
        <v/>
      </c>
      <c r="D371" s="10193">
        <f>IF(OR(Captura_Obra!A75="", (SUMIFS(Captura_Pegaso!$H:$H, Captura_Pegaso!$A:$A, Captura_Obra!A75, Captura_Pegaso!$D:$D, Captura_Obra!B75, Captura_Pegaso!$E:$E, Captura_Obra!D75) + SUMIFS(Captura_Marimba_M01!$G:$G, Captura_Marimba_M01!$A:$A, Captura_Obra!A75, Captura_Marimba_M01!$C:$C, Captura_Obra!B75, Captura_Marimba_M01!$D:$D, Captura_Obra!D75))&gt;0), "", "❌ Falta en Pipa")</f>
        <v/>
      </c>
      <c r="E371" s="10194">
        <f>IF(OR(Captura_Obra!A75="", (SUMIFS(Captura_Pegaso!$H:$H, Captura_Pegaso!$A:$A, Captura_Obra!A75, Captura_Pegaso!$D:$D, Captura_Obra!B75, Captura_Pegaso!$E:$E, Captura_Obra!D75) + SUMIFS(Captura_Marimba_M01!$G:$G, Captura_Marimba_M01!$A:$A, Captura_Obra!A75, Captura_Marimba_M01!$C:$C, Captura_Obra!B75, Captura_Marimba_M01!$D:$D, Captura_Obra!D75))&gt;0), "", Captura_Obra!A75)</f>
        <v/>
      </c>
      <c r="F371" s="10195">
        <f>IF(OR(Captura_Obra!A75="", (SUMIFS(Captura_Pegaso!$H:$H, Captura_Pegaso!$A:$A, Captura_Obra!A75, Captura_Pegaso!$D:$D, Captura_Obra!B75, Captura_Pegaso!$E:$E, Captura_Obra!D75) + SUMIFS(Captura_Marimba_M01!$G:$G, Captura_Marimba_M01!$A:$A, Captura_Obra!A75, Captura_Marimba_M01!$C:$C, Captura_Obra!B75, Captura_Marimba_M01!$D:$D, Captura_Obra!D75))&gt;0), "", Captura_Obra!B75)</f>
        <v/>
      </c>
      <c r="G371" s="10196">
        <f>IF(OR(Captura_Obra!A75="", (SUMIFS(Captura_Pegaso!$H:$H, Captura_Pegaso!$A:$A, Captura_Obra!A75, Captura_Pegaso!$D:$D, Captura_Obra!B75, Captura_Pegaso!$E:$E, Captura_Obra!D75) + SUMIFS(Captura_Marimba_M01!$G:$G, Captura_Marimba_M01!$A:$A, Captura_Obra!A75, Captura_Marimba_M01!$C:$C, Captura_Obra!B75, Captura_Marimba_M01!$D:$D, Captura_Obra!D75))&gt;0), "", Captura_Obra!D75)</f>
        <v/>
      </c>
      <c r="H371" s="10197">
        <f>IF(OR(Captura_Obra!A75="", (SUMIFS(Captura_Pegaso!$H:$H, Captura_Pegaso!$A:$A, Captura_Obra!A75, Captura_Pegaso!$D:$D, Captura_Obra!B75, Captura_Pegaso!$E:$E, Captura_Obra!D75) + SUMIFS(Captura_Marimba_M01!$G:$G, Captura_Marimba_M01!$A:$A, Captura_Obra!A75, Captura_Marimba_M01!$C:$C, Captura_Obra!B75, Captura_Marimba_M01!$D:$D, Captura_Obra!D75))&gt;0), "", 0)</f>
        <v/>
      </c>
      <c r="I371" s="10198">
        <f>IF(OR(Captura_Obra!A75="", (SUMIFS(Captura_Pegaso!$H:$H, Captura_Pegaso!$A:$A, Captura_Obra!A75, Captura_Pegaso!$D:$D, Captura_Obra!B75, Captura_Pegaso!$E:$E, Captura_Obra!D75) + SUMIFS(Captura_Marimba_M01!$G:$G, Captura_Marimba_M01!$A:$A, Captura_Obra!A75, Captura_Marimba_M01!$C:$C, Captura_Obra!B75, Captura_Marimba_M01!$D:$D, Captura_Obra!D75))&gt;0), "", Captura_Obra!F75)</f>
        <v/>
      </c>
      <c r="J371" s="10199">
        <f>IF(OR(Captura_Obra!A75="", (SUMIFS(Captura_Pegaso!$H:$H, Captura_Pegaso!$A:$A, Captura_Obra!A75, Captura_Pegaso!$D:$D, Captura_Obra!B75, Captura_Pegaso!$E:$E, Captura_Obra!D75) + SUMIFS(Captura_Marimba_M01!$G:$G, Captura_Marimba_M01!$A:$A, Captura_Obra!A75, Captura_Marimba_M01!$C:$C, Captura_Obra!B75, Captura_Marimba_M01!$D:$D, Captura_Obra!D75))&gt;0), "", H371 - I371)</f>
        <v/>
      </c>
      <c r="K371" s="4180" t="n"/>
    </row>
    <row r="372">
      <c r="A372" s="10200">
        <f>IF(OR(Captura_Obra!A76="", (SUMIFS(Captura_Pegaso!$H:$H, Captura_Pegaso!$A:$A, Captura_Obra!A76, Captura_Pegaso!$D:$D, Captura_Obra!B76, Captura_Pegaso!$E:$E, Captura_Obra!D76) + SUMIFS(Captura_Marimba_M01!$G:$G, Captura_Marimba_M01!$A:$A, Captura_Obra!A76, Captura_Marimba_M01!$C:$C, Captura_Obra!B76, Captura_Marimba_M01!$D:$D, Captura_Obra!D76))&gt;0), "", "Huérfano Obra")</f>
        <v/>
      </c>
      <c r="B372" s="10201">
        <f>IF(OR(Captura_Obra!A76="", (SUMIFS(Captura_Pegaso!$H:$H, Captura_Pegaso!$A:$A, Captura_Obra!A76, Captura_Pegaso!$D:$D, Captura_Obra!B76, Captura_Pegaso!$E:$E, Captura_Obra!D76) + SUMIFS(Captura_Marimba_M01!$G:$G, Captura_Marimba_M01!$A:$A, Captura_Obra!A76, Captura_Marimba_M01!$C:$C, Captura_Obra!B76, Captura_Marimba_M01!$D:$D, Captura_Obra!D76))&gt;0), "", "No Reportado")</f>
        <v/>
      </c>
      <c r="C372" s="10202">
        <f>IF(OR(Captura_Obra!A76="", (SUMIFS(Captura_Pegaso!$H:$H, Captura_Pegaso!$A:$A, Captura_Obra!A76, Captura_Pegaso!$D:$D, Captura_Obra!B76, Captura_Pegaso!$E:$E, Captura_Obra!D76) + SUMIFS(Captura_Marimba_M01!$G:$G, Captura_Marimba_M01!$A:$A, Captura_Obra!A76, Captura_Marimba_M01!$C:$C, Captura_Obra!B76, Captura_Marimba_M01!$D:$D, Captura_Obra!D76))&gt;0), "", Captura_Obra!N76)</f>
        <v/>
      </c>
      <c r="D372" s="10203">
        <f>IF(OR(Captura_Obra!A76="", (SUMIFS(Captura_Pegaso!$H:$H, Captura_Pegaso!$A:$A, Captura_Obra!A76, Captura_Pegaso!$D:$D, Captura_Obra!B76, Captura_Pegaso!$E:$E, Captura_Obra!D76) + SUMIFS(Captura_Marimba_M01!$G:$G, Captura_Marimba_M01!$A:$A, Captura_Obra!A76, Captura_Marimba_M01!$C:$C, Captura_Obra!B76, Captura_Marimba_M01!$D:$D, Captura_Obra!D76))&gt;0), "", "❌ Falta en Pipa")</f>
        <v/>
      </c>
      <c r="E372" s="10204">
        <f>IF(OR(Captura_Obra!A76="", (SUMIFS(Captura_Pegaso!$H:$H, Captura_Pegaso!$A:$A, Captura_Obra!A76, Captura_Pegaso!$D:$D, Captura_Obra!B76, Captura_Pegaso!$E:$E, Captura_Obra!D76) + SUMIFS(Captura_Marimba_M01!$G:$G, Captura_Marimba_M01!$A:$A, Captura_Obra!A76, Captura_Marimba_M01!$C:$C, Captura_Obra!B76, Captura_Marimba_M01!$D:$D, Captura_Obra!D76))&gt;0), "", Captura_Obra!A76)</f>
        <v/>
      </c>
      <c r="F372" s="10205">
        <f>IF(OR(Captura_Obra!A76="", (SUMIFS(Captura_Pegaso!$H:$H, Captura_Pegaso!$A:$A, Captura_Obra!A76, Captura_Pegaso!$D:$D, Captura_Obra!B76, Captura_Pegaso!$E:$E, Captura_Obra!D76) + SUMIFS(Captura_Marimba_M01!$G:$G, Captura_Marimba_M01!$A:$A, Captura_Obra!A76, Captura_Marimba_M01!$C:$C, Captura_Obra!B76, Captura_Marimba_M01!$D:$D, Captura_Obra!D76))&gt;0), "", Captura_Obra!B76)</f>
        <v/>
      </c>
      <c r="G372" s="10206">
        <f>IF(OR(Captura_Obra!A76="", (SUMIFS(Captura_Pegaso!$H:$H, Captura_Pegaso!$A:$A, Captura_Obra!A76, Captura_Pegaso!$D:$D, Captura_Obra!B76, Captura_Pegaso!$E:$E, Captura_Obra!D76) + SUMIFS(Captura_Marimba_M01!$G:$G, Captura_Marimba_M01!$A:$A, Captura_Obra!A76, Captura_Marimba_M01!$C:$C, Captura_Obra!B76, Captura_Marimba_M01!$D:$D, Captura_Obra!D76))&gt;0), "", Captura_Obra!D76)</f>
        <v/>
      </c>
      <c r="H372" s="10207">
        <f>IF(OR(Captura_Obra!A76="", (SUMIFS(Captura_Pegaso!$H:$H, Captura_Pegaso!$A:$A, Captura_Obra!A76, Captura_Pegaso!$D:$D, Captura_Obra!B76, Captura_Pegaso!$E:$E, Captura_Obra!D76) + SUMIFS(Captura_Marimba_M01!$G:$G, Captura_Marimba_M01!$A:$A, Captura_Obra!A76, Captura_Marimba_M01!$C:$C, Captura_Obra!B76, Captura_Marimba_M01!$D:$D, Captura_Obra!D76))&gt;0), "", 0)</f>
        <v/>
      </c>
      <c r="I372" s="10208">
        <f>IF(OR(Captura_Obra!A76="", (SUMIFS(Captura_Pegaso!$H:$H, Captura_Pegaso!$A:$A, Captura_Obra!A76, Captura_Pegaso!$D:$D, Captura_Obra!B76, Captura_Pegaso!$E:$E, Captura_Obra!D76) + SUMIFS(Captura_Marimba_M01!$G:$G, Captura_Marimba_M01!$A:$A, Captura_Obra!A76, Captura_Marimba_M01!$C:$C, Captura_Obra!B76, Captura_Marimba_M01!$D:$D, Captura_Obra!D76))&gt;0), "", Captura_Obra!F76)</f>
        <v/>
      </c>
      <c r="J372" s="10209">
        <f>IF(OR(Captura_Obra!A76="", (SUMIFS(Captura_Pegaso!$H:$H, Captura_Pegaso!$A:$A, Captura_Obra!A76, Captura_Pegaso!$D:$D, Captura_Obra!B76, Captura_Pegaso!$E:$E, Captura_Obra!D76) + SUMIFS(Captura_Marimba_M01!$G:$G, Captura_Marimba_M01!$A:$A, Captura_Obra!A76, Captura_Marimba_M01!$C:$C, Captura_Obra!B76, Captura_Marimba_M01!$D:$D, Captura_Obra!D76))&gt;0), "", H372 - I372)</f>
        <v/>
      </c>
      <c r="K372" s="4181" t="n"/>
    </row>
    <row r="373">
      <c r="A373" s="10210">
        <f>IF(OR(Captura_Obra!A77="", (SUMIFS(Captura_Pegaso!$H:$H, Captura_Pegaso!$A:$A, Captura_Obra!A77, Captura_Pegaso!$D:$D, Captura_Obra!B77, Captura_Pegaso!$E:$E, Captura_Obra!D77) + SUMIFS(Captura_Marimba_M01!$G:$G, Captura_Marimba_M01!$A:$A, Captura_Obra!A77, Captura_Marimba_M01!$C:$C, Captura_Obra!B77, Captura_Marimba_M01!$D:$D, Captura_Obra!D77))&gt;0), "", "Huérfano Obra")</f>
        <v/>
      </c>
      <c r="B373" s="10211">
        <f>IF(OR(Captura_Obra!A77="", (SUMIFS(Captura_Pegaso!$H:$H, Captura_Pegaso!$A:$A, Captura_Obra!A77, Captura_Pegaso!$D:$D, Captura_Obra!B77, Captura_Pegaso!$E:$E, Captura_Obra!D77) + SUMIFS(Captura_Marimba_M01!$G:$G, Captura_Marimba_M01!$A:$A, Captura_Obra!A77, Captura_Marimba_M01!$C:$C, Captura_Obra!B77, Captura_Marimba_M01!$D:$D, Captura_Obra!D77))&gt;0), "", "No Reportado")</f>
        <v/>
      </c>
      <c r="C373" s="10212">
        <f>IF(OR(Captura_Obra!A77="", (SUMIFS(Captura_Pegaso!$H:$H, Captura_Pegaso!$A:$A, Captura_Obra!A77, Captura_Pegaso!$D:$D, Captura_Obra!B77, Captura_Pegaso!$E:$E, Captura_Obra!D77) + SUMIFS(Captura_Marimba_M01!$G:$G, Captura_Marimba_M01!$A:$A, Captura_Obra!A77, Captura_Marimba_M01!$C:$C, Captura_Obra!B77, Captura_Marimba_M01!$D:$D, Captura_Obra!D77))&gt;0), "", Captura_Obra!N77)</f>
        <v/>
      </c>
      <c r="D373" s="10213">
        <f>IF(OR(Captura_Obra!A77="", (SUMIFS(Captura_Pegaso!$H:$H, Captura_Pegaso!$A:$A, Captura_Obra!A77, Captura_Pegaso!$D:$D, Captura_Obra!B77, Captura_Pegaso!$E:$E, Captura_Obra!D77) + SUMIFS(Captura_Marimba_M01!$G:$G, Captura_Marimba_M01!$A:$A, Captura_Obra!A77, Captura_Marimba_M01!$C:$C, Captura_Obra!B77, Captura_Marimba_M01!$D:$D, Captura_Obra!D77))&gt;0), "", "❌ Falta en Pipa")</f>
        <v/>
      </c>
      <c r="E373" s="10214">
        <f>IF(OR(Captura_Obra!A77="", (SUMIFS(Captura_Pegaso!$H:$H, Captura_Pegaso!$A:$A, Captura_Obra!A77, Captura_Pegaso!$D:$D, Captura_Obra!B77, Captura_Pegaso!$E:$E, Captura_Obra!D77) + SUMIFS(Captura_Marimba_M01!$G:$G, Captura_Marimba_M01!$A:$A, Captura_Obra!A77, Captura_Marimba_M01!$C:$C, Captura_Obra!B77, Captura_Marimba_M01!$D:$D, Captura_Obra!D77))&gt;0), "", Captura_Obra!A77)</f>
        <v/>
      </c>
      <c r="F373" s="10215">
        <f>IF(OR(Captura_Obra!A77="", (SUMIFS(Captura_Pegaso!$H:$H, Captura_Pegaso!$A:$A, Captura_Obra!A77, Captura_Pegaso!$D:$D, Captura_Obra!B77, Captura_Pegaso!$E:$E, Captura_Obra!D77) + SUMIFS(Captura_Marimba_M01!$G:$G, Captura_Marimba_M01!$A:$A, Captura_Obra!A77, Captura_Marimba_M01!$C:$C, Captura_Obra!B77, Captura_Marimba_M01!$D:$D, Captura_Obra!D77))&gt;0), "", Captura_Obra!B77)</f>
        <v/>
      </c>
      <c r="G373" s="10216">
        <f>IF(OR(Captura_Obra!A77="", (SUMIFS(Captura_Pegaso!$H:$H, Captura_Pegaso!$A:$A, Captura_Obra!A77, Captura_Pegaso!$D:$D, Captura_Obra!B77, Captura_Pegaso!$E:$E, Captura_Obra!D77) + SUMIFS(Captura_Marimba_M01!$G:$G, Captura_Marimba_M01!$A:$A, Captura_Obra!A77, Captura_Marimba_M01!$C:$C, Captura_Obra!B77, Captura_Marimba_M01!$D:$D, Captura_Obra!D77))&gt;0), "", Captura_Obra!D77)</f>
        <v/>
      </c>
      <c r="H373" s="10217">
        <f>IF(OR(Captura_Obra!A77="", (SUMIFS(Captura_Pegaso!$H:$H, Captura_Pegaso!$A:$A, Captura_Obra!A77, Captura_Pegaso!$D:$D, Captura_Obra!B77, Captura_Pegaso!$E:$E, Captura_Obra!D77) + SUMIFS(Captura_Marimba_M01!$G:$G, Captura_Marimba_M01!$A:$A, Captura_Obra!A77, Captura_Marimba_M01!$C:$C, Captura_Obra!B77, Captura_Marimba_M01!$D:$D, Captura_Obra!D77))&gt;0), "", 0)</f>
        <v/>
      </c>
      <c r="I373" s="10218">
        <f>IF(OR(Captura_Obra!A77="", (SUMIFS(Captura_Pegaso!$H:$H, Captura_Pegaso!$A:$A, Captura_Obra!A77, Captura_Pegaso!$D:$D, Captura_Obra!B77, Captura_Pegaso!$E:$E, Captura_Obra!D77) + SUMIFS(Captura_Marimba_M01!$G:$G, Captura_Marimba_M01!$A:$A, Captura_Obra!A77, Captura_Marimba_M01!$C:$C, Captura_Obra!B77, Captura_Marimba_M01!$D:$D, Captura_Obra!D77))&gt;0), "", Captura_Obra!F77)</f>
        <v/>
      </c>
      <c r="J373" s="10219">
        <f>IF(OR(Captura_Obra!A77="", (SUMIFS(Captura_Pegaso!$H:$H, Captura_Pegaso!$A:$A, Captura_Obra!A77, Captura_Pegaso!$D:$D, Captura_Obra!B77, Captura_Pegaso!$E:$E, Captura_Obra!D77) + SUMIFS(Captura_Marimba_M01!$G:$G, Captura_Marimba_M01!$A:$A, Captura_Obra!A77, Captura_Marimba_M01!$C:$C, Captura_Obra!B77, Captura_Marimba_M01!$D:$D, Captura_Obra!D77))&gt;0), "", H373 - I373)</f>
        <v/>
      </c>
      <c r="K373" s="4182" t="n"/>
    </row>
    <row r="374">
      <c r="A374" s="10220">
        <f>IF(OR(Captura_Obra!A78="", (SUMIFS(Captura_Pegaso!$H:$H, Captura_Pegaso!$A:$A, Captura_Obra!A78, Captura_Pegaso!$D:$D, Captura_Obra!B78, Captura_Pegaso!$E:$E, Captura_Obra!D78) + SUMIFS(Captura_Marimba_M01!$G:$G, Captura_Marimba_M01!$A:$A, Captura_Obra!A78, Captura_Marimba_M01!$C:$C, Captura_Obra!B78, Captura_Marimba_M01!$D:$D, Captura_Obra!D78))&gt;0), "", "Huérfano Obra")</f>
        <v/>
      </c>
      <c r="B374" s="10221">
        <f>IF(OR(Captura_Obra!A78="", (SUMIFS(Captura_Pegaso!$H:$H, Captura_Pegaso!$A:$A, Captura_Obra!A78, Captura_Pegaso!$D:$D, Captura_Obra!B78, Captura_Pegaso!$E:$E, Captura_Obra!D78) + SUMIFS(Captura_Marimba_M01!$G:$G, Captura_Marimba_M01!$A:$A, Captura_Obra!A78, Captura_Marimba_M01!$C:$C, Captura_Obra!B78, Captura_Marimba_M01!$D:$D, Captura_Obra!D78))&gt;0), "", "No Reportado")</f>
        <v/>
      </c>
      <c r="C374" s="10222">
        <f>IF(OR(Captura_Obra!A78="", (SUMIFS(Captura_Pegaso!$H:$H, Captura_Pegaso!$A:$A, Captura_Obra!A78, Captura_Pegaso!$D:$D, Captura_Obra!B78, Captura_Pegaso!$E:$E, Captura_Obra!D78) + SUMIFS(Captura_Marimba_M01!$G:$G, Captura_Marimba_M01!$A:$A, Captura_Obra!A78, Captura_Marimba_M01!$C:$C, Captura_Obra!B78, Captura_Marimba_M01!$D:$D, Captura_Obra!D78))&gt;0), "", Captura_Obra!N78)</f>
        <v/>
      </c>
      <c r="D374" s="10223">
        <f>IF(OR(Captura_Obra!A78="", (SUMIFS(Captura_Pegaso!$H:$H, Captura_Pegaso!$A:$A, Captura_Obra!A78, Captura_Pegaso!$D:$D, Captura_Obra!B78, Captura_Pegaso!$E:$E, Captura_Obra!D78) + SUMIFS(Captura_Marimba_M01!$G:$G, Captura_Marimba_M01!$A:$A, Captura_Obra!A78, Captura_Marimba_M01!$C:$C, Captura_Obra!B78, Captura_Marimba_M01!$D:$D, Captura_Obra!D78))&gt;0), "", "❌ Falta en Pipa")</f>
        <v/>
      </c>
      <c r="E374" s="10224">
        <f>IF(OR(Captura_Obra!A78="", (SUMIFS(Captura_Pegaso!$H:$H, Captura_Pegaso!$A:$A, Captura_Obra!A78, Captura_Pegaso!$D:$D, Captura_Obra!B78, Captura_Pegaso!$E:$E, Captura_Obra!D78) + SUMIFS(Captura_Marimba_M01!$G:$G, Captura_Marimba_M01!$A:$A, Captura_Obra!A78, Captura_Marimba_M01!$C:$C, Captura_Obra!B78, Captura_Marimba_M01!$D:$D, Captura_Obra!D78))&gt;0), "", Captura_Obra!A78)</f>
        <v/>
      </c>
      <c r="F374" s="10225">
        <f>IF(OR(Captura_Obra!A78="", (SUMIFS(Captura_Pegaso!$H:$H, Captura_Pegaso!$A:$A, Captura_Obra!A78, Captura_Pegaso!$D:$D, Captura_Obra!B78, Captura_Pegaso!$E:$E, Captura_Obra!D78) + SUMIFS(Captura_Marimba_M01!$G:$G, Captura_Marimba_M01!$A:$A, Captura_Obra!A78, Captura_Marimba_M01!$C:$C, Captura_Obra!B78, Captura_Marimba_M01!$D:$D, Captura_Obra!D78))&gt;0), "", Captura_Obra!B78)</f>
        <v/>
      </c>
      <c r="G374" s="10226">
        <f>IF(OR(Captura_Obra!A78="", (SUMIFS(Captura_Pegaso!$H:$H, Captura_Pegaso!$A:$A, Captura_Obra!A78, Captura_Pegaso!$D:$D, Captura_Obra!B78, Captura_Pegaso!$E:$E, Captura_Obra!D78) + SUMIFS(Captura_Marimba_M01!$G:$G, Captura_Marimba_M01!$A:$A, Captura_Obra!A78, Captura_Marimba_M01!$C:$C, Captura_Obra!B78, Captura_Marimba_M01!$D:$D, Captura_Obra!D78))&gt;0), "", Captura_Obra!D78)</f>
        <v/>
      </c>
      <c r="H374" s="10227">
        <f>IF(OR(Captura_Obra!A78="", (SUMIFS(Captura_Pegaso!$H:$H, Captura_Pegaso!$A:$A, Captura_Obra!A78, Captura_Pegaso!$D:$D, Captura_Obra!B78, Captura_Pegaso!$E:$E, Captura_Obra!D78) + SUMIFS(Captura_Marimba_M01!$G:$G, Captura_Marimba_M01!$A:$A, Captura_Obra!A78, Captura_Marimba_M01!$C:$C, Captura_Obra!B78, Captura_Marimba_M01!$D:$D, Captura_Obra!D78))&gt;0), "", 0)</f>
        <v/>
      </c>
      <c r="I374" s="10228">
        <f>IF(OR(Captura_Obra!A78="", (SUMIFS(Captura_Pegaso!$H:$H, Captura_Pegaso!$A:$A, Captura_Obra!A78, Captura_Pegaso!$D:$D, Captura_Obra!B78, Captura_Pegaso!$E:$E, Captura_Obra!D78) + SUMIFS(Captura_Marimba_M01!$G:$G, Captura_Marimba_M01!$A:$A, Captura_Obra!A78, Captura_Marimba_M01!$C:$C, Captura_Obra!B78, Captura_Marimba_M01!$D:$D, Captura_Obra!D78))&gt;0), "", Captura_Obra!F78)</f>
        <v/>
      </c>
      <c r="J374" s="10229">
        <f>IF(OR(Captura_Obra!A78="", (SUMIFS(Captura_Pegaso!$H:$H, Captura_Pegaso!$A:$A, Captura_Obra!A78, Captura_Pegaso!$D:$D, Captura_Obra!B78, Captura_Pegaso!$E:$E, Captura_Obra!D78) + SUMIFS(Captura_Marimba_M01!$G:$G, Captura_Marimba_M01!$A:$A, Captura_Obra!A78, Captura_Marimba_M01!$C:$C, Captura_Obra!B78, Captura_Marimba_M01!$D:$D, Captura_Obra!D78))&gt;0), "", H374 - I374)</f>
        <v/>
      </c>
      <c r="K374" s="4183" t="n"/>
    </row>
    <row r="375">
      <c r="A375" s="10230">
        <f>IF(OR(Captura_Obra!A79="", (SUMIFS(Captura_Pegaso!$H:$H, Captura_Pegaso!$A:$A, Captura_Obra!A79, Captura_Pegaso!$D:$D, Captura_Obra!B79, Captura_Pegaso!$E:$E, Captura_Obra!D79) + SUMIFS(Captura_Marimba_M01!$G:$G, Captura_Marimba_M01!$A:$A, Captura_Obra!A79, Captura_Marimba_M01!$C:$C, Captura_Obra!B79, Captura_Marimba_M01!$D:$D, Captura_Obra!D79))&gt;0), "", "Huérfano Obra")</f>
        <v/>
      </c>
      <c r="B375" s="10231">
        <f>IF(OR(Captura_Obra!A79="", (SUMIFS(Captura_Pegaso!$H:$H, Captura_Pegaso!$A:$A, Captura_Obra!A79, Captura_Pegaso!$D:$D, Captura_Obra!B79, Captura_Pegaso!$E:$E, Captura_Obra!D79) + SUMIFS(Captura_Marimba_M01!$G:$G, Captura_Marimba_M01!$A:$A, Captura_Obra!A79, Captura_Marimba_M01!$C:$C, Captura_Obra!B79, Captura_Marimba_M01!$D:$D, Captura_Obra!D79))&gt;0), "", "No Reportado")</f>
        <v/>
      </c>
      <c r="C375" s="10232">
        <f>IF(OR(Captura_Obra!A79="", (SUMIFS(Captura_Pegaso!$H:$H, Captura_Pegaso!$A:$A, Captura_Obra!A79, Captura_Pegaso!$D:$D, Captura_Obra!B79, Captura_Pegaso!$E:$E, Captura_Obra!D79) + SUMIFS(Captura_Marimba_M01!$G:$G, Captura_Marimba_M01!$A:$A, Captura_Obra!A79, Captura_Marimba_M01!$C:$C, Captura_Obra!B79, Captura_Marimba_M01!$D:$D, Captura_Obra!D79))&gt;0), "", Captura_Obra!N79)</f>
        <v/>
      </c>
      <c r="D375" s="10233">
        <f>IF(OR(Captura_Obra!A79="", (SUMIFS(Captura_Pegaso!$H:$H, Captura_Pegaso!$A:$A, Captura_Obra!A79, Captura_Pegaso!$D:$D, Captura_Obra!B79, Captura_Pegaso!$E:$E, Captura_Obra!D79) + SUMIFS(Captura_Marimba_M01!$G:$G, Captura_Marimba_M01!$A:$A, Captura_Obra!A79, Captura_Marimba_M01!$C:$C, Captura_Obra!B79, Captura_Marimba_M01!$D:$D, Captura_Obra!D79))&gt;0), "", "❌ Falta en Pipa")</f>
        <v/>
      </c>
      <c r="E375" s="10234">
        <f>IF(OR(Captura_Obra!A79="", (SUMIFS(Captura_Pegaso!$H:$H, Captura_Pegaso!$A:$A, Captura_Obra!A79, Captura_Pegaso!$D:$D, Captura_Obra!B79, Captura_Pegaso!$E:$E, Captura_Obra!D79) + SUMIFS(Captura_Marimba_M01!$G:$G, Captura_Marimba_M01!$A:$A, Captura_Obra!A79, Captura_Marimba_M01!$C:$C, Captura_Obra!B79, Captura_Marimba_M01!$D:$D, Captura_Obra!D79))&gt;0), "", Captura_Obra!A79)</f>
        <v/>
      </c>
      <c r="F375" s="10235">
        <f>IF(OR(Captura_Obra!A79="", (SUMIFS(Captura_Pegaso!$H:$H, Captura_Pegaso!$A:$A, Captura_Obra!A79, Captura_Pegaso!$D:$D, Captura_Obra!B79, Captura_Pegaso!$E:$E, Captura_Obra!D79) + SUMIFS(Captura_Marimba_M01!$G:$G, Captura_Marimba_M01!$A:$A, Captura_Obra!A79, Captura_Marimba_M01!$C:$C, Captura_Obra!B79, Captura_Marimba_M01!$D:$D, Captura_Obra!D79))&gt;0), "", Captura_Obra!B79)</f>
        <v/>
      </c>
      <c r="G375" s="10236">
        <f>IF(OR(Captura_Obra!A79="", (SUMIFS(Captura_Pegaso!$H:$H, Captura_Pegaso!$A:$A, Captura_Obra!A79, Captura_Pegaso!$D:$D, Captura_Obra!B79, Captura_Pegaso!$E:$E, Captura_Obra!D79) + SUMIFS(Captura_Marimba_M01!$G:$G, Captura_Marimba_M01!$A:$A, Captura_Obra!A79, Captura_Marimba_M01!$C:$C, Captura_Obra!B79, Captura_Marimba_M01!$D:$D, Captura_Obra!D79))&gt;0), "", Captura_Obra!D79)</f>
        <v/>
      </c>
      <c r="H375" s="10237">
        <f>IF(OR(Captura_Obra!A79="", (SUMIFS(Captura_Pegaso!$H:$H, Captura_Pegaso!$A:$A, Captura_Obra!A79, Captura_Pegaso!$D:$D, Captura_Obra!B79, Captura_Pegaso!$E:$E, Captura_Obra!D79) + SUMIFS(Captura_Marimba_M01!$G:$G, Captura_Marimba_M01!$A:$A, Captura_Obra!A79, Captura_Marimba_M01!$C:$C, Captura_Obra!B79, Captura_Marimba_M01!$D:$D, Captura_Obra!D79))&gt;0), "", 0)</f>
        <v/>
      </c>
      <c r="I375" s="10238">
        <f>IF(OR(Captura_Obra!A79="", (SUMIFS(Captura_Pegaso!$H:$H, Captura_Pegaso!$A:$A, Captura_Obra!A79, Captura_Pegaso!$D:$D, Captura_Obra!B79, Captura_Pegaso!$E:$E, Captura_Obra!D79) + SUMIFS(Captura_Marimba_M01!$G:$G, Captura_Marimba_M01!$A:$A, Captura_Obra!A79, Captura_Marimba_M01!$C:$C, Captura_Obra!B79, Captura_Marimba_M01!$D:$D, Captura_Obra!D79))&gt;0), "", Captura_Obra!F79)</f>
        <v/>
      </c>
      <c r="J375" s="10239">
        <f>IF(OR(Captura_Obra!A79="", (SUMIFS(Captura_Pegaso!$H:$H, Captura_Pegaso!$A:$A, Captura_Obra!A79, Captura_Pegaso!$D:$D, Captura_Obra!B79, Captura_Pegaso!$E:$E, Captura_Obra!D79) + SUMIFS(Captura_Marimba_M01!$G:$G, Captura_Marimba_M01!$A:$A, Captura_Obra!A79, Captura_Marimba_M01!$C:$C, Captura_Obra!B79, Captura_Marimba_M01!$D:$D, Captura_Obra!D79))&gt;0), "", H375 - I375)</f>
        <v/>
      </c>
      <c r="K375" s="4184" t="n"/>
    </row>
    <row r="376">
      <c r="A376" s="10240">
        <f>IF(OR(Captura_Obra!A80="", (SUMIFS(Captura_Pegaso!$H:$H, Captura_Pegaso!$A:$A, Captura_Obra!A80, Captura_Pegaso!$D:$D, Captura_Obra!B80, Captura_Pegaso!$E:$E, Captura_Obra!D80) + SUMIFS(Captura_Marimba_M01!$G:$G, Captura_Marimba_M01!$A:$A, Captura_Obra!A80, Captura_Marimba_M01!$C:$C, Captura_Obra!B80, Captura_Marimba_M01!$D:$D, Captura_Obra!D80))&gt;0), "", "Huérfano Obra")</f>
        <v/>
      </c>
      <c r="B376" s="10241">
        <f>IF(OR(Captura_Obra!A80="", (SUMIFS(Captura_Pegaso!$H:$H, Captura_Pegaso!$A:$A, Captura_Obra!A80, Captura_Pegaso!$D:$D, Captura_Obra!B80, Captura_Pegaso!$E:$E, Captura_Obra!D80) + SUMIFS(Captura_Marimba_M01!$G:$G, Captura_Marimba_M01!$A:$A, Captura_Obra!A80, Captura_Marimba_M01!$C:$C, Captura_Obra!B80, Captura_Marimba_M01!$D:$D, Captura_Obra!D80))&gt;0), "", "No Reportado")</f>
        <v/>
      </c>
      <c r="C376" s="10242">
        <f>IF(OR(Captura_Obra!A80="", (SUMIFS(Captura_Pegaso!$H:$H, Captura_Pegaso!$A:$A, Captura_Obra!A80, Captura_Pegaso!$D:$D, Captura_Obra!B80, Captura_Pegaso!$E:$E, Captura_Obra!D80) + SUMIFS(Captura_Marimba_M01!$G:$G, Captura_Marimba_M01!$A:$A, Captura_Obra!A80, Captura_Marimba_M01!$C:$C, Captura_Obra!B80, Captura_Marimba_M01!$D:$D, Captura_Obra!D80))&gt;0), "", Captura_Obra!N80)</f>
        <v/>
      </c>
      <c r="D376" s="10243">
        <f>IF(OR(Captura_Obra!A80="", (SUMIFS(Captura_Pegaso!$H:$H, Captura_Pegaso!$A:$A, Captura_Obra!A80, Captura_Pegaso!$D:$D, Captura_Obra!B80, Captura_Pegaso!$E:$E, Captura_Obra!D80) + SUMIFS(Captura_Marimba_M01!$G:$G, Captura_Marimba_M01!$A:$A, Captura_Obra!A80, Captura_Marimba_M01!$C:$C, Captura_Obra!B80, Captura_Marimba_M01!$D:$D, Captura_Obra!D80))&gt;0), "", "❌ Falta en Pipa")</f>
        <v/>
      </c>
      <c r="E376" s="10244">
        <f>IF(OR(Captura_Obra!A80="", (SUMIFS(Captura_Pegaso!$H:$H, Captura_Pegaso!$A:$A, Captura_Obra!A80, Captura_Pegaso!$D:$D, Captura_Obra!B80, Captura_Pegaso!$E:$E, Captura_Obra!D80) + SUMIFS(Captura_Marimba_M01!$G:$G, Captura_Marimba_M01!$A:$A, Captura_Obra!A80, Captura_Marimba_M01!$C:$C, Captura_Obra!B80, Captura_Marimba_M01!$D:$D, Captura_Obra!D80))&gt;0), "", Captura_Obra!A80)</f>
        <v/>
      </c>
      <c r="F376" s="10245">
        <f>IF(OR(Captura_Obra!A80="", (SUMIFS(Captura_Pegaso!$H:$H, Captura_Pegaso!$A:$A, Captura_Obra!A80, Captura_Pegaso!$D:$D, Captura_Obra!B80, Captura_Pegaso!$E:$E, Captura_Obra!D80) + SUMIFS(Captura_Marimba_M01!$G:$G, Captura_Marimba_M01!$A:$A, Captura_Obra!A80, Captura_Marimba_M01!$C:$C, Captura_Obra!B80, Captura_Marimba_M01!$D:$D, Captura_Obra!D80))&gt;0), "", Captura_Obra!B80)</f>
        <v/>
      </c>
      <c r="G376" s="10246">
        <f>IF(OR(Captura_Obra!A80="", (SUMIFS(Captura_Pegaso!$H:$H, Captura_Pegaso!$A:$A, Captura_Obra!A80, Captura_Pegaso!$D:$D, Captura_Obra!B80, Captura_Pegaso!$E:$E, Captura_Obra!D80) + SUMIFS(Captura_Marimba_M01!$G:$G, Captura_Marimba_M01!$A:$A, Captura_Obra!A80, Captura_Marimba_M01!$C:$C, Captura_Obra!B80, Captura_Marimba_M01!$D:$D, Captura_Obra!D80))&gt;0), "", Captura_Obra!D80)</f>
        <v/>
      </c>
      <c r="H376" s="10247">
        <f>IF(OR(Captura_Obra!A80="", (SUMIFS(Captura_Pegaso!$H:$H, Captura_Pegaso!$A:$A, Captura_Obra!A80, Captura_Pegaso!$D:$D, Captura_Obra!B80, Captura_Pegaso!$E:$E, Captura_Obra!D80) + SUMIFS(Captura_Marimba_M01!$G:$G, Captura_Marimba_M01!$A:$A, Captura_Obra!A80, Captura_Marimba_M01!$C:$C, Captura_Obra!B80, Captura_Marimba_M01!$D:$D, Captura_Obra!D80))&gt;0), "", 0)</f>
        <v/>
      </c>
      <c r="I376" s="10248">
        <f>IF(OR(Captura_Obra!A80="", (SUMIFS(Captura_Pegaso!$H:$H, Captura_Pegaso!$A:$A, Captura_Obra!A80, Captura_Pegaso!$D:$D, Captura_Obra!B80, Captura_Pegaso!$E:$E, Captura_Obra!D80) + SUMIFS(Captura_Marimba_M01!$G:$G, Captura_Marimba_M01!$A:$A, Captura_Obra!A80, Captura_Marimba_M01!$C:$C, Captura_Obra!B80, Captura_Marimba_M01!$D:$D, Captura_Obra!D80))&gt;0), "", Captura_Obra!F80)</f>
        <v/>
      </c>
      <c r="J376" s="10249">
        <f>IF(OR(Captura_Obra!A80="", (SUMIFS(Captura_Pegaso!$H:$H, Captura_Pegaso!$A:$A, Captura_Obra!A80, Captura_Pegaso!$D:$D, Captura_Obra!B80, Captura_Pegaso!$E:$E, Captura_Obra!D80) + SUMIFS(Captura_Marimba_M01!$G:$G, Captura_Marimba_M01!$A:$A, Captura_Obra!A80, Captura_Marimba_M01!$C:$C, Captura_Obra!B80, Captura_Marimba_M01!$D:$D, Captura_Obra!D80))&gt;0), "", H376 - I376)</f>
        <v/>
      </c>
      <c r="K376" s="4185" t="n"/>
    </row>
    <row r="377">
      <c r="A377" s="10250">
        <f>IF(OR(Captura_Obra!A81="", (SUMIFS(Captura_Pegaso!$H:$H, Captura_Pegaso!$A:$A, Captura_Obra!A81, Captura_Pegaso!$D:$D, Captura_Obra!B81, Captura_Pegaso!$E:$E, Captura_Obra!D81) + SUMIFS(Captura_Marimba_M01!$G:$G, Captura_Marimba_M01!$A:$A, Captura_Obra!A81, Captura_Marimba_M01!$C:$C, Captura_Obra!B81, Captura_Marimba_M01!$D:$D, Captura_Obra!D81))&gt;0), "", "Huérfano Obra")</f>
        <v/>
      </c>
      <c r="B377" s="10251">
        <f>IF(OR(Captura_Obra!A81="", (SUMIFS(Captura_Pegaso!$H:$H, Captura_Pegaso!$A:$A, Captura_Obra!A81, Captura_Pegaso!$D:$D, Captura_Obra!B81, Captura_Pegaso!$E:$E, Captura_Obra!D81) + SUMIFS(Captura_Marimba_M01!$G:$G, Captura_Marimba_M01!$A:$A, Captura_Obra!A81, Captura_Marimba_M01!$C:$C, Captura_Obra!B81, Captura_Marimba_M01!$D:$D, Captura_Obra!D81))&gt;0), "", "No Reportado")</f>
        <v/>
      </c>
      <c r="C377" s="10252">
        <f>IF(OR(Captura_Obra!A81="", (SUMIFS(Captura_Pegaso!$H:$H, Captura_Pegaso!$A:$A, Captura_Obra!A81, Captura_Pegaso!$D:$D, Captura_Obra!B81, Captura_Pegaso!$E:$E, Captura_Obra!D81) + SUMIFS(Captura_Marimba_M01!$G:$G, Captura_Marimba_M01!$A:$A, Captura_Obra!A81, Captura_Marimba_M01!$C:$C, Captura_Obra!B81, Captura_Marimba_M01!$D:$D, Captura_Obra!D81))&gt;0), "", Captura_Obra!N81)</f>
        <v/>
      </c>
      <c r="D377" s="10253">
        <f>IF(OR(Captura_Obra!A81="", (SUMIFS(Captura_Pegaso!$H:$H, Captura_Pegaso!$A:$A, Captura_Obra!A81, Captura_Pegaso!$D:$D, Captura_Obra!B81, Captura_Pegaso!$E:$E, Captura_Obra!D81) + SUMIFS(Captura_Marimba_M01!$G:$G, Captura_Marimba_M01!$A:$A, Captura_Obra!A81, Captura_Marimba_M01!$C:$C, Captura_Obra!B81, Captura_Marimba_M01!$D:$D, Captura_Obra!D81))&gt;0), "", "❌ Falta en Pipa")</f>
        <v/>
      </c>
      <c r="E377" s="10254">
        <f>IF(OR(Captura_Obra!A81="", (SUMIFS(Captura_Pegaso!$H:$H, Captura_Pegaso!$A:$A, Captura_Obra!A81, Captura_Pegaso!$D:$D, Captura_Obra!B81, Captura_Pegaso!$E:$E, Captura_Obra!D81) + SUMIFS(Captura_Marimba_M01!$G:$G, Captura_Marimba_M01!$A:$A, Captura_Obra!A81, Captura_Marimba_M01!$C:$C, Captura_Obra!B81, Captura_Marimba_M01!$D:$D, Captura_Obra!D81))&gt;0), "", Captura_Obra!A81)</f>
        <v/>
      </c>
      <c r="F377" s="10255">
        <f>IF(OR(Captura_Obra!A81="", (SUMIFS(Captura_Pegaso!$H:$H, Captura_Pegaso!$A:$A, Captura_Obra!A81, Captura_Pegaso!$D:$D, Captura_Obra!B81, Captura_Pegaso!$E:$E, Captura_Obra!D81) + SUMIFS(Captura_Marimba_M01!$G:$G, Captura_Marimba_M01!$A:$A, Captura_Obra!A81, Captura_Marimba_M01!$C:$C, Captura_Obra!B81, Captura_Marimba_M01!$D:$D, Captura_Obra!D81))&gt;0), "", Captura_Obra!B81)</f>
        <v/>
      </c>
      <c r="G377" s="10256">
        <f>IF(OR(Captura_Obra!A81="", (SUMIFS(Captura_Pegaso!$H:$H, Captura_Pegaso!$A:$A, Captura_Obra!A81, Captura_Pegaso!$D:$D, Captura_Obra!B81, Captura_Pegaso!$E:$E, Captura_Obra!D81) + SUMIFS(Captura_Marimba_M01!$G:$G, Captura_Marimba_M01!$A:$A, Captura_Obra!A81, Captura_Marimba_M01!$C:$C, Captura_Obra!B81, Captura_Marimba_M01!$D:$D, Captura_Obra!D81))&gt;0), "", Captura_Obra!D81)</f>
        <v/>
      </c>
      <c r="H377" s="10257">
        <f>IF(OR(Captura_Obra!A81="", (SUMIFS(Captura_Pegaso!$H:$H, Captura_Pegaso!$A:$A, Captura_Obra!A81, Captura_Pegaso!$D:$D, Captura_Obra!B81, Captura_Pegaso!$E:$E, Captura_Obra!D81) + SUMIFS(Captura_Marimba_M01!$G:$G, Captura_Marimba_M01!$A:$A, Captura_Obra!A81, Captura_Marimba_M01!$C:$C, Captura_Obra!B81, Captura_Marimba_M01!$D:$D, Captura_Obra!D81))&gt;0), "", 0)</f>
        <v/>
      </c>
      <c r="I377" s="10258">
        <f>IF(OR(Captura_Obra!A81="", (SUMIFS(Captura_Pegaso!$H:$H, Captura_Pegaso!$A:$A, Captura_Obra!A81, Captura_Pegaso!$D:$D, Captura_Obra!B81, Captura_Pegaso!$E:$E, Captura_Obra!D81) + SUMIFS(Captura_Marimba_M01!$G:$G, Captura_Marimba_M01!$A:$A, Captura_Obra!A81, Captura_Marimba_M01!$C:$C, Captura_Obra!B81, Captura_Marimba_M01!$D:$D, Captura_Obra!D81))&gt;0), "", Captura_Obra!F81)</f>
        <v/>
      </c>
      <c r="J377" s="10259">
        <f>IF(OR(Captura_Obra!A81="", (SUMIFS(Captura_Pegaso!$H:$H, Captura_Pegaso!$A:$A, Captura_Obra!A81, Captura_Pegaso!$D:$D, Captura_Obra!B81, Captura_Pegaso!$E:$E, Captura_Obra!D81) + SUMIFS(Captura_Marimba_M01!$G:$G, Captura_Marimba_M01!$A:$A, Captura_Obra!A81, Captura_Marimba_M01!$C:$C, Captura_Obra!B81, Captura_Marimba_M01!$D:$D, Captura_Obra!D81))&gt;0), "", H377 - I377)</f>
        <v/>
      </c>
      <c r="K377" s="4186" t="n"/>
    </row>
    <row r="378">
      <c r="A378" s="10260">
        <f>IF(OR(Captura_Obra!A82="", (SUMIFS(Captura_Pegaso!$H:$H, Captura_Pegaso!$A:$A, Captura_Obra!A82, Captura_Pegaso!$D:$D, Captura_Obra!B82, Captura_Pegaso!$E:$E, Captura_Obra!D82) + SUMIFS(Captura_Marimba_M01!$G:$G, Captura_Marimba_M01!$A:$A, Captura_Obra!A82, Captura_Marimba_M01!$C:$C, Captura_Obra!B82, Captura_Marimba_M01!$D:$D, Captura_Obra!D82))&gt;0), "", "Huérfano Obra")</f>
        <v/>
      </c>
      <c r="B378" s="10261">
        <f>IF(OR(Captura_Obra!A82="", (SUMIFS(Captura_Pegaso!$H:$H, Captura_Pegaso!$A:$A, Captura_Obra!A82, Captura_Pegaso!$D:$D, Captura_Obra!B82, Captura_Pegaso!$E:$E, Captura_Obra!D82) + SUMIFS(Captura_Marimba_M01!$G:$G, Captura_Marimba_M01!$A:$A, Captura_Obra!A82, Captura_Marimba_M01!$C:$C, Captura_Obra!B82, Captura_Marimba_M01!$D:$D, Captura_Obra!D82))&gt;0), "", "No Reportado")</f>
        <v/>
      </c>
      <c r="C378" s="10262">
        <f>IF(OR(Captura_Obra!A82="", (SUMIFS(Captura_Pegaso!$H:$H, Captura_Pegaso!$A:$A, Captura_Obra!A82, Captura_Pegaso!$D:$D, Captura_Obra!B82, Captura_Pegaso!$E:$E, Captura_Obra!D82) + SUMIFS(Captura_Marimba_M01!$G:$G, Captura_Marimba_M01!$A:$A, Captura_Obra!A82, Captura_Marimba_M01!$C:$C, Captura_Obra!B82, Captura_Marimba_M01!$D:$D, Captura_Obra!D82))&gt;0), "", Captura_Obra!N82)</f>
        <v/>
      </c>
      <c r="D378" s="10263">
        <f>IF(OR(Captura_Obra!A82="", (SUMIFS(Captura_Pegaso!$H:$H, Captura_Pegaso!$A:$A, Captura_Obra!A82, Captura_Pegaso!$D:$D, Captura_Obra!B82, Captura_Pegaso!$E:$E, Captura_Obra!D82) + SUMIFS(Captura_Marimba_M01!$G:$G, Captura_Marimba_M01!$A:$A, Captura_Obra!A82, Captura_Marimba_M01!$C:$C, Captura_Obra!B82, Captura_Marimba_M01!$D:$D, Captura_Obra!D82))&gt;0), "", "❌ Falta en Pipa")</f>
        <v/>
      </c>
      <c r="E378" s="10264">
        <f>IF(OR(Captura_Obra!A82="", (SUMIFS(Captura_Pegaso!$H:$H, Captura_Pegaso!$A:$A, Captura_Obra!A82, Captura_Pegaso!$D:$D, Captura_Obra!B82, Captura_Pegaso!$E:$E, Captura_Obra!D82) + SUMIFS(Captura_Marimba_M01!$G:$G, Captura_Marimba_M01!$A:$A, Captura_Obra!A82, Captura_Marimba_M01!$C:$C, Captura_Obra!B82, Captura_Marimba_M01!$D:$D, Captura_Obra!D82))&gt;0), "", Captura_Obra!A82)</f>
        <v/>
      </c>
      <c r="F378" s="10265">
        <f>IF(OR(Captura_Obra!A82="", (SUMIFS(Captura_Pegaso!$H:$H, Captura_Pegaso!$A:$A, Captura_Obra!A82, Captura_Pegaso!$D:$D, Captura_Obra!B82, Captura_Pegaso!$E:$E, Captura_Obra!D82) + SUMIFS(Captura_Marimba_M01!$G:$G, Captura_Marimba_M01!$A:$A, Captura_Obra!A82, Captura_Marimba_M01!$C:$C, Captura_Obra!B82, Captura_Marimba_M01!$D:$D, Captura_Obra!D82))&gt;0), "", Captura_Obra!B82)</f>
        <v/>
      </c>
      <c r="G378" s="10266">
        <f>IF(OR(Captura_Obra!A82="", (SUMIFS(Captura_Pegaso!$H:$H, Captura_Pegaso!$A:$A, Captura_Obra!A82, Captura_Pegaso!$D:$D, Captura_Obra!B82, Captura_Pegaso!$E:$E, Captura_Obra!D82) + SUMIFS(Captura_Marimba_M01!$G:$G, Captura_Marimba_M01!$A:$A, Captura_Obra!A82, Captura_Marimba_M01!$C:$C, Captura_Obra!B82, Captura_Marimba_M01!$D:$D, Captura_Obra!D82))&gt;0), "", Captura_Obra!D82)</f>
        <v/>
      </c>
      <c r="H378" s="10267">
        <f>IF(OR(Captura_Obra!A82="", (SUMIFS(Captura_Pegaso!$H:$H, Captura_Pegaso!$A:$A, Captura_Obra!A82, Captura_Pegaso!$D:$D, Captura_Obra!B82, Captura_Pegaso!$E:$E, Captura_Obra!D82) + SUMIFS(Captura_Marimba_M01!$G:$G, Captura_Marimba_M01!$A:$A, Captura_Obra!A82, Captura_Marimba_M01!$C:$C, Captura_Obra!B82, Captura_Marimba_M01!$D:$D, Captura_Obra!D82))&gt;0), "", 0)</f>
        <v/>
      </c>
      <c r="I378" s="10268">
        <f>IF(OR(Captura_Obra!A82="", (SUMIFS(Captura_Pegaso!$H:$H, Captura_Pegaso!$A:$A, Captura_Obra!A82, Captura_Pegaso!$D:$D, Captura_Obra!B82, Captura_Pegaso!$E:$E, Captura_Obra!D82) + SUMIFS(Captura_Marimba_M01!$G:$G, Captura_Marimba_M01!$A:$A, Captura_Obra!A82, Captura_Marimba_M01!$C:$C, Captura_Obra!B82, Captura_Marimba_M01!$D:$D, Captura_Obra!D82))&gt;0), "", Captura_Obra!F82)</f>
        <v/>
      </c>
      <c r="J378" s="10269">
        <f>IF(OR(Captura_Obra!A82="", (SUMIFS(Captura_Pegaso!$H:$H, Captura_Pegaso!$A:$A, Captura_Obra!A82, Captura_Pegaso!$D:$D, Captura_Obra!B82, Captura_Pegaso!$E:$E, Captura_Obra!D82) + SUMIFS(Captura_Marimba_M01!$G:$G, Captura_Marimba_M01!$A:$A, Captura_Obra!A82, Captura_Marimba_M01!$C:$C, Captura_Obra!B82, Captura_Marimba_M01!$D:$D, Captura_Obra!D82))&gt;0), "", H378 - I378)</f>
        <v/>
      </c>
      <c r="K378" s="4187" t="n"/>
    </row>
    <row r="379">
      <c r="A379" s="10270">
        <f>IF(OR(Captura_Obra!A83="", (SUMIFS(Captura_Pegaso!$H:$H, Captura_Pegaso!$A:$A, Captura_Obra!A83, Captura_Pegaso!$D:$D, Captura_Obra!B83, Captura_Pegaso!$E:$E, Captura_Obra!D83) + SUMIFS(Captura_Marimba_M01!$G:$G, Captura_Marimba_M01!$A:$A, Captura_Obra!A83, Captura_Marimba_M01!$C:$C, Captura_Obra!B83, Captura_Marimba_M01!$D:$D, Captura_Obra!D83))&gt;0), "", "Huérfano Obra")</f>
        <v/>
      </c>
      <c r="B379" s="10271">
        <f>IF(OR(Captura_Obra!A83="", (SUMIFS(Captura_Pegaso!$H:$H, Captura_Pegaso!$A:$A, Captura_Obra!A83, Captura_Pegaso!$D:$D, Captura_Obra!B83, Captura_Pegaso!$E:$E, Captura_Obra!D83) + SUMIFS(Captura_Marimba_M01!$G:$G, Captura_Marimba_M01!$A:$A, Captura_Obra!A83, Captura_Marimba_M01!$C:$C, Captura_Obra!B83, Captura_Marimba_M01!$D:$D, Captura_Obra!D83))&gt;0), "", "No Reportado")</f>
        <v/>
      </c>
      <c r="C379" s="10272">
        <f>IF(OR(Captura_Obra!A83="", (SUMIFS(Captura_Pegaso!$H:$H, Captura_Pegaso!$A:$A, Captura_Obra!A83, Captura_Pegaso!$D:$D, Captura_Obra!B83, Captura_Pegaso!$E:$E, Captura_Obra!D83) + SUMIFS(Captura_Marimba_M01!$G:$G, Captura_Marimba_M01!$A:$A, Captura_Obra!A83, Captura_Marimba_M01!$C:$C, Captura_Obra!B83, Captura_Marimba_M01!$D:$D, Captura_Obra!D83))&gt;0), "", Captura_Obra!N83)</f>
        <v/>
      </c>
      <c r="D379" s="10273">
        <f>IF(OR(Captura_Obra!A83="", (SUMIFS(Captura_Pegaso!$H:$H, Captura_Pegaso!$A:$A, Captura_Obra!A83, Captura_Pegaso!$D:$D, Captura_Obra!B83, Captura_Pegaso!$E:$E, Captura_Obra!D83) + SUMIFS(Captura_Marimba_M01!$G:$G, Captura_Marimba_M01!$A:$A, Captura_Obra!A83, Captura_Marimba_M01!$C:$C, Captura_Obra!B83, Captura_Marimba_M01!$D:$D, Captura_Obra!D83))&gt;0), "", "❌ Falta en Pipa")</f>
        <v/>
      </c>
      <c r="E379" s="10274">
        <f>IF(OR(Captura_Obra!A83="", (SUMIFS(Captura_Pegaso!$H:$H, Captura_Pegaso!$A:$A, Captura_Obra!A83, Captura_Pegaso!$D:$D, Captura_Obra!B83, Captura_Pegaso!$E:$E, Captura_Obra!D83) + SUMIFS(Captura_Marimba_M01!$G:$G, Captura_Marimba_M01!$A:$A, Captura_Obra!A83, Captura_Marimba_M01!$C:$C, Captura_Obra!B83, Captura_Marimba_M01!$D:$D, Captura_Obra!D83))&gt;0), "", Captura_Obra!A83)</f>
        <v/>
      </c>
      <c r="F379" s="10275">
        <f>IF(OR(Captura_Obra!A83="", (SUMIFS(Captura_Pegaso!$H:$H, Captura_Pegaso!$A:$A, Captura_Obra!A83, Captura_Pegaso!$D:$D, Captura_Obra!B83, Captura_Pegaso!$E:$E, Captura_Obra!D83) + SUMIFS(Captura_Marimba_M01!$G:$G, Captura_Marimba_M01!$A:$A, Captura_Obra!A83, Captura_Marimba_M01!$C:$C, Captura_Obra!B83, Captura_Marimba_M01!$D:$D, Captura_Obra!D83))&gt;0), "", Captura_Obra!B83)</f>
        <v/>
      </c>
      <c r="G379" s="10276">
        <f>IF(OR(Captura_Obra!A83="", (SUMIFS(Captura_Pegaso!$H:$H, Captura_Pegaso!$A:$A, Captura_Obra!A83, Captura_Pegaso!$D:$D, Captura_Obra!B83, Captura_Pegaso!$E:$E, Captura_Obra!D83) + SUMIFS(Captura_Marimba_M01!$G:$G, Captura_Marimba_M01!$A:$A, Captura_Obra!A83, Captura_Marimba_M01!$C:$C, Captura_Obra!B83, Captura_Marimba_M01!$D:$D, Captura_Obra!D83))&gt;0), "", Captura_Obra!D83)</f>
        <v/>
      </c>
      <c r="H379" s="10277">
        <f>IF(OR(Captura_Obra!A83="", (SUMIFS(Captura_Pegaso!$H:$H, Captura_Pegaso!$A:$A, Captura_Obra!A83, Captura_Pegaso!$D:$D, Captura_Obra!B83, Captura_Pegaso!$E:$E, Captura_Obra!D83) + SUMIFS(Captura_Marimba_M01!$G:$G, Captura_Marimba_M01!$A:$A, Captura_Obra!A83, Captura_Marimba_M01!$C:$C, Captura_Obra!B83, Captura_Marimba_M01!$D:$D, Captura_Obra!D83))&gt;0), "", 0)</f>
        <v/>
      </c>
      <c r="I379" s="10278">
        <f>IF(OR(Captura_Obra!A83="", (SUMIFS(Captura_Pegaso!$H:$H, Captura_Pegaso!$A:$A, Captura_Obra!A83, Captura_Pegaso!$D:$D, Captura_Obra!B83, Captura_Pegaso!$E:$E, Captura_Obra!D83) + SUMIFS(Captura_Marimba_M01!$G:$G, Captura_Marimba_M01!$A:$A, Captura_Obra!A83, Captura_Marimba_M01!$C:$C, Captura_Obra!B83, Captura_Marimba_M01!$D:$D, Captura_Obra!D83))&gt;0), "", Captura_Obra!F83)</f>
        <v/>
      </c>
      <c r="J379" s="10279">
        <f>IF(OR(Captura_Obra!A83="", (SUMIFS(Captura_Pegaso!$H:$H, Captura_Pegaso!$A:$A, Captura_Obra!A83, Captura_Pegaso!$D:$D, Captura_Obra!B83, Captura_Pegaso!$E:$E, Captura_Obra!D83) + SUMIFS(Captura_Marimba_M01!$G:$G, Captura_Marimba_M01!$A:$A, Captura_Obra!A83, Captura_Marimba_M01!$C:$C, Captura_Obra!B83, Captura_Marimba_M01!$D:$D, Captura_Obra!D83))&gt;0), "", H379 - I379)</f>
        <v/>
      </c>
      <c r="K379" s="4188" t="n"/>
    </row>
    <row r="380">
      <c r="A380" s="10280">
        <f>IF(OR(Captura_Obra!A84="", (SUMIFS(Captura_Pegaso!$H:$H, Captura_Pegaso!$A:$A, Captura_Obra!A84, Captura_Pegaso!$D:$D, Captura_Obra!B84, Captura_Pegaso!$E:$E, Captura_Obra!D84) + SUMIFS(Captura_Marimba_M01!$G:$G, Captura_Marimba_M01!$A:$A, Captura_Obra!A84, Captura_Marimba_M01!$C:$C, Captura_Obra!B84, Captura_Marimba_M01!$D:$D, Captura_Obra!D84))&gt;0), "", "Huérfano Obra")</f>
        <v/>
      </c>
      <c r="B380" s="10281">
        <f>IF(OR(Captura_Obra!A84="", (SUMIFS(Captura_Pegaso!$H:$H, Captura_Pegaso!$A:$A, Captura_Obra!A84, Captura_Pegaso!$D:$D, Captura_Obra!B84, Captura_Pegaso!$E:$E, Captura_Obra!D84) + SUMIFS(Captura_Marimba_M01!$G:$G, Captura_Marimba_M01!$A:$A, Captura_Obra!A84, Captura_Marimba_M01!$C:$C, Captura_Obra!B84, Captura_Marimba_M01!$D:$D, Captura_Obra!D84))&gt;0), "", "No Reportado")</f>
        <v/>
      </c>
      <c r="C380" s="10282">
        <f>IF(OR(Captura_Obra!A84="", (SUMIFS(Captura_Pegaso!$H:$H, Captura_Pegaso!$A:$A, Captura_Obra!A84, Captura_Pegaso!$D:$D, Captura_Obra!B84, Captura_Pegaso!$E:$E, Captura_Obra!D84) + SUMIFS(Captura_Marimba_M01!$G:$G, Captura_Marimba_M01!$A:$A, Captura_Obra!A84, Captura_Marimba_M01!$C:$C, Captura_Obra!B84, Captura_Marimba_M01!$D:$D, Captura_Obra!D84))&gt;0), "", Captura_Obra!N84)</f>
        <v/>
      </c>
      <c r="D380" s="10283">
        <f>IF(OR(Captura_Obra!A84="", (SUMIFS(Captura_Pegaso!$H:$H, Captura_Pegaso!$A:$A, Captura_Obra!A84, Captura_Pegaso!$D:$D, Captura_Obra!B84, Captura_Pegaso!$E:$E, Captura_Obra!D84) + SUMIFS(Captura_Marimba_M01!$G:$G, Captura_Marimba_M01!$A:$A, Captura_Obra!A84, Captura_Marimba_M01!$C:$C, Captura_Obra!B84, Captura_Marimba_M01!$D:$D, Captura_Obra!D84))&gt;0), "", "❌ Falta en Pipa")</f>
        <v/>
      </c>
      <c r="E380" s="10284">
        <f>IF(OR(Captura_Obra!A84="", (SUMIFS(Captura_Pegaso!$H:$H, Captura_Pegaso!$A:$A, Captura_Obra!A84, Captura_Pegaso!$D:$D, Captura_Obra!B84, Captura_Pegaso!$E:$E, Captura_Obra!D84) + SUMIFS(Captura_Marimba_M01!$G:$G, Captura_Marimba_M01!$A:$A, Captura_Obra!A84, Captura_Marimba_M01!$C:$C, Captura_Obra!B84, Captura_Marimba_M01!$D:$D, Captura_Obra!D84))&gt;0), "", Captura_Obra!A84)</f>
        <v/>
      </c>
      <c r="F380" s="10285">
        <f>IF(OR(Captura_Obra!A84="", (SUMIFS(Captura_Pegaso!$H:$H, Captura_Pegaso!$A:$A, Captura_Obra!A84, Captura_Pegaso!$D:$D, Captura_Obra!B84, Captura_Pegaso!$E:$E, Captura_Obra!D84) + SUMIFS(Captura_Marimba_M01!$G:$G, Captura_Marimba_M01!$A:$A, Captura_Obra!A84, Captura_Marimba_M01!$C:$C, Captura_Obra!B84, Captura_Marimba_M01!$D:$D, Captura_Obra!D84))&gt;0), "", Captura_Obra!B84)</f>
        <v/>
      </c>
      <c r="G380" s="10286">
        <f>IF(OR(Captura_Obra!A84="", (SUMIFS(Captura_Pegaso!$H:$H, Captura_Pegaso!$A:$A, Captura_Obra!A84, Captura_Pegaso!$D:$D, Captura_Obra!B84, Captura_Pegaso!$E:$E, Captura_Obra!D84) + SUMIFS(Captura_Marimba_M01!$G:$G, Captura_Marimba_M01!$A:$A, Captura_Obra!A84, Captura_Marimba_M01!$C:$C, Captura_Obra!B84, Captura_Marimba_M01!$D:$D, Captura_Obra!D84))&gt;0), "", Captura_Obra!D84)</f>
        <v/>
      </c>
      <c r="H380" s="10287">
        <f>IF(OR(Captura_Obra!A84="", (SUMIFS(Captura_Pegaso!$H:$H, Captura_Pegaso!$A:$A, Captura_Obra!A84, Captura_Pegaso!$D:$D, Captura_Obra!B84, Captura_Pegaso!$E:$E, Captura_Obra!D84) + SUMIFS(Captura_Marimba_M01!$G:$G, Captura_Marimba_M01!$A:$A, Captura_Obra!A84, Captura_Marimba_M01!$C:$C, Captura_Obra!B84, Captura_Marimba_M01!$D:$D, Captura_Obra!D84))&gt;0), "", 0)</f>
        <v/>
      </c>
      <c r="I380" s="10288">
        <f>IF(OR(Captura_Obra!A84="", (SUMIFS(Captura_Pegaso!$H:$H, Captura_Pegaso!$A:$A, Captura_Obra!A84, Captura_Pegaso!$D:$D, Captura_Obra!B84, Captura_Pegaso!$E:$E, Captura_Obra!D84) + SUMIFS(Captura_Marimba_M01!$G:$G, Captura_Marimba_M01!$A:$A, Captura_Obra!A84, Captura_Marimba_M01!$C:$C, Captura_Obra!B84, Captura_Marimba_M01!$D:$D, Captura_Obra!D84))&gt;0), "", Captura_Obra!F84)</f>
        <v/>
      </c>
      <c r="J380" s="10289">
        <f>IF(OR(Captura_Obra!A84="", (SUMIFS(Captura_Pegaso!$H:$H, Captura_Pegaso!$A:$A, Captura_Obra!A84, Captura_Pegaso!$D:$D, Captura_Obra!B84, Captura_Pegaso!$E:$E, Captura_Obra!D84) + SUMIFS(Captura_Marimba_M01!$G:$G, Captura_Marimba_M01!$A:$A, Captura_Obra!A84, Captura_Marimba_M01!$C:$C, Captura_Obra!B84, Captura_Marimba_M01!$D:$D, Captura_Obra!D84))&gt;0), "", H380 - I380)</f>
        <v/>
      </c>
      <c r="K380" s="4189" t="n"/>
    </row>
    <row r="381">
      <c r="A381" s="10290">
        <f>IF(OR(Captura_Obra!A85="", (SUMIFS(Captura_Pegaso!$H:$H, Captura_Pegaso!$A:$A, Captura_Obra!A85, Captura_Pegaso!$D:$D, Captura_Obra!B85, Captura_Pegaso!$E:$E, Captura_Obra!D85) + SUMIFS(Captura_Marimba_M01!$G:$G, Captura_Marimba_M01!$A:$A, Captura_Obra!A85, Captura_Marimba_M01!$C:$C, Captura_Obra!B85, Captura_Marimba_M01!$D:$D, Captura_Obra!D85))&gt;0), "", "Huérfano Obra")</f>
        <v/>
      </c>
      <c r="B381" s="10291">
        <f>IF(OR(Captura_Obra!A85="", (SUMIFS(Captura_Pegaso!$H:$H, Captura_Pegaso!$A:$A, Captura_Obra!A85, Captura_Pegaso!$D:$D, Captura_Obra!B85, Captura_Pegaso!$E:$E, Captura_Obra!D85) + SUMIFS(Captura_Marimba_M01!$G:$G, Captura_Marimba_M01!$A:$A, Captura_Obra!A85, Captura_Marimba_M01!$C:$C, Captura_Obra!B85, Captura_Marimba_M01!$D:$D, Captura_Obra!D85))&gt;0), "", "No Reportado")</f>
        <v/>
      </c>
      <c r="C381" s="10292">
        <f>IF(OR(Captura_Obra!A85="", (SUMIFS(Captura_Pegaso!$H:$H, Captura_Pegaso!$A:$A, Captura_Obra!A85, Captura_Pegaso!$D:$D, Captura_Obra!B85, Captura_Pegaso!$E:$E, Captura_Obra!D85) + SUMIFS(Captura_Marimba_M01!$G:$G, Captura_Marimba_M01!$A:$A, Captura_Obra!A85, Captura_Marimba_M01!$C:$C, Captura_Obra!B85, Captura_Marimba_M01!$D:$D, Captura_Obra!D85))&gt;0), "", Captura_Obra!N85)</f>
        <v/>
      </c>
      <c r="D381" s="10293">
        <f>IF(OR(Captura_Obra!A85="", (SUMIFS(Captura_Pegaso!$H:$H, Captura_Pegaso!$A:$A, Captura_Obra!A85, Captura_Pegaso!$D:$D, Captura_Obra!B85, Captura_Pegaso!$E:$E, Captura_Obra!D85) + SUMIFS(Captura_Marimba_M01!$G:$G, Captura_Marimba_M01!$A:$A, Captura_Obra!A85, Captura_Marimba_M01!$C:$C, Captura_Obra!B85, Captura_Marimba_M01!$D:$D, Captura_Obra!D85))&gt;0), "", "❌ Falta en Pipa")</f>
        <v/>
      </c>
      <c r="E381" s="10294">
        <f>IF(OR(Captura_Obra!A85="", (SUMIFS(Captura_Pegaso!$H:$H, Captura_Pegaso!$A:$A, Captura_Obra!A85, Captura_Pegaso!$D:$D, Captura_Obra!B85, Captura_Pegaso!$E:$E, Captura_Obra!D85) + SUMIFS(Captura_Marimba_M01!$G:$G, Captura_Marimba_M01!$A:$A, Captura_Obra!A85, Captura_Marimba_M01!$C:$C, Captura_Obra!B85, Captura_Marimba_M01!$D:$D, Captura_Obra!D85))&gt;0), "", Captura_Obra!A85)</f>
        <v/>
      </c>
      <c r="F381" s="10295">
        <f>IF(OR(Captura_Obra!A85="", (SUMIFS(Captura_Pegaso!$H:$H, Captura_Pegaso!$A:$A, Captura_Obra!A85, Captura_Pegaso!$D:$D, Captura_Obra!B85, Captura_Pegaso!$E:$E, Captura_Obra!D85) + SUMIFS(Captura_Marimba_M01!$G:$G, Captura_Marimba_M01!$A:$A, Captura_Obra!A85, Captura_Marimba_M01!$C:$C, Captura_Obra!B85, Captura_Marimba_M01!$D:$D, Captura_Obra!D85))&gt;0), "", Captura_Obra!B85)</f>
        <v/>
      </c>
      <c r="G381" s="10296">
        <f>IF(OR(Captura_Obra!A85="", (SUMIFS(Captura_Pegaso!$H:$H, Captura_Pegaso!$A:$A, Captura_Obra!A85, Captura_Pegaso!$D:$D, Captura_Obra!B85, Captura_Pegaso!$E:$E, Captura_Obra!D85) + SUMIFS(Captura_Marimba_M01!$G:$G, Captura_Marimba_M01!$A:$A, Captura_Obra!A85, Captura_Marimba_M01!$C:$C, Captura_Obra!B85, Captura_Marimba_M01!$D:$D, Captura_Obra!D85))&gt;0), "", Captura_Obra!D85)</f>
        <v/>
      </c>
      <c r="H381" s="10297">
        <f>IF(OR(Captura_Obra!A85="", (SUMIFS(Captura_Pegaso!$H:$H, Captura_Pegaso!$A:$A, Captura_Obra!A85, Captura_Pegaso!$D:$D, Captura_Obra!B85, Captura_Pegaso!$E:$E, Captura_Obra!D85) + SUMIFS(Captura_Marimba_M01!$G:$G, Captura_Marimba_M01!$A:$A, Captura_Obra!A85, Captura_Marimba_M01!$C:$C, Captura_Obra!B85, Captura_Marimba_M01!$D:$D, Captura_Obra!D85))&gt;0), "", 0)</f>
        <v/>
      </c>
      <c r="I381" s="10298">
        <f>IF(OR(Captura_Obra!A85="", (SUMIFS(Captura_Pegaso!$H:$H, Captura_Pegaso!$A:$A, Captura_Obra!A85, Captura_Pegaso!$D:$D, Captura_Obra!B85, Captura_Pegaso!$E:$E, Captura_Obra!D85) + SUMIFS(Captura_Marimba_M01!$G:$G, Captura_Marimba_M01!$A:$A, Captura_Obra!A85, Captura_Marimba_M01!$C:$C, Captura_Obra!B85, Captura_Marimba_M01!$D:$D, Captura_Obra!D85))&gt;0), "", Captura_Obra!F85)</f>
        <v/>
      </c>
      <c r="J381" s="10299">
        <f>IF(OR(Captura_Obra!A85="", (SUMIFS(Captura_Pegaso!$H:$H, Captura_Pegaso!$A:$A, Captura_Obra!A85, Captura_Pegaso!$D:$D, Captura_Obra!B85, Captura_Pegaso!$E:$E, Captura_Obra!D85) + SUMIFS(Captura_Marimba_M01!$G:$G, Captura_Marimba_M01!$A:$A, Captura_Obra!A85, Captura_Marimba_M01!$C:$C, Captura_Obra!B85, Captura_Marimba_M01!$D:$D, Captura_Obra!D85))&gt;0), "", H381 - I381)</f>
        <v/>
      </c>
      <c r="K381" s="4190" t="n"/>
    </row>
    <row r="382">
      <c r="A382" s="10300">
        <f>IF(OR(Captura_Obra!A86="", (SUMIFS(Captura_Pegaso!$H:$H, Captura_Pegaso!$A:$A, Captura_Obra!A86, Captura_Pegaso!$D:$D, Captura_Obra!B86, Captura_Pegaso!$E:$E, Captura_Obra!D86) + SUMIFS(Captura_Marimba_M01!$G:$G, Captura_Marimba_M01!$A:$A, Captura_Obra!A86, Captura_Marimba_M01!$C:$C, Captura_Obra!B86, Captura_Marimba_M01!$D:$D, Captura_Obra!D86))&gt;0), "", "Huérfano Obra")</f>
        <v/>
      </c>
      <c r="B382" s="10301">
        <f>IF(OR(Captura_Obra!A86="", (SUMIFS(Captura_Pegaso!$H:$H, Captura_Pegaso!$A:$A, Captura_Obra!A86, Captura_Pegaso!$D:$D, Captura_Obra!B86, Captura_Pegaso!$E:$E, Captura_Obra!D86) + SUMIFS(Captura_Marimba_M01!$G:$G, Captura_Marimba_M01!$A:$A, Captura_Obra!A86, Captura_Marimba_M01!$C:$C, Captura_Obra!B86, Captura_Marimba_M01!$D:$D, Captura_Obra!D86))&gt;0), "", "No Reportado")</f>
        <v/>
      </c>
      <c r="C382" s="10302">
        <f>IF(OR(Captura_Obra!A86="", (SUMIFS(Captura_Pegaso!$H:$H, Captura_Pegaso!$A:$A, Captura_Obra!A86, Captura_Pegaso!$D:$D, Captura_Obra!B86, Captura_Pegaso!$E:$E, Captura_Obra!D86) + SUMIFS(Captura_Marimba_M01!$G:$G, Captura_Marimba_M01!$A:$A, Captura_Obra!A86, Captura_Marimba_M01!$C:$C, Captura_Obra!B86, Captura_Marimba_M01!$D:$D, Captura_Obra!D86))&gt;0), "", Captura_Obra!N86)</f>
        <v/>
      </c>
      <c r="D382" s="10303">
        <f>IF(OR(Captura_Obra!A86="", (SUMIFS(Captura_Pegaso!$H:$H, Captura_Pegaso!$A:$A, Captura_Obra!A86, Captura_Pegaso!$D:$D, Captura_Obra!B86, Captura_Pegaso!$E:$E, Captura_Obra!D86) + SUMIFS(Captura_Marimba_M01!$G:$G, Captura_Marimba_M01!$A:$A, Captura_Obra!A86, Captura_Marimba_M01!$C:$C, Captura_Obra!B86, Captura_Marimba_M01!$D:$D, Captura_Obra!D86))&gt;0), "", "❌ Falta en Pipa")</f>
        <v/>
      </c>
      <c r="E382" s="10304">
        <f>IF(OR(Captura_Obra!A86="", (SUMIFS(Captura_Pegaso!$H:$H, Captura_Pegaso!$A:$A, Captura_Obra!A86, Captura_Pegaso!$D:$D, Captura_Obra!B86, Captura_Pegaso!$E:$E, Captura_Obra!D86) + SUMIFS(Captura_Marimba_M01!$G:$G, Captura_Marimba_M01!$A:$A, Captura_Obra!A86, Captura_Marimba_M01!$C:$C, Captura_Obra!B86, Captura_Marimba_M01!$D:$D, Captura_Obra!D86))&gt;0), "", Captura_Obra!A86)</f>
        <v/>
      </c>
      <c r="F382" s="10305">
        <f>IF(OR(Captura_Obra!A86="", (SUMIFS(Captura_Pegaso!$H:$H, Captura_Pegaso!$A:$A, Captura_Obra!A86, Captura_Pegaso!$D:$D, Captura_Obra!B86, Captura_Pegaso!$E:$E, Captura_Obra!D86) + SUMIFS(Captura_Marimba_M01!$G:$G, Captura_Marimba_M01!$A:$A, Captura_Obra!A86, Captura_Marimba_M01!$C:$C, Captura_Obra!B86, Captura_Marimba_M01!$D:$D, Captura_Obra!D86))&gt;0), "", Captura_Obra!B86)</f>
        <v/>
      </c>
      <c r="G382" s="10306">
        <f>IF(OR(Captura_Obra!A86="", (SUMIFS(Captura_Pegaso!$H:$H, Captura_Pegaso!$A:$A, Captura_Obra!A86, Captura_Pegaso!$D:$D, Captura_Obra!B86, Captura_Pegaso!$E:$E, Captura_Obra!D86) + SUMIFS(Captura_Marimba_M01!$G:$G, Captura_Marimba_M01!$A:$A, Captura_Obra!A86, Captura_Marimba_M01!$C:$C, Captura_Obra!B86, Captura_Marimba_M01!$D:$D, Captura_Obra!D86))&gt;0), "", Captura_Obra!D86)</f>
        <v/>
      </c>
      <c r="H382" s="10307">
        <f>IF(OR(Captura_Obra!A86="", (SUMIFS(Captura_Pegaso!$H:$H, Captura_Pegaso!$A:$A, Captura_Obra!A86, Captura_Pegaso!$D:$D, Captura_Obra!B86, Captura_Pegaso!$E:$E, Captura_Obra!D86) + SUMIFS(Captura_Marimba_M01!$G:$G, Captura_Marimba_M01!$A:$A, Captura_Obra!A86, Captura_Marimba_M01!$C:$C, Captura_Obra!B86, Captura_Marimba_M01!$D:$D, Captura_Obra!D86))&gt;0), "", 0)</f>
        <v/>
      </c>
      <c r="I382" s="10308">
        <f>IF(OR(Captura_Obra!A86="", (SUMIFS(Captura_Pegaso!$H:$H, Captura_Pegaso!$A:$A, Captura_Obra!A86, Captura_Pegaso!$D:$D, Captura_Obra!B86, Captura_Pegaso!$E:$E, Captura_Obra!D86) + SUMIFS(Captura_Marimba_M01!$G:$G, Captura_Marimba_M01!$A:$A, Captura_Obra!A86, Captura_Marimba_M01!$C:$C, Captura_Obra!B86, Captura_Marimba_M01!$D:$D, Captura_Obra!D86))&gt;0), "", Captura_Obra!F86)</f>
        <v/>
      </c>
      <c r="J382" s="10309">
        <f>IF(OR(Captura_Obra!A86="", (SUMIFS(Captura_Pegaso!$H:$H, Captura_Pegaso!$A:$A, Captura_Obra!A86, Captura_Pegaso!$D:$D, Captura_Obra!B86, Captura_Pegaso!$E:$E, Captura_Obra!D86) + SUMIFS(Captura_Marimba_M01!$G:$G, Captura_Marimba_M01!$A:$A, Captura_Obra!A86, Captura_Marimba_M01!$C:$C, Captura_Obra!B86, Captura_Marimba_M01!$D:$D, Captura_Obra!D86))&gt;0), "", H382 - I382)</f>
        <v/>
      </c>
      <c r="K382" s="4191" t="n"/>
    </row>
    <row r="383">
      <c r="A383" s="10310">
        <f>IF(OR(Captura_Obra!A87="", (SUMIFS(Captura_Pegaso!$H:$H, Captura_Pegaso!$A:$A, Captura_Obra!A87, Captura_Pegaso!$D:$D, Captura_Obra!B87, Captura_Pegaso!$E:$E, Captura_Obra!D87) + SUMIFS(Captura_Marimba_M01!$G:$G, Captura_Marimba_M01!$A:$A, Captura_Obra!A87, Captura_Marimba_M01!$C:$C, Captura_Obra!B87, Captura_Marimba_M01!$D:$D, Captura_Obra!D87))&gt;0), "", "Huérfano Obra")</f>
        <v/>
      </c>
      <c r="B383" s="10311">
        <f>IF(OR(Captura_Obra!A87="", (SUMIFS(Captura_Pegaso!$H:$H, Captura_Pegaso!$A:$A, Captura_Obra!A87, Captura_Pegaso!$D:$D, Captura_Obra!B87, Captura_Pegaso!$E:$E, Captura_Obra!D87) + SUMIFS(Captura_Marimba_M01!$G:$G, Captura_Marimba_M01!$A:$A, Captura_Obra!A87, Captura_Marimba_M01!$C:$C, Captura_Obra!B87, Captura_Marimba_M01!$D:$D, Captura_Obra!D87))&gt;0), "", "No Reportado")</f>
        <v/>
      </c>
      <c r="C383" s="10312">
        <f>IF(OR(Captura_Obra!A87="", (SUMIFS(Captura_Pegaso!$H:$H, Captura_Pegaso!$A:$A, Captura_Obra!A87, Captura_Pegaso!$D:$D, Captura_Obra!B87, Captura_Pegaso!$E:$E, Captura_Obra!D87) + SUMIFS(Captura_Marimba_M01!$G:$G, Captura_Marimba_M01!$A:$A, Captura_Obra!A87, Captura_Marimba_M01!$C:$C, Captura_Obra!B87, Captura_Marimba_M01!$D:$D, Captura_Obra!D87))&gt;0), "", Captura_Obra!N87)</f>
        <v/>
      </c>
      <c r="D383" s="10313">
        <f>IF(OR(Captura_Obra!A87="", (SUMIFS(Captura_Pegaso!$H:$H, Captura_Pegaso!$A:$A, Captura_Obra!A87, Captura_Pegaso!$D:$D, Captura_Obra!B87, Captura_Pegaso!$E:$E, Captura_Obra!D87) + SUMIFS(Captura_Marimba_M01!$G:$G, Captura_Marimba_M01!$A:$A, Captura_Obra!A87, Captura_Marimba_M01!$C:$C, Captura_Obra!B87, Captura_Marimba_M01!$D:$D, Captura_Obra!D87))&gt;0), "", "❌ Falta en Pipa")</f>
        <v/>
      </c>
      <c r="E383" s="10314">
        <f>IF(OR(Captura_Obra!A87="", (SUMIFS(Captura_Pegaso!$H:$H, Captura_Pegaso!$A:$A, Captura_Obra!A87, Captura_Pegaso!$D:$D, Captura_Obra!B87, Captura_Pegaso!$E:$E, Captura_Obra!D87) + SUMIFS(Captura_Marimba_M01!$G:$G, Captura_Marimba_M01!$A:$A, Captura_Obra!A87, Captura_Marimba_M01!$C:$C, Captura_Obra!B87, Captura_Marimba_M01!$D:$D, Captura_Obra!D87))&gt;0), "", Captura_Obra!A87)</f>
        <v/>
      </c>
      <c r="F383" s="10315">
        <f>IF(OR(Captura_Obra!A87="", (SUMIFS(Captura_Pegaso!$H:$H, Captura_Pegaso!$A:$A, Captura_Obra!A87, Captura_Pegaso!$D:$D, Captura_Obra!B87, Captura_Pegaso!$E:$E, Captura_Obra!D87) + SUMIFS(Captura_Marimba_M01!$G:$G, Captura_Marimba_M01!$A:$A, Captura_Obra!A87, Captura_Marimba_M01!$C:$C, Captura_Obra!B87, Captura_Marimba_M01!$D:$D, Captura_Obra!D87))&gt;0), "", Captura_Obra!B87)</f>
        <v/>
      </c>
      <c r="G383" s="10316">
        <f>IF(OR(Captura_Obra!A87="", (SUMIFS(Captura_Pegaso!$H:$H, Captura_Pegaso!$A:$A, Captura_Obra!A87, Captura_Pegaso!$D:$D, Captura_Obra!B87, Captura_Pegaso!$E:$E, Captura_Obra!D87) + SUMIFS(Captura_Marimba_M01!$G:$G, Captura_Marimba_M01!$A:$A, Captura_Obra!A87, Captura_Marimba_M01!$C:$C, Captura_Obra!B87, Captura_Marimba_M01!$D:$D, Captura_Obra!D87))&gt;0), "", Captura_Obra!D87)</f>
        <v/>
      </c>
      <c r="H383" s="10317">
        <f>IF(OR(Captura_Obra!A87="", (SUMIFS(Captura_Pegaso!$H:$H, Captura_Pegaso!$A:$A, Captura_Obra!A87, Captura_Pegaso!$D:$D, Captura_Obra!B87, Captura_Pegaso!$E:$E, Captura_Obra!D87) + SUMIFS(Captura_Marimba_M01!$G:$G, Captura_Marimba_M01!$A:$A, Captura_Obra!A87, Captura_Marimba_M01!$C:$C, Captura_Obra!B87, Captura_Marimba_M01!$D:$D, Captura_Obra!D87))&gt;0), "", 0)</f>
        <v/>
      </c>
      <c r="I383" s="10318">
        <f>IF(OR(Captura_Obra!A87="", (SUMIFS(Captura_Pegaso!$H:$H, Captura_Pegaso!$A:$A, Captura_Obra!A87, Captura_Pegaso!$D:$D, Captura_Obra!B87, Captura_Pegaso!$E:$E, Captura_Obra!D87) + SUMIFS(Captura_Marimba_M01!$G:$G, Captura_Marimba_M01!$A:$A, Captura_Obra!A87, Captura_Marimba_M01!$C:$C, Captura_Obra!B87, Captura_Marimba_M01!$D:$D, Captura_Obra!D87))&gt;0), "", Captura_Obra!F87)</f>
        <v/>
      </c>
      <c r="J383" s="10319">
        <f>IF(OR(Captura_Obra!A87="", (SUMIFS(Captura_Pegaso!$H:$H, Captura_Pegaso!$A:$A, Captura_Obra!A87, Captura_Pegaso!$D:$D, Captura_Obra!B87, Captura_Pegaso!$E:$E, Captura_Obra!D87) + SUMIFS(Captura_Marimba_M01!$G:$G, Captura_Marimba_M01!$A:$A, Captura_Obra!A87, Captura_Marimba_M01!$C:$C, Captura_Obra!B87, Captura_Marimba_M01!$D:$D, Captura_Obra!D87))&gt;0), "", H383 - I383)</f>
        <v/>
      </c>
      <c r="K383" s="4192" t="n"/>
    </row>
    <row r="384">
      <c r="A384" s="10320">
        <f>IF(OR(Captura_Obra!A88="", (SUMIFS(Captura_Pegaso!$H:$H, Captura_Pegaso!$A:$A, Captura_Obra!A88, Captura_Pegaso!$D:$D, Captura_Obra!B88, Captura_Pegaso!$E:$E, Captura_Obra!D88) + SUMIFS(Captura_Marimba_M01!$G:$G, Captura_Marimba_M01!$A:$A, Captura_Obra!A88, Captura_Marimba_M01!$C:$C, Captura_Obra!B88, Captura_Marimba_M01!$D:$D, Captura_Obra!D88))&gt;0), "", "Huérfano Obra")</f>
        <v/>
      </c>
      <c r="B384" s="10321">
        <f>IF(OR(Captura_Obra!A88="", (SUMIFS(Captura_Pegaso!$H:$H, Captura_Pegaso!$A:$A, Captura_Obra!A88, Captura_Pegaso!$D:$D, Captura_Obra!B88, Captura_Pegaso!$E:$E, Captura_Obra!D88) + SUMIFS(Captura_Marimba_M01!$G:$G, Captura_Marimba_M01!$A:$A, Captura_Obra!A88, Captura_Marimba_M01!$C:$C, Captura_Obra!B88, Captura_Marimba_M01!$D:$D, Captura_Obra!D88))&gt;0), "", "No Reportado")</f>
        <v/>
      </c>
      <c r="C384" s="10322">
        <f>IF(OR(Captura_Obra!A88="", (SUMIFS(Captura_Pegaso!$H:$H, Captura_Pegaso!$A:$A, Captura_Obra!A88, Captura_Pegaso!$D:$D, Captura_Obra!B88, Captura_Pegaso!$E:$E, Captura_Obra!D88) + SUMIFS(Captura_Marimba_M01!$G:$G, Captura_Marimba_M01!$A:$A, Captura_Obra!A88, Captura_Marimba_M01!$C:$C, Captura_Obra!B88, Captura_Marimba_M01!$D:$D, Captura_Obra!D88))&gt;0), "", Captura_Obra!N88)</f>
        <v/>
      </c>
      <c r="D384" s="10323">
        <f>IF(OR(Captura_Obra!A88="", (SUMIFS(Captura_Pegaso!$H:$H, Captura_Pegaso!$A:$A, Captura_Obra!A88, Captura_Pegaso!$D:$D, Captura_Obra!B88, Captura_Pegaso!$E:$E, Captura_Obra!D88) + SUMIFS(Captura_Marimba_M01!$G:$G, Captura_Marimba_M01!$A:$A, Captura_Obra!A88, Captura_Marimba_M01!$C:$C, Captura_Obra!B88, Captura_Marimba_M01!$D:$D, Captura_Obra!D88))&gt;0), "", "❌ Falta en Pipa")</f>
        <v/>
      </c>
      <c r="E384" s="10324">
        <f>IF(OR(Captura_Obra!A88="", (SUMIFS(Captura_Pegaso!$H:$H, Captura_Pegaso!$A:$A, Captura_Obra!A88, Captura_Pegaso!$D:$D, Captura_Obra!B88, Captura_Pegaso!$E:$E, Captura_Obra!D88) + SUMIFS(Captura_Marimba_M01!$G:$G, Captura_Marimba_M01!$A:$A, Captura_Obra!A88, Captura_Marimba_M01!$C:$C, Captura_Obra!B88, Captura_Marimba_M01!$D:$D, Captura_Obra!D88))&gt;0), "", Captura_Obra!A88)</f>
        <v/>
      </c>
      <c r="F384" s="10325">
        <f>IF(OR(Captura_Obra!A88="", (SUMIFS(Captura_Pegaso!$H:$H, Captura_Pegaso!$A:$A, Captura_Obra!A88, Captura_Pegaso!$D:$D, Captura_Obra!B88, Captura_Pegaso!$E:$E, Captura_Obra!D88) + SUMIFS(Captura_Marimba_M01!$G:$G, Captura_Marimba_M01!$A:$A, Captura_Obra!A88, Captura_Marimba_M01!$C:$C, Captura_Obra!B88, Captura_Marimba_M01!$D:$D, Captura_Obra!D88))&gt;0), "", Captura_Obra!B88)</f>
        <v/>
      </c>
      <c r="G384" s="10326">
        <f>IF(OR(Captura_Obra!A88="", (SUMIFS(Captura_Pegaso!$H:$H, Captura_Pegaso!$A:$A, Captura_Obra!A88, Captura_Pegaso!$D:$D, Captura_Obra!B88, Captura_Pegaso!$E:$E, Captura_Obra!D88) + SUMIFS(Captura_Marimba_M01!$G:$G, Captura_Marimba_M01!$A:$A, Captura_Obra!A88, Captura_Marimba_M01!$C:$C, Captura_Obra!B88, Captura_Marimba_M01!$D:$D, Captura_Obra!D88))&gt;0), "", Captura_Obra!D88)</f>
        <v/>
      </c>
      <c r="H384" s="10327">
        <f>IF(OR(Captura_Obra!A88="", (SUMIFS(Captura_Pegaso!$H:$H, Captura_Pegaso!$A:$A, Captura_Obra!A88, Captura_Pegaso!$D:$D, Captura_Obra!B88, Captura_Pegaso!$E:$E, Captura_Obra!D88) + SUMIFS(Captura_Marimba_M01!$G:$G, Captura_Marimba_M01!$A:$A, Captura_Obra!A88, Captura_Marimba_M01!$C:$C, Captura_Obra!B88, Captura_Marimba_M01!$D:$D, Captura_Obra!D88))&gt;0), "", 0)</f>
        <v/>
      </c>
      <c r="I384" s="10328">
        <f>IF(OR(Captura_Obra!A88="", (SUMIFS(Captura_Pegaso!$H:$H, Captura_Pegaso!$A:$A, Captura_Obra!A88, Captura_Pegaso!$D:$D, Captura_Obra!B88, Captura_Pegaso!$E:$E, Captura_Obra!D88) + SUMIFS(Captura_Marimba_M01!$G:$G, Captura_Marimba_M01!$A:$A, Captura_Obra!A88, Captura_Marimba_M01!$C:$C, Captura_Obra!B88, Captura_Marimba_M01!$D:$D, Captura_Obra!D88))&gt;0), "", Captura_Obra!F88)</f>
        <v/>
      </c>
      <c r="J384" s="10329">
        <f>IF(OR(Captura_Obra!A88="", (SUMIFS(Captura_Pegaso!$H:$H, Captura_Pegaso!$A:$A, Captura_Obra!A88, Captura_Pegaso!$D:$D, Captura_Obra!B88, Captura_Pegaso!$E:$E, Captura_Obra!D88) + SUMIFS(Captura_Marimba_M01!$G:$G, Captura_Marimba_M01!$A:$A, Captura_Obra!A88, Captura_Marimba_M01!$C:$C, Captura_Obra!B88, Captura_Marimba_M01!$D:$D, Captura_Obra!D88))&gt;0), "", H384 - I384)</f>
        <v/>
      </c>
      <c r="K384" s="4193" t="n"/>
    </row>
    <row r="385">
      <c r="A385" s="10330">
        <f>IF(OR(Captura_Obra!A89="", (SUMIFS(Captura_Pegaso!$H:$H, Captura_Pegaso!$A:$A, Captura_Obra!A89, Captura_Pegaso!$D:$D, Captura_Obra!B89, Captura_Pegaso!$E:$E, Captura_Obra!D89) + SUMIFS(Captura_Marimba_M01!$G:$G, Captura_Marimba_M01!$A:$A, Captura_Obra!A89, Captura_Marimba_M01!$C:$C, Captura_Obra!B89, Captura_Marimba_M01!$D:$D, Captura_Obra!D89))&gt;0), "", "Huérfano Obra")</f>
        <v/>
      </c>
      <c r="B385" s="10331">
        <f>IF(OR(Captura_Obra!A89="", (SUMIFS(Captura_Pegaso!$H:$H, Captura_Pegaso!$A:$A, Captura_Obra!A89, Captura_Pegaso!$D:$D, Captura_Obra!B89, Captura_Pegaso!$E:$E, Captura_Obra!D89) + SUMIFS(Captura_Marimba_M01!$G:$G, Captura_Marimba_M01!$A:$A, Captura_Obra!A89, Captura_Marimba_M01!$C:$C, Captura_Obra!B89, Captura_Marimba_M01!$D:$D, Captura_Obra!D89))&gt;0), "", "No Reportado")</f>
        <v/>
      </c>
      <c r="C385" s="10332">
        <f>IF(OR(Captura_Obra!A89="", (SUMIFS(Captura_Pegaso!$H:$H, Captura_Pegaso!$A:$A, Captura_Obra!A89, Captura_Pegaso!$D:$D, Captura_Obra!B89, Captura_Pegaso!$E:$E, Captura_Obra!D89) + SUMIFS(Captura_Marimba_M01!$G:$G, Captura_Marimba_M01!$A:$A, Captura_Obra!A89, Captura_Marimba_M01!$C:$C, Captura_Obra!B89, Captura_Marimba_M01!$D:$D, Captura_Obra!D89))&gt;0), "", Captura_Obra!N89)</f>
        <v/>
      </c>
      <c r="D385" s="10333">
        <f>IF(OR(Captura_Obra!A89="", (SUMIFS(Captura_Pegaso!$H:$H, Captura_Pegaso!$A:$A, Captura_Obra!A89, Captura_Pegaso!$D:$D, Captura_Obra!B89, Captura_Pegaso!$E:$E, Captura_Obra!D89) + SUMIFS(Captura_Marimba_M01!$G:$G, Captura_Marimba_M01!$A:$A, Captura_Obra!A89, Captura_Marimba_M01!$C:$C, Captura_Obra!B89, Captura_Marimba_M01!$D:$D, Captura_Obra!D89))&gt;0), "", "❌ Falta en Pipa")</f>
        <v/>
      </c>
      <c r="E385" s="10334">
        <f>IF(OR(Captura_Obra!A89="", (SUMIFS(Captura_Pegaso!$H:$H, Captura_Pegaso!$A:$A, Captura_Obra!A89, Captura_Pegaso!$D:$D, Captura_Obra!B89, Captura_Pegaso!$E:$E, Captura_Obra!D89) + SUMIFS(Captura_Marimba_M01!$G:$G, Captura_Marimba_M01!$A:$A, Captura_Obra!A89, Captura_Marimba_M01!$C:$C, Captura_Obra!B89, Captura_Marimba_M01!$D:$D, Captura_Obra!D89))&gt;0), "", Captura_Obra!A89)</f>
        <v/>
      </c>
      <c r="F385" s="10335">
        <f>IF(OR(Captura_Obra!A89="", (SUMIFS(Captura_Pegaso!$H:$H, Captura_Pegaso!$A:$A, Captura_Obra!A89, Captura_Pegaso!$D:$D, Captura_Obra!B89, Captura_Pegaso!$E:$E, Captura_Obra!D89) + SUMIFS(Captura_Marimba_M01!$G:$G, Captura_Marimba_M01!$A:$A, Captura_Obra!A89, Captura_Marimba_M01!$C:$C, Captura_Obra!B89, Captura_Marimba_M01!$D:$D, Captura_Obra!D89))&gt;0), "", Captura_Obra!B89)</f>
        <v/>
      </c>
      <c r="G385" s="10336">
        <f>IF(OR(Captura_Obra!A89="", (SUMIFS(Captura_Pegaso!$H:$H, Captura_Pegaso!$A:$A, Captura_Obra!A89, Captura_Pegaso!$D:$D, Captura_Obra!B89, Captura_Pegaso!$E:$E, Captura_Obra!D89) + SUMIFS(Captura_Marimba_M01!$G:$G, Captura_Marimba_M01!$A:$A, Captura_Obra!A89, Captura_Marimba_M01!$C:$C, Captura_Obra!B89, Captura_Marimba_M01!$D:$D, Captura_Obra!D89))&gt;0), "", Captura_Obra!D89)</f>
        <v/>
      </c>
      <c r="H385" s="10337">
        <f>IF(OR(Captura_Obra!A89="", (SUMIFS(Captura_Pegaso!$H:$H, Captura_Pegaso!$A:$A, Captura_Obra!A89, Captura_Pegaso!$D:$D, Captura_Obra!B89, Captura_Pegaso!$E:$E, Captura_Obra!D89) + SUMIFS(Captura_Marimba_M01!$G:$G, Captura_Marimba_M01!$A:$A, Captura_Obra!A89, Captura_Marimba_M01!$C:$C, Captura_Obra!B89, Captura_Marimba_M01!$D:$D, Captura_Obra!D89))&gt;0), "", 0)</f>
        <v/>
      </c>
      <c r="I385" s="10338">
        <f>IF(OR(Captura_Obra!A89="", (SUMIFS(Captura_Pegaso!$H:$H, Captura_Pegaso!$A:$A, Captura_Obra!A89, Captura_Pegaso!$D:$D, Captura_Obra!B89, Captura_Pegaso!$E:$E, Captura_Obra!D89) + SUMIFS(Captura_Marimba_M01!$G:$G, Captura_Marimba_M01!$A:$A, Captura_Obra!A89, Captura_Marimba_M01!$C:$C, Captura_Obra!B89, Captura_Marimba_M01!$D:$D, Captura_Obra!D89))&gt;0), "", Captura_Obra!F89)</f>
        <v/>
      </c>
      <c r="J385" s="10339">
        <f>IF(OR(Captura_Obra!A89="", (SUMIFS(Captura_Pegaso!$H:$H, Captura_Pegaso!$A:$A, Captura_Obra!A89, Captura_Pegaso!$D:$D, Captura_Obra!B89, Captura_Pegaso!$E:$E, Captura_Obra!D89) + SUMIFS(Captura_Marimba_M01!$G:$G, Captura_Marimba_M01!$A:$A, Captura_Obra!A89, Captura_Marimba_M01!$C:$C, Captura_Obra!B89, Captura_Marimba_M01!$D:$D, Captura_Obra!D89))&gt;0), "", H385 - I385)</f>
        <v/>
      </c>
      <c r="K385" s="4194" t="n"/>
    </row>
    <row r="386">
      <c r="A386" s="10340">
        <f>IF(OR(Captura_Obra!A90="", (SUMIFS(Captura_Pegaso!$H:$H, Captura_Pegaso!$A:$A, Captura_Obra!A90, Captura_Pegaso!$D:$D, Captura_Obra!B90, Captura_Pegaso!$E:$E, Captura_Obra!D90) + SUMIFS(Captura_Marimba_M01!$G:$G, Captura_Marimba_M01!$A:$A, Captura_Obra!A90, Captura_Marimba_M01!$C:$C, Captura_Obra!B90, Captura_Marimba_M01!$D:$D, Captura_Obra!D90))&gt;0), "", "Huérfano Obra")</f>
        <v/>
      </c>
      <c r="B386" s="10341">
        <f>IF(OR(Captura_Obra!A90="", (SUMIFS(Captura_Pegaso!$H:$H, Captura_Pegaso!$A:$A, Captura_Obra!A90, Captura_Pegaso!$D:$D, Captura_Obra!B90, Captura_Pegaso!$E:$E, Captura_Obra!D90) + SUMIFS(Captura_Marimba_M01!$G:$G, Captura_Marimba_M01!$A:$A, Captura_Obra!A90, Captura_Marimba_M01!$C:$C, Captura_Obra!B90, Captura_Marimba_M01!$D:$D, Captura_Obra!D90))&gt;0), "", "No Reportado")</f>
        <v/>
      </c>
      <c r="C386" s="10342">
        <f>IF(OR(Captura_Obra!A90="", (SUMIFS(Captura_Pegaso!$H:$H, Captura_Pegaso!$A:$A, Captura_Obra!A90, Captura_Pegaso!$D:$D, Captura_Obra!B90, Captura_Pegaso!$E:$E, Captura_Obra!D90) + SUMIFS(Captura_Marimba_M01!$G:$G, Captura_Marimba_M01!$A:$A, Captura_Obra!A90, Captura_Marimba_M01!$C:$C, Captura_Obra!B90, Captura_Marimba_M01!$D:$D, Captura_Obra!D90))&gt;0), "", Captura_Obra!N90)</f>
        <v/>
      </c>
      <c r="D386" s="10343">
        <f>IF(OR(Captura_Obra!A90="", (SUMIFS(Captura_Pegaso!$H:$H, Captura_Pegaso!$A:$A, Captura_Obra!A90, Captura_Pegaso!$D:$D, Captura_Obra!B90, Captura_Pegaso!$E:$E, Captura_Obra!D90) + SUMIFS(Captura_Marimba_M01!$G:$G, Captura_Marimba_M01!$A:$A, Captura_Obra!A90, Captura_Marimba_M01!$C:$C, Captura_Obra!B90, Captura_Marimba_M01!$D:$D, Captura_Obra!D90))&gt;0), "", "❌ Falta en Pipa")</f>
        <v/>
      </c>
      <c r="E386" s="10344">
        <f>IF(OR(Captura_Obra!A90="", (SUMIFS(Captura_Pegaso!$H:$H, Captura_Pegaso!$A:$A, Captura_Obra!A90, Captura_Pegaso!$D:$D, Captura_Obra!B90, Captura_Pegaso!$E:$E, Captura_Obra!D90) + SUMIFS(Captura_Marimba_M01!$G:$G, Captura_Marimba_M01!$A:$A, Captura_Obra!A90, Captura_Marimba_M01!$C:$C, Captura_Obra!B90, Captura_Marimba_M01!$D:$D, Captura_Obra!D90))&gt;0), "", Captura_Obra!A90)</f>
        <v/>
      </c>
      <c r="F386" s="10345">
        <f>IF(OR(Captura_Obra!A90="", (SUMIFS(Captura_Pegaso!$H:$H, Captura_Pegaso!$A:$A, Captura_Obra!A90, Captura_Pegaso!$D:$D, Captura_Obra!B90, Captura_Pegaso!$E:$E, Captura_Obra!D90) + SUMIFS(Captura_Marimba_M01!$G:$G, Captura_Marimba_M01!$A:$A, Captura_Obra!A90, Captura_Marimba_M01!$C:$C, Captura_Obra!B90, Captura_Marimba_M01!$D:$D, Captura_Obra!D90))&gt;0), "", Captura_Obra!B90)</f>
        <v/>
      </c>
      <c r="G386" s="10346">
        <f>IF(OR(Captura_Obra!A90="", (SUMIFS(Captura_Pegaso!$H:$H, Captura_Pegaso!$A:$A, Captura_Obra!A90, Captura_Pegaso!$D:$D, Captura_Obra!B90, Captura_Pegaso!$E:$E, Captura_Obra!D90) + SUMIFS(Captura_Marimba_M01!$G:$G, Captura_Marimba_M01!$A:$A, Captura_Obra!A90, Captura_Marimba_M01!$C:$C, Captura_Obra!B90, Captura_Marimba_M01!$D:$D, Captura_Obra!D90))&gt;0), "", Captura_Obra!D90)</f>
        <v/>
      </c>
      <c r="H386" s="10347">
        <f>IF(OR(Captura_Obra!A90="", (SUMIFS(Captura_Pegaso!$H:$H, Captura_Pegaso!$A:$A, Captura_Obra!A90, Captura_Pegaso!$D:$D, Captura_Obra!B90, Captura_Pegaso!$E:$E, Captura_Obra!D90) + SUMIFS(Captura_Marimba_M01!$G:$G, Captura_Marimba_M01!$A:$A, Captura_Obra!A90, Captura_Marimba_M01!$C:$C, Captura_Obra!B90, Captura_Marimba_M01!$D:$D, Captura_Obra!D90))&gt;0), "", 0)</f>
        <v/>
      </c>
      <c r="I386" s="10348">
        <f>IF(OR(Captura_Obra!A90="", (SUMIFS(Captura_Pegaso!$H:$H, Captura_Pegaso!$A:$A, Captura_Obra!A90, Captura_Pegaso!$D:$D, Captura_Obra!B90, Captura_Pegaso!$E:$E, Captura_Obra!D90) + SUMIFS(Captura_Marimba_M01!$G:$G, Captura_Marimba_M01!$A:$A, Captura_Obra!A90, Captura_Marimba_M01!$C:$C, Captura_Obra!B90, Captura_Marimba_M01!$D:$D, Captura_Obra!D90))&gt;0), "", Captura_Obra!F90)</f>
        <v/>
      </c>
      <c r="J386" s="10349">
        <f>IF(OR(Captura_Obra!A90="", (SUMIFS(Captura_Pegaso!$H:$H, Captura_Pegaso!$A:$A, Captura_Obra!A90, Captura_Pegaso!$D:$D, Captura_Obra!B90, Captura_Pegaso!$E:$E, Captura_Obra!D90) + SUMIFS(Captura_Marimba_M01!$G:$G, Captura_Marimba_M01!$A:$A, Captura_Obra!A90, Captura_Marimba_M01!$C:$C, Captura_Obra!B90, Captura_Marimba_M01!$D:$D, Captura_Obra!D90))&gt;0), "", H386 - I386)</f>
        <v/>
      </c>
      <c r="K386" s="4195" t="n"/>
    </row>
    <row r="387">
      <c r="A387" s="10350">
        <f>IF(OR(Captura_Obra!A91="", (SUMIFS(Captura_Pegaso!$H:$H, Captura_Pegaso!$A:$A, Captura_Obra!A91, Captura_Pegaso!$D:$D, Captura_Obra!B91, Captura_Pegaso!$E:$E, Captura_Obra!D91) + SUMIFS(Captura_Marimba_M01!$G:$G, Captura_Marimba_M01!$A:$A, Captura_Obra!A91, Captura_Marimba_M01!$C:$C, Captura_Obra!B91, Captura_Marimba_M01!$D:$D, Captura_Obra!D91))&gt;0), "", "Huérfano Obra")</f>
        <v/>
      </c>
      <c r="B387" s="10351">
        <f>IF(OR(Captura_Obra!A91="", (SUMIFS(Captura_Pegaso!$H:$H, Captura_Pegaso!$A:$A, Captura_Obra!A91, Captura_Pegaso!$D:$D, Captura_Obra!B91, Captura_Pegaso!$E:$E, Captura_Obra!D91) + SUMIFS(Captura_Marimba_M01!$G:$G, Captura_Marimba_M01!$A:$A, Captura_Obra!A91, Captura_Marimba_M01!$C:$C, Captura_Obra!B91, Captura_Marimba_M01!$D:$D, Captura_Obra!D91))&gt;0), "", "No Reportado")</f>
        <v/>
      </c>
      <c r="C387" s="10352">
        <f>IF(OR(Captura_Obra!A91="", (SUMIFS(Captura_Pegaso!$H:$H, Captura_Pegaso!$A:$A, Captura_Obra!A91, Captura_Pegaso!$D:$D, Captura_Obra!B91, Captura_Pegaso!$E:$E, Captura_Obra!D91) + SUMIFS(Captura_Marimba_M01!$G:$G, Captura_Marimba_M01!$A:$A, Captura_Obra!A91, Captura_Marimba_M01!$C:$C, Captura_Obra!B91, Captura_Marimba_M01!$D:$D, Captura_Obra!D91))&gt;0), "", Captura_Obra!N91)</f>
        <v/>
      </c>
      <c r="D387" s="10353">
        <f>IF(OR(Captura_Obra!A91="", (SUMIFS(Captura_Pegaso!$H:$H, Captura_Pegaso!$A:$A, Captura_Obra!A91, Captura_Pegaso!$D:$D, Captura_Obra!B91, Captura_Pegaso!$E:$E, Captura_Obra!D91) + SUMIFS(Captura_Marimba_M01!$G:$G, Captura_Marimba_M01!$A:$A, Captura_Obra!A91, Captura_Marimba_M01!$C:$C, Captura_Obra!B91, Captura_Marimba_M01!$D:$D, Captura_Obra!D91))&gt;0), "", "❌ Falta en Pipa")</f>
        <v/>
      </c>
      <c r="E387" s="10354">
        <f>IF(OR(Captura_Obra!A91="", (SUMIFS(Captura_Pegaso!$H:$H, Captura_Pegaso!$A:$A, Captura_Obra!A91, Captura_Pegaso!$D:$D, Captura_Obra!B91, Captura_Pegaso!$E:$E, Captura_Obra!D91) + SUMIFS(Captura_Marimba_M01!$G:$G, Captura_Marimba_M01!$A:$A, Captura_Obra!A91, Captura_Marimba_M01!$C:$C, Captura_Obra!B91, Captura_Marimba_M01!$D:$D, Captura_Obra!D91))&gt;0), "", Captura_Obra!A91)</f>
        <v/>
      </c>
      <c r="F387" s="10355">
        <f>IF(OR(Captura_Obra!A91="", (SUMIFS(Captura_Pegaso!$H:$H, Captura_Pegaso!$A:$A, Captura_Obra!A91, Captura_Pegaso!$D:$D, Captura_Obra!B91, Captura_Pegaso!$E:$E, Captura_Obra!D91) + SUMIFS(Captura_Marimba_M01!$G:$G, Captura_Marimba_M01!$A:$A, Captura_Obra!A91, Captura_Marimba_M01!$C:$C, Captura_Obra!B91, Captura_Marimba_M01!$D:$D, Captura_Obra!D91))&gt;0), "", Captura_Obra!B91)</f>
        <v/>
      </c>
      <c r="G387" s="10356">
        <f>IF(OR(Captura_Obra!A91="", (SUMIFS(Captura_Pegaso!$H:$H, Captura_Pegaso!$A:$A, Captura_Obra!A91, Captura_Pegaso!$D:$D, Captura_Obra!B91, Captura_Pegaso!$E:$E, Captura_Obra!D91) + SUMIFS(Captura_Marimba_M01!$G:$G, Captura_Marimba_M01!$A:$A, Captura_Obra!A91, Captura_Marimba_M01!$C:$C, Captura_Obra!B91, Captura_Marimba_M01!$D:$D, Captura_Obra!D91))&gt;0), "", Captura_Obra!D91)</f>
        <v/>
      </c>
      <c r="H387" s="10357">
        <f>IF(OR(Captura_Obra!A91="", (SUMIFS(Captura_Pegaso!$H:$H, Captura_Pegaso!$A:$A, Captura_Obra!A91, Captura_Pegaso!$D:$D, Captura_Obra!B91, Captura_Pegaso!$E:$E, Captura_Obra!D91) + SUMIFS(Captura_Marimba_M01!$G:$G, Captura_Marimba_M01!$A:$A, Captura_Obra!A91, Captura_Marimba_M01!$C:$C, Captura_Obra!B91, Captura_Marimba_M01!$D:$D, Captura_Obra!D91))&gt;0), "", 0)</f>
        <v/>
      </c>
      <c r="I387" s="10358">
        <f>IF(OR(Captura_Obra!A91="", (SUMIFS(Captura_Pegaso!$H:$H, Captura_Pegaso!$A:$A, Captura_Obra!A91, Captura_Pegaso!$D:$D, Captura_Obra!B91, Captura_Pegaso!$E:$E, Captura_Obra!D91) + SUMIFS(Captura_Marimba_M01!$G:$G, Captura_Marimba_M01!$A:$A, Captura_Obra!A91, Captura_Marimba_M01!$C:$C, Captura_Obra!B91, Captura_Marimba_M01!$D:$D, Captura_Obra!D91))&gt;0), "", Captura_Obra!F91)</f>
        <v/>
      </c>
      <c r="J387" s="10359">
        <f>IF(OR(Captura_Obra!A91="", (SUMIFS(Captura_Pegaso!$H:$H, Captura_Pegaso!$A:$A, Captura_Obra!A91, Captura_Pegaso!$D:$D, Captura_Obra!B91, Captura_Pegaso!$E:$E, Captura_Obra!D91) + SUMIFS(Captura_Marimba_M01!$G:$G, Captura_Marimba_M01!$A:$A, Captura_Obra!A91, Captura_Marimba_M01!$C:$C, Captura_Obra!B91, Captura_Marimba_M01!$D:$D, Captura_Obra!D91))&gt;0), "", H387 - I387)</f>
        <v/>
      </c>
      <c r="K387" s="4196" t="n"/>
    </row>
    <row r="388">
      <c r="A388" s="10360">
        <f>IF(OR(Captura_Obra!A92="", (SUMIFS(Captura_Pegaso!$H:$H, Captura_Pegaso!$A:$A, Captura_Obra!A92, Captura_Pegaso!$D:$D, Captura_Obra!B92, Captura_Pegaso!$E:$E, Captura_Obra!D92) + SUMIFS(Captura_Marimba_M01!$G:$G, Captura_Marimba_M01!$A:$A, Captura_Obra!A92, Captura_Marimba_M01!$C:$C, Captura_Obra!B92, Captura_Marimba_M01!$D:$D, Captura_Obra!D92))&gt;0), "", "Huérfano Obra")</f>
        <v/>
      </c>
      <c r="B388" s="10361">
        <f>IF(OR(Captura_Obra!A92="", (SUMIFS(Captura_Pegaso!$H:$H, Captura_Pegaso!$A:$A, Captura_Obra!A92, Captura_Pegaso!$D:$D, Captura_Obra!B92, Captura_Pegaso!$E:$E, Captura_Obra!D92) + SUMIFS(Captura_Marimba_M01!$G:$G, Captura_Marimba_M01!$A:$A, Captura_Obra!A92, Captura_Marimba_M01!$C:$C, Captura_Obra!B92, Captura_Marimba_M01!$D:$D, Captura_Obra!D92))&gt;0), "", "No Reportado")</f>
        <v/>
      </c>
      <c r="C388" s="10362">
        <f>IF(OR(Captura_Obra!A92="", (SUMIFS(Captura_Pegaso!$H:$H, Captura_Pegaso!$A:$A, Captura_Obra!A92, Captura_Pegaso!$D:$D, Captura_Obra!B92, Captura_Pegaso!$E:$E, Captura_Obra!D92) + SUMIFS(Captura_Marimba_M01!$G:$G, Captura_Marimba_M01!$A:$A, Captura_Obra!A92, Captura_Marimba_M01!$C:$C, Captura_Obra!B92, Captura_Marimba_M01!$D:$D, Captura_Obra!D92))&gt;0), "", Captura_Obra!N92)</f>
        <v/>
      </c>
      <c r="D388" s="10363">
        <f>IF(OR(Captura_Obra!A92="", (SUMIFS(Captura_Pegaso!$H:$H, Captura_Pegaso!$A:$A, Captura_Obra!A92, Captura_Pegaso!$D:$D, Captura_Obra!B92, Captura_Pegaso!$E:$E, Captura_Obra!D92) + SUMIFS(Captura_Marimba_M01!$G:$G, Captura_Marimba_M01!$A:$A, Captura_Obra!A92, Captura_Marimba_M01!$C:$C, Captura_Obra!B92, Captura_Marimba_M01!$D:$D, Captura_Obra!D92))&gt;0), "", "❌ Falta en Pipa")</f>
        <v/>
      </c>
      <c r="E388" s="10364">
        <f>IF(OR(Captura_Obra!A92="", (SUMIFS(Captura_Pegaso!$H:$H, Captura_Pegaso!$A:$A, Captura_Obra!A92, Captura_Pegaso!$D:$D, Captura_Obra!B92, Captura_Pegaso!$E:$E, Captura_Obra!D92) + SUMIFS(Captura_Marimba_M01!$G:$G, Captura_Marimba_M01!$A:$A, Captura_Obra!A92, Captura_Marimba_M01!$C:$C, Captura_Obra!B92, Captura_Marimba_M01!$D:$D, Captura_Obra!D92))&gt;0), "", Captura_Obra!A92)</f>
        <v/>
      </c>
      <c r="F388" s="10365">
        <f>IF(OR(Captura_Obra!A92="", (SUMIFS(Captura_Pegaso!$H:$H, Captura_Pegaso!$A:$A, Captura_Obra!A92, Captura_Pegaso!$D:$D, Captura_Obra!B92, Captura_Pegaso!$E:$E, Captura_Obra!D92) + SUMIFS(Captura_Marimba_M01!$G:$G, Captura_Marimba_M01!$A:$A, Captura_Obra!A92, Captura_Marimba_M01!$C:$C, Captura_Obra!B92, Captura_Marimba_M01!$D:$D, Captura_Obra!D92))&gt;0), "", Captura_Obra!B92)</f>
        <v/>
      </c>
      <c r="G388" s="10366">
        <f>IF(OR(Captura_Obra!A92="", (SUMIFS(Captura_Pegaso!$H:$H, Captura_Pegaso!$A:$A, Captura_Obra!A92, Captura_Pegaso!$D:$D, Captura_Obra!B92, Captura_Pegaso!$E:$E, Captura_Obra!D92) + SUMIFS(Captura_Marimba_M01!$G:$G, Captura_Marimba_M01!$A:$A, Captura_Obra!A92, Captura_Marimba_M01!$C:$C, Captura_Obra!B92, Captura_Marimba_M01!$D:$D, Captura_Obra!D92))&gt;0), "", Captura_Obra!D92)</f>
        <v/>
      </c>
      <c r="H388" s="10367">
        <f>IF(OR(Captura_Obra!A92="", (SUMIFS(Captura_Pegaso!$H:$H, Captura_Pegaso!$A:$A, Captura_Obra!A92, Captura_Pegaso!$D:$D, Captura_Obra!B92, Captura_Pegaso!$E:$E, Captura_Obra!D92) + SUMIFS(Captura_Marimba_M01!$G:$G, Captura_Marimba_M01!$A:$A, Captura_Obra!A92, Captura_Marimba_M01!$C:$C, Captura_Obra!B92, Captura_Marimba_M01!$D:$D, Captura_Obra!D92))&gt;0), "", 0)</f>
        <v/>
      </c>
      <c r="I388" s="10368">
        <f>IF(OR(Captura_Obra!A92="", (SUMIFS(Captura_Pegaso!$H:$H, Captura_Pegaso!$A:$A, Captura_Obra!A92, Captura_Pegaso!$D:$D, Captura_Obra!B92, Captura_Pegaso!$E:$E, Captura_Obra!D92) + SUMIFS(Captura_Marimba_M01!$G:$G, Captura_Marimba_M01!$A:$A, Captura_Obra!A92, Captura_Marimba_M01!$C:$C, Captura_Obra!B92, Captura_Marimba_M01!$D:$D, Captura_Obra!D92))&gt;0), "", Captura_Obra!F92)</f>
        <v/>
      </c>
      <c r="J388" s="10369">
        <f>IF(OR(Captura_Obra!A92="", (SUMIFS(Captura_Pegaso!$H:$H, Captura_Pegaso!$A:$A, Captura_Obra!A92, Captura_Pegaso!$D:$D, Captura_Obra!B92, Captura_Pegaso!$E:$E, Captura_Obra!D92) + SUMIFS(Captura_Marimba_M01!$G:$G, Captura_Marimba_M01!$A:$A, Captura_Obra!A92, Captura_Marimba_M01!$C:$C, Captura_Obra!B92, Captura_Marimba_M01!$D:$D, Captura_Obra!D92))&gt;0), "", H388 - I388)</f>
        <v/>
      </c>
      <c r="K388" s="4197" t="n"/>
    </row>
    <row r="389">
      <c r="A389" s="10370">
        <f>IF(OR(Captura_Obra!A93="", (SUMIFS(Captura_Pegaso!$H:$H, Captura_Pegaso!$A:$A, Captura_Obra!A93, Captura_Pegaso!$D:$D, Captura_Obra!B93, Captura_Pegaso!$E:$E, Captura_Obra!D93) + SUMIFS(Captura_Marimba_M01!$G:$G, Captura_Marimba_M01!$A:$A, Captura_Obra!A93, Captura_Marimba_M01!$C:$C, Captura_Obra!B93, Captura_Marimba_M01!$D:$D, Captura_Obra!D93))&gt;0), "", "Huérfano Obra")</f>
        <v/>
      </c>
      <c r="B389" s="10371">
        <f>IF(OR(Captura_Obra!A93="", (SUMIFS(Captura_Pegaso!$H:$H, Captura_Pegaso!$A:$A, Captura_Obra!A93, Captura_Pegaso!$D:$D, Captura_Obra!B93, Captura_Pegaso!$E:$E, Captura_Obra!D93) + SUMIFS(Captura_Marimba_M01!$G:$G, Captura_Marimba_M01!$A:$A, Captura_Obra!A93, Captura_Marimba_M01!$C:$C, Captura_Obra!B93, Captura_Marimba_M01!$D:$D, Captura_Obra!D93))&gt;0), "", "No Reportado")</f>
        <v/>
      </c>
      <c r="C389" s="10372">
        <f>IF(OR(Captura_Obra!A93="", (SUMIFS(Captura_Pegaso!$H:$H, Captura_Pegaso!$A:$A, Captura_Obra!A93, Captura_Pegaso!$D:$D, Captura_Obra!B93, Captura_Pegaso!$E:$E, Captura_Obra!D93) + SUMIFS(Captura_Marimba_M01!$G:$G, Captura_Marimba_M01!$A:$A, Captura_Obra!A93, Captura_Marimba_M01!$C:$C, Captura_Obra!B93, Captura_Marimba_M01!$D:$D, Captura_Obra!D93))&gt;0), "", Captura_Obra!N93)</f>
        <v/>
      </c>
      <c r="D389" s="10373">
        <f>IF(OR(Captura_Obra!A93="", (SUMIFS(Captura_Pegaso!$H:$H, Captura_Pegaso!$A:$A, Captura_Obra!A93, Captura_Pegaso!$D:$D, Captura_Obra!B93, Captura_Pegaso!$E:$E, Captura_Obra!D93) + SUMIFS(Captura_Marimba_M01!$G:$G, Captura_Marimba_M01!$A:$A, Captura_Obra!A93, Captura_Marimba_M01!$C:$C, Captura_Obra!B93, Captura_Marimba_M01!$D:$D, Captura_Obra!D93))&gt;0), "", "❌ Falta en Pipa")</f>
        <v/>
      </c>
      <c r="E389" s="10374">
        <f>IF(OR(Captura_Obra!A93="", (SUMIFS(Captura_Pegaso!$H:$H, Captura_Pegaso!$A:$A, Captura_Obra!A93, Captura_Pegaso!$D:$D, Captura_Obra!B93, Captura_Pegaso!$E:$E, Captura_Obra!D93) + SUMIFS(Captura_Marimba_M01!$G:$G, Captura_Marimba_M01!$A:$A, Captura_Obra!A93, Captura_Marimba_M01!$C:$C, Captura_Obra!B93, Captura_Marimba_M01!$D:$D, Captura_Obra!D93))&gt;0), "", Captura_Obra!A93)</f>
        <v/>
      </c>
      <c r="F389" s="10375">
        <f>IF(OR(Captura_Obra!A93="", (SUMIFS(Captura_Pegaso!$H:$H, Captura_Pegaso!$A:$A, Captura_Obra!A93, Captura_Pegaso!$D:$D, Captura_Obra!B93, Captura_Pegaso!$E:$E, Captura_Obra!D93) + SUMIFS(Captura_Marimba_M01!$G:$G, Captura_Marimba_M01!$A:$A, Captura_Obra!A93, Captura_Marimba_M01!$C:$C, Captura_Obra!B93, Captura_Marimba_M01!$D:$D, Captura_Obra!D93))&gt;0), "", Captura_Obra!B93)</f>
        <v/>
      </c>
      <c r="G389" s="10376">
        <f>IF(OR(Captura_Obra!A93="", (SUMIFS(Captura_Pegaso!$H:$H, Captura_Pegaso!$A:$A, Captura_Obra!A93, Captura_Pegaso!$D:$D, Captura_Obra!B93, Captura_Pegaso!$E:$E, Captura_Obra!D93) + SUMIFS(Captura_Marimba_M01!$G:$G, Captura_Marimba_M01!$A:$A, Captura_Obra!A93, Captura_Marimba_M01!$C:$C, Captura_Obra!B93, Captura_Marimba_M01!$D:$D, Captura_Obra!D93))&gt;0), "", Captura_Obra!D93)</f>
        <v/>
      </c>
      <c r="H389" s="10377">
        <f>IF(OR(Captura_Obra!A93="", (SUMIFS(Captura_Pegaso!$H:$H, Captura_Pegaso!$A:$A, Captura_Obra!A93, Captura_Pegaso!$D:$D, Captura_Obra!B93, Captura_Pegaso!$E:$E, Captura_Obra!D93) + SUMIFS(Captura_Marimba_M01!$G:$G, Captura_Marimba_M01!$A:$A, Captura_Obra!A93, Captura_Marimba_M01!$C:$C, Captura_Obra!B93, Captura_Marimba_M01!$D:$D, Captura_Obra!D93))&gt;0), "", 0)</f>
        <v/>
      </c>
      <c r="I389" s="10378">
        <f>IF(OR(Captura_Obra!A93="", (SUMIFS(Captura_Pegaso!$H:$H, Captura_Pegaso!$A:$A, Captura_Obra!A93, Captura_Pegaso!$D:$D, Captura_Obra!B93, Captura_Pegaso!$E:$E, Captura_Obra!D93) + SUMIFS(Captura_Marimba_M01!$G:$G, Captura_Marimba_M01!$A:$A, Captura_Obra!A93, Captura_Marimba_M01!$C:$C, Captura_Obra!B93, Captura_Marimba_M01!$D:$D, Captura_Obra!D93))&gt;0), "", Captura_Obra!F93)</f>
        <v/>
      </c>
      <c r="J389" s="10379">
        <f>IF(OR(Captura_Obra!A93="", (SUMIFS(Captura_Pegaso!$H:$H, Captura_Pegaso!$A:$A, Captura_Obra!A93, Captura_Pegaso!$D:$D, Captura_Obra!B93, Captura_Pegaso!$E:$E, Captura_Obra!D93) + SUMIFS(Captura_Marimba_M01!$G:$G, Captura_Marimba_M01!$A:$A, Captura_Obra!A93, Captura_Marimba_M01!$C:$C, Captura_Obra!B93, Captura_Marimba_M01!$D:$D, Captura_Obra!D93))&gt;0), "", H389 - I389)</f>
        <v/>
      </c>
      <c r="K389" s="4198" t="n"/>
    </row>
    <row r="390">
      <c r="A390" s="10380">
        <f>IF(OR(Captura_Obra!A94="", (SUMIFS(Captura_Pegaso!$H:$H, Captura_Pegaso!$A:$A, Captura_Obra!A94, Captura_Pegaso!$D:$D, Captura_Obra!B94, Captura_Pegaso!$E:$E, Captura_Obra!D94) + SUMIFS(Captura_Marimba_M01!$G:$G, Captura_Marimba_M01!$A:$A, Captura_Obra!A94, Captura_Marimba_M01!$C:$C, Captura_Obra!B94, Captura_Marimba_M01!$D:$D, Captura_Obra!D94))&gt;0), "", "Huérfano Obra")</f>
        <v/>
      </c>
      <c r="B390" s="10381">
        <f>IF(OR(Captura_Obra!A94="", (SUMIFS(Captura_Pegaso!$H:$H, Captura_Pegaso!$A:$A, Captura_Obra!A94, Captura_Pegaso!$D:$D, Captura_Obra!B94, Captura_Pegaso!$E:$E, Captura_Obra!D94) + SUMIFS(Captura_Marimba_M01!$G:$G, Captura_Marimba_M01!$A:$A, Captura_Obra!A94, Captura_Marimba_M01!$C:$C, Captura_Obra!B94, Captura_Marimba_M01!$D:$D, Captura_Obra!D94))&gt;0), "", "No Reportado")</f>
        <v/>
      </c>
      <c r="C390" s="10382">
        <f>IF(OR(Captura_Obra!A94="", (SUMIFS(Captura_Pegaso!$H:$H, Captura_Pegaso!$A:$A, Captura_Obra!A94, Captura_Pegaso!$D:$D, Captura_Obra!B94, Captura_Pegaso!$E:$E, Captura_Obra!D94) + SUMIFS(Captura_Marimba_M01!$G:$G, Captura_Marimba_M01!$A:$A, Captura_Obra!A94, Captura_Marimba_M01!$C:$C, Captura_Obra!B94, Captura_Marimba_M01!$D:$D, Captura_Obra!D94))&gt;0), "", Captura_Obra!N94)</f>
        <v/>
      </c>
      <c r="D390" s="10383">
        <f>IF(OR(Captura_Obra!A94="", (SUMIFS(Captura_Pegaso!$H:$H, Captura_Pegaso!$A:$A, Captura_Obra!A94, Captura_Pegaso!$D:$D, Captura_Obra!B94, Captura_Pegaso!$E:$E, Captura_Obra!D94) + SUMIFS(Captura_Marimba_M01!$G:$G, Captura_Marimba_M01!$A:$A, Captura_Obra!A94, Captura_Marimba_M01!$C:$C, Captura_Obra!B94, Captura_Marimba_M01!$D:$D, Captura_Obra!D94))&gt;0), "", "❌ Falta en Pipa")</f>
        <v/>
      </c>
      <c r="E390" s="10384">
        <f>IF(OR(Captura_Obra!A94="", (SUMIFS(Captura_Pegaso!$H:$H, Captura_Pegaso!$A:$A, Captura_Obra!A94, Captura_Pegaso!$D:$D, Captura_Obra!B94, Captura_Pegaso!$E:$E, Captura_Obra!D94) + SUMIFS(Captura_Marimba_M01!$G:$G, Captura_Marimba_M01!$A:$A, Captura_Obra!A94, Captura_Marimba_M01!$C:$C, Captura_Obra!B94, Captura_Marimba_M01!$D:$D, Captura_Obra!D94))&gt;0), "", Captura_Obra!A94)</f>
        <v/>
      </c>
      <c r="F390" s="10385">
        <f>IF(OR(Captura_Obra!A94="", (SUMIFS(Captura_Pegaso!$H:$H, Captura_Pegaso!$A:$A, Captura_Obra!A94, Captura_Pegaso!$D:$D, Captura_Obra!B94, Captura_Pegaso!$E:$E, Captura_Obra!D94) + SUMIFS(Captura_Marimba_M01!$G:$G, Captura_Marimba_M01!$A:$A, Captura_Obra!A94, Captura_Marimba_M01!$C:$C, Captura_Obra!B94, Captura_Marimba_M01!$D:$D, Captura_Obra!D94))&gt;0), "", Captura_Obra!B94)</f>
        <v/>
      </c>
      <c r="G390" s="10386">
        <f>IF(OR(Captura_Obra!A94="", (SUMIFS(Captura_Pegaso!$H:$H, Captura_Pegaso!$A:$A, Captura_Obra!A94, Captura_Pegaso!$D:$D, Captura_Obra!B94, Captura_Pegaso!$E:$E, Captura_Obra!D94) + SUMIFS(Captura_Marimba_M01!$G:$G, Captura_Marimba_M01!$A:$A, Captura_Obra!A94, Captura_Marimba_M01!$C:$C, Captura_Obra!B94, Captura_Marimba_M01!$D:$D, Captura_Obra!D94))&gt;0), "", Captura_Obra!D94)</f>
        <v/>
      </c>
      <c r="H390" s="10387">
        <f>IF(OR(Captura_Obra!A94="", (SUMIFS(Captura_Pegaso!$H:$H, Captura_Pegaso!$A:$A, Captura_Obra!A94, Captura_Pegaso!$D:$D, Captura_Obra!B94, Captura_Pegaso!$E:$E, Captura_Obra!D94) + SUMIFS(Captura_Marimba_M01!$G:$G, Captura_Marimba_M01!$A:$A, Captura_Obra!A94, Captura_Marimba_M01!$C:$C, Captura_Obra!B94, Captura_Marimba_M01!$D:$D, Captura_Obra!D94))&gt;0), "", 0)</f>
        <v/>
      </c>
      <c r="I390" s="10388">
        <f>IF(OR(Captura_Obra!A94="", (SUMIFS(Captura_Pegaso!$H:$H, Captura_Pegaso!$A:$A, Captura_Obra!A94, Captura_Pegaso!$D:$D, Captura_Obra!B94, Captura_Pegaso!$E:$E, Captura_Obra!D94) + SUMIFS(Captura_Marimba_M01!$G:$G, Captura_Marimba_M01!$A:$A, Captura_Obra!A94, Captura_Marimba_M01!$C:$C, Captura_Obra!B94, Captura_Marimba_M01!$D:$D, Captura_Obra!D94))&gt;0), "", Captura_Obra!F94)</f>
        <v/>
      </c>
      <c r="J390" s="10389">
        <f>IF(OR(Captura_Obra!A94="", (SUMIFS(Captura_Pegaso!$H:$H, Captura_Pegaso!$A:$A, Captura_Obra!A94, Captura_Pegaso!$D:$D, Captura_Obra!B94, Captura_Pegaso!$E:$E, Captura_Obra!D94) + SUMIFS(Captura_Marimba_M01!$G:$G, Captura_Marimba_M01!$A:$A, Captura_Obra!A94, Captura_Marimba_M01!$C:$C, Captura_Obra!B94, Captura_Marimba_M01!$D:$D, Captura_Obra!D94))&gt;0), "", H390 - I390)</f>
        <v/>
      </c>
      <c r="K390" s="4199" t="n"/>
    </row>
    <row r="391">
      <c r="A391" s="10390">
        <f>IF(OR(Captura_Obra!A95="", (SUMIFS(Captura_Pegaso!$H:$H, Captura_Pegaso!$A:$A, Captura_Obra!A95, Captura_Pegaso!$D:$D, Captura_Obra!B95, Captura_Pegaso!$E:$E, Captura_Obra!D95) + SUMIFS(Captura_Marimba_M01!$G:$G, Captura_Marimba_M01!$A:$A, Captura_Obra!A95, Captura_Marimba_M01!$C:$C, Captura_Obra!B95, Captura_Marimba_M01!$D:$D, Captura_Obra!D95))&gt;0), "", "Huérfano Obra")</f>
        <v/>
      </c>
      <c r="B391" s="10391">
        <f>IF(OR(Captura_Obra!A95="", (SUMIFS(Captura_Pegaso!$H:$H, Captura_Pegaso!$A:$A, Captura_Obra!A95, Captura_Pegaso!$D:$D, Captura_Obra!B95, Captura_Pegaso!$E:$E, Captura_Obra!D95) + SUMIFS(Captura_Marimba_M01!$G:$G, Captura_Marimba_M01!$A:$A, Captura_Obra!A95, Captura_Marimba_M01!$C:$C, Captura_Obra!B95, Captura_Marimba_M01!$D:$D, Captura_Obra!D95))&gt;0), "", "No Reportado")</f>
        <v/>
      </c>
      <c r="C391" s="10392">
        <f>IF(OR(Captura_Obra!A95="", (SUMIFS(Captura_Pegaso!$H:$H, Captura_Pegaso!$A:$A, Captura_Obra!A95, Captura_Pegaso!$D:$D, Captura_Obra!B95, Captura_Pegaso!$E:$E, Captura_Obra!D95) + SUMIFS(Captura_Marimba_M01!$G:$G, Captura_Marimba_M01!$A:$A, Captura_Obra!A95, Captura_Marimba_M01!$C:$C, Captura_Obra!B95, Captura_Marimba_M01!$D:$D, Captura_Obra!D95))&gt;0), "", Captura_Obra!N95)</f>
        <v/>
      </c>
      <c r="D391" s="10393">
        <f>IF(OR(Captura_Obra!A95="", (SUMIFS(Captura_Pegaso!$H:$H, Captura_Pegaso!$A:$A, Captura_Obra!A95, Captura_Pegaso!$D:$D, Captura_Obra!B95, Captura_Pegaso!$E:$E, Captura_Obra!D95) + SUMIFS(Captura_Marimba_M01!$G:$G, Captura_Marimba_M01!$A:$A, Captura_Obra!A95, Captura_Marimba_M01!$C:$C, Captura_Obra!B95, Captura_Marimba_M01!$D:$D, Captura_Obra!D95))&gt;0), "", "❌ Falta en Pipa")</f>
        <v/>
      </c>
      <c r="E391" s="10394">
        <f>IF(OR(Captura_Obra!A95="", (SUMIFS(Captura_Pegaso!$H:$H, Captura_Pegaso!$A:$A, Captura_Obra!A95, Captura_Pegaso!$D:$D, Captura_Obra!B95, Captura_Pegaso!$E:$E, Captura_Obra!D95) + SUMIFS(Captura_Marimba_M01!$G:$G, Captura_Marimba_M01!$A:$A, Captura_Obra!A95, Captura_Marimba_M01!$C:$C, Captura_Obra!B95, Captura_Marimba_M01!$D:$D, Captura_Obra!D95))&gt;0), "", Captura_Obra!A95)</f>
        <v/>
      </c>
      <c r="F391" s="10395">
        <f>IF(OR(Captura_Obra!A95="", (SUMIFS(Captura_Pegaso!$H:$H, Captura_Pegaso!$A:$A, Captura_Obra!A95, Captura_Pegaso!$D:$D, Captura_Obra!B95, Captura_Pegaso!$E:$E, Captura_Obra!D95) + SUMIFS(Captura_Marimba_M01!$G:$G, Captura_Marimba_M01!$A:$A, Captura_Obra!A95, Captura_Marimba_M01!$C:$C, Captura_Obra!B95, Captura_Marimba_M01!$D:$D, Captura_Obra!D95))&gt;0), "", Captura_Obra!B95)</f>
        <v/>
      </c>
      <c r="G391" s="10396">
        <f>IF(OR(Captura_Obra!A95="", (SUMIFS(Captura_Pegaso!$H:$H, Captura_Pegaso!$A:$A, Captura_Obra!A95, Captura_Pegaso!$D:$D, Captura_Obra!B95, Captura_Pegaso!$E:$E, Captura_Obra!D95) + SUMIFS(Captura_Marimba_M01!$G:$G, Captura_Marimba_M01!$A:$A, Captura_Obra!A95, Captura_Marimba_M01!$C:$C, Captura_Obra!B95, Captura_Marimba_M01!$D:$D, Captura_Obra!D95))&gt;0), "", Captura_Obra!D95)</f>
        <v/>
      </c>
      <c r="H391" s="10397">
        <f>IF(OR(Captura_Obra!A95="", (SUMIFS(Captura_Pegaso!$H:$H, Captura_Pegaso!$A:$A, Captura_Obra!A95, Captura_Pegaso!$D:$D, Captura_Obra!B95, Captura_Pegaso!$E:$E, Captura_Obra!D95) + SUMIFS(Captura_Marimba_M01!$G:$G, Captura_Marimba_M01!$A:$A, Captura_Obra!A95, Captura_Marimba_M01!$C:$C, Captura_Obra!B95, Captura_Marimba_M01!$D:$D, Captura_Obra!D95))&gt;0), "", 0)</f>
        <v/>
      </c>
      <c r="I391" s="10398">
        <f>IF(OR(Captura_Obra!A95="", (SUMIFS(Captura_Pegaso!$H:$H, Captura_Pegaso!$A:$A, Captura_Obra!A95, Captura_Pegaso!$D:$D, Captura_Obra!B95, Captura_Pegaso!$E:$E, Captura_Obra!D95) + SUMIFS(Captura_Marimba_M01!$G:$G, Captura_Marimba_M01!$A:$A, Captura_Obra!A95, Captura_Marimba_M01!$C:$C, Captura_Obra!B95, Captura_Marimba_M01!$D:$D, Captura_Obra!D95))&gt;0), "", Captura_Obra!F95)</f>
        <v/>
      </c>
      <c r="J391" s="10399">
        <f>IF(OR(Captura_Obra!A95="", (SUMIFS(Captura_Pegaso!$H:$H, Captura_Pegaso!$A:$A, Captura_Obra!A95, Captura_Pegaso!$D:$D, Captura_Obra!B95, Captura_Pegaso!$E:$E, Captura_Obra!D95) + SUMIFS(Captura_Marimba_M01!$G:$G, Captura_Marimba_M01!$A:$A, Captura_Obra!A95, Captura_Marimba_M01!$C:$C, Captura_Obra!B95, Captura_Marimba_M01!$D:$D, Captura_Obra!D95))&gt;0), "", H391 - I391)</f>
        <v/>
      </c>
      <c r="K391" s="4200" t="n"/>
    </row>
    <row r="392">
      <c r="A392" s="10400">
        <f>IF(OR(Captura_Obra!A96="", (SUMIFS(Captura_Pegaso!$H:$H, Captura_Pegaso!$A:$A, Captura_Obra!A96, Captura_Pegaso!$D:$D, Captura_Obra!B96, Captura_Pegaso!$E:$E, Captura_Obra!D96) + SUMIFS(Captura_Marimba_M01!$G:$G, Captura_Marimba_M01!$A:$A, Captura_Obra!A96, Captura_Marimba_M01!$C:$C, Captura_Obra!B96, Captura_Marimba_M01!$D:$D, Captura_Obra!D96))&gt;0), "", "Huérfano Obra")</f>
        <v/>
      </c>
      <c r="B392" s="10401">
        <f>IF(OR(Captura_Obra!A96="", (SUMIFS(Captura_Pegaso!$H:$H, Captura_Pegaso!$A:$A, Captura_Obra!A96, Captura_Pegaso!$D:$D, Captura_Obra!B96, Captura_Pegaso!$E:$E, Captura_Obra!D96) + SUMIFS(Captura_Marimba_M01!$G:$G, Captura_Marimba_M01!$A:$A, Captura_Obra!A96, Captura_Marimba_M01!$C:$C, Captura_Obra!B96, Captura_Marimba_M01!$D:$D, Captura_Obra!D96))&gt;0), "", "No Reportado")</f>
        <v/>
      </c>
      <c r="C392" s="10402">
        <f>IF(OR(Captura_Obra!A96="", (SUMIFS(Captura_Pegaso!$H:$H, Captura_Pegaso!$A:$A, Captura_Obra!A96, Captura_Pegaso!$D:$D, Captura_Obra!B96, Captura_Pegaso!$E:$E, Captura_Obra!D96) + SUMIFS(Captura_Marimba_M01!$G:$G, Captura_Marimba_M01!$A:$A, Captura_Obra!A96, Captura_Marimba_M01!$C:$C, Captura_Obra!B96, Captura_Marimba_M01!$D:$D, Captura_Obra!D96))&gt;0), "", Captura_Obra!N96)</f>
        <v/>
      </c>
      <c r="D392" s="10403">
        <f>IF(OR(Captura_Obra!A96="", (SUMIFS(Captura_Pegaso!$H:$H, Captura_Pegaso!$A:$A, Captura_Obra!A96, Captura_Pegaso!$D:$D, Captura_Obra!B96, Captura_Pegaso!$E:$E, Captura_Obra!D96) + SUMIFS(Captura_Marimba_M01!$G:$G, Captura_Marimba_M01!$A:$A, Captura_Obra!A96, Captura_Marimba_M01!$C:$C, Captura_Obra!B96, Captura_Marimba_M01!$D:$D, Captura_Obra!D96))&gt;0), "", "❌ Falta en Pipa")</f>
        <v/>
      </c>
      <c r="E392" s="10404">
        <f>IF(OR(Captura_Obra!A96="", (SUMIFS(Captura_Pegaso!$H:$H, Captura_Pegaso!$A:$A, Captura_Obra!A96, Captura_Pegaso!$D:$D, Captura_Obra!B96, Captura_Pegaso!$E:$E, Captura_Obra!D96) + SUMIFS(Captura_Marimba_M01!$G:$G, Captura_Marimba_M01!$A:$A, Captura_Obra!A96, Captura_Marimba_M01!$C:$C, Captura_Obra!B96, Captura_Marimba_M01!$D:$D, Captura_Obra!D96))&gt;0), "", Captura_Obra!A96)</f>
        <v/>
      </c>
      <c r="F392" s="10405">
        <f>IF(OR(Captura_Obra!A96="", (SUMIFS(Captura_Pegaso!$H:$H, Captura_Pegaso!$A:$A, Captura_Obra!A96, Captura_Pegaso!$D:$D, Captura_Obra!B96, Captura_Pegaso!$E:$E, Captura_Obra!D96) + SUMIFS(Captura_Marimba_M01!$G:$G, Captura_Marimba_M01!$A:$A, Captura_Obra!A96, Captura_Marimba_M01!$C:$C, Captura_Obra!B96, Captura_Marimba_M01!$D:$D, Captura_Obra!D96))&gt;0), "", Captura_Obra!B96)</f>
        <v/>
      </c>
      <c r="G392" s="10406">
        <f>IF(OR(Captura_Obra!A96="", (SUMIFS(Captura_Pegaso!$H:$H, Captura_Pegaso!$A:$A, Captura_Obra!A96, Captura_Pegaso!$D:$D, Captura_Obra!B96, Captura_Pegaso!$E:$E, Captura_Obra!D96) + SUMIFS(Captura_Marimba_M01!$G:$G, Captura_Marimba_M01!$A:$A, Captura_Obra!A96, Captura_Marimba_M01!$C:$C, Captura_Obra!B96, Captura_Marimba_M01!$D:$D, Captura_Obra!D96))&gt;0), "", Captura_Obra!D96)</f>
        <v/>
      </c>
      <c r="H392" s="10407">
        <f>IF(OR(Captura_Obra!A96="", (SUMIFS(Captura_Pegaso!$H:$H, Captura_Pegaso!$A:$A, Captura_Obra!A96, Captura_Pegaso!$D:$D, Captura_Obra!B96, Captura_Pegaso!$E:$E, Captura_Obra!D96) + SUMIFS(Captura_Marimba_M01!$G:$G, Captura_Marimba_M01!$A:$A, Captura_Obra!A96, Captura_Marimba_M01!$C:$C, Captura_Obra!B96, Captura_Marimba_M01!$D:$D, Captura_Obra!D96))&gt;0), "", 0)</f>
        <v/>
      </c>
      <c r="I392" s="10408">
        <f>IF(OR(Captura_Obra!A96="", (SUMIFS(Captura_Pegaso!$H:$H, Captura_Pegaso!$A:$A, Captura_Obra!A96, Captura_Pegaso!$D:$D, Captura_Obra!B96, Captura_Pegaso!$E:$E, Captura_Obra!D96) + SUMIFS(Captura_Marimba_M01!$G:$G, Captura_Marimba_M01!$A:$A, Captura_Obra!A96, Captura_Marimba_M01!$C:$C, Captura_Obra!B96, Captura_Marimba_M01!$D:$D, Captura_Obra!D96))&gt;0), "", Captura_Obra!F96)</f>
        <v/>
      </c>
      <c r="J392" s="10409">
        <f>IF(OR(Captura_Obra!A96="", (SUMIFS(Captura_Pegaso!$H:$H, Captura_Pegaso!$A:$A, Captura_Obra!A96, Captura_Pegaso!$D:$D, Captura_Obra!B96, Captura_Pegaso!$E:$E, Captura_Obra!D96) + SUMIFS(Captura_Marimba_M01!$G:$G, Captura_Marimba_M01!$A:$A, Captura_Obra!A96, Captura_Marimba_M01!$C:$C, Captura_Obra!B96, Captura_Marimba_M01!$D:$D, Captura_Obra!D96))&gt;0), "", H392 - I392)</f>
        <v/>
      </c>
      <c r="K392" s="4201" t="n"/>
    </row>
    <row r="393">
      <c r="A393" s="10410">
        <f>IF(OR(Captura_Obra!A97="", (SUMIFS(Captura_Pegaso!$H:$H, Captura_Pegaso!$A:$A, Captura_Obra!A97, Captura_Pegaso!$D:$D, Captura_Obra!B97, Captura_Pegaso!$E:$E, Captura_Obra!D97) + SUMIFS(Captura_Marimba_M01!$G:$G, Captura_Marimba_M01!$A:$A, Captura_Obra!A97, Captura_Marimba_M01!$C:$C, Captura_Obra!B97, Captura_Marimba_M01!$D:$D, Captura_Obra!D97))&gt;0), "", "Huérfano Obra")</f>
        <v/>
      </c>
      <c r="B393" s="10411">
        <f>IF(OR(Captura_Obra!A97="", (SUMIFS(Captura_Pegaso!$H:$H, Captura_Pegaso!$A:$A, Captura_Obra!A97, Captura_Pegaso!$D:$D, Captura_Obra!B97, Captura_Pegaso!$E:$E, Captura_Obra!D97) + SUMIFS(Captura_Marimba_M01!$G:$G, Captura_Marimba_M01!$A:$A, Captura_Obra!A97, Captura_Marimba_M01!$C:$C, Captura_Obra!B97, Captura_Marimba_M01!$D:$D, Captura_Obra!D97))&gt;0), "", "No Reportado")</f>
        <v/>
      </c>
      <c r="C393" s="10412">
        <f>IF(OR(Captura_Obra!A97="", (SUMIFS(Captura_Pegaso!$H:$H, Captura_Pegaso!$A:$A, Captura_Obra!A97, Captura_Pegaso!$D:$D, Captura_Obra!B97, Captura_Pegaso!$E:$E, Captura_Obra!D97) + SUMIFS(Captura_Marimba_M01!$G:$G, Captura_Marimba_M01!$A:$A, Captura_Obra!A97, Captura_Marimba_M01!$C:$C, Captura_Obra!B97, Captura_Marimba_M01!$D:$D, Captura_Obra!D97))&gt;0), "", Captura_Obra!N97)</f>
        <v/>
      </c>
      <c r="D393" s="10413">
        <f>IF(OR(Captura_Obra!A97="", (SUMIFS(Captura_Pegaso!$H:$H, Captura_Pegaso!$A:$A, Captura_Obra!A97, Captura_Pegaso!$D:$D, Captura_Obra!B97, Captura_Pegaso!$E:$E, Captura_Obra!D97) + SUMIFS(Captura_Marimba_M01!$G:$G, Captura_Marimba_M01!$A:$A, Captura_Obra!A97, Captura_Marimba_M01!$C:$C, Captura_Obra!B97, Captura_Marimba_M01!$D:$D, Captura_Obra!D97))&gt;0), "", "❌ Falta en Pipa")</f>
        <v/>
      </c>
      <c r="E393" s="10414">
        <f>IF(OR(Captura_Obra!A97="", (SUMIFS(Captura_Pegaso!$H:$H, Captura_Pegaso!$A:$A, Captura_Obra!A97, Captura_Pegaso!$D:$D, Captura_Obra!B97, Captura_Pegaso!$E:$E, Captura_Obra!D97) + SUMIFS(Captura_Marimba_M01!$G:$G, Captura_Marimba_M01!$A:$A, Captura_Obra!A97, Captura_Marimba_M01!$C:$C, Captura_Obra!B97, Captura_Marimba_M01!$D:$D, Captura_Obra!D97))&gt;0), "", Captura_Obra!A97)</f>
        <v/>
      </c>
      <c r="F393" s="10415">
        <f>IF(OR(Captura_Obra!A97="", (SUMIFS(Captura_Pegaso!$H:$H, Captura_Pegaso!$A:$A, Captura_Obra!A97, Captura_Pegaso!$D:$D, Captura_Obra!B97, Captura_Pegaso!$E:$E, Captura_Obra!D97) + SUMIFS(Captura_Marimba_M01!$G:$G, Captura_Marimba_M01!$A:$A, Captura_Obra!A97, Captura_Marimba_M01!$C:$C, Captura_Obra!B97, Captura_Marimba_M01!$D:$D, Captura_Obra!D97))&gt;0), "", Captura_Obra!B97)</f>
        <v/>
      </c>
      <c r="G393" s="10416">
        <f>IF(OR(Captura_Obra!A97="", (SUMIFS(Captura_Pegaso!$H:$H, Captura_Pegaso!$A:$A, Captura_Obra!A97, Captura_Pegaso!$D:$D, Captura_Obra!B97, Captura_Pegaso!$E:$E, Captura_Obra!D97) + SUMIFS(Captura_Marimba_M01!$G:$G, Captura_Marimba_M01!$A:$A, Captura_Obra!A97, Captura_Marimba_M01!$C:$C, Captura_Obra!B97, Captura_Marimba_M01!$D:$D, Captura_Obra!D97))&gt;0), "", Captura_Obra!D97)</f>
        <v/>
      </c>
      <c r="H393" s="10417">
        <f>IF(OR(Captura_Obra!A97="", (SUMIFS(Captura_Pegaso!$H:$H, Captura_Pegaso!$A:$A, Captura_Obra!A97, Captura_Pegaso!$D:$D, Captura_Obra!B97, Captura_Pegaso!$E:$E, Captura_Obra!D97) + SUMIFS(Captura_Marimba_M01!$G:$G, Captura_Marimba_M01!$A:$A, Captura_Obra!A97, Captura_Marimba_M01!$C:$C, Captura_Obra!B97, Captura_Marimba_M01!$D:$D, Captura_Obra!D97))&gt;0), "", 0)</f>
        <v/>
      </c>
      <c r="I393" s="10418">
        <f>IF(OR(Captura_Obra!A97="", (SUMIFS(Captura_Pegaso!$H:$H, Captura_Pegaso!$A:$A, Captura_Obra!A97, Captura_Pegaso!$D:$D, Captura_Obra!B97, Captura_Pegaso!$E:$E, Captura_Obra!D97) + SUMIFS(Captura_Marimba_M01!$G:$G, Captura_Marimba_M01!$A:$A, Captura_Obra!A97, Captura_Marimba_M01!$C:$C, Captura_Obra!B97, Captura_Marimba_M01!$D:$D, Captura_Obra!D97))&gt;0), "", Captura_Obra!F97)</f>
        <v/>
      </c>
      <c r="J393" s="10419">
        <f>IF(OR(Captura_Obra!A97="", (SUMIFS(Captura_Pegaso!$H:$H, Captura_Pegaso!$A:$A, Captura_Obra!A97, Captura_Pegaso!$D:$D, Captura_Obra!B97, Captura_Pegaso!$E:$E, Captura_Obra!D97) + SUMIFS(Captura_Marimba_M01!$G:$G, Captura_Marimba_M01!$A:$A, Captura_Obra!A97, Captura_Marimba_M01!$C:$C, Captura_Obra!B97, Captura_Marimba_M01!$D:$D, Captura_Obra!D97))&gt;0), "", H393 - I393)</f>
        <v/>
      </c>
      <c r="K393" s="4202" t="n"/>
    </row>
    <row r="394">
      <c r="A394" s="10420">
        <f>IF(OR(Captura_Obra!A98="", (SUMIFS(Captura_Pegaso!$H:$H, Captura_Pegaso!$A:$A, Captura_Obra!A98, Captura_Pegaso!$D:$D, Captura_Obra!B98, Captura_Pegaso!$E:$E, Captura_Obra!D98) + SUMIFS(Captura_Marimba_M01!$G:$G, Captura_Marimba_M01!$A:$A, Captura_Obra!A98, Captura_Marimba_M01!$C:$C, Captura_Obra!B98, Captura_Marimba_M01!$D:$D, Captura_Obra!D98))&gt;0), "", "Huérfano Obra")</f>
        <v/>
      </c>
      <c r="B394" s="10421">
        <f>IF(OR(Captura_Obra!A98="", (SUMIFS(Captura_Pegaso!$H:$H, Captura_Pegaso!$A:$A, Captura_Obra!A98, Captura_Pegaso!$D:$D, Captura_Obra!B98, Captura_Pegaso!$E:$E, Captura_Obra!D98) + SUMIFS(Captura_Marimba_M01!$G:$G, Captura_Marimba_M01!$A:$A, Captura_Obra!A98, Captura_Marimba_M01!$C:$C, Captura_Obra!B98, Captura_Marimba_M01!$D:$D, Captura_Obra!D98))&gt;0), "", "No Reportado")</f>
        <v/>
      </c>
      <c r="C394" s="10422">
        <f>IF(OR(Captura_Obra!A98="", (SUMIFS(Captura_Pegaso!$H:$H, Captura_Pegaso!$A:$A, Captura_Obra!A98, Captura_Pegaso!$D:$D, Captura_Obra!B98, Captura_Pegaso!$E:$E, Captura_Obra!D98) + SUMIFS(Captura_Marimba_M01!$G:$G, Captura_Marimba_M01!$A:$A, Captura_Obra!A98, Captura_Marimba_M01!$C:$C, Captura_Obra!B98, Captura_Marimba_M01!$D:$D, Captura_Obra!D98))&gt;0), "", Captura_Obra!N98)</f>
        <v/>
      </c>
      <c r="D394" s="10423">
        <f>IF(OR(Captura_Obra!A98="", (SUMIFS(Captura_Pegaso!$H:$H, Captura_Pegaso!$A:$A, Captura_Obra!A98, Captura_Pegaso!$D:$D, Captura_Obra!B98, Captura_Pegaso!$E:$E, Captura_Obra!D98) + SUMIFS(Captura_Marimba_M01!$G:$G, Captura_Marimba_M01!$A:$A, Captura_Obra!A98, Captura_Marimba_M01!$C:$C, Captura_Obra!B98, Captura_Marimba_M01!$D:$D, Captura_Obra!D98))&gt;0), "", "❌ Falta en Pipa")</f>
        <v/>
      </c>
      <c r="E394" s="10424">
        <f>IF(OR(Captura_Obra!A98="", (SUMIFS(Captura_Pegaso!$H:$H, Captura_Pegaso!$A:$A, Captura_Obra!A98, Captura_Pegaso!$D:$D, Captura_Obra!B98, Captura_Pegaso!$E:$E, Captura_Obra!D98) + SUMIFS(Captura_Marimba_M01!$G:$G, Captura_Marimba_M01!$A:$A, Captura_Obra!A98, Captura_Marimba_M01!$C:$C, Captura_Obra!B98, Captura_Marimba_M01!$D:$D, Captura_Obra!D98))&gt;0), "", Captura_Obra!A98)</f>
        <v/>
      </c>
      <c r="F394" s="10425">
        <f>IF(OR(Captura_Obra!A98="", (SUMIFS(Captura_Pegaso!$H:$H, Captura_Pegaso!$A:$A, Captura_Obra!A98, Captura_Pegaso!$D:$D, Captura_Obra!B98, Captura_Pegaso!$E:$E, Captura_Obra!D98) + SUMIFS(Captura_Marimba_M01!$G:$G, Captura_Marimba_M01!$A:$A, Captura_Obra!A98, Captura_Marimba_M01!$C:$C, Captura_Obra!B98, Captura_Marimba_M01!$D:$D, Captura_Obra!D98))&gt;0), "", Captura_Obra!B98)</f>
        <v/>
      </c>
      <c r="G394" s="10426">
        <f>IF(OR(Captura_Obra!A98="", (SUMIFS(Captura_Pegaso!$H:$H, Captura_Pegaso!$A:$A, Captura_Obra!A98, Captura_Pegaso!$D:$D, Captura_Obra!B98, Captura_Pegaso!$E:$E, Captura_Obra!D98) + SUMIFS(Captura_Marimba_M01!$G:$G, Captura_Marimba_M01!$A:$A, Captura_Obra!A98, Captura_Marimba_M01!$C:$C, Captura_Obra!B98, Captura_Marimba_M01!$D:$D, Captura_Obra!D98))&gt;0), "", Captura_Obra!D98)</f>
        <v/>
      </c>
      <c r="H394" s="10427">
        <f>IF(OR(Captura_Obra!A98="", (SUMIFS(Captura_Pegaso!$H:$H, Captura_Pegaso!$A:$A, Captura_Obra!A98, Captura_Pegaso!$D:$D, Captura_Obra!B98, Captura_Pegaso!$E:$E, Captura_Obra!D98) + SUMIFS(Captura_Marimba_M01!$G:$G, Captura_Marimba_M01!$A:$A, Captura_Obra!A98, Captura_Marimba_M01!$C:$C, Captura_Obra!B98, Captura_Marimba_M01!$D:$D, Captura_Obra!D98))&gt;0), "", 0)</f>
        <v/>
      </c>
      <c r="I394" s="10428">
        <f>IF(OR(Captura_Obra!A98="", (SUMIFS(Captura_Pegaso!$H:$H, Captura_Pegaso!$A:$A, Captura_Obra!A98, Captura_Pegaso!$D:$D, Captura_Obra!B98, Captura_Pegaso!$E:$E, Captura_Obra!D98) + SUMIFS(Captura_Marimba_M01!$G:$G, Captura_Marimba_M01!$A:$A, Captura_Obra!A98, Captura_Marimba_M01!$C:$C, Captura_Obra!B98, Captura_Marimba_M01!$D:$D, Captura_Obra!D98))&gt;0), "", Captura_Obra!F98)</f>
        <v/>
      </c>
      <c r="J394" s="10429">
        <f>IF(OR(Captura_Obra!A98="", (SUMIFS(Captura_Pegaso!$H:$H, Captura_Pegaso!$A:$A, Captura_Obra!A98, Captura_Pegaso!$D:$D, Captura_Obra!B98, Captura_Pegaso!$E:$E, Captura_Obra!D98) + SUMIFS(Captura_Marimba_M01!$G:$G, Captura_Marimba_M01!$A:$A, Captura_Obra!A98, Captura_Marimba_M01!$C:$C, Captura_Obra!B98, Captura_Marimba_M01!$D:$D, Captura_Obra!D98))&gt;0), "", H394 - I394)</f>
        <v/>
      </c>
      <c r="K394" s="4203" t="n"/>
    </row>
    <row r="395">
      <c r="A395" s="10430">
        <f>IF(OR(Captura_Obra!A99="", (SUMIFS(Captura_Pegaso!$H:$H, Captura_Pegaso!$A:$A, Captura_Obra!A99, Captura_Pegaso!$D:$D, Captura_Obra!B99, Captura_Pegaso!$E:$E, Captura_Obra!D99) + SUMIFS(Captura_Marimba_M01!$G:$G, Captura_Marimba_M01!$A:$A, Captura_Obra!A99, Captura_Marimba_M01!$C:$C, Captura_Obra!B99, Captura_Marimba_M01!$D:$D, Captura_Obra!D99))&gt;0), "", "Huérfano Obra")</f>
        <v/>
      </c>
      <c r="B395" s="10431">
        <f>IF(OR(Captura_Obra!A99="", (SUMIFS(Captura_Pegaso!$H:$H, Captura_Pegaso!$A:$A, Captura_Obra!A99, Captura_Pegaso!$D:$D, Captura_Obra!B99, Captura_Pegaso!$E:$E, Captura_Obra!D99) + SUMIFS(Captura_Marimba_M01!$G:$G, Captura_Marimba_M01!$A:$A, Captura_Obra!A99, Captura_Marimba_M01!$C:$C, Captura_Obra!B99, Captura_Marimba_M01!$D:$D, Captura_Obra!D99))&gt;0), "", "No Reportado")</f>
        <v/>
      </c>
      <c r="C395" s="10432">
        <f>IF(OR(Captura_Obra!A99="", (SUMIFS(Captura_Pegaso!$H:$H, Captura_Pegaso!$A:$A, Captura_Obra!A99, Captura_Pegaso!$D:$D, Captura_Obra!B99, Captura_Pegaso!$E:$E, Captura_Obra!D99) + SUMIFS(Captura_Marimba_M01!$G:$G, Captura_Marimba_M01!$A:$A, Captura_Obra!A99, Captura_Marimba_M01!$C:$C, Captura_Obra!B99, Captura_Marimba_M01!$D:$D, Captura_Obra!D99))&gt;0), "", Captura_Obra!N99)</f>
        <v/>
      </c>
      <c r="D395" s="10433">
        <f>IF(OR(Captura_Obra!A99="", (SUMIFS(Captura_Pegaso!$H:$H, Captura_Pegaso!$A:$A, Captura_Obra!A99, Captura_Pegaso!$D:$D, Captura_Obra!B99, Captura_Pegaso!$E:$E, Captura_Obra!D99) + SUMIFS(Captura_Marimba_M01!$G:$G, Captura_Marimba_M01!$A:$A, Captura_Obra!A99, Captura_Marimba_M01!$C:$C, Captura_Obra!B99, Captura_Marimba_M01!$D:$D, Captura_Obra!D99))&gt;0), "", "❌ Falta en Pipa")</f>
        <v/>
      </c>
      <c r="E395" s="10434">
        <f>IF(OR(Captura_Obra!A99="", (SUMIFS(Captura_Pegaso!$H:$H, Captura_Pegaso!$A:$A, Captura_Obra!A99, Captura_Pegaso!$D:$D, Captura_Obra!B99, Captura_Pegaso!$E:$E, Captura_Obra!D99) + SUMIFS(Captura_Marimba_M01!$G:$G, Captura_Marimba_M01!$A:$A, Captura_Obra!A99, Captura_Marimba_M01!$C:$C, Captura_Obra!B99, Captura_Marimba_M01!$D:$D, Captura_Obra!D99))&gt;0), "", Captura_Obra!A99)</f>
        <v/>
      </c>
      <c r="F395" s="10435">
        <f>IF(OR(Captura_Obra!A99="", (SUMIFS(Captura_Pegaso!$H:$H, Captura_Pegaso!$A:$A, Captura_Obra!A99, Captura_Pegaso!$D:$D, Captura_Obra!B99, Captura_Pegaso!$E:$E, Captura_Obra!D99) + SUMIFS(Captura_Marimba_M01!$G:$G, Captura_Marimba_M01!$A:$A, Captura_Obra!A99, Captura_Marimba_M01!$C:$C, Captura_Obra!B99, Captura_Marimba_M01!$D:$D, Captura_Obra!D99))&gt;0), "", Captura_Obra!B99)</f>
        <v/>
      </c>
      <c r="G395" s="10436">
        <f>IF(OR(Captura_Obra!A99="", (SUMIFS(Captura_Pegaso!$H:$H, Captura_Pegaso!$A:$A, Captura_Obra!A99, Captura_Pegaso!$D:$D, Captura_Obra!B99, Captura_Pegaso!$E:$E, Captura_Obra!D99) + SUMIFS(Captura_Marimba_M01!$G:$G, Captura_Marimba_M01!$A:$A, Captura_Obra!A99, Captura_Marimba_M01!$C:$C, Captura_Obra!B99, Captura_Marimba_M01!$D:$D, Captura_Obra!D99))&gt;0), "", Captura_Obra!D99)</f>
        <v/>
      </c>
      <c r="H395" s="10437">
        <f>IF(OR(Captura_Obra!A99="", (SUMIFS(Captura_Pegaso!$H:$H, Captura_Pegaso!$A:$A, Captura_Obra!A99, Captura_Pegaso!$D:$D, Captura_Obra!B99, Captura_Pegaso!$E:$E, Captura_Obra!D99) + SUMIFS(Captura_Marimba_M01!$G:$G, Captura_Marimba_M01!$A:$A, Captura_Obra!A99, Captura_Marimba_M01!$C:$C, Captura_Obra!B99, Captura_Marimba_M01!$D:$D, Captura_Obra!D99))&gt;0), "", 0)</f>
        <v/>
      </c>
      <c r="I395" s="10438">
        <f>IF(OR(Captura_Obra!A99="", (SUMIFS(Captura_Pegaso!$H:$H, Captura_Pegaso!$A:$A, Captura_Obra!A99, Captura_Pegaso!$D:$D, Captura_Obra!B99, Captura_Pegaso!$E:$E, Captura_Obra!D99) + SUMIFS(Captura_Marimba_M01!$G:$G, Captura_Marimba_M01!$A:$A, Captura_Obra!A99, Captura_Marimba_M01!$C:$C, Captura_Obra!B99, Captura_Marimba_M01!$D:$D, Captura_Obra!D99))&gt;0), "", Captura_Obra!F99)</f>
        <v/>
      </c>
      <c r="J395" s="10439">
        <f>IF(OR(Captura_Obra!A99="", (SUMIFS(Captura_Pegaso!$H:$H, Captura_Pegaso!$A:$A, Captura_Obra!A99, Captura_Pegaso!$D:$D, Captura_Obra!B99, Captura_Pegaso!$E:$E, Captura_Obra!D99) + SUMIFS(Captura_Marimba_M01!$G:$G, Captura_Marimba_M01!$A:$A, Captura_Obra!A99, Captura_Marimba_M01!$C:$C, Captura_Obra!B99, Captura_Marimba_M01!$D:$D, Captura_Obra!D99))&gt;0), "", H395 - I395)</f>
        <v/>
      </c>
      <c r="K395" s="4204" t="n"/>
    </row>
    <row r="396">
      <c r="A396" s="10440">
        <f>IF(OR(Captura_Obra!A100="", (SUMIFS(Captura_Pegaso!$H:$H, Captura_Pegaso!$A:$A, Captura_Obra!A100, Captura_Pegaso!$D:$D, Captura_Obra!B100, Captura_Pegaso!$E:$E, Captura_Obra!D100) + SUMIFS(Captura_Marimba_M01!$G:$G, Captura_Marimba_M01!$A:$A, Captura_Obra!A100, Captura_Marimba_M01!$C:$C, Captura_Obra!B100, Captura_Marimba_M01!$D:$D, Captura_Obra!D100))&gt;0), "", "Huérfano Obra")</f>
        <v/>
      </c>
      <c r="B396" s="10441">
        <f>IF(OR(Captura_Obra!A100="", (SUMIFS(Captura_Pegaso!$H:$H, Captura_Pegaso!$A:$A, Captura_Obra!A100, Captura_Pegaso!$D:$D, Captura_Obra!B100, Captura_Pegaso!$E:$E, Captura_Obra!D100) + SUMIFS(Captura_Marimba_M01!$G:$G, Captura_Marimba_M01!$A:$A, Captura_Obra!A100, Captura_Marimba_M01!$C:$C, Captura_Obra!B100, Captura_Marimba_M01!$D:$D, Captura_Obra!D100))&gt;0), "", "No Reportado")</f>
        <v/>
      </c>
      <c r="C396" s="10442">
        <f>IF(OR(Captura_Obra!A100="", (SUMIFS(Captura_Pegaso!$H:$H, Captura_Pegaso!$A:$A, Captura_Obra!A100, Captura_Pegaso!$D:$D, Captura_Obra!B100, Captura_Pegaso!$E:$E, Captura_Obra!D100) + SUMIFS(Captura_Marimba_M01!$G:$G, Captura_Marimba_M01!$A:$A, Captura_Obra!A100, Captura_Marimba_M01!$C:$C, Captura_Obra!B100, Captura_Marimba_M01!$D:$D, Captura_Obra!D100))&gt;0), "", Captura_Obra!N100)</f>
        <v/>
      </c>
      <c r="D396" s="10443">
        <f>IF(OR(Captura_Obra!A100="", (SUMIFS(Captura_Pegaso!$H:$H, Captura_Pegaso!$A:$A, Captura_Obra!A100, Captura_Pegaso!$D:$D, Captura_Obra!B100, Captura_Pegaso!$E:$E, Captura_Obra!D100) + SUMIFS(Captura_Marimba_M01!$G:$G, Captura_Marimba_M01!$A:$A, Captura_Obra!A100, Captura_Marimba_M01!$C:$C, Captura_Obra!B100, Captura_Marimba_M01!$D:$D, Captura_Obra!D100))&gt;0), "", "❌ Falta en Pipa")</f>
        <v/>
      </c>
      <c r="E396" s="10444">
        <f>IF(OR(Captura_Obra!A100="", (SUMIFS(Captura_Pegaso!$H:$H, Captura_Pegaso!$A:$A, Captura_Obra!A100, Captura_Pegaso!$D:$D, Captura_Obra!B100, Captura_Pegaso!$E:$E, Captura_Obra!D100) + SUMIFS(Captura_Marimba_M01!$G:$G, Captura_Marimba_M01!$A:$A, Captura_Obra!A100, Captura_Marimba_M01!$C:$C, Captura_Obra!B100, Captura_Marimba_M01!$D:$D, Captura_Obra!D100))&gt;0), "", Captura_Obra!A100)</f>
        <v/>
      </c>
      <c r="F396" s="10445">
        <f>IF(OR(Captura_Obra!A100="", (SUMIFS(Captura_Pegaso!$H:$H, Captura_Pegaso!$A:$A, Captura_Obra!A100, Captura_Pegaso!$D:$D, Captura_Obra!B100, Captura_Pegaso!$E:$E, Captura_Obra!D100) + SUMIFS(Captura_Marimba_M01!$G:$G, Captura_Marimba_M01!$A:$A, Captura_Obra!A100, Captura_Marimba_M01!$C:$C, Captura_Obra!B100, Captura_Marimba_M01!$D:$D, Captura_Obra!D100))&gt;0), "", Captura_Obra!B100)</f>
        <v/>
      </c>
      <c r="G396" s="10446">
        <f>IF(OR(Captura_Obra!A100="", (SUMIFS(Captura_Pegaso!$H:$H, Captura_Pegaso!$A:$A, Captura_Obra!A100, Captura_Pegaso!$D:$D, Captura_Obra!B100, Captura_Pegaso!$E:$E, Captura_Obra!D100) + SUMIFS(Captura_Marimba_M01!$G:$G, Captura_Marimba_M01!$A:$A, Captura_Obra!A100, Captura_Marimba_M01!$C:$C, Captura_Obra!B100, Captura_Marimba_M01!$D:$D, Captura_Obra!D100))&gt;0), "", Captura_Obra!D100)</f>
        <v/>
      </c>
      <c r="H396" s="10447">
        <f>IF(OR(Captura_Obra!A100="", (SUMIFS(Captura_Pegaso!$H:$H, Captura_Pegaso!$A:$A, Captura_Obra!A100, Captura_Pegaso!$D:$D, Captura_Obra!B100, Captura_Pegaso!$E:$E, Captura_Obra!D100) + SUMIFS(Captura_Marimba_M01!$G:$G, Captura_Marimba_M01!$A:$A, Captura_Obra!A100, Captura_Marimba_M01!$C:$C, Captura_Obra!B100, Captura_Marimba_M01!$D:$D, Captura_Obra!D100))&gt;0), "", 0)</f>
        <v/>
      </c>
      <c r="I396" s="10448">
        <f>IF(OR(Captura_Obra!A100="", (SUMIFS(Captura_Pegaso!$H:$H, Captura_Pegaso!$A:$A, Captura_Obra!A100, Captura_Pegaso!$D:$D, Captura_Obra!B100, Captura_Pegaso!$E:$E, Captura_Obra!D100) + SUMIFS(Captura_Marimba_M01!$G:$G, Captura_Marimba_M01!$A:$A, Captura_Obra!A100, Captura_Marimba_M01!$C:$C, Captura_Obra!B100, Captura_Marimba_M01!$D:$D, Captura_Obra!D100))&gt;0), "", Captura_Obra!F100)</f>
        <v/>
      </c>
      <c r="J396" s="10449">
        <f>IF(OR(Captura_Obra!A100="", (SUMIFS(Captura_Pegaso!$H:$H, Captura_Pegaso!$A:$A, Captura_Obra!A100, Captura_Pegaso!$D:$D, Captura_Obra!B100, Captura_Pegaso!$E:$E, Captura_Obra!D100) + SUMIFS(Captura_Marimba_M01!$G:$G, Captura_Marimba_M01!$A:$A, Captura_Obra!A100, Captura_Marimba_M01!$C:$C, Captura_Obra!B100, Captura_Marimba_M01!$D:$D, Captura_Obra!D100))&gt;0), "", H396 - I396)</f>
        <v/>
      </c>
      <c r="K396" s="4205" t="n"/>
    </row>
    <row r="397">
      <c r="A397" s="10450">
        <f>IF(OR(Captura_Obra!A101="", (SUMIFS(Captura_Pegaso!$H:$H, Captura_Pegaso!$A:$A, Captura_Obra!A101, Captura_Pegaso!$D:$D, Captura_Obra!B101, Captura_Pegaso!$E:$E, Captura_Obra!D101) + SUMIFS(Captura_Marimba_M01!$G:$G, Captura_Marimba_M01!$A:$A, Captura_Obra!A101, Captura_Marimba_M01!$C:$C, Captura_Obra!B101, Captura_Marimba_M01!$D:$D, Captura_Obra!D101))&gt;0), "", "Huérfano Obra")</f>
        <v/>
      </c>
      <c r="B397" s="10451">
        <f>IF(OR(Captura_Obra!A101="", (SUMIFS(Captura_Pegaso!$H:$H, Captura_Pegaso!$A:$A, Captura_Obra!A101, Captura_Pegaso!$D:$D, Captura_Obra!B101, Captura_Pegaso!$E:$E, Captura_Obra!D101) + SUMIFS(Captura_Marimba_M01!$G:$G, Captura_Marimba_M01!$A:$A, Captura_Obra!A101, Captura_Marimba_M01!$C:$C, Captura_Obra!B101, Captura_Marimba_M01!$D:$D, Captura_Obra!D101))&gt;0), "", "No Reportado")</f>
        <v/>
      </c>
      <c r="C397" s="10452">
        <f>IF(OR(Captura_Obra!A101="", (SUMIFS(Captura_Pegaso!$H:$H, Captura_Pegaso!$A:$A, Captura_Obra!A101, Captura_Pegaso!$D:$D, Captura_Obra!B101, Captura_Pegaso!$E:$E, Captura_Obra!D101) + SUMIFS(Captura_Marimba_M01!$G:$G, Captura_Marimba_M01!$A:$A, Captura_Obra!A101, Captura_Marimba_M01!$C:$C, Captura_Obra!B101, Captura_Marimba_M01!$D:$D, Captura_Obra!D101))&gt;0), "", Captura_Obra!N101)</f>
        <v/>
      </c>
      <c r="D397" s="10453">
        <f>IF(OR(Captura_Obra!A101="", (SUMIFS(Captura_Pegaso!$H:$H, Captura_Pegaso!$A:$A, Captura_Obra!A101, Captura_Pegaso!$D:$D, Captura_Obra!B101, Captura_Pegaso!$E:$E, Captura_Obra!D101) + SUMIFS(Captura_Marimba_M01!$G:$G, Captura_Marimba_M01!$A:$A, Captura_Obra!A101, Captura_Marimba_M01!$C:$C, Captura_Obra!B101, Captura_Marimba_M01!$D:$D, Captura_Obra!D101))&gt;0), "", "❌ Falta en Pipa")</f>
        <v/>
      </c>
      <c r="E397" s="10454">
        <f>IF(OR(Captura_Obra!A101="", (SUMIFS(Captura_Pegaso!$H:$H, Captura_Pegaso!$A:$A, Captura_Obra!A101, Captura_Pegaso!$D:$D, Captura_Obra!B101, Captura_Pegaso!$E:$E, Captura_Obra!D101) + SUMIFS(Captura_Marimba_M01!$G:$G, Captura_Marimba_M01!$A:$A, Captura_Obra!A101, Captura_Marimba_M01!$C:$C, Captura_Obra!B101, Captura_Marimba_M01!$D:$D, Captura_Obra!D101))&gt;0), "", Captura_Obra!A101)</f>
        <v/>
      </c>
      <c r="F397" s="10455">
        <f>IF(OR(Captura_Obra!A101="", (SUMIFS(Captura_Pegaso!$H:$H, Captura_Pegaso!$A:$A, Captura_Obra!A101, Captura_Pegaso!$D:$D, Captura_Obra!B101, Captura_Pegaso!$E:$E, Captura_Obra!D101) + SUMIFS(Captura_Marimba_M01!$G:$G, Captura_Marimba_M01!$A:$A, Captura_Obra!A101, Captura_Marimba_M01!$C:$C, Captura_Obra!B101, Captura_Marimba_M01!$D:$D, Captura_Obra!D101))&gt;0), "", Captura_Obra!B101)</f>
        <v/>
      </c>
      <c r="G397" s="10456">
        <f>IF(OR(Captura_Obra!A101="", (SUMIFS(Captura_Pegaso!$H:$H, Captura_Pegaso!$A:$A, Captura_Obra!A101, Captura_Pegaso!$D:$D, Captura_Obra!B101, Captura_Pegaso!$E:$E, Captura_Obra!D101) + SUMIFS(Captura_Marimba_M01!$G:$G, Captura_Marimba_M01!$A:$A, Captura_Obra!A101, Captura_Marimba_M01!$C:$C, Captura_Obra!B101, Captura_Marimba_M01!$D:$D, Captura_Obra!D101))&gt;0), "", Captura_Obra!D101)</f>
        <v/>
      </c>
      <c r="H397" s="10457">
        <f>IF(OR(Captura_Obra!A101="", (SUMIFS(Captura_Pegaso!$H:$H, Captura_Pegaso!$A:$A, Captura_Obra!A101, Captura_Pegaso!$D:$D, Captura_Obra!B101, Captura_Pegaso!$E:$E, Captura_Obra!D101) + SUMIFS(Captura_Marimba_M01!$G:$G, Captura_Marimba_M01!$A:$A, Captura_Obra!A101, Captura_Marimba_M01!$C:$C, Captura_Obra!B101, Captura_Marimba_M01!$D:$D, Captura_Obra!D101))&gt;0), "", 0)</f>
        <v/>
      </c>
      <c r="I397" s="10458">
        <f>IF(OR(Captura_Obra!A101="", (SUMIFS(Captura_Pegaso!$H:$H, Captura_Pegaso!$A:$A, Captura_Obra!A101, Captura_Pegaso!$D:$D, Captura_Obra!B101, Captura_Pegaso!$E:$E, Captura_Obra!D101) + SUMIFS(Captura_Marimba_M01!$G:$G, Captura_Marimba_M01!$A:$A, Captura_Obra!A101, Captura_Marimba_M01!$C:$C, Captura_Obra!B101, Captura_Marimba_M01!$D:$D, Captura_Obra!D101))&gt;0), "", Captura_Obra!F101)</f>
        <v/>
      </c>
      <c r="J397" s="10459">
        <f>IF(OR(Captura_Obra!A101="", (SUMIFS(Captura_Pegaso!$H:$H, Captura_Pegaso!$A:$A, Captura_Obra!A101, Captura_Pegaso!$D:$D, Captura_Obra!B101, Captura_Pegaso!$E:$E, Captura_Obra!D101) + SUMIFS(Captura_Marimba_M01!$G:$G, Captura_Marimba_M01!$A:$A, Captura_Obra!A101, Captura_Marimba_M01!$C:$C, Captura_Obra!B101, Captura_Marimba_M01!$D:$D, Captura_Obra!D101))&gt;0), "", H397 - I397)</f>
        <v/>
      </c>
      <c r="K397" s="4206" t="n"/>
    </row>
    <row r="398">
      <c r="A398" s="10460">
        <f>IF(OR(Captura_Obra!A102="", (SUMIFS(Captura_Pegaso!$H:$H, Captura_Pegaso!$A:$A, Captura_Obra!A102, Captura_Pegaso!$D:$D, Captura_Obra!B102, Captura_Pegaso!$E:$E, Captura_Obra!D102) + SUMIFS(Captura_Marimba_M01!$G:$G, Captura_Marimba_M01!$A:$A, Captura_Obra!A102, Captura_Marimba_M01!$C:$C, Captura_Obra!B102, Captura_Marimba_M01!$D:$D, Captura_Obra!D102))&gt;0), "", "Huérfano Obra")</f>
        <v/>
      </c>
      <c r="B398" s="10461">
        <f>IF(OR(Captura_Obra!A102="", (SUMIFS(Captura_Pegaso!$H:$H, Captura_Pegaso!$A:$A, Captura_Obra!A102, Captura_Pegaso!$D:$D, Captura_Obra!B102, Captura_Pegaso!$E:$E, Captura_Obra!D102) + SUMIFS(Captura_Marimba_M01!$G:$G, Captura_Marimba_M01!$A:$A, Captura_Obra!A102, Captura_Marimba_M01!$C:$C, Captura_Obra!B102, Captura_Marimba_M01!$D:$D, Captura_Obra!D102))&gt;0), "", "No Reportado")</f>
        <v/>
      </c>
      <c r="C398" s="10462">
        <f>IF(OR(Captura_Obra!A102="", (SUMIFS(Captura_Pegaso!$H:$H, Captura_Pegaso!$A:$A, Captura_Obra!A102, Captura_Pegaso!$D:$D, Captura_Obra!B102, Captura_Pegaso!$E:$E, Captura_Obra!D102) + SUMIFS(Captura_Marimba_M01!$G:$G, Captura_Marimba_M01!$A:$A, Captura_Obra!A102, Captura_Marimba_M01!$C:$C, Captura_Obra!B102, Captura_Marimba_M01!$D:$D, Captura_Obra!D102))&gt;0), "", Captura_Obra!N102)</f>
        <v/>
      </c>
      <c r="D398" s="10463">
        <f>IF(OR(Captura_Obra!A102="", (SUMIFS(Captura_Pegaso!$H:$H, Captura_Pegaso!$A:$A, Captura_Obra!A102, Captura_Pegaso!$D:$D, Captura_Obra!B102, Captura_Pegaso!$E:$E, Captura_Obra!D102) + SUMIFS(Captura_Marimba_M01!$G:$G, Captura_Marimba_M01!$A:$A, Captura_Obra!A102, Captura_Marimba_M01!$C:$C, Captura_Obra!B102, Captura_Marimba_M01!$D:$D, Captura_Obra!D102))&gt;0), "", "❌ Falta en Pipa")</f>
        <v/>
      </c>
      <c r="E398" s="10464">
        <f>IF(OR(Captura_Obra!A102="", (SUMIFS(Captura_Pegaso!$H:$H, Captura_Pegaso!$A:$A, Captura_Obra!A102, Captura_Pegaso!$D:$D, Captura_Obra!B102, Captura_Pegaso!$E:$E, Captura_Obra!D102) + SUMIFS(Captura_Marimba_M01!$G:$G, Captura_Marimba_M01!$A:$A, Captura_Obra!A102, Captura_Marimba_M01!$C:$C, Captura_Obra!B102, Captura_Marimba_M01!$D:$D, Captura_Obra!D102))&gt;0), "", Captura_Obra!A102)</f>
        <v/>
      </c>
      <c r="F398" s="10465">
        <f>IF(OR(Captura_Obra!A102="", (SUMIFS(Captura_Pegaso!$H:$H, Captura_Pegaso!$A:$A, Captura_Obra!A102, Captura_Pegaso!$D:$D, Captura_Obra!B102, Captura_Pegaso!$E:$E, Captura_Obra!D102) + SUMIFS(Captura_Marimba_M01!$G:$G, Captura_Marimba_M01!$A:$A, Captura_Obra!A102, Captura_Marimba_M01!$C:$C, Captura_Obra!B102, Captura_Marimba_M01!$D:$D, Captura_Obra!D102))&gt;0), "", Captura_Obra!B102)</f>
        <v/>
      </c>
      <c r="G398" s="10466">
        <f>IF(OR(Captura_Obra!A102="", (SUMIFS(Captura_Pegaso!$H:$H, Captura_Pegaso!$A:$A, Captura_Obra!A102, Captura_Pegaso!$D:$D, Captura_Obra!B102, Captura_Pegaso!$E:$E, Captura_Obra!D102) + SUMIFS(Captura_Marimba_M01!$G:$G, Captura_Marimba_M01!$A:$A, Captura_Obra!A102, Captura_Marimba_M01!$C:$C, Captura_Obra!B102, Captura_Marimba_M01!$D:$D, Captura_Obra!D102))&gt;0), "", Captura_Obra!D102)</f>
        <v/>
      </c>
      <c r="H398" s="10467">
        <f>IF(OR(Captura_Obra!A102="", (SUMIFS(Captura_Pegaso!$H:$H, Captura_Pegaso!$A:$A, Captura_Obra!A102, Captura_Pegaso!$D:$D, Captura_Obra!B102, Captura_Pegaso!$E:$E, Captura_Obra!D102) + SUMIFS(Captura_Marimba_M01!$G:$G, Captura_Marimba_M01!$A:$A, Captura_Obra!A102, Captura_Marimba_M01!$C:$C, Captura_Obra!B102, Captura_Marimba_M01!$D:$D, Captura_Obra!D102))&gt;0), "", 0)</f>
        <v/>
      </c>
      <c r="I398" s="10468">
        <f>IF(OR(Captura_Obra!A102="", (SUMIFS(Captura_Pegaso!$H:$H, Captura_Pegaso!$A:$A, Captura_Obra!A102, Captura_Pegaso!$D:$D, Captura_Obra!B102, Captura_Pegaso!$E:$E, Captura_Obra!D102) + SUMIFS(Captura_Marimba_M01!$G:$G, Captura_Marimba_M01!$A:$A, Captura_Obra!A102, Captura_Marimba_M01!$C:$C, Captura_Obra!B102, Captura_Marimba_M01!$D:$D, Captura_Obra!D102))&gt;0), "", Captura_Obra!F102)</f>
        <v/>
      </c>
      <c r="J398" s="10469">
        <f>IF(OR(Captura_Obra!A102="", (SUMIFS(Captura_Pegaso!$H:$H, Captura_Pegaso!$A:$A, Captura_Obra!A102, Captura_Pegaso!$D:$D, Captura_Obra!B102, Captura_Pegaso!$E:$E, Captura_Obra!D102) + SUMIFS(Captura_Marimba_M01!$G:$G, Captura_Marimba_M01!$A:$A, Captura_Obra!A102, Captura_Marimba_M01!$C:$C, Captura_Obra!B102, Captura_Marimba_M01!$D:$D, Captura_Obra!D102))&gt;0), "", H398 - I398)</f>
        <v/>
      </c>
      <c r="K398" s="4207" t="n"/>
    </row>
    <row r="399">
      <c r="A399" s="10470">
        <f>IF(OR(Captura_Obra!A103="", (SUMIFS(Captura_Pegaso!$H:$H, Captura_Pegaso!$A:$A, Captura_Obra!A103, Captura_Pegaso!$D:$D, Captura_Obra!B103, Captura_Pegaso!$E:$E, Captura_Obra!D103) + SUMIFS(Captura_Marimba_M01!$G:$G, Captura_Marimba_M01!$A:$A, Captura_Obra!A103, Captura_Marimba_M01!$C:$C, Captura_Obra!B103, Captura_Marimba_M01!$D:$D, Captura_Obra!D103))&gt;0), "", "Huérfano Obra")</f>
        <v/>
      </c>
      <c r="B399" s="10471">
        <f>IF(OR(Captura_Obra!A103="", (SUMIFS(Captura_Pegaso!$H:$H, Captura_Pegaso!$A:$A, Captura_Obra!A103, Captura_Pegaso!$D:$D, Captura_Obra!B103, Captura_Pegaso!$E:$E, Captura_Obra!D103) + SUMIFS(Captura_Marimba_M01!$G:$G, Captura_Marimba_M01!$A:$A, Captura_Obra!A103, Captura_Marimba_M01!$C:$C, Captura_Obra!B103, Captura_Marimba_M01!$D:$D, Captura_Obra!D103))&gt;0), "", "No Reportado")</f>
        <v/>
      </c>
      <c r="C399" s="10472">
        <f>IF(OR(Captura_Obra!A103="", (SUMIFS(Captura_Pegaso!$H:$H, Captura_Pegaso!$A:$A, Captura_Obra!A103, Captura_Pegaso!$D:$D, Captura_Obra!B103, Captura_Pegaso!$E:$E, Captura_Obra!D103) + SUMIFS(Captura_Marimba_M01!$G:$G, Captura_Marimba_M01!$A:$A, Captura_Obra!A103, Captura_Marimba_M01!$C:$C, Captura_Obra!B103, Captura_Marimba_M01!$D:$D, Captura_Obra!D103))&gt;0), "", Captura_Obra!N103)</f>
        <v/>
      </c>
      <c r="D399" s="10473">
        <f>IF(OR(Captura_Obra!A103="", (SUMIFS(Captura_Pegaso!$H:$H, Captura_Pegaso!$A:$A, Captura_Obra!A103, Captura_Pegaso!$D:$D, Captura_Obra!B103, Captura_Pegaso!$E:$E, Captura_Obra!D103) + SUMIFS(Captura_Marimba_M01!$G:$G, Captura_Marimba_M01!$A:$A, Captura_Obra!A103, Captura_Marimba_M01!$C:$C, Captura_Obra!B103, Captura_Marimba_M01!$D:$D, Captura_Obra!D103))&gt;0), "", "❌ Falta en Pipa")</f>
        <v/>
      </c>
      <c r="E399" s="10474">
        <f>IF(OR(Captura_Obra!A103="", (SUMIFS(Captura_Pegaso!$H:$H, Captura_Pegaso!$A:$A, Captura_Obra!A103, Captura_Pegaso!$D:$D, Captura_Obra!B103, Captura_Pegaso!$E:$E, Captura_Obra!D103) + SUMIFS(Captura_Marimba_M01!$G:$G, Captura_Marimba_M01!$A:$A, Captura_Obra!A103, Captura_Marimba_M01!$C:$C, Captura_Obra!B103, Captura_Marimba_M01!$D:$D, Captura_Obra!D103))&gt;0), "", Captura_Obra!A103)</f>
        <v/>
      </c>
      <c r="F399" s="10475">
        <f>IF(OR(Captura_Obra!A103="", (SUMIFS(Captura_Pegaso!$H:$H, Captura_Pegaso!$A:$A, Captura_Obra!A103, Captura_Pegaso!$D:$D, Captura_Obra!B103, Captura_Pegaso!$E:$E, Captura_Obra!D103) + SUMIFS(Captura_Marimba_M01!$G:$G, Captura_Marimba_M01!$A:$A, Captura_Obra!A103, Captura_Marimba_M01!$C:$C, Captura_Obra!B103, Captura_Marimba_M01!$D:$D, Captura_Obra!D103))&gt;0), "", Captura_Obra!B103)</f>
        <v/>
      </c>
      <c r="G399" s="10476">
        <f>IF(OR(Captura_Obra!A103="", (SUMIFS(Captura_Pegaso!$H:$H, Captura_Pegaso!$A:$A, Captura_Obra!A103, Captura_Pegaso!$D:$D, Captura_Obra!B103, Captura_Pegaso!$E:$E, Captura_Obra!D103) + SUMIFS(Captura_Marimba_M01!$G:$G, Captura_Marimba_M01!$A:$A, Captura_Obra!A103, Captura_Marimba_M01!$C:$C, Captura_Obra!B103, Captura_Marimba_M01!$D:$D, Captura_Obra!D103))&gt;0), "", Captura_Obra!D103)</f>
        <v/>
      </c>
      <c r="H399" s="10477">
        <f>IF(OR(Captura_Obra!A103="", (SUMIFS(Captura_Pegaso!$H:$H, Captura_Pegaso!$A:$A, Captura_Obra!A103, Captura_Pegaso!$D:$D, Captura_Obra!B103, Captura_Pegaso!$E:$E, Captura_Obra!D103) + SUMIFS(Captura_Marimba_M01!$G:$G, Captura_Marimba_M01!$A:$A, Captura_Obra!A103, Captura_Marimba_M01!$C:$C, Captura_Obra!B103, Captura_Marimba_M01!$D:$D, Captura_Obra!D103))&gt;0), "", 0)</f>
        <v/>
      </c>
      <c r="I399" s="10478">
        <f>IF(OR(Captura_Obra!A103="", (SUMIFS(Captura_Pegaso!$H:$H, Captura_Pegaso!$A:$A, Captura_Obra!A103, Captura_Pegaso!$D:$D, Captura_Obra!B103, Captura_Pegaso!$E:$E, Captura_Obra!D103) + SUMIFS(Captura_Marimba_M01!$G:$G, Captura_Marimba_M01!$A:$A, Captura_Obra!A103, Captura_Marimba_M01!$C:$C, Captura_Obra!B103, Captura_Marimba_M01!$D:$D, Captura_Obra!D103))&gt;0), "", Captura_Obra!F103)</f>
        <v/>
      </c>
      <c r="J399" s="10479">
        <f>IF(OR(Captura_Obra!A103="", (SUMIFS(Captura_Pegaso!$H:$H, Captura_Pegaso!$A:$A, Captura_Obra!A103, Captura_Pegaso!$D:$D, Captura_Obra!B103, Captura_Pegaso!$E:$E, Captura_Obra!D103) + SUMIFS(Captura_Marimba_M01!$G:$G, Captura_Marimba_M01!$A:$A, Captura_Obra!A103, Captura_Marimba_M01!$C:$C, Captura_Obra!B103, Captura_Marimba_M01!$D:$D, Captura_Obra!D103))&gt;0), "", H399 - I399)</f>
        <v/>
      </c>
      <c r="K399" s="4208" t="n"/>
    </row>
    <row r="400">
      <c r="A400" s="10480">
        <f>IF(OR(Captura_Obra!A104="", (SUMIFS(Captura_Pegaso!$H:$H, Captura_Pegaso!$A:$A, Captura_Obra!A104, Captura_Pegaso!$D:$D, Captura_Obra!B104, Captura_Pegaso!$E:$E, Captura_Obra!D104) + SUMIFS(Captura_Marimba_M01!$G:$G, Captura_Marimba_M01!$A:$A, Captura_Obra!A104, Captura_Marimba_M01!$C:$C, Captura_Obra!B104, Captura_Marimba_M01!$D:$D, Captura_Obra!D104))&gt;0), "", "Huérfano Obra")</f>
        <v/>
      </c>
      <c r="B400" s="10481">
        <f>IF(OR(Captura_Obra!A104="", (SUMIFS(Captura_Pegaso!$H:$H, Captura_Pegaso!$A:$A, Captura_Obra!A104, Captura_Pegaso!$D:$D, Captura_Obra!B104, Captura_Pegaso!$E:$E, Captura_Obra!D104) + SUMIFS(Captura_Marimba_M01!$G:$G, Captura_Marimba_M01!$A:$A, Captura_Obra!A104, Captura_Marimba_M01!$C:$C, Captura_Obra!B104, Captura_Marimba_M01!$D:$D, Captura_Obra!D104))&gt;0), "", "No Reportado")</f>
        <v/>
      </c>
      <c r="C400" s="10482">
        <f>IF(OR(Captura_Obra!A104="", (SUMIFS(Captura_Pegaso!$H:$H, Captura_Pegaso!$A:$A, Captura_Obra!A104, Captura_Pegaso!$D:$D, Captura_Obra!B104, Captura_Pegaso!$E:$E, Captura_Obra!D104) + SUMIFS(Captura_Marimba_M01!$G:$G, Captura_Marimba_M01!$A:$A, Captura_Obra!A104, Captura_Marimba_M01!$C:$C, Captura_Obra!B104, Captura_Marimba_M01!$D:$D, Captura_Obra!D104))&gt;0), "", Captura_Obra!N104)</f>
        <v/>
      </c>
      <c r="D400" s="10483">
        <f>IF(OR(Captura_Obra!A104="", (SUMIFS(Captura_Pegaso!$H:$H, Captura_Pegaso!$A:$A, Captura_Obra!A104, Captura_Pegaso!$D:$D, Captura_Obra!B104, Captura_Pegaso!$E:$E, Captura_Obra!D104) + SUMIFS(Captura_Marimba_M01!$G:$G, Captura_Marimba_M01!$A:$A, Captura_Obra!A104, Captura_Marimba_M01!$C:$C, Captura_Obra!B104, Captura_Marimba_M01!$D:$D, Captura_Obra!D104))&gt;0), "", "❌ Falta en Pipa")</f>
        <v/>
      </c>
      <c r="E400" s="10484">
        <f>IF(OR(Captura_Obra!A104="", (SUMIFS(Captura_Pegaso!$H:$H, Captura_Pegaso!$A:$A, Captura_Obra!A104, Captura_Pegaso!$D:$D, Captura_Obra!B104, Captura_Pegaso!$E:$E, Captura_Obra!D104) + SUMIFS(Captura_Marimba_M01!$G:$G, Captura_Marimba_M01!$A:$A, Captura_Obra!A104, Captura_Marimba_M01!$C:$C, Captura_Obra!B104, Captura_Marimba_M01!$D:$D, Captura_Obra!D104))&gt;0), "", Captura_Obra!A104)</f>
        <v/>
      </c>
      <c r="F400" s="10485">
        <f>IF(OR(Captura_Obra!A104="", (SUMIFS(Captura_Pegaso!$H:$H, Captura_Pegaso!$A:$A, Captura_Obra!A104, Captura_Pegaso!$D:$D, Captura_Obra!B104, Captura_Pegaso!$E:$E, Captura_Obra!D104) + SUMIFS(Captura_Marimba_M01!$G:$G, Captura_Marimba_M01!$A:$A, Captura_Obra!A104, Captura_Marimba_M01!$C:$C, Captura_Obra!B104, Captura_Marimba_M01!$D:$D, Captura_Obra!D104))&gt;0), "", Captura_Obra!B104)</f>
        <v/>
      </c>
      <c r="G400" s="10486">
        <f>IF(OR(Captura_Obra!A104="", (SUMIFS(Captura_Pegaso!$H:$H, Captura_Pegaso!$A:$A, Captura_Obra!A104, Captura_Pegaso!$D:$D, Captura_Obra!B104, Captura_Pegaso!$E:$E, Captura_Obra!D104) + SUMIFS(Captura_Marimba_M01!$G:$G, Captura_Marimba_M01!$A:$A, Captura_Obra!A104, Captura_Marimba_M01!$C:$C, Captura_Obra!B104, Captura_Marimba_M01!$D:$D, Captura_Obra!D104))&gt;0), "", Captura_Obra!D104)</f>
        <v/>
      </c>
      <c r="H400" s="10487">
        <f>IF(OR(Captura_Obra!A104="", (SUMIFS(Captura_Pegaso!$H:$H, Captura_Pegaso!$A:$A, Captura_Obra!A104, Captura_Pegaso!$D:$D, Captura_Obra!B104, Captura_Pegaso!$E:$E, Captura_Obra!D104) + SUMIFS(Captura_Marimba_M01!$G:$G, Captura_Marimba_M01!$A:$A, Captura_Obra!A104, Captura_Marimba_M01!$C:$C, Captura_Obra!B104, Captura_Marimba_M01!$D:$D, Captura_Obra!D104))&gt;0), "", 0)</f>
        <v/>
      </c>
      <c r="I400" s="10488">
        <f>IF(OR(Captura_Obra!A104="", (SUMIFS(Captura_Pegaso!$H:$H, Captura_Pegaso!$A:$A, Captura_Obra!A104, Captura_Pegaso!$D:$D, Captura_Obra!B104, Captura_Pegaso!$E:$E, Captura_Obra!D104) + SUMIFS(Captura_Marimba_M01!$G:$G, Captura_Marimba_M01!$A:$A, Captura_Obra!A104, Captura_Marimba_M01!$C:$C, Captura_Obra!B104, Captura_Marimba_M01!$D:$D, Captura_Obra!D104))&gt;0), "", Captura_Obra!F104)</f>
        <v/>
      </c>
      <c r="J400" s="10489">
        <f>IF(OR(Captura_Obra!A104="", (SUMIFS(Captura_Pegaso!$H:$H, Captura_Pegaso!$A:$A, Captura_Obra!A104, Captura_Pegaso!$D:$D, Captura_Obra!B104, Captura_Pegaso!$E:$E, Captura_Obra!D104) + SUMIFS(Captura_Marimba_M01!$G:$G, Captura_Marimba_M01!$A:$A, Captura_Obra!A104, Captura_Marimba_M01!$C:$C, Captura_Obra!B104, Captura_Marimba_M01!$D:$D, Captura_Obra!D104))&gt;0), "", H400 - I400)</f>
        <v/>
      </c>
      <c r="K400" s="4209" t="n"/>
    </row>
    <row r="401">
      <c r="A401" s="10490">
        <f>IF(OR(Captura_Obra!A105="", (SUMIFS(Captura_Pegaso!$H:$H, Captura_Pegaso!$A:$A, Captura_Obra!A105, Captura_Pegaso!$D:$D, Captura_Obra!B105, Captura_Pegaso!$E:$E, Captura_Obra!D105) + SUMIFS(Captura_Marimba_M01!$G:$G, Captura_Marimba_M01!$A:$A, Captura_Obra!A105, Captura_Marimba_M01!$C:$C, Captura_Obra!B105, Captura_Marimba_M01!$D:$D, Captura_Obra!D105))&gt;0), "", "Huérfano Obra")</f>
        <v/>
      </c>
      <c r="B401" s="10491">
        <f>IF(OR(Captura_Obra!A105="", (SUMIFS(Captura_Pegaso!$H:$H, Captura_Pegaso!$A:$A, Captura_Obra!A105, Captura_Pegaso!$D:$D, Captura_Obra!B105, Captura_Pegaso!$E:$E, Captura_Obra!D105) + SUMIFS(Captura_Marimba_M01!$G:$G, Captura_Marimba_M01!$A:$A, Captura_Obra!A105, Captura_Marimba_M01!$C:$C, Captura_Obra!B105, Captura_Marimba_M01!$D:$D, Captura_Obra!D105))&gt;0), "", "No Reportado")</f>
        <v/>
      </c>
      <c r="C401" s="10492">
        <f>IF(OR(Captura_Obra!A105="", (SUMIFS(Captura_Pegaso!$H:$H, Captura_Pegaso!$A:$A, Captura_Obra!A105, Captura_Pegaso!$D:$D, Captura_Obra!B105, Captura_Pegaso!$E:$E, Captura_Obra!D105) + SUMIFS(Captura_Marimba_M01!$G:$G, Captura_Marimba_M01!$A:$A, Captura_Obra!A105, Captura_Marimba_M01!$C:$C, Captura_Obra!B105, Captura_Marimba_M01!$D:$D, Captura_Obra!D105))&gt;0), "", Captura_Obra!N105)</f>
        <v/>
      </c>
      <c r="D401" s="10493">
        <f>IF(OR(Captura_Obra!A105="", (SUMIFS(Captura_Pegaso!$H:$H, Captura_Pegaso!$A:$A, Captura_Obra!A105, Captura_Pegaso!$D:$D, Captura_Obra!B105, Captura_Pegaso!$E:$E, Captura_Obra!D105) + SUMIFS(Captura_Marimba_M01!$G:$G, Captura_Marimba_M01!$A:$A, Captura_Obra!A105, Captura_Marimba_M01!$C:$C, Captura_Obra!B105, Captura_Marimba_M01!$D:$D, Captura_Obra!D105))&gt;0), "", "❌ Falta en Pipa")</f>
        <v/>
      </c>
      <c r="E401" s="10494">
        <f>IF(OR(Captura_Obra!A105="", (SUMIFS(Captura_Pegaso!$H:$H, Captura_Pegaso!$A:$A, Captura_Obra!A105, Captura_Pegaso!$D:$D, Captura_Obra!B105, Captura_Pegaso!$E:$E, Captura_Obra!D105) + SUMIFS(Captura_Marimba_M01!$G:$G, Captura_Marimba_M01!$A:$A, Captura_Obra!A105, Captura_Marimba_M01!$C:$C, Captura_Obra!B105, Captura_Marimba_M01!$D:$D, Captura_Obra!D105))&gt;0), "", Captura_Obra!A105)</f>
        <v/>
      </c>
      <c r="F401" s="10495">
        <f>IF(OR(Captura_Obra!A105="", (SUMIFS(Captura_Pegaso!$H:$H, Captura_Pegaso!$A:$A, Captura_Obra!A105, Captura_Pegaso!$D:$D, Captura_Obra!B105, Captura_Pegaso!$E:$E, Captura_Obra!D105) + SUMIFS(Captura_Marimba_M01!$G:$G, Captura_Marimba_M01!$A:$A, Captura_Obra!A105, Captura_Marimba_M01!$C:$C, Captura_Obra!B105, Captura_Marimba_M01!$D:$D, Captura_Obra!D105))&gt;0), "", Captura_Obra!B105)</f>
        <v/>
      </c>
      <c r="G401" s="10496">
        <f>IF(OR(Captura_Obra!A105="", (SUMIFS(Captura_Pegaso!$H:$H, Captura_Pegaso!$A:$A, Captura_Obra!A105, Captura_Pegaso!$D:$D, Captura_Obra!B105, Captura_Pegaso!$E:$E, Captura_Obra!D105) + SUMIFS(Captura_Marimba_M01!$G:$G, Captura_Marimba_M01!$A:$A, Captura_Obra!A105, Captura_Marimba_M01!$C:$C, Captura_Obra!B105, Captura_Marimba_M01!$D:$D, Captura_Obra!D105))&gt;0), "", Captura_Obra!D105)</f>
        <v/>
      </c>
      <c r="H401" s="10497">
        <f>IF(OR(Captura_Obra!A105="", (SUMIFS(Captura_Pegaso!$H:$H, Captura_Pegaso!$A:$A, Captura_Obra!A105, Captura_Pegaso!$D:$D, Captura_Obra!B105, Captura_Pegaso!$E:$E, Captura_Obra!D105) + SUMIFS(Captura_Marimba_M01!$G:$G, Captura_Marimba_M01!$A:$A, Captura_Obra!A105, Captura_Marimba_M01!$C:$C, Captura_Obra!B105, Captura_Marimba_M01!$D:$D, Captura_Obra!D105))&gt;0), "", 0)</f>
        <v/>
      </c>
      <c r="I401" s="10498">
        <f>IF(OR(Captura_Obra!A105="", (SUMIFS(Captura_Pegaso!$H:$H, Captura_Pegaso!$A:$A, Captura_Obra!A105, Captura_Pegaso!$D:$D, Captura_Obra!B105, Captura_Pegaso!$E:$E, Captura_Obra!D105) + SUMIFS(Captura_Marimba_M01!$G:$G, Captura_Marimba_M01!$A:$A, Captura_Obra!A105, Captura_Marimba_M01!$C:$C, Captura_Obra!B105, Captura_Marimba_M01!$D:$D, Captura_Obra!D105))&gt;0), "", Captura_Obra!F105)</f>
        <v/>
      </c>
      <c r="J401" s="10499">
        <f>IF(OR(Captura_Obra!A105="", (SUMIFS(Captura_Pegaso!$H:$H, Captura_Pegaso!$A:$A, Captura_Obra!A105, Captura_Pegaso!$D:$D, Captura_Obra!B105, Captura_Pegaso!$E:$E, Captura_Obra!D105) + SUMIFS(Captura_Marimba_M01!$G:$G, Captura_Marimba_M01!$A:$A, Captura_Obra!A105, Captura_Marimba_M01!$C:$C, Captura_Obra!B105, Captura_Marimba_M01!$D:$D, Captura_Obra!D105))&gt;0), "", H401 - I401)</f>
        <v/>
      </c>
      <c r="K401" s="4210" t="n"/>
    </row>
    <row r="402">
      <c r="A402" s="10500">
        <f>IF(OR(Captura_Obra!A106="", (SUMIFS(Captura_Pegaso!$H:$H, Captura_Pegaso!$A:$A, Captura_Obra!A106, Captura_Pegaso!$D:$D, Captura_Obra!B106, Captura_Pegaso!$E:$E, Captura_Obra!D106) + SUMIFS(Captura_Marimba_M01!$G:$G, Captura_Marimba_M01!$A:$A, Captura_Obra!A106, Captura_Marimba_M01!$C:$C, Captura_Obra!B106, Captura_Marimba_M01!$D:$D, Captura_Obra!D106))&gt;0), "", "Huérfano Obra")</f>
        <v/>
      </c>
      <c r="B402" s="10501">
        <f>IF(OR(Captura_Obra!A106="", (SUMIFS(Captura_Pegaso!$H:$H, Captura_Pegaso!$A:$A, Captura_Obra!A106, Captura_Pegaso!$D:$D, Captura_Obra!B106, Captura_Pegaso!$E:$E, Captura_Obra!D106) + SUMIFS(Captura_Marimba_M01!$G:$G, Captura_Marimba_M01!$A:$A, Captura_Obra!A106, Captura_Marimba_M01!$C:$C, Captura_Obra!B106, Captura_Marimba_M01!$D:$D, Captura_Obra!D106))&gt;0), "", "No Reportado")</f>
        <v/>
      </c>
      <c r="C402" s="10502">
        <f>IF(OR(Captura_Obra!A106="", (SUMIFS(Captura_Pegaso!$H:$H, Captura_Pegaso!$A:$A, Captura_Obra!A106, Captura_Pegaso!$D:$D, Captura_Obra!B106, Captura_Pegaso!$E:$E, Captura_Obra!D106) + SUMIFS(Captura_Marimba_M01!$G:$G, Captura_Marimba_M01!$A:$A, Captura_Obra!A106, Captura_Marimba_M01!$C:$C, Captura_Obra!B106, Captura_Marimba_M01!$D:$D, Captura_Obra!D106))&gt;0), "", Captura_Obra!N106)</f>
        <v/>
      </c>
      <c r="D402" s="10503">
        <f>IF(OR(Captura_Obra!A106="", (SUMIFS(Captura_Pegaso!$H:$H, Captura_Pegaso!$A:$A, Captura_Obra!A106, Captura_Pegaso!$D:$D, Captura_Obra!B106, Captura_Pegaso!$E:$E, Captura_Obra!D106) + SUMIFS(Captura_Marimba_M01!$G:$G, Captura_Marimba_M01!$A:$A, Captura_Obra!A106, Captura_Marimba_M01!$C:$C, Captura_Obra!B106, Captura_Marimba_M01!$D:$D, Captura_Obra!D106))&gt;0), "", "❌ Falta en Pipa")</f>
        <v/>
      </c>
      <c r="E402" s="10504">
        <f>IF(OR(Captura_Obra!A106="", (SUMIFS(Captura_Pegaso!$H:$H, Captura_Pegaso!$A:$A, Captura_Obra!A106, Captura_Pegaso!$D:$D, Captura_Obra!B106, Captura_Pegaso!$E:$E, Captura_Obra!D106) + SUMIFS(Captura_Marimba_M01!$G:$G, Captura_Marimba_M01!$A:$A, Captura_Obra!A106, Captura_Marimba_M01!$C:$C, Captura_Obra!B106, Captura_Marimba_M01!$D:$D, Captura_Obra!D106))&gt;0), "", Captura_Obra!A106)</f>
        <v/>
      </c>
      <c r="F402" s="10505">
        <f>IF(OR(Captura_Obra!A106="", (SUMIFS(Captura_Pegaso!$H:$H, Captura_Pegaso!$A:$A, Captura_Obra!A106, Captura_Pegaso!$D:$D, Captura_Obra!B106, Captura_Pegaso!$E:$E, Captura_Obra!D106) + SUMIFS(Captura_Marimba_M01!$G:$G, Captura_Marimba_M01!$A:$A, Captura_Obra!A106, Captura_Marimba_M01!$C:$C, Captura_Obra!B106, Captura_Marimba_M01!$D:$D, Captura_Obra!D106))&gt;0), "", Captura_Obra!B106)</f>
        <v/>
      </c>
      <c r="G402" s="10506">
        <f>IF(OR(Captura_Obra!A106="", (SUMIFS(Captura_Pegaso!$H:$H, Captura_Pegaso!$A:$A, Captura_Obra!A106, Captura_Pegaso!$D:$D, Captura_Obra!B106, Captura_Pegaso!$E:$E, Captura_Obra!D106) + SUMIFS(Captura_Marimba_M01!$G:$G, Captura_Marimba_M01!$A:$A, Captura_Obra!A106, Captura_Marimba_M01!$C:$C, Captura_Obra!B106, Captura_Marimba_M01!$D:$D, Captura_Obra!D106))&gt;0), "", Captura_Obra!D106)</f>
        <v/>
      </c>
      <c r="H402" s="10507">
        <f>IF(OR(Captura_Obra!A106="", (SUMIFS(Captura_Pegaso!$H:$H, Captura_Pegaso!$A:$A, Captura_Obra!A106, Captura_Pegaso!$D:$D, Captura_Obra!B106, Captura_Pegaso!$E:$E, Captura_Obra!D106) + SUMIFS(Captura_Marimba_M01!$G:$G, Captura_Marimba_M01!$A:$A, Captura_Obra!A106, Captura_Marimba_M01!$C:$C, Captura_Obra!B106, Captura_Marimba_M01!$D:$D, Captura_Obra!D106))&gt;0), "", 0)</f>
        <v/>
      </c>
      <c r="I402" s="10508">
        <f>IF(OR(Captura_Obra!A106="", (SUMIFS(Captura_Pegaso!$H:$H, Captura_Pegaso!$A:$A, Captura_Obra!A106, Captura_Pegaso!$D:$D, Captura_Obra!B106, Captura_Pegaso!$E:$E, Captura_Obra!D106) + SUMIFS(Captura_Marimba_M01!$G:$G, Captura_Marimba_M01!$A:$A, Captura_Obra!A106, Captura_Marimba_M01!$C:$C, Captura_Obra!B106, Captura_Marimba_M01!$D:$D, Captura_Obra!D106))&gt;0), "", Captura_Obra!F106)</f>
        <v/>
      </c>
      <c r="J402" s="10509">
        <f>IF(OR(Captura_Obra!A106="", (SUMIFS(Captura_Pegaso!$H:$H, Captura_Pegaso!$A:$A, Captura_Obra!A106, Captura_Pegaso!$D:$D, Captura_Obra!B106, Captura_Pegaso!$E:$E, Captura_Obra!D106) + SUMIFS(Captura_Marimba_M01!$G:$G, Captura_Marimba_M01!$A:$A, Captura_Obra!A106, Captura_Marimba_M01!$C:$C, Captura_Obra!B106, Captura_Marimba_M01!$D:$D, Captura_Obra!D106))&gt;0), "", H402 - I402)</f>
        <v/>
      </c>
      <c r="K402" s="4211" t="n"/>
    </row>
    <row r="403">
      <c r="A403" s="10510">
        <f>IF(OR(Captura_Obra!A107="", (SUMIFS(Captura_Pegaso!$H:$H, Captura_Pegaso!$A:$A, Captura_Obra!A107, Captura_Pegaso!$D:$D, Captura_Obra!B107, Captura_Pegaso!$E:$E, Captura_Obra!D107) + SUMIFS(Captura_Marimba_M01!$G:$G, Captura_Marimba_M01!$A:$A, Captura_Obra!A107, Captura_Marimba_M01!$C:$C, Captura_Obra!B107, Captura_Marimba_M01!$D:$D, Captura_Obra!D107))&gt;0), "", "Huérfano Obra")</f>
        <v/>
      </c>
      <c r="B403" s="10511">
        <f>IF(OR(Captura_Obra!A107="", (SUMIFS(Captura_Pegaso!$H:$H, Captura_Pegaso!$A:$A, Captura_Obra!A107, Captura_Pegaso!$D:$D, Captura_Obra!B107, Captura_Pegaso!$E:$E, Captura_Obra!D107) + SUMIFS(Captura_Marimba_M01!$G:$G, Captura_Marimba_M01!$A:$A, Captura_Obra!A107, Captura_Marimba_M01!$C:$C, Captura_Obra!B107, Captura_Marimba_M01!$D:$D, Captura_Obra!D107))&gt;0), "", "No Reportado")</f>
        <v/>
      </c>
      <c r="C403" s="10512">
        <f>IF(OR(Captura_Obra!A107="", (SUMIFS(Captura_Pegaso!$H:$H, Captura_Pegaso!$A:$A, Captura_Obra!A107, Captura_Pegaso!$D:$D, Captura_Obra!B107, Captura_Pegaso!$E:$E, Captura_Obra!D107) + SUMIFS(Captura_Marimba_M01!$G:$G, Captura_Marimba_M01!$A:$A, Captura_Obra!A107, Captura_Marimba_M01!$C:$C, Captura_Obra!B107, Captura_Marimba_M01!$D:$D, Captura_Obra!D107))&gt;0), "", Captura_Obra!N107)</f>
        <v/>
      </c>
      <c r="D403" s="10513">
        <f>IF(OR(Captura_Obra!A107="", (SUMIFS(Captura_Pegaso!$H:$H, Captura_Pegaso!$A:$A, Captura_Obra!A107, Captura_Pegaso!$D:$D, Captura_Obra!B107, Captura_Pegaso!$E:$E, Captura_Obra!D107) + SUMIFS(Captura_Marimba_M01!$G:$G, Captura_Marimba_M01!$A:$A, Captura_Obra!A107, Captura_Marimba_M01!$C:$C, Captura_Obra!B107, Captura_Marimba_M01!$D:$D, Captura_Obra!D107))&gt;0), "", "❌ Falta en Pipa")</f>
        <v/>
      </c>
      <c r="E403" s="10514">
        <f>IF(OR(Captura_Obra!A107="", (SUMIFS(Captura_Pegaso!$H:$H, Captura_Pegaso!$A:$A, Captura_Obra!A107, Captura_Pegaso!$D:$D, Captura_Obra!B107, Captura_Pegaso!$E:$E, Captura_Obra!D107) + SUMIFS(Captura_Marimba_M01!$G:$G, Captura_Marimba_M01!$A:$A, Captura_Obra!A107, Captura_Marimba_M01!$C:$C, Captura_Obra!B107, Captura_Marimba_M01!$D:$D, Captura_Obra!D107))&gt;0), "", Captura_Obra!A107)</f>
        <v/>
      </c>
      <c r="F403" s="10515">
        <f>IF(OR(Captura_Obra!A107="", (SUMIFS(Captura_Pegaso!$H:$H, Captura_Pegaso!$A:$A, Captura_Obra!A107, Captura_Pegaso!$D:$D, Captura_Obra!B107, Captura_Pegaso!$E:$E, Captura_Obra!D107) + SUMIFS(Captura_Marimba_M01!$G:$G, Captura_Marimba_M01!$A:$A, Captura_Obra!A107, Captura_Marimba_M01!$C:$C, Captura_Obra!B107, Captura_Marimba_M01!$D:$D, Captura_Obra!D107))&gt;0), "", Captura_Obra!B107)</f>
        <v/>
      </c>
      <c r="G403" s="10516">
        <f>IF(OR(Captura_Obra!A107="", (SUMIFS(Captura_Pegaso!$H:$H, Captura_Pegaso!$A:$A, Captura_Obra!A107, Captura_Pegaso!$D:$D, Captura_Obra!B107, Captura_Pegaso!$E:$E, Captura_Obra!D107) + SUMIFS(Captura_Marimba_M01!$G:$G, Captura_Marimba_M01!$A:$A, Captura_Obra!A107, Captura_Marimba_M01!$C:$C, Captura_Obra!B107, Captura_Marimba_M01!$D:$D, Captura_Obra!D107))&gt;0), "", Captura_Obra!D107)</f>
        <v/>
      </c>
      <c r="H403" s="10517">
        <f>IF(OR(Captura_Obra!A107="", (SUMIFS(Captura_Pegaso!$H:$H, Captura_Pegaso!$A:$A, Captura_Obra!A107, Captura_Pegaso!$D:$D, Captura_Obra!B107, Captura_Pegaso!$E:$E, Captura_Obra!D107) + SUMIFS(Captura_Marimba_M01!$G:$G, Captura_Marimba_M01!$A:$A, Captura_Obra!A107, Captura_Marimba_M01!$C:$C, Captura_Obra!B107, Captura_Marimba_M01!$D:$D, Captura_Obra!D107))&gt;0), "", 0)</f>
        <v/>
      </c>
      <c r="I403" s="10518">
        <f>IF(OR(Captura_Obra!A107="", (SUMIFS(Captura_Pegaso!$H:$H, Captura_Pegaso!$A:$A, Captura_Obra!A107, Captura_Pegaso!$D:$D, Captura_Obra!B107, Captura_Pegaso!$E:$E, Captura_Obra!D107) + SUMIFS(Captura_Marimba_M01!$G:$G, Captura_Marimba_M01!$A:$A, Captura_Obra!A107, Captura_Marimba_M01!$C:$C, Captura_Obra!B107, Captura_Marimba_M01!$D:$D, Captura_Obra!D107))&gt;0), "", Captura_Obra!F107)</f>
        <v/>
      </c>
      <c r="J403" s="10519">
        <f>IF(OR(Captura_Obra!A107="", (SUMIFS(Captura_Pegaso!$H:$H, Captura_Pegaso!$A:$A, Captura_Obra!A107, Captura_Pegaso!$D:$D, Captura_Obra!B107, Captura_Pegaso!$E:$E, Captura_Obra!D107) + SUMIFS(Captura_Marimba_M01!$G:$G, Captura_Marimba_M01!$A:$A, Captura_Obra!A107, Captura_Marimba_M01!$C:$C, Captura_Obra!B107, Captura_Marimba_M01!$D:$D, Captura_Obra!D107))&gt;0), "", H403 - I403)</f>
        <v/>
      </c>
      <c r="K403" s="4212" t="n"/>
    </row>
    <row r="404">
      <c r="A404" s="10520">
        <f>IF(OR(Captura_Obra!A108="", (SUMIFS(Captura_Pegaso!$H:$H, Captura_Pegaso!$A:$A, Captura_Obra!A108, Captura_Pegaso!$D:$D, Captura_Obra!B108, Captura_Pegaso!$E:$E, Captura_Obra!D108) + SUMIFS(Captura_Marimba_M01!$G:$G, Captura_Marimba_M01!$A:$A, Captura_Obra!A108, Captura_Marimba_M01!$C:$C, Captura_Obra!B108, Captura_Marimba_M01!$D:$D, Captura_Obra!D108))&gt;0), "", "Huérfano Obra")</f>
        <v/>
      </c>
      <c r="B404" s="10521">
        <f>IF(OR(Captura_Obra!A108="", (SUMIFS(Captura_Pegaso!$H:$H, Captura_Pegaso!$A:$A, Captura_Obra!A108, Captura_Pegaso!$D:$D, Captura_Obra!B108, Captura_Pegaso!$E:$E, Captura_Obra!D108) + SUMIFS(Captura_Marimba_M01!$G:$G, Captura_Marimba_M01!$A:$A, Captura_Obra!A108, Captura_Marimba_M01!$C:$C, Captura_Obra!B108, Captura_Marimba_M01!$D:$D, Captura_Obra!D108))&gt;0), "", "No Reportado")</f>
        <v/>
      </c>
      <c r="C404" s="10522">
        <f>IF(OR(Captura_Obra!A108="", (SUMIFS(Captura_Pegaso!$H:$H, Captura_Pegaso!$A:$A, Captura_Obra!A108, Captura_Pegaso!$D:$D, Captura_Obra!B108, Captura_Pegaso!$E:$E, Captura_Obra!D108) + SUMIFS(Captura_Marimba_M01!$G:$G, Captura_Marimba_M01!$A:$A, Captura_Obra!A108, Captura_Marimba_M01!$C:$C, Captura_Obra!B108, Captura_Marimba_M01!$D:$D, Captura_Obra!D108))&gt;0), "", Captura_Obra!N108)</f>
        <v/>
      </c>
      <c r="D404" s="10523">
        <f>IF(OR(Captura_Obra!A108="", (SUMIFS(Captura_Pegaso!$H:$H, Captura_Pegaso!$A:$A, Captura_Obra!A108, Captura_Pegaso!$D:$D, Captura_Obra!B108, Captura_Pegaso!$E:$E, Captura_Obra!D108) + SUMIFS(Captura_Marimba_M01!$G:$G, Captura_Marimba_M01!$A:$A, Captura_Obra!A108, Captura_Marimba_M01!$C:$C, Captura_Obra!B108, Captura_Marimba_M01!$D:$D, Captura_Obra!D108))&gt;0), "", "❌ Falta en Pipa")</f>
        <v/>
      </c>
      <c r="E404" s="10524">
        <f>IF(OR(Captura_Obra!A108="", (SUMIFS(Captura_Pegaso!$H:$H, Captura_Pegaso!$A:$A, Captura_Obra!A108, Captura_Pegaso!$D:$D, Captura_Obra!B108, Captura_Pegaso!$E:$E, Captura_Obra!D108) + SUMIFS(Captura_Marimba_M01!$G:$G, Captura_Marimba_M01!$A:$A, Captura_Obra!A108, Captura_Marimba_M01!$C:$C, Captura_Obra!B108, Captura_Marimba_M01!$D:$D, Captura_Obra!D108))&gt;0), "", Captura_Obra!A108)</f>
        <v/>
      </c>
      <c r="F404" s="10525">
        <f>IF(OR(Captura_Obra!A108="", (SUMIFS(Captura_Pegaso!$H:$H, Captura_Pegaso!$A:$A, Captura_Obra!A108, Captura_Pegaso!$D:$D, Captura_Obra!B108, Captura_Pegaso!$E:$E, Captura_Obra!D108) + SUMIFS(Captura_Marimba_M01!$G:$G, Captura_Marimba_M01!$A:$A, Captura_Obra!A108, Captura_Marimba_M01!$C:$C, Captura_Obra!B108, Captura_Marimba_M01!$D:$D, Captura_Obra!D108))&gt;0), "", Captura_Obra!B108)</f>
        <v/>
      </c>
      <c r="G404" s="10526">
        <f>IF(OR(Captura_Obra!A108="", (SUMIFS(Captura_Pegaso!$H:$H, Captura_Pegaso!$A:$A, Captura_Obra!A108, Captura_Pegaso!$D:$D, Captura_Obra!B108, Captura_Pegaso!$E:$E, Captura_Obra!D108) + SUMIFS(Captura_Marimba_M01!$G:$G, Captura_Marimba_M01!$A:$A, Captura_Obra!A108, Captura_Marimba_M01!$C:$C, Captura_Obra!B108, Captura_Marimba_M01!$D:$D, Captura_Obra!D108))&gt;0), "", Captura_Obra!D108)</f>
        <v/>
      </c>
      <c r="H404" s="10527">
        <f>IF(OR(Captura_Obra!A108="", (SUMIFS(Captura_Pegaso!$H:$H, Captura_Pegaso!$A:$A, Captura_Obra!A108, Captura_Pegaso!$D:$D, Captura_Obra!B108, Captura_Pegaso!$E:$E, Captura_Obra!D108) + SUMIFS(Captura_Marimba_M01!$G:$G, Captura_Marimba_M01!$A:$A, Captura_Obra!A108, Captura_Marimba_M01!$C:$C, Captura_Obra!B108, Captura_Marimba_M01!$D:$D, Captura_Obra!D108))&gt;0), "", 0)</f>
        <v/>
      </c>
      <c r="I404" s="10528">
        <f>IF(OR(Captura_Obra!A108="", (SUMIFS(Captura_Pegaso!$H:$H, Captura_Pegaso!$A:$A, Captura_Obra!A108, Captura_Pegaso!$D:$D, Captura_Obra!B108, Captura_Pegaso!$E:$E, Captura_Obra!D108) + SUMIFS(Captura_Marimba_M01!$G:$G, Captura_Marimba_M01!$A:$A, Captura_Obra!A108, Captura_Marimba_M01!$C:$C, Captura_Obra!B108, Captura_Marimba_M01!$D:$D, Captura_Obra!D108))&gt;0), "", Captura_Obra!F108)</f>
        <v/>
      </c>
      <c r="J404" s="10529">
        <f>IF(OR(Captura_Obra!A108="", (SUMIFS(Captura_Pegaso!$H:$H, Captura_Pegaso!$A:$A, Captura_Obra!A108, Captura_Pegaso!$D:$D, Captura_Obra!B108, Captura_Pegaso!$E:$E, Captura_Obra!D108) + SUMIFS(Captura_Marimba_M01!$G:$G, Captura_Marimba_M01!$A:$A, Captura_Obra!A108, Captura_Marimba_M01!$C:$C, Captura_Obra!B108, Captura_Marimba_M01!$D:$D, Captura_Obra!D108))&gt;0), "", H404 - I404)</f>
        <v/>
      </c>
      <c r="K404" s="4213" t="n"/>
    </row>
    <row r="405">
      <c r="A405" s="10530">
        <f>IF(OR(Captura_Obra!A109="", (SUMIFS(Captura_Pegaso!$H:$H, Captura_Pegaso!$A:$A, Captura_Obra!A109, Captura_Pegaso!$D:$D, Captura_Obra!B109, Captura_Pegaso!$E:$E, Captura_Obra!D109) + SUMIFS(Captura_Marimba_M01!$G:$G, Captura_Marimba_M01!$A:$A, Captura_Obra!A109, Captura_Marimba_M01!$C:$C, Captura_Obra!B109, Captura_Marimba_M01!$D:$D, Captura_Obra!D109))&gt;0), "", "Huérfano Obra")</f>
        <v/>
      </c>
      <c r="B405" s="10531">
        <f>IF(OR(Captura_Obra!A109="", (SUMIFS(Captura_Pegaso!$H:$H, Captura_Pegaso!$A:$A, Captura_Obra!A109, Captura_Pegaso!$D:$D, Captura_Obra!B109, Captura_Pegaso!$E:$E, Captura_Obra!D109) + SUMIFS(Captura_Marimba_M01!$G:$G, Captura_Marimba_M01!$A:$A, Captura_Obra!A109, Captura_Marimba_M01!$C:$C, Captura_Obra!B109, Captura_Marimba_M01!$D:$D, Captura_Obra!D109))&gt;0), "", "No Reportado")</f>
        <v/>
      </c>
      <c r="C405" s="10532">
        <f>IF(OR(Captura_Obra!A109="", (SUMIFS(Captura_Pegaso!$H:$H, Captura_Pegaso!$A:$A, Captura_Obra!A109, Captura_Pegaso!$D:$D, Captura_Obra!B109, Captura_Pegaso!$E:$E, Captura_Obra!D109) + SUMIFS(Captura_Marimba_M01!$G:$G, Captura_Marimba_M01!$A:$A, Captura_Obra!A109, Captura_Marimba_M01!$C:$C, Captura_Obra!B109, Captura_Marimba_M01!$D:$D, Captura_Obra!D109))&gt;0), "", Captura_Obra!N109)</f>
        <v/>
      </c>
      <c r="D405" s="10533">
        <f>IF(OR(Captura_Obra!A109="", (SUMIFS(Captura_Pegaso!$H:$H, Captura_Pegaso!$A:$A, Captura_Obra!A109, Captura_Pegaso!$D:$D, Captura_Obra!B109, Captura_Pegaso!$E:$E, Captura_Obra!D109) + SUMIFS(Captura_Marimba_M01!$G:$G, Captura_Marimba_M01!$A:$A, Captura_Obra!A109, Captura_Marimba_M01!$C:$C, Captura_Obra!B109, Captura_Marimba_M01!$D:$D, Captura_Obra!D109))&gt;0), "", "❌ Falta en Pipa")</f>
        <v/>
      </c>
      <c r="E405" s="10534">
        <f>IF(OR(Captura_Obra!A109="", (SUMIFS(Captura_Pegaso!$H:$H, Captura_Pegaso!$A:$A, Captura_Obra!A109, Captura_Pegaso!$D:$D, Captura_Obra!B109, Captura_Pegaso!$E:$E, Captura_Obra!D109) + SUMIFS(Captura_Marimba_M01!$G:$G, Captura_Marimba_M01!$A:$A, Captura_Obra!A109, Captura_Marimba_M01!$C:$C, Captura_Obra!B109, Captura_Marimba_M01!$D:$D, Captura_Obra!D109))&gt;0), "", Captura_Obra!A109)</f>
        <v/>
      </c>
      <c r="F405" s="10535">
        <f>IF(OR(Captura_Obra!A109="", (SUMIFS(Captura_Pegaso!$H:$H, Captura_Pegaso!$A:$A, Captura_Obra!A109, Captura_Pegaso!$D:$D, Captura_Obra!B109, Captura_Pegaso!$E:$E, Captura_Obra!D109) + SUMIFS(Captura_Marimba_M01!$G:$G, Captura_Marimba_M01!$A:$A, Captura_Obra!A109, Captura_Marimba_M01!$C:$C, Captura_Obra!B109, Captura_Marimba_M01!$D:$D, Captura_Obra!D109))&gt;0), "", Captura_Obra!B109)</f>
        <v/>
      </c>
      <c r="G405" s="10536">
        <f>IF(OR(Captura_Obra!A109="", (SUMIFS(Captura_Pegaso!$H:$H, Captura_Pegaso!$A:$A, Captura_Obra!A109, Captura_Pegaso!$D:$D, Captura_Obra!B109, Captura_Pegaso!$E:$E, Captura_Obra!D109) + SUMIFS(Captura_Marimba_M01!$G:$G, Captura_Marimba_M01!$A:$A, Captura_Obra!A109, Captura_Marimba_M01!$C:$C, Captura_Obra!B109, Captura_Marimba_M01!$D:$D, Captura_Obra!D109))&gt;0), "", Captura_Obra!D109)</f>
        <v/>
      </c>
      <c r="H405" s="10537">
        <f>IF(OR(Captura_Obra!A109="", (SUMIFS(Captura_Pegaso!$H:$H, Captura_Pegaso!$A:$A, Captura_Obra!A109, Captura_Pegaso!$D:$D, Captura_Obra!B109, Captura_Pegaso!$E:$E, Captura_Obra!D109) + SUMIFS(Captura_Marimba_M01!$G:$G, Captura_Marimba_M01!$A:$A, Captura_Obra!A109, Captura_Marimba_M01!$C:$C, Captura_Obra!B109, Captura_Marimba_M01!$D:$D, Captura_Obra!D109))&gt;0), "", 0)</f>
        <v/>
      </c>
      <c r="I405" s="10538">
        <f>IF(OR(Captura_Obra!A109="", (SUMIFS(Captura_Pegaso!$H:$H, Captura_Pegaso!$A:$A, Captura_Obra!A109, Captura_Pegaso!$D:$D, Captura_Obra!B109, Captura_Pegaso!$E:$E, Captura_Obra!D109) + SUMIFS(Captura_Marimba_M01!$G:$G, Captura_Marimba_M01!$A:$A, Captura_Obra!A109, Captura_Marimba_M01!$C:$C, Captura_Obra!B109, Captura_Marimba_M01!$D:$D, Captura_Obra!D109))&gt;0), "", Captura_Obra!F109)</f>
        <v/>
      </c>
      <c r="J405" s="10539">
        <f>IF(OR(Captura_Obra!A109="", (SUMIFS(Captura_Pegaso!$H:$H, Captura_Pegaso!$A:$A, Captura_Obra!A109, Captura_Pegaso!$D:$D, Captura_Obra!B109, Captura_Pegaso!$E:$E, Captura_Obra!D109) + SUMIFS(Captura_Marimba_M01!$G:$G, Captura_Marimba_M01!$A:$A, Captura_Obra!A109, Captura_Marimba_M01!$C:$C, Captura_Obra!B109, Captura_Marimba_M01!$D:$D, Captura_Obra!D109))&gt;0), "", H405 - I405)</f>
        <v/>
      </c>
      <c r="K405" s="4214" t="n"/>
    </row>
    <row r="406">
      <c r="A406" s="10540">
        <f>IF(OR(Captura_Obra!A110="", (SUMIFS(Captura_Pegaso!$H:$H, Captura_Pegaso!$A:$A, Captura_Obra!A110, Captura_Pegaso!$D:$D, Captura_Obra!B110, Captura_Pegaso!$E:$E, Captura_Obra!D110) + SUMIFS(Captura_Marimba_M01!$G:$G, Captura_Marimba_M01!$A:$A, Captura_Obra!A110, Captura_Marimba_M01!$C:$C, Captura_Obra!B110, Captura_Marimba_M01!$D:$D, Captura_Obra!D110))&gt;0), "", "Huérfano Obra")</f>
        <v/>
      </c>
      <c r="B406" s="10541">
        <f>IF(OR(Captura_Obra!A110="", (SUMIFS(Captura_Pegaso!$H:$H, Captura_Pegaso!$A:$A, Captura_Obra!A110, Captura_Pegaso!$D:$D, Captura_Obra!B110, Captura_Pegaso!$E:$E, Captura_Obra!D110) + SUMIFS(Captura_Marimba_M01!$G:$G, Captura_Marimba_M01!$A:$A, Captura_Obra!A110, Captura_Marimba_M01!$C:$C, Captura_Obra!B110, Captura_Marimba_M01!$D:$D, Captura_Obra!D110))&gt;0), "", "No Reportado")</f>
        <v/>
      </c>
      <c r="C406" s="10542">
        <f>IF(OR(Captura_Obra!A110="", (SUMIFS(Captura_Pegaso!$H:$H, Captura_Pegaso!$A:$A, Captura_Obra!A110, Captura_Pegaso!$D:$D, Captura_Obra!B110, Captura_Pegaso!$E:$E, Captura_Obra!D110) + SUMIFS(Captura_Marimba_M01!$G:$G, Captura_Marimba_M01!$A:$A, Captura_Obra!A110, Captura_Marimba_M01!$C:$C, Captura_Obra!B110, Captura_Marimba_M01!$D:$D, Captura_Obra!D110))&gt;0), "", Captura_Obra!N110)</f>
        <v/>
      </c>
      <c r="D406" s="10543">
        <f>IF(OR(Captura_Obra!A110="", (SUMIFS(Captura_Pegaso!$H:$H, Captura_Pegaso!$A:$A, Captura_Obra!A110, Captura_Pegaso!$D:$D, Captura_Obra!B110, Captura_Pegaso!$E:$E, Captura_Obra!D110) + SUMIFS(Captura_Marimba_M01!$G:$G, Captura_Marimba_M01!$A:$A, Captura_Obra!A110, Captura_Marimba_M01!$C:$C, Captura_Obra!B110, Captura_Marimba_M01!$D:$D, Captura_Obra!D110))&gt;0), "", "❌ Falta en Pipa")</f>
        <v/>
      </c>
      <c r="E406" s="10544">
        <f>IF(OR(Captura_Obra!A110="", (SUMIFS(Captura_Pegaso!$H:$H, Captura_Pegaso!$A:$A, Captura_Obra!A110, Captura_Pegaso!$D:$D, Captura_Obra!B110, Captura_Pegaso!$E:$E, Captura_Obra!D110) + SUMIFS(Captura_Marimba_M01!$G:$G, Captura_Marimba_M01!$A:$A, Captura_Obra!A110, Captura_Marimba_M01!$C:$C, Captura_Obra!B110, Captura_Marimba_M01!$D:$D, Captura_Obra!D110))&gt;0), "", Captura_Obra!A110)</f>
        <v/>
      </c>
      <c r="F406" s="10545">
        <f>IF(OR(Captura_Obra!A110="", (SUMIFS(Captura_Pegaso!$H:$H, Captura_Pegaso!$A:$A, Captura_Obra!A110, Captura_Pegaso!$D:$D, Captura_Obra!B110, Captura_Pegaso!$E:$E, Captura_Obra!D110) + SUMIFS(Captura_Marimba_M01!$G:$G, Captura_Marimba_M01!$A:$A, Captura_Obra!A110, Captura_Marimba_M01!$C:$C, Captura_Obra!B110, Captura_Marimba_M01!$D:$D, Captura_Obra!D110))&gt;0), "", Captura_Obra!B110)</f>
        <v/>
      </c>
      <c r="G406" s="10546">
        <f>IF(OR(Captura_Obra!A110="", (SUMIFS(Captura_Pegaso!$H:$H, Captura_Pegaso!$A:$A, Captura_Obra!A110, Captura_Pegaso!$D:$D, Captura_Obra!B110, Captura_Pegaso!$E:$E, Captura_Obra!D110) + SUMIFS(Captura_Marimba_M01!$G:$G, Captura_Marimba_M01!$A:$A, Captura_Obra!A110, Captura_Marimba_M01!$C:$C, Captura_Obra!B110, Captura_Marimba_M01!$D:$D, Captura_Obra!D110))&gt;0), "", Captura_Obra!D110)</f>
        <v/>
      </c>
      <c r="H406" s="10547">
        <f>IF(OR(Captura_Obra!A110="", (SUMIFS(Captura_Pegaso!$H:$H, Captura_Pegaso!$A:$A, Captura_Obra!A110, Captura_Pegaso!$D:$D, Captura_Obra!B110, Captura_Pegaso!$E:$E, Captura_Obra!D110) + SUMIFS(Captura_Marimba_M01!$G:$G, Captura_Marimba_M01!$A:$A, Captura_Obra!A110, Captura_Marimba_M01!$C:$C, Captura_Obra!B110, Captura_Marimba_M01!$D:$D, Captura_Obra!D110))&gt;0), "", 0)</f>
        <v/>
      </c>
      <c r="I406" s="10548">
        <f>IF(OR(Captura_Obra!A110="", (SUMIFS(Captura_Pegaso!$H:$H, Captura_Pegaso!$A:$A, Captura_Obra!A110, Captura_Pegaso!$D:$D, Captura_Obra!B110, Captura_Pegaso!$E:$E, Captura_Obra!D110) + SUMIFS(Captura_Marimba_M01!$G:$G, Captura_Marimba_M01!$A:$A, Captura_Obra!A110, Captura_Marimba_M01!$C:$C, Captura_Obra!B110, Captura_Marimba_M01!$D:$D, Captura_Obra!D110))&gt;0), "", Captura_Obra!F110)</f>
        <v/>
      </c>
      <c r="J406" s="10549">
        <f>IF(OR(Captura_Obra!A110="", (SUMIFS(Captura_Pegaso!$H:$H, Captura_Pegaso!$A:$A, Captura_Obra!A110, Captura_Pegaso!$D:$D, Captura_Obra!B110, Captura_Pegaso!$E:$E, Captura_Obra!D110) + SUMIFS(Captura_Marimba_M01!$G:$G, Captura_Marimba_M01!$A:$A, Captura_Obra!A110, Captura_Marimba_M01!$C:$C, Captura_Obra!B110, Captura_Marimba_M01!$D:$D, Captura_Obra!D110))&gt;0), "", H406 - I406)</f>
        <v/>
      </c>
      <c r="K406" s="4215" t="n"/>
    </row>
    <row r="407">
      <c r="A407" s="10550">
        <f>IF(OR(Captura_Obra!A111="", (SUMIFS(Captura_Pegaso!$H:$H, Captura_Pegaso!$A:$A, Captura_Obra!A111, Captura_Pegaso!$D:$D, Captura_Obra!B111, Captura_Pegaso!$E:$E, Captura_Obra!D111) + SUMIFS(Captura_Marimba_M01!$G:$G, Captura_Marimba_M01!$A:$A, Captura_Obra!A111, Captura_Marimba_M01!$C:$C, Captura_Obra!B111, Captura_Marimba_M01!$D:$D, Captura_Obra!D111))&gt;0), "", "Huérfano Obra")</f>
        <v/>
      </c>
      <c r="B407" s="10551">
        <f>IF(OR(Captura_Obra!A111="", (SUMIFS(Captura_Pegaso!$H:$H, Captura_Pegaso!$A:$A, Captura_Obra!A111, Captura_Pegaso!$D:$D, Captura_Obra!B111, Captura_Pegaso!$E:$E, Captura_Obra!D111) + SUMIFS(Captura_Marimba_M01!$G:$G, Captura_Marimba_M01!$A:$A, Captura_Obra!A111, Captura_Marimba_M01!$C:$C, Captura_Obra!B111, Captura_Marimba_M01!$D:$D, Captura_Obra!D111))&gt;0), "", "No Reportado")</f>
        <v/>
      </c>
      <c r="C407" s="10552">
        <f>IF(OR(Captura_Obra!A111="", (SUMIFS(Captura_Pegaso!$H:$H, Captura_Pegaso!$A:$A, Captura_Obra!A111, Captura_Pegaso!$D:$D, Captura_Obra!B111, Captura_Pegaso!$E:$E, Captura_Obra!D111) + SUMIFS(Captura_Marimba_M01!$G:$G, Captura_Marimba_M01!$A:$A, Captura_Obra!A111, Captura_Marimba_M01!$C:$C, Captura_Obra!B111, Captura_Marimba_M01!$D:$D, Captura_Obra!D111))&gt;0), "", Captura_Obra!N111)</f>
        <v/>
      </c>
      <c r="D407" s="10553">
        <f>IF(OR(Captura_Obra!A111="", (SUMIFS(Captura_Pegaso!$H:$H, Captura_Pegaso!$A:$A, Captura_Obra!A111, Captura_Pegaso!$D:$D, Captura_Obra!B111, Captura_Pegaso!$E:$E, Captura_Obra!D111) + SUMIFS(Captura_Marimba_M01!$G:$G, Captura_Marimba_M01!$A:$A, Captura_Obra!A111, Captura_Marimba_M01!$C:$C, Captura_Obra!B111, Captura_Marimba_M01!$D:$D, Captura_Obra!D111))&gt;0), "", "❌ Falta en Pipa")</f>
        <v/>
      </c>
      <c r="E407" s="10554">
        <f>IF(OR(Captura_Obra!A111="", (SUMIFS(Captura_Pegaso!$H:$H, Captura_Pegaso!$A:$A, Captura_Obra!A111, Captura_Pegaso!$D:$D, Captura_Obra!B111, Captura_Pegaso!$E:$E, Captura_Obra!D111) + SUMIFS(Captura_Marimba_M01!$G:$G, Captura_Marimba_M01!$A:$A, Captura_Obra!A111, Captura_Marimba_M01!$C:$C, Captura_Obra!B111, Captura_Marimba_M01!$D:$D, Captura_Obra!D111))&gt;0), "", Captura_Obra!A111)</f>
        <v/>
      </c>
      <c r="F407" s="10555">
        <f>IF(OR(Captura_Obra!A111="", (SUMIFS(Captura_Pegaso!$H:$H, Captura_Pegaso!$A:$A, Captura_Obra!A111, Captura_Pegaso!$D:$D, Captura_Obra!B111, Captura_Pegaso!$E:$E, Captura_Obra!D111) + SUMIFS(Captura_Marimba_M01!$G:$G, Captura_Marimba_M01!$A:$A, Captura_Obra!A111, Captura_Marimba_M01!$C:$C, Captura_Obra!B111, Captura_Marimba_M01!$D:$D, Captura_Obra!D111))&gt;0), "", Captura_Obra!B111)</f>
        <v/>
      </c>
      <c r="G407" s="10556">
        <f>IF(OR(Captura_Obra!A111="", (SUMIFS(Captura_Pegaso!$H:$H, Captura_Pegaso!$A:$A, Captura_Obra!A111, Captura_Pegaso!$D:$D, Captura_Obra!B111, Captura_Pegaso!$E:$E, Captura_Obra!D111) + SUMIFS(Captura_Marimba_M01!$G:$G, Captura_Marimba_M01!$A:$A, Captura_Obra!A111, Captura_Marimba_M01!$C:$C, Captura_Obra!B111, Captura_Marimba_M01!$D:$D, Captura_Obra!D111))&gt;0), "", Captura_Obra!D111)</f>
        <v/>
      </c>
      <c r="H407" s="10557">
        <f>IF(OR(Captura_Obra!A111="", (SUMIFS(Captura_Pegaso!$H:$H, Captura_Pegaso!$A:$A, Captura_Obra!A111, Captura_Pegaso!$D:$D, Captura_Obra!B111, Captura_Pegaso!$E:$E, Captura_Obra!D111) + SUMIFS(Captura_Marimba_M01!$G:$G, Captura_Marimba_M01!$A:$A, Captura_Obra!A111, Captura_Marimba_M01!$C:$C, Captura_Obra!B111, Captura_Marimba_M01!$D:$D, Captura_Obra!D111))&gt;0), "", 0)</f>
        <v/>
      </c>
      <c r="I407" s="10558">
        <f>IF(OR(Captura_Obra!A111="", (SUMIFS(Captura_Pegaso!$H:$H, Captura_Pegaso!$A:$A, Captura_Obra!A111, Captura_Pegaso!$D:$D, Captura_Obra!B111, Captura_Pegaso!$E:$E, Captura_Obra!D111) + SUMIFS(Captura_Marimba_M01!$G:$G, Captura_Marimba_M01!$A:$A, Captura_Obra!A111, Captura_Marimba_M01!$C:$C, Captura_Obra!B111, Captura_Marimba_M01!$D:$D, Captura_Obra!D111))&gt;0), "", Captura_Obra!F111)</f>
        <v/>
      </c>
      <c r="J407" s="10559">
        <f>IF(OR(Captura_Obra!A111="", (SUMIFS(Captura_Pegaso!$H:$H, Captura_Pegaso!$A:$A, Captura_Obra!A111, Captura_Pegaso!$D:$D, Captura_Obra!B111, Captura_Pegaso!$E:$E, Captura_Obra!D111) + SUMIFS(Captura_Marimba_M01!$G:$G, Captura_Marimba_M01!$A:$A, Captura_Obra!A111, Captura_Marimba_M01!$C:$C, Captura_Obra!B111, Captura_Marimba_M01!$D:$D, Captura_Obra!D111))&gt;0), "", H407 - I407)</f>
        <v/>
      </c>
      <c r="K407" s="4216" t="n"/>
    </row>
    <row r="408">
      <c r="A408" s="10560">
        <f>IF(OR(Captura_Obra!A112="", (SUMIFS(Captura_Pegaso!$H:$H, Captura_Pegaso!$A:$A, Captura_Obra!A112, Captura_Pegaso!$D:$D, Captura_Obra!B112, Captura_Pegaso!$E:$E, Captura_Obra!D112) + SUMIFS(Captura_Marimba_M01!$G:$G, Captura_Marimba_M01!$A:$A, Captura_Obra!A112, Captura_Marimba_M01!$C:$C, Captura_Obra!B112, Captura_Marimba_M01!$D:$D, Captura_Obra!D112))&gt;0), "", "Huérfano Obra")</f>
        <v/>
      </c>
      <c r="B408" s="10561">
        <f>IF(OR(Captura_Obra!A112="", (SUMIFS(Captura_Pegaso!$H:$H, Captura_Pegaso!$A:$A, Captura_Obra!A112, Captura_Pegaso!$D:$D, Captura_Obra!B112, Captura_Pegaso!$E:$E, Captura_Obra!D112) + SUMIFS(Captura_Marimba_M01!$G:$G, Captura_Marimba_M01!$A:$A, Captura_Obra!A112, Captura_Marimba_M01!$C:$C, Captura_Obra!B112, Captura_Marimba_M01!$D:$D, Captura_Obra!D112))&gt;0), "", "No Reportado")</f>
        <v/>
      </c>
      <c r="C408" s="10562">
        <f>IF(OR(Captura_Obra!A112="", (SUMIFS(Captura_Pegaso!$H:$H, Captura_Pegaso!$A:$A, Captura_Obra!A112, Captura_Pegaso!$D:$D, Captura_Obra!B112, Captura_Pegaso!$E:$E, Captura_Obra!D112) + SUMIFS(Captura_Marimba_M01!$G:$G, Captura_Marimba_M01!$A:$A, Captura_Obra!A112, Captura_Marimba_M01!$C:$C, Captura_Obra!B112, Captura_Marimba_M01!$D:$D, Captura_Obra!D112))&gt;0), "", Captura_Obra!N112)</f>
        <v/>
      </c>
      <c r="D408" s="10563">
        <f>IF(OR(Captura_Obra!A112="", (SUMIFS(Captura_Pegaso!$H:$H, Captura_Pegaso!$A:$A, Captura_Obra!A112, Captura_Pegaso!$D:$D, Captura_Obra!B112, Captura_Pegaso!$E:$E, Captura_Obra!D112) + SUMIFS(Captura_Marimba_M01!$G:$G, Captura_Marimba_M01!$A:$A, Captura_Obra!A112, Captura_Marimba_M01!$C:$C, Captura_Obra!B112, Captura_Marimba_M01!$D:$D, Captura_Obra!D112))&gt;0), "", "❌ Falta en Pipa")</f>
        <v/>
      </c>
      <c r="E408" s="10564">
        <f>IF(OR(Captura_Obra!A112="", (SUMIFS(Captura_Pegaso!$H:$H, Captura_Pegaso!$A:$A, Captura_Obra!A112, Captura_Pegaso!$D:$D, Captura_Obra!B112, Captura_Pegaso!$E:$E, Captura_Obra!D112) + SUMIFS(Captura_Marimba_M01!$G:$G, Captura_Marimba_M01!$A:$A, Captura_Obra!A112, Captura_Marimba_M01!$C:$C, Captura_Obra!B112, Captura_Marimba_M01!$D:$D, Captura_Obra!D112))&gt;0), "", Captura_Obra!A112)</f>
        <v/>
      </c>
      <c r="F408" s="10565">
        <f>IF(OR(Captura_Obra!A112="", (SUMIFS(Captura_Pegaso!$H:$H, Captura_Pegaso!$A:$A, Captura_Obra!A112, Captura_Pegaso!$D:$D, Captura_Obra!B112, Captura_Pegaso!$E:$E, Captura_Obra!D112) + SUMIFS(Captura_Marimba_M01!$G:$G, Captura_Marimba_M01!$A:$A, Captura_Obra!A112, Captura_Marimba_M01!$C:$C, Captura_Obra!B112, Captura_Marimba_M01!$D:$D, Captura_Obra!D112))&gt;0), "", Captura_Obra!B112)</f>
        <v/>
      </c>
      <c r="G408" s="10566">
        <f>IF(OR(Captura_Obra!A112="", (SUMIFS(Captura_Pegaso!$H:$H, Captura_Pegaso!$A:$A, Captura_Obra!A112, Captura_Pegaso!$D:$D, Captura_Obra!B112, Captura_Pegaso!$E:$E, Captura_Obra!D112) + SUMIFS(Captura_Marimba_M01!$G:$G, Captura_Marimba_M01!$A:$A, Captura_Obra!A112, Captura_Marimba_M01!$C:$C, Captura_Obra!B112, Captura_Marimba_M01!$D:$D, Captura_Obra!D112))&gt;0), "", Captura_Obra!D112)</f>
        <v/>
      </c>
      <c r="H408" s="10567">
        <f>IF(OR(Captura_Obra!A112="", (SUMIFS(Captura_Pegaso!$H:$H, Captura_Pegaso!$A:$A, Captura_Obra!A112, Captura_Pegaso!$D:$D, Captura_Obra!B112, Captura_Pegaso!$E:$E, Captura_Obra!D112) + SUMIFS(Captura_Marimba_M01!$G:$G, Captura_Marimba_M01!$A:$A, Captura_Obra!A112, Captura_Marimba_M01!$C:$C, Captura_Obra!B112, Captura_Marimba_M01!$D:$D, Captura_Obra!D112))&gt;0), "", 0)</f>
        <v/>
      </c>
      <c r="I408" s="10568">
        <f>IF(OR(Captura_Obra!A112="", (SUMIFS(Captura_Pegaso!$H:$H, Captura_Pegaso!$A:$A, Captura_Obra!A112, Captura_Pegaso!$D:$D, Captura_Obra!B112, Captura_Pegaso!$E:$E, Captura_Obra!D112) + SUMIFS(Captura_Marimba_M01!$G:$G, Captura_Marimba_M01!$A:$A, Captura_Obra!A112, Captura_Marimba_M01!$C:$C, Captura_Obra!B112, Captura_Marimba_M01!$D:$D, Captura_Obra!D112))&gt;0), "", Captura_Obra!F112)</f>
        <v/>
      </c>
      <c r="J408" s="10569">
        <f>IF(OR(Captura_Obra!A112="", (SUMIFS(Captura_Pegaso!$H:$H, Captura_Pegaso!$A:$A, Captura_Obra!A112, Captura_Pegaso!$D:$D, Captura_Obra!B112, Captura_Pegaso!$E:$E, Captura_Obra!D112) + SUMIFS(Captura_Marimba_M01!$G:$G, Captura_Marimba_M01!$A:$A, Captura_Obra!A112, Captura_Marimba_M01!$C:$C, Captura_Obra!B112, Captura_Marimba_M01!$D:$D, Captura_Obra!D112))&gt;0), "", H408 - I408)</f>
        <v/>
      </c>
      <c r="K408" s="4217" t="n"/>
    </row>
    <row r="409">
      <c r="A409" s="10570">
        <f>IF(OR(Captura_Obra!A113="", (SUMIFS(Captura_Pegaso!$H:$H, Captura_Pegaso!$A:$A, Captura_Obra!A113, Captura_Pegaso!$D:$D, Captura_Obra!B113, Captura_Pegaso!$E:$E, Captura_Obra!D113) + SUMIFS(Captura_Marimba_M01!$G:$G, Captura_Marimba_M01!$A:$A, Captura_Obra!A113, Captura_Marimba_M01!$C:$C, Captura_Obra!B113, Captura_Marimba_M01!$D:$D, Captura_Obra!D113))&gt;0), "", "Huérfano Obra")</f>
        <v/>
      </c>
      <c r="B409" s="10571">
        <f>IF(OR(Captura_Obra!A113="", (SUMIFS(Captura_Pegaso!$H:$H, Captura_Pegaso!$A:$A, Captura_Obra!A113, Captura_Pegaso!$D:$D, Captura_Obra!B113, Captura_Pegaso!$E:$E, Captura_Obra!D113) + SUMIFS(Captura_Marimba_M01!$G:$G, Captura_Marimba_M01!$A:$A, Captura_Obra!A113, Captura_Marimba_M01!$C:$C, Captura_Obra!B113, Captura_Marimba_M01!$D:$D, Captura_Obra!D113))&gt;0), "", "No Reportado")</f>
        <v/>
      </c>
      <c r="C409" s="10572">
        <f>IF(OR(Captura_Obra!A113="", (SUMIFS(Captura_Pegaso!$H:$H, Captura_Pegaso!$A:$A, Captura_Obra!A113, Captura_Pegaso!$D:$D, Captura_Obra!B113, Captura_Pegaso!$E:$E, Captura_Obra!D113) + SUMIFS(Captura_Marimba_M01!$G:$G, Captura_Marimba_M01!$A:$A, Captura_Obra!A113, Captura_Marimba_M01!$C:$C, Captura_Obra!B113, Captura_Marimba_M01!$D:$D, Captura_Obra!D113))&gt;0), "", Captura_Obra!N113)</f>
        <v/>
      </c>
      <c r="D409" s="10573">
        <f>IF(OR(Captura_Obra!A113="", (SUMIFS(Captura_Pegaso!$H:$H, Captura_Pegaso!$A:$A, Captura_Obra!A113, Captura_Pegaso!$D:$D, Captura_Obra!B113, Captura_Pegaso!$E:$E, Captura_Obra!D113) + SUMIFS(Captura_Marimba_M01!$G:$G, Captura_Marimba_M01!$A:$A, Captura_Obra!A113, Captura_Marimba_M01!$C:$C, Captura_Obra!B113, Captura_Marimba_M01!$D:$D, Captura_Obra!D113))&gt;0), "", "❌ Falta en Pipa")</f>
        <v/>
      </c>
      <c r="E409" s="10574">
        <f>IF(OR(Captura_Obra!A113="", (SUMIFS(Captura_Pegaso!$H:$H, Captura_Pegaso!$A:$A, Captura_Obra!A113, Captura_Pegaso!$D:$D, Captura_Obra!B113, Captura_Pegaso!$E:$E, Captura_Obra!D113) + SUMIFS(Captura_Marimba_M01!$G:$G, Captura_Marimba_M01!$A:$A, Captura_Obra!A113, Captura_Marimba_M01!$C:$C, Captura_Obra!B113, Captura_Marimba_M01!$D:$D, Captura_Obra!D113))&gt;0), "", Captura_Obra!A113)</f>
        <v/>
      </c>
      <c r="F409" s="10575">
        <f>IF(OR(Captura_Obra!A113="", (SUMIFS(Captura_Pegaso!$H:$H, Captura_Pegaso!$A:$A, Captura_Obra!A113, Captura_Pegaso!$D:$D, Captura_Obra!B113, Captura_Pegaso!$E:$E, Captura_Obra!D113) + SUMIFS(Captura_Marimba_M01!$G:$G, Captura_Marimba_M01!$A:$A, Captura_Obra!A113, Captura_Marimba_M01!$C:$C, Captura_Obra!B113, Captura_Marimba_M01!$D:$D, Captura_Obra!D113))&gt;0), "", Captura_Obra!B113)</f>
        <v/>
      </c>
      <c r="G409" s="10576">
        <f>IF(OR(Captura_Obra!A113="", (SUMIFS(Captura_Pegaso!$H:$H, Captura_Pegaso!$A:$A, Captura_Obra!A113, Captura_Pegaso!$D:$D, Captura_Obra!B113, Captura_Pegaso!$E:$E, Captura_Obra!D113) + SUMIFS(Captura_Marimba_M01!$G:$G, Captura_Marimba_M01!$A:$A, Captura_Obra!A113, Captura_Marimba_M01!$C:$C, Captura_Obra!B113, Captura_Marimba_M01!$D:$D, Captura_Obra!D113))&gt;0), "", Captura_Obra!D113)</f>
        <v/>
      </c>
      <c r="H409" s="10577">
        <f>IF(OR(Captura_Obra!A113="", (SUMIFS(Captura_Pegaso!$H:$H, Captura_Pegaso!$A:$A, Captura_Obra!A113, Captura_Pegaso!$D:$D, Captura_Obra!B113, Captura_Pegaso!$E:$E, Captura_Obra!D113) + SUMIFS(Captura_Marimba_M01!$G:$G, Captura_Marimba_M01!$A:$A, Captura_Obra!A113, Captura_Marimba_M01!$C:$C, Captura_Obra!B113, Captura_Marimba_M01!$D:$D, Captura_Obra!D113))&gt;0), "", 0)</f>
        <v/>
      </c>
      <c r="I409" s="10578">
        <f>IF(OR(Captura_Obra!A113="", (SUMIFS(Captura_Pegaso!$H:$H, Captura_Pegaso!$A:$A, Captura_Obra!A113, Captura_Pegaso!$D:$D, Captura_Obra!B113, Captura_Pegaso!$E:$E, Captura_Obra!D113) + SUMIFS(Captura_Marimba_M01!$G:$G, Captura_Marimba_M01!$A:$A, Captura_Obra!A113, Captura_Marimba_M01!$C:$C, Captura_Obra!B113, Captura_Marimba_M01!$D:$D, Captura_Obra!D113))&gt;0), "", Captura_Obra!F113)</f>
        <v/>
      </c>
      <c r="J409" s="10579">
        <f>IF(OR(Captura_Obra!A113="", (SUMIFS(Captura_Pegaso!$H:$H, Captura_Pegaso!$A:$A, Captura_Obra!A113, Captura_Pegaso!$D:$D, Captura_Obra!B113, Captura_Pegaso!$E:$E, Captura_Obra!D113) + SUMIFS(Captura_Marimba_M01!$G:$G, Captura_Marimba_M01!$A:$A, Captura_Obra!A113, Captura_Marimba_M01!$C:$C, Captura_Obra!B113, Captura_Marimba_M01!$D:$D, Captura_Obra!D113))&gt;0), "", H409 - I409)</f>
        <v/>
      </c>
      <c r="K409" s="4218" t="n"/>
    </row>
    <row r="410">
      <c r="A410" s="10580">
        <f>IF(OR(Captura_Obra!A114="", (SUMIFS(Captura_Pegaso!$H:$H, Captura_Pegaso!$A:$A, Captura_Obra!A114, Captura_Pegaso!$D:$D, Captura_Obra!B114, Captura_Pegaso!$E:$E, Captura_Obra!D114) + SUMIFS(Captura_Marimba_M01!$G:$G, Captura_Marimba_M01!$A:$A, Captura_Obra!A114, Captura_Marimba_M01!$C:$C, Captura_Obra!B114, Captura_Marimba_M01!$D:$D, Captura_Obra!D114))&gt;0), "", "Huérfano Obra")</f>
        <v/>
      </c>
      <c r="B410" s="10581">
        <f>IF(OR(Captura_Obra!A114="", (SUMIFS(Captura_Pegaso!$H:$H, Captura_Pegaso!$A:$A, Captura_Obra!A114, Captura_Pegaso!$D:$D, Captura_Obra!B114, Captura_Pegaso!$E:$E, Captura_Obra!D114) + SUMIFS(Captura_Marimba_M01!$G:$G, Captura_Marimba_M01!$A:$A, Captura_Obra!A114, Captura_Marimba_M01!$C:$C, Captura_Obra!B114, Captura_Marimba_M01!$D:$D, Captura_Obra!D114))&gt;0), "", "No Reportado")</f>
        <v/>
      </c>
      <c r="C410" s="10582">
        <f>IF(OR(Captura_Obra!A114="", (SUMIFS(Captura_Pegaso!$H:$H, Captura_Pegaso!$A:$A, Captura_Obra!A114, Captura_Pegaso!$D:$D, Captura_Obra!B114, Captura_Pegaso!$E:$E, Captura_Obra!D114) + SUMIFS(Captura_Marimba_M01!$G:$G, Captura_Marimba_M01!$A:$A, Captura_Obra!A114, Captura_Marimba_M01!$C:$C, Captura_Obra!B114, Captura_Marimba_M01!$D:$D, Captura_Obra!D114))&gt;0), "", Captura_Obra!N114)</f>
        <v/>
      </c>
      <c r="D410" s="10583">
        <f>IF(OR(Captura_Obra!A114="", (SUMIFS(Captura_Pegaso!$H:$H, Captura_Pegaso!$A:$A, Captura_Obra!A114, Captura_Pegaso!$D:$D, Captura_Obra!B114, Captura_Pegaso!$E:$E, Captura_Obra!D114) + SUMIFS(Captura_Marimba_M01!$G:$G, Captura_Marimba_M01!$A:$A, Captura_Obra!A114, Captura_Marimba_M01!$C:$C, Captura_Obra!B114, Captura_Marimba_M01!$D:$D, Captura_Obra!D114))&gt;0), "", "❌ Falta en Pipa")</f>
        <v/>
      </c>
      <c r="E410" s="10584">
        <f>IF(OR(Captura_Obra!A114="", (SUMIFS(Captura_Pegaso!$H:$H, Captura_Pegaso!$A:$A, Captura_Obra!A114, Captura_Pegaso!$D:$D, Captura_Obra!B114, Captura_Pegaso!$E:$E, Captura_Obra!D114) + SUMIFS(Captura_Marimba_M01!$G:$G, Captura_Marimba_M01!$A:$A, Captura_Obra!A114, Captura_Marimba_M01!$C:$C, Captura_Obra!B114, Captura_Marimba_M01!$D:$D, Captura_Obra!D114))&gt;0), "", Captura_Obra!A114)</f>
        <v/>
      </c>
      <c r="F410" s="10585">
        <f>IF(OR(Captura_Obra!A114="", (SUMIFS(Captura_Pegaso!$H:$H, Captura_Pegaso!$A:$A, Captura_Obra!A114, Captura_Pegaso!$D:$D, Captura_Obra!B114, Captura_Pegaso!$E:$E, Captura_Obra!D114) + SUMIFS(Captura_Marimba_M01!$G:$G, Captura_Marimba_M01!$A:$A, Captura_Obra!A114, Captura_Marimba_M01!$C:$C, Captura_Obra!B114, Captura_Marimba_M01!$D:$D, Captura_Obra!D114))&gt;0), "", Captura_Obra!B114)</f>
        <v/>
      </c>
      <c r="G410" s="10586">
        <f>IF(OR(Captura_Obra!A114="", (SUMIFS(Captura_Pegaso!$H:$H, Captura_Pegaso!$A:$A, Captura_Obra!A114, Captura_Pegaso!$D:$D, Captura_Obra!B114, Captura_Pegaso!$E:$E, Captura_Obra!D114) + SUMIFS(Captura_Marimba_M01!$G:$G, Captura_Marimba_M01!$A:$A, Captura_Obra!A114, Captura_Marimba_M01!$C:$C, Captura_Obra!B114, Captura_Marimba_M01!$D:$D, Captura_Obra!D114))&gt;0), "", Captura_Obra!D114)</f>
        <v/>
      </c>
      <c r="H410" s="10587">
        <f>IF(OR(Captura_Obra!A114="", (SUMIFS(Captura_Pegaso!$H:$H, Captura_Pegaso!$A:$A, Captura_Obra!A114, Captura_Pegaso!$D:$D, Captura_Obra!B114, Captura_Pegaso!$E:$E, Captura_Obra!D114) + SUMIFS(Captura_Marimba_M01!$G:$G, Captura_Marimba_M01!$A:$A, Captura_Obra!A114, Captura_Marimba_M01!$C:$C, Captura_Obra!B114, Captura_Marimba_M01!$D:$D, Captura_Obra!D114))&gt;0), "", 0)</f>
        <v/>
      </c>
      <c r="I410" s="10588">
        <f>IF(OR(Captura_Obra!A114="", (SUMIFS(Captura_Pegaso!$H:$H, Captura_Pegaso!$A:$A, Captura_Obra!A114, Captura_Pegaso!$D:$D, Captura_Obra!B114, Captura_Pegaso!$E:$E, Captura_Obra!D114) + SUMIFS(Captura_Marimba_M01!$G:$G, Captura_Marimba_M01!$A:$A, Captura_Obra!A114, Captura_Marimba_M01!$C:$C, Captura_Obra!B114, Captura_Marimba_M01!$D:$D, Captura_Obra!D114))&gt;0), "", Captura_Obra!F114)</f>
        <v/>
      </c>
      <c r="J410" s="10589">
        <f>IF(OR(Captura_Obra!A114="", (SUMIFS(Captura_Pegaso!$H:$H, Captura_Pegaso!$A:$A, Captura_Obra!A114, Captura_Pegaso!$D:$D, Captura_Obra!B114, Captura_Pegaso!$E:$E, Captura_Obra!D114) + SUMIFS(Captura_Marimba_M01!$G:$G, Captura_Marimba_M01!$A:$A, Captura_Obra!A114, Captura_Marimba_M01!$C:$C, Captura_Obra!B114, Captura_Marimba_M01!$D:$D, Captura_Obra!D114))&gt;0), "", H410 - I410)</f>
        <v/>
      </c>
      <c r="K410" s="4219" t="n"/>
    </row>
    <row r="411">
      <c r="A411" s="10590">
        <f>IF(OR(Captura_Obra!A115="", (SUMIFS(Captura_Pegaso!$H:$H, Captura_Pegaso!$A:$A, Captura_Obra!A115, Captura_Pegaso!$D:$D, Captura_Obra!B115, Captura_Pegaso!$E:$E, Captura_Obra!D115) + SUMIFS(Captura_Marimba_M01!$G:$G, Captura_Marimba_M01!$A:$A, Captura_Obra!A115, Captura_Marimba_M01!$C:$C, Captura_Obra!B115, Captura_Marimba_M01!$D:$D, Captura_Obra!D115))&gt;0), "", "Huérfano Obra")</f>
        <v/>
      </c>
      <c r="B411" s="10591">
        <f>IF(OR(Captura_Obra!A115="", (SUMIFS(Captura_Pegaso!$H:$H, Captura_Pegaso!$A:$A, Captura_Obra!A115, Captura_Pegaso!$D:$D, Captura_Obra!B115, Captura_Pegaso!$E:$E, Captura_Obra!D115) + SUMIFS(Captura_Marimba_M01!$G:$G, Captura_Marimba_M01!$A:$A, Captura_Obra!A115, Captura_Marimba_M01!$C:$C, Captura_Obra!B115, Captura_Marimba_M01!$D:$D, Captura_Obra!D115))&gt;0), "", "No Reportado")</f>
        <v/>
      </c>
      <c r="C411" s="10592">
        <f>IF(OR(Captura_Obra!A115="", (SUMIFS(Captura_Pegaso!$H:$H, Captura_Pegaso!$A:$A, Captura_Obra!A115, Captura_Pegaso!$D:$D, Captura_Obra!B115, Captura_Pegaso!$E:$E, Captura_Obra!D115) + SUMIFS(Captura_Marimba_M01!$G:$G, Captura_Marimba_M01!$A:$A, Captura_Obra!A115, Captura_Marimba_M01!$C:$C, Captura_Obra!B115, Captura_Marimba_M01!$D:$D, Captura_Obra!D115))&gt;0), "", Captura_Obra!N115)</f>
        <v/>
      </c>
      <c r="D411" s="10593">
        <f>IF(OR(Captura_Obra!A115="", (SUMIFS(Captura_Pegaso!$H:$H, Captura_Pegaso!$A:$A, Captura_Obra!A115, Captura_Pegaso!$D:$D, Captura_Obra!B115, Captura_Pegaso!$E:$E, Captura_Obra!D115) + SUMIFS(Captura_Marimba_M01!$G:$G, Captura_Marimba_M01!$A:$A, Captura_Obra!A115, Captura_Marimba_M01!$C:$C, Captura_Obra!B115, Captura_Marimba_M01!$D:$D, Captura_Obra!D115))&gt;0), "", "❌ Falta en Pipa")</f>
        <v/>
      </c>
      <c r="E411" s="10594">
        <f>IF(OR(Captura_Obra!A115="", (SUMIFS(Captura_Pegaso!$H:$H, Captura_Pegaso!$A:$A, Captura_Obra!A115, Captura_Pegaso!$D:$D, Captura_Obra!B115, Captura_Pegaso!$E:$E, Captura_Obra!D115) + SUMIFS(Captura_Marimba_M01!$G:$G, Captura_Marimba_M01!$A:$A, Captura_Obra!A115, Captura_Marimba_M01!$C:$C, Captura_Obra!B115, Captura_Marimba_M01!$D:$D, Captura_Obra!D115))&gt;0), "", Captura_Obra!A115)</f>
        <v/>
      </c>
      <c r="F411" s="10595">
        <f>IF(OR(Captura_Obra!A115="", (SUMIFS(Captura_Pegaso!$H:$H, Captura_Pegaso!$A:$A, Captura_Obra!A115, Captura_Pegaso!$D:$D, Captura_Obra!B115, Captura_Pegaso!$E:$E, Captura_Obra!D115) + SUMIFS(Captura_Marimba_M01!$G:$G, Captura_Marimba_M01!$A:$A, Captura_Obra!A115, Captura_Marimba_M01!$C:$C, Captura_Obra!B115, Captura_Marimba_M01!$D:$D, Captura_Obra!D115))&gt;0), "", Captura_Obra!B115)</f>
        <v/>
      </c>
      <c r="G411" s="10596">
        <f>IF(OR(Captura_Obra!A115="", (SUMIFS(Captura_Pegaso!$H:$H, Captura_Pegaso!$A:$A, Captura_Obra!A115, Captura_Pegaso!$D:$D, Captura_Obra!B115, Captura_Pegaso!$E:$E, Captura_Obra!D115) + SUMIFS(Captura_Marimba_M01!$G:$G, Captura_Marimba_M01!$A:$A, Captura_Obra!A115, Captura_Marimba_M01!$C:$C, Captura_Obra!B115, Captura_Marimba_M01!$D:$D, Captura_Obra!D115))&gt;0), "", Captura_Obra!D115)</f>
        <v/>
      </c>
      <c r="H411" s="10597">
        <f>IF(OR(Captura_Obra!A115="", (SUMIFS(Captura_Pegaso!$H:$H, Captura_Pegaso!$A:$A, Captura_Obra!A115, Captura_Pegaso!$D:$D, Captura_Obra!B115, Captura_Pegaso!$E:$E, Captura_Obra!D115) + SUMIFS(Captura_Marimba_M01!$G:$G, Captura_Marimba_M01!$A:$A, Captura_Obra!A115, Captura_Marimba_M01!$C:$C, Captura_Obra!B115, Captura_Marimba_M01!$D:$D, Captura_Obra!D115))&gt;0), "", 0)</f>
        <v/>
      </c>
      <c r="I411" s="10598">
        <f>IF(OR(Captura_Obra!A115="", (SUMIFS(Captura_Pegaso!$H:$H, Captura_Pegaso!$A:$A, Captura_Obra!A115, Captura_Pegaso!$D:$D, Captura_Obra!B115, Captura_Pegaso!$E:$E, Captura_Obra!D115) + SUMIFS(Captura_Marimba_M01!$G:$G, Captura_Marimba_M01!$A:$A, Captura_Obra!A115, Captura_Marimba_M01!$C:$C, Captura_Obra!B115, Captura_Marimba_M01!$D:$D, Captura_Obra!D115))&gt;0), "", Captura_Obra!F115)</f>
        <v/>
      </c>
      <c r="J411" s="10599">
        <f>IF(OR(Captura_Obra!A115="", (SUMIFS(Captura_Pegaso!$H:$H, Captura_Pegaso!$A:$A, Captura_Obra!A115, Captura_Pegaso!$D:$D, Captura_Obra!B115, Captura_Pegaso!$E:$E, Captura_Obra!D115) + SUMIFS(Captura_Marimba_M01!$G:$G, Captura_Marimba_M01!$A:$A, Captura_Obra!A115, Captura_Marimba_M01!$C:$C, Captura_Obra!B115, Captura_Marimba_M01!$D:$D, Captura_Obra!D115))&gt;0), "", H411 - I411)</f>
        <v/>
      </c>
      <c r="K411" s="4220" t="n"/>
    </row>
    <row r="412">
      <c r="A412" s="10600">
        <f>IF(OR(Captura_Obra!A116="", (SUMIFS(Captura_Pegaso!$H:$H, Captura_Pegaso!$A:$A, Captura_Obra!A116, Captura_Pegaso!$D:$D, Captura_Obra!B116, Captura_Pegaso!$E:$E, Captura_Obra!D116) + SUMIFS(Captura_Marimba_M01!$G:$G, Captura_Marimba_M01!$A:$A, Captura_Obra!A116, Captura_Marimba_M01!$C:$C, Captura_Obra!B116, Captura_Marimba_M01!$D:$D, Captura_Obra!D116))&gt;0), "", "Huérfano Obra")</f>
        <v/>
      </c>
      <c r="B412" s="10601">
        <f>IF(OR(Captura_Obra!A116="", (SUMIFS(Captura_Pegaso!$H:$H, Captura_Pegaso!$A:$A, Captura_Obra!A116, Captura_Pegaso!$D:$D, Captura_Obra!B116, Captura_Pegaso!$E:$E, Captura_Obra!D116) + SUMIFS(Captura_Marimba_M01!$G:$G, Captura_Marimba_M01!$A:$A, Captura_Obra!A116, Captura_Marimba_M01!$C:$C, Captura_Obra!B116, Captura_Marimba_M01!$D:$D, Captura_Obra!D116))&gt;0), "", "No Reportado")</f>
        <v/>
      </c>
      <c r="C412" s="10602">
        <f>IF(OR(Captura_Obra!A116="", (SUMIFS(Captura_Pegaso!$H:$H, Captura_Pegaso!$A:$A, Captura_Obra!A116, Captura_Pegaso!$D:$D, Captura_Obra!B116, Captura_Pegaso!$E:$E, Captura_Obra!D116) + SUMIFS(Captura_Marimba_M01!$G:$G, Captura_Marimba_M01!$A:$A, Captura_Obra!A116, Captura_Marimba_M01!$C:$C, Captura_Obra!B116, Captura_Marimba_M01!$D:$D, Captura_Obra!D116))&gt;0), "", Captura_Obra!N116)</f>
        <v/>
      </c>
      <c r="D412" s="10603">
        <f>IF(OR(Captura_Obra!A116="", (SUMIFS(Captura_Pegaso!$H:$H, Captura_Pegaso!$A:$A, Captura_Obra!A116, Captura_Pegaso!$D:$D, Captura_Obra!B116, Captura_Pegaso!$E:$E, Captura_Obra!D116) + SUMIFS(Captura_Marimba_M01!$G:$G, Captura_Marimba_M01!$A:$A, Captura_Obra!A116, Captura_Marimba_M01!$C:$C, Captura_Obra!B116, Captura_Marimba_M01!$D:$D, Captura_Obra!D116))&gt;0), "", "❌ Falta en Pipa")</f>
        <v/>
      </c>
      <c r="E412" s="10604">
        <f>IF(OR(Captura_Obra!A116="", (SUMIFS(Captura_Pegaso!$H:$H, Captura_Pegaso!$A:$A, Captura_Obra!A116, Captura_Pegaso!$D:$D, Captura_Obra!B116, Captura_Pegaso!$E:$E, Captura_Obra!D116) + SUMIFS(Captura_Marimba_M01!$G:$G, Captura_Marimba_M01!$A:$A, Captura_Obra!A116, Captura_Marimba_M01!$C:$C, Captura_Obra!B116, Captura_Marimba_M01!$D:$D, Captura_Obra!D116))&gt;0), "", Captura_Obra!A116)</f>
        <v/>
      </c>
      <c r="F412" s="10605">
        <f>IF(OR(Captura_Obra!A116="", (SUMIFS(Captura_Pegaso!$H:$H, Captura_Pegaso!$A:$A, Captura_Obra!A116, Captura_Pegaso!$D:$D, Captura_Obra!B116, Captura_Pegaso!$E:$E, Captura_Obra!D116) + SUMIFS(Captura_Marimba_M01!$G:$G, Captura_Marimba_M01!$A:$A, Captura_Obra!A116, Captura_Marimba_M01!$C:$C, Captura_Obra!B116, Captura_Marimba_M01!$D:$D, Captura_Obra!D116))&gt;0), "", Captura_Obra!B116)</f>
        <v/>
      </c>
      <c r="G412" s="10606">
        <f>IF(OR(Captura_Obra!A116="", (SUMIFS(Captura_Pegaso!$H:$H, Captura_Pegaso!$A:$A, Captura_Obra!A116, Captura_Pegaso!$D:$D, Captura_Obra!B116, Captura_Pegaso!$E:$E, Captura_Obra!D116) + SUMIFS(Captura_Marimba_M01!$G:$G, Captura_Marimba_M01!$A:$A, Captura_Obra!A116, Captura_Marimba_M01!$C:$C, Captura_Obra!B116, Captura_Marimba_M01!$D:$D, Captura_Obra!D116))&gt;0), "", Captura_Obra!D116)</f>
        <v/>
      </c>
      <c r="H412" s="10607">
        <f>IF(OR(Captura_Obra!A116="", (SUMIFS(Captura_Pegaso!$H:$H, Captura_Pegaso!$A:$A, Captura_Obra!A116, Captura_Pegaso!$D:$D, Captura_Obra!B116, Captura_Pegaso!$E:$E, Captura_Obra!D116) + SUMIFS(Captura_Marimba_M01!$G:$G, Captura_Marimba_M01!$A:$A, Captura_Obra!A116, Captura_Marimba_M01!$C:$C, Captura_Obra!B116, Captura_Marimba_M01!$D:$D, Captura_Obra!D116))&gt;0), "", 0)</f>
        <v/>
      </c>
      <c r="I412" s="10608">
        <f>IF(OR(Captura_Obra!A116="", (SUMIFS(Captura_Pegaso!$H:$H, Captura_Pegaso!$A:$A, Captura_Obra!A116, Captura_Pegaso!$D:$D, Captura_Obra!B116, Captura_Pegaso!$E:$E, Captura_Obra!D116) + SUMIFS(Captura_Marimba_M01!$G:$G, Captura_Marimba_M01!$A:$A, Captura_Obra!A116, Captura_Marimba_M01!$C:$C, Captura_Obra!B116, Captura_Marimba_M01!$D:$D, Captura_Obra!D116))&gt;0), "", Captura_Obra!F116)</f>
        <v/>
      </c>
      <c r="J412" s="10609">
        <f>IF(OR(Captura_Obra!A116="", (SUMIFS(Captura_Pegaso!$H:$H, Captura_Pegaso!$A:$A, Captura_Obra!A116, Captura_Pegaso!$D:$D, Captura_Obra!B116, Captura_Pegaso!$E:$E, Captura_Obra!D116) + SUMIFS(Captura_Marimba_M01!$G:$G, Captura_Marimba_M01!$A:$A, Captura_Obra!A116, Captura_Marimba_M01!$C:$C, Captura_Obra!B116, Captura_Marimba_M01!$D:$D, Captura_Obra!D116))&gt;0), "", H412 - I412)</f>
        <v/>
      </c>
      <c r="K412" s="4221" t="n"/>
    </row>
    <row r="413">
      <c r="A413" s="10610">
        <f>IF(OR(Captura_Obra!A117="", (SUMIFS(Captura_Pegaso!$H:$H, Captura_Pegaso!$A:$A, Captura_Obra!A117, Captura_Pegaso!$D:$D, Captura_Obra!B117, Captura_Pegaso!$E:$E, Captura_Obra!D117) + SUMIFS(Captura_Marimba_M01!$G:$G, Captura_Marimba_M01!$A:$A, Captura_Obra!A117, Captura_Marimba_M01!$C:$C, Captura_Obra!B117, Captura_Marimba_M01!$D:$D, Captura_Obra!D117))&gt;0), "", "Huérfano Obra")</f>
        <v/>
      </c>
      <c r="B413" s="10611">
        <f>IF(OR(Captura_Obra!A117="", (SUMIFS(Captura_Pegaso!$H:$H, Captura_Pegaso!$A:$A, Captura_Obra!A117, Captura_Pegaso!$D:$D, Captura_Obra!B117, Captura_Pegaso!$E:$E, Captura_Obra!D117) + SUMIFS(Captura_Marimba_M01!$G:$G, Captura_Marimba_M01!$A:$A, Captura_Obra!A117, Captura_Marimba_M01!$C:$C, Captura_Obra!B117, Captura_Marimba_M01!$D:$D, Captura_Obra!D117))&gt;0), "", "No Reportado")</f>
        <v/>
      </c>
      <c r="C413" s="10612">
        <f>IF(OR(Captura_Obra!A117="", (SUMIFS(Captura_Pegaso!$H:$H, Captura_Pegaso!$A:$A, Captura_Obra!A117, Captura_Pegaso!$D:$D, Captura_Obra!B117, Captura_Pegaso!$E:$E, Captura_Obra!D117) + SUMIFS(Captura_Marimba_M01!$G:$G, Captura_Marimba_M01!$A:$A, Captura_Obra!A117, Captura_Marimba_M01!$C:$C, Captura_Obra!B117, Captura_Marimba_M01!$D:$D, Captura_Obra!D117))&gt;0), "", Captura_Obra!N117)</f>
        <v/>
      </c>
      <c r="D413" s="10613">
        <f>IF(OR(Captura_Obra!A117="", (SUMIFS(Captura_Pegaso!$H:$H, Captura_Pegaso!$A:$A, Captura_Obra!A117, Captura_Pegaso!$D:$D, Captura_Obra!B117, Captura_Pegaso!$E:$E, Captura_Obra!D117) + SUMIFS(Captura_Marimba_M01!$G:$G, Captura_Marimba_M01!$A:$A, Captura_Obra!A117, Captura_Marimba_M01!$C:$C, Captura_Obra!B117, Captura_Marimba_M01!$D:$D, Captura_Obra!D117))&gt;0), "", "❌ Falta en Pipa")</f>
        <v/>
      </c>
      <c r="E413" s="10614">
        <f>IF(OR(Captura_Obra!A117="", (SUMIFS(Captura_Pegaso!$H:$H, Captura_Pegaso!$A:$A, Captura_Obra!A117, Captura_Pegaso!$D:$D, Captura_Obra!B117, Captura_Pegaso!$E:$E, Captura_Obra!D117) + SUMIFS(Captura_Marimba_M01!$G:$G, Captura_Marimba_M01!$A:$A, Captura_Obra!A117, Captura_Marimba_M01!$C:$C, Captura_Obra!B117, Captura_Marimba_M01!$D:$D, Captura_Obra!D117))&gt;0), "", Captura_Obra!A117)</f>
        <v/>
      </c>
      <c r="F413" s="10615">
        <f>IF(OR(Captura_Obra!A117="", (SUMIFS(Captura_Pegaso!$H:$H, Captura_Pegaso!$A:$A, Captura_Obra!A117, Captura_Pegaso!$D:$D, Captura_Obra!B117, Captura_Pegaso!$E:$E, Captura_Obra!D117) + SUMIFS(Captura_Marimba_M01!$G:$G, Captura_Marimba_M01!$A:$A, Captura_Obra!A117, Captura_Marimba_M01!$C:$C, Captura_Obra!B117, Captura_Marimba_M01!$D:$D, Captura_Obra!D117))&gt;0), "", Captura_Obra!B117)</f>
        <v/>
      </c>
      <c r="G413" s="10616">
        <f>IF(OR(Captura_Obra!A117="", (SUMIFS(Captura_Pegaso!$H:$H, Captura_Pegaso!$A:$A, Captura_Obra!A117, Captura_Pegaso!$D:$D, Captura_Obra!B117, Captura_Pegaso!$E:$E, Captura_Obra!D117) + SUMIFS(Captura_Marimba_M01!$G:$G, Captura_Marimba_M01!$A:$A, Captura_Obra!A117, Captura_Marimba_M01!$C:$C, Captura_Obra!B117, Captura_Marimba_M01!$D:$D, Captura_Obra!D117))&gt;0), "", Captura_Obra!D117)</f>
        <v/>
      </c>
      <c r="H413" s="10617">
        <f>IF(OR(Captura_Obra!A117="", (SUMIFS(Captura_Pegaso!$H:$H, Captura_Pegaso!$A:$A, Captura_Obra!A117, Captura_Pegaso!$D:$D, Captura_Obra!B117, Captura_Pegaso!$E:$E, Captura_Obra!D117) + SUMIFS(Captura_Marimba_M01!$G:$G, Captura_Marimba_M01!$A:$A, Captura_Obra!A117, Captura_Marimba_M01!$C:$C, Captura_Obra!B117, Captura_Marimba_M01!$D:$D, Captura_Obra!D117))&gt;0), "", 0)</f>
        <v/>
      </c>
      <c r="I413" s="10618">
        <f>IF(OR(Captura_Obra!A117="", (SUMIFS(Captura_Pegaso!$H:$H, Captura_Pegaso!$A:$A, Captura_Obra!A117, Captura_Pegaso!$D:$D, Captura_Obra!B117, Captura_Pegaso!$E:$E, Captura_Obra!D117) + SUMIFS(Captura_Marimba_M01!$G:$G, Captura_Marimba_M01!$A:$A, Captura_Obra!A117, Captura_Marimba_M01!$C:$C, Captura_Obra!B117, Captura_Marimba_M01!$D:$D, Captura_Obra!D117))&gt;0), "", Captura_Obra!F117)</f>
        <v/>
      </c>
      <c r="J413" s="10619">
        <f>IF(OR(Captura_Obra!A117="", (SUMIFS(Captura_Pegaso!$H:$H, Captura_Pegaso!$A:$A, Captura_Obra!A117, Captura_Pegaso!$D:$D, Captura_Obra!B117, Captura_Pegaso!$E:$E, Captura_Obra!D117) + SUMIFS(Captura_Marimba_M01!$G:$G, Captura_Marimba_M01!$A:$A, Captura_Obra!A117, Captura_Marimba_M01!$C:$C, Captura_Obra!B117, Captura_Marimba_M01!$D:$D, Captura_Obra!D117))&gt;0), "", H413 - I413)</f>
        <v/>
      </c>
      <c r="K413" s="4222" t="n"/>
    </row>
    <row r="414">
      <c r="A414" s="10620">
        <f>IF(OR(Captura_Obra!A118="", (SUMIFS(Captura_Pegaso!$H:$H, Captura_Pegaso!$A:$A, Captura_Obra!A118, Captura_Pegaso!$D:$D, Captura_Obra!B118, Captura_Pegaso!$E:$E, Captura_Obra!D118) + SUMIFS(Captura_Marimba_M01!$G:$G, Captura_Marimba_M01!$A:$A, Captura_Obra!A118, Captura_Marimba_M01!$C:$C, Captura_Obra!B118, Captura_Marimba_M01!$D:$D, Captura_Obra!D118))&gt;0), "", "Huérfano Obra")</f>
        <v/>
      </c>
      <c r="B414" s="10621">
        <f>IF(OR(Captura_Obra!A118="", (SUMIFS(Captura_Pegaso!$H:$H, Captura_Pegaso!$A:$A, Captura_Obra!A118, Captura_Pegaso!$D:$D, Captura_Obra!B118, Captura_Pegaso!$E:$E, Captura_Obra!D118) + SUMIFS(Captura_Marimba_M01!$G:$G, Captura_Marimba_M01!$A:$A, Captura_Obra!A118, Captura_Marimba_M01!$C:$C, Captura_Obra!B118, Captura_Marimba_M01!$D:$D, Captura_Obra!D118))&gt;0), "", "No Reportado")</f>
        <v/>
      </c>
      <c r="C414" s="10622">
        <f>IF(OR(Captura_Obra!A118="", (SUMIFS(Captura_Pegaso!$H:$H, Captura_Pegaso!$A:$A, Captura_Obra!A118, Captura_Pegaso!$D:$D, Captura_Obra!B118, Captura_Pegaso!$E:$E, Captura_Obra!D118) + SUMIFS(Captura_Marimba_M01!$G:$G, Captura_Marimba_M01!$A:$A, Captura_Obra!A118, Captura_Marimba_M01!$C:$C, Captura_Obra!B118, Captura_Marimba_M01!$D:$D, Captura_Obra!D118))&gt;0), "", Captura_Obra!N118)</f>
        <v/>
      </c>
      <c r="D414" s="10623">
        <f>IF(OR(Captura_Obra!A118="", (SUMIFS(Captura_Pegaso!$H:$H, Captura_Pegaso!$A:$A, Captura_Obra!A118, Captura_Pegaso!$D:$D, Captura_Obra!B118, Captura_Pegaso!$E:$E, Captura_Obra!D118) + SUMIFS(Captura_Marimba_M01!$G:$G, Captura_Marimba_M01!$A:$A, Captura_Obra!A118, Captura_Marimba_M01!$C:$C, Captura_Obra!B118, Captura_Marimba_M01!$D:$D, Captura_Obra!D118))&gt;0), "", "❌ Falta en Pipa")</f>
        <v/>
      </c>
      <c r="E414" s="10624">
        <f>IF(OR(Captura_Obra!A118="", (SUMIFS(Captura_Pegaso!$H:$H, Captura_Pegaso!$A:$A, Captura_Obra!A118, Captura_Pegaso!$D:$D, Captura_Obra!B118, Captura_Pegaso!$E:$E, Captura_Obra!D118) + SUMIFS(Captura_Marimba_M01!$G:$G, Captura_Marimba_M01!$A:$A, Captura_Obra!A118, Captura_Marimba_M01!$C:$C, Captura_Obra!B118, Captura_Marimba_M01!$D:$D, Captura_Obra!D118))&gt;0), "", Captura_Obra!A118)</f>
        <v/>
      </c>
      <c r="F414" s="10625">
        <f>IF(OR(Captura_Obra!A118="", (SUMIFS(Captura_Pegaso!$H:$H, Captura_Pegaso!$A:$A, Captura_Obra!A118, Captura_Pegaso!$D:$D, Captura_Obra!B118, Captura_Pegaso!$E:$E, Captura_Obra!D118) + SUMIFS(Captura_Marimba_M01!$G:$G, Captura_Marimba_M01!$A:$A, Captura_Obra!A118, Captura_Marimba_M01!$C:$C, Captura_Obra!B118, Captura_Marimba_M01!$D:$D, Captura_Obra!D118))&gt;0), "", Captura_Obra!B118)</f>
        <v/>
      </c>
      <c r="G414" s="10626">
        <f>IF(OR(Captura_Obra!A118="", (SUMIFS(Captura_Pegaso!$H:$H, Captura_Pegaso!$A:$A, Captura_Obra!A118, Captura_Pegaso!$D:$D, Captura_Obra!B118, Captura_Pegaso!$E:$E, Captura_Obra!D118) + SUMIFS(Captura_Marimba_M01!$G:$G, Captura_Marimba_M01!$A:$A, Captura_Obra!A118, Captura_Marimba_M01!$C:$C, Captura_Obra!B118, Captura_Marimba_M01!$D:$D, Captura_Obra!D118))&gt;0), "", Captura_Obra!D118)</f>
        <v/>
      </c>
      <c r="H414" s="10627">
        <f>IF(OR(Captura_Obra!A118="", (SUMIFS(Captura_Pegaso!$H:$H, Captura_Pegaso!$A:$A, Captura_Obra!A118, Captura_Pegaso!$D:$D, Captura_Obra!B118, Captura_Pegaso!$E:$E, Captura_Obra!D118) + SUMIFS(Captura_Marimba_M01!$G:$G, Captura_Marimba_M01!$A:$A, Captura_Obra!A118, Captura_Marimba_M01!$C:$C, Captura_Obra!B118, Captura_Marimba_M01!$D:$D, Captura_Obra!D118))&gt;0), "", 0)</f>
        <v/>
      </c>
      <c r="I414" s="10628">
        <f>IF(OR(Captura_Obra!A118="", (SUMIFS(Captura_Pegaso!$H:$H, Captura_Pegaso!$A:$A, Captura_Obra!A118, Captura_Pegaso!$D:$D, Captura_Obra!B118, Captura_Pegaso!$E:$E, Captura_Obra!D118) + SUMIFS(Captura_Marimba_M01!$G:$G, Captura_Marimba_M01!$A:$A, Captura_Obra!A118, Captura_Marimba_M01!$C:$C, Captura_Obra!B118, Captura_Marimba_M01!$D:$D, Captura_Obra!D118))&gt;0), "", Captura_Obra!F118)</f>
        <v/>
      </c>
      <c r="J414" s="10629">
        <f>IF(OR(Captura_Obra!A118="", (SUMIFS(Captura_Pegaso!$H:$H, Captura_Pegaso!$A:$A, Captura_Obra!A118, Captura_Pegaso!$D:$D, Captura_Obra!B118, Captura_Pegaso!$E:$E, Captura_Obra!D118) + SUMIFS(Captura_Marimba_M01!$G:$G, Captura_Marimba_M01!$A:$A, Captura_Obra!A118, Captura_Marimba_M01!$C:$C, Captura_Obra!B118, Captura_Marimba_M01!$D:$D, Captura_Obra!D118))&gt;0), "", H414 - I414)</f>
        <v/>
      </c>
      <c r="K414" s="4223" t="n"/>
    </row>
    <row r="415">
      <c r="A415" s="10630">
        <f>IF(OR(Captura_Obra!A119="", (SUMIFS(Captura_Pegaso!$H:$H, Captura_Pegaso!$A:$A, Captura_Obra!A119, Captura_Pegaso!$D:$D, Captura_Obra!B119, Captura_Pegaso!$E:$E, Captura_Obra!D119) + SUMIFS(Captura_Marimba_M01!$G:$G, Captura_Marimba_M01!$A:$A, Captura_Obra!A119, Captura_Marimba_M01!$C:$C, Captura_Obra!B119, Captura_Marimba_M01!$D:$D, Captura_Obra!D119))&gt;0), "", "Huérfano Obra")</f>
        <v/>
      </c>
      <c r="B415" s="10631">
        <f>IF(OR(Captura_Obra!A119="", (SUMIFS(Captura_Pegaso!$H:$H, Captura_Pegaso!$A:$A, Captura_Obra!A119, Captura_Pegaso!$D:$D, Captura_Obra!B119, Captura_Pegaso!$E:$E, Captura_Obra!D119) + SUMIFS(Captura_Marimba_M01!$G:$G, Captura_Marimba_M01!$A:$A, Captura_Obra!A119, Captura_Marimba_M01!$C:$C, Captura_Obra!B119, Captura_Marimba_M01!$D:$D, Captura_Obra!D119))&gt;0), "", "No Reportado")</f>
        <v/>
      </c>
      <c r="C415" s="10632">
        <f>IF(OR(Captura_Obra!A119="", (SUMIFS(Captura_Pegaso!$H:$H, Captura_Pegaso!$A:$A, Captura_Obra!A119, Captura_Pegaso!$D:$D, Captura_Obra!B119, Captura_Pegaso!$E:$E, Captura_Obra!D119) + SUMIFS(Captura_Marimba_M01!$G:$G, Captura_Marimba_M01!$A:$A, Captura_Obra!A119, Captura_Marimba_M01!$C:$C, Captura_Obra!B119, Captura_Marimba_M01!$D:$D, Captura_Obra!D119))&gt;0), "", Captura_Obra!N119)</f>
        <v/>
      </c>
      <c r="D415" s="10633">
        <f>IF(OR(Captura_Obra!A119="", (SUMIFS(Captura_Pegaso!$H:$H, Captura_Pegaso!$A:$A, Captura_Obra!A119, Captura_Pegaso!$D:$D, Captura_Obra!B119, Captura_Pegaso!$E:$E, Captura_Obra!D119) + SUMIFS(Captura_Marimba_M01!$G:$G, Captura_Marimba_M01!$A:$A, Captura_Obra!A119, Captura_Marimba_M01!$C:$C, Captura_Obra!B119, Captura_Marimba_M01!$D:$D, Captura_Obra!D119))&gt;0), "", "❌ Falta en Pipa")</f>
        <v/>
      </c>
      <c r="E415" s="10634">
        <f>IF(OR(Captura_Obra!A119="", (SUMIFS(Captura_Pegaso!$H:$H, Captura_Pegaso!$A:$A, Captura_Obra!A119, Captura_Pegaso!$D:$D, Captura_Obra!B119, Captura_Pegaso!$E:$E, Captura_Obra!D119) + SUMIFS(Captura_Marimba_M01!$G:$G, Captura_Marimba_M01!$A:$A, Captura_Obra!A119, Captura_Marimba_M01!$C:$C, Captura_Obra!B119, Captura_Marimba_M01!$D:$D, Captura_Obra!D119))&gt;0), "", Captura_Obra!A119)</f>
        <v/>
      </c>
      <c r="F415" s="10635">
        <f>IF(OR(Captura_Obra!A119="", (SUMIFS(Captura_Pegaso!$H:$H, Captura_Pegaso!$A:$A, Captura_Obra!A119, Captura_Pegaso!$D:$D, Captura_Obra!B119, Captura_Pegaso!$E:$E, Captura_Obra!D119) + SUMIFS(Captura_Marimba_M01!$G:$G, Captura_Marimba_M01!$A:$A, Captura_Obra!A119, Captura_Marimba_M01!$C:$C, Captura_Obra!B119, Captura_Marimba_M01!$D:$D, Captura_Obra!D119))&gt;0), "", Captura_Obra!B119)</f>
        <v/>
      </c>
      <c r="G415" s="10636">
        <f>IF(OR(Captura_Obra!A119="", (SUMIFS(Captura_Pegaso!$H:$H, Captura_Pegaso!$A:$A, Captura_Obra!A119, Captura_Pegaso!$D:$D, Captura_Obra!B119, Captura_Pegaso!$E:$E, Captura_Obra!D119) + SUMIFS(Captura_Marimba_M01!$G:$G, Captura_Marimba_M01!$A:$A, Captura_Obra!A119, Captura_Marimba_M01!$C:$C, Captura_Obra!B119, Captura_Marimba_M01!$D:$D, Captura_Obra!D119))&gt;0), "", Captura_Obra!D119)</f>
        <v/>
      </c>
      <c r="H415" s="10637">
        <f>IF(OR(Captura_Obra!A119="", (SUMIFS(Captura_Pegaso!$H:$H, Captura_Pegaso!$A:$A, Captura_Obra!A119, Captura_Pegaso!$D:$D, Captura_Obra!B119, Captura_Pegaso!$E:$E, Captura_Obra!D119) + SUMIFS(Captura_Marimba_M01!$G:$G, Captura_Marimba_M01!$A:$A, Captura_Obra!A119, Captura_Marimba_M01!$C:$C, Captura_Obra!B119, Captura_Marimba_M01!$D:$D, Captura_Obra!D119))&gt;0), "", 0)</f>
        <v/>
      </c>
      <c r="I415" s="10638">
        <f>IF(OR(Captura_Obra!A119="", (SUMIFS(Captura_Pegaso!$H:$H, Captura_Pegaso!$A:$A, Captura_Obra!A119, Captura_Pegaso!$D:$D, Captura_Obra!B119, Captura_Pegaso!$E:$E, Captura_Obra!D119) + SUMIFS(Captura_Marimba_M01!$G:$G, Captura_Marimba_M01!$A:$A, Captura_Obra!A119, Captura_Marimba_M01!$C:$C, Captura_Obra!B119, Captura_Marimba_M01!$D:$D, Captura_Obra!D119))&gt;0), "", Captura_Obra!F119)</f>
        <v/>
      </c>
      <c r="J415" s="10639">
        <f>IF(OR(Captura_Obra!A119="", (SUMIFS(Captura_Pegaso!$H:$H, Captura_Pegaso!$A:$A, Captura_Obra!A119, Captura_Pegaso!$D:$D, Captura_Obra!B119, Captura_Pegaso!$E:$E, Captura_Obra!D119) + SUMIFS(Captura_Marimba_M01!$G:$G, Captura_Marimba_M01!$A:$A, Captura_Obra!A119, Captura_Marimba_M01!$C:$C, Captura_Obra!B119, Captura_Marimba_M01!$D:$D, Captura_Obra!D119))&gt;0), "", H415 - I415)</f>
        <v/>
      </c>
      <c r="K415" s="4224" t="n"/>
    </row>
    <row r="416">
      <c r="A416" s="10640">
        <f>IF(OR(Captura_Obra!A120="", (SUMIFS(Captura_Pegaso!$H:$H, Captura_Pegaso!$A:$A, Captura_Obra!A120, Captura_Pegaso!$D:$D, Captura_Obra!B120, Captura_Pegaso!$E:$E, Captura_Obra!D120) + SUMIFS(Captura_Marimba_M01!$G:$G, Captura_Marimba_M01!$A:$A, Captura_Obra!A120, Captura_Marimba_M01!$C:$C, Captura_Obra!B120, Captura_Marimba_M01!$D:$D, Captura_Obra!D120))&gt;0), "", "Huérfano Obra")</f>
        <v/>
      </c>
      <c r="B416" s="10641">
        <f>IF(OR(Captura_Obra!A120="", (SUMIFS(Captura_Pegaso!$H:$H, Captura_Pegaso!$A:$A, Captura_Obra!A120, Captura_Pegaso!$D:$D, Captura_Obra!B120, Captura_Pegaso!$E:$E, Captura_Obra!D120) + SUMIFS(Captura_Marimba_M01!$G:$G, Captura_Marimba_M01!$A:$A, Captura_Obra!A120, Captura_Marimba_M01!$C:$C, Captura_Obra!B120, Captura_Marimba_M01!$D:$D, Captura_Obra!D120))&gt;0), "", "No Reportado")</f>
        <v/>
      </c>
      <c r="C416" s="10642">
        <f>IF(OR(Captura_Obra!A120="", (SUMIFS(Captura_Pegaso!$H:$H, Captura_Pegaso!$A:$A, Captura_Obra!A120, Captura_Pegaso!$D:$D, Captura_Obra!B120, Captura_Pegaso!$E:$E, Captura_Obra!D120) + SUMIFS(Captura_Marimba_M01!$G:$G, Captura_Marimba_M01!$A:$A, Captura_Obra!A120, Captura_Marimba_M01!$C:$C, Captura_Obra!B120, Captura_Marimba_M01!$D:$D, Captura_Obra!D120))&gt;0), "", Captura_Obra!N120)</f>
        <v/>
      </c>
      <c r="D416" s="10643">
        <f>IF(OR(Captura_Obra!A120="", (SUMIFS(Captura_Pegaso!$H:$H, Captura_Pegaso!$A:$A, Captura_Obra!A120, Captura_Pegaso!$D:$D, Captura_Obra!B120, Captura_Pegaso!$E:$E, Captura_Obra!D120) + SUMIFS(Captura_Marimba_M01!$G:$G, Captura_Marimba_M01!$A:$A, Captura_Obra!A120, Captura_Marimba_M01!$C:$C, Captura_Obra!B120, Captura_Marimba_M01!$D:$D, Captura_Obra!D120))&gt;0), "", "❌ Falta en Pipa")</f>
        <v/>
      </c>
      <c r="E416" s="10644">
        <f>IF(OR(Captura_Obra!A120="", (SUMIFS(Captura_Pegaso!$H:$H, Captura_Pegaso!$A:$A, Captura_Obra!A120, Captura_Pegaso!$D:$D, Captura_Obra!B120, Captura_Pegaso!$E:$E, Captura_Obra!D120) + SUMIFS(Captura_Marimba_M01!$G:$G, Captura_Marimba_M01!$A:$A, Captura_Obra!A120, Captura_Marimba_M01!$C:$C, Captura_Obra!B120, Captura_Marimba_M01!$D:$D, Captura_Obra!D120))&gt;0), "", Captura_Obra!A120)</f>
        <v/>
      </c>
      <c r="F416" s="10645">
        <f>IF(OR(Captura_Obra!A120="", (SUMIFS(Captura_Pegaso!$H:$H, Captura_Pegaso!$A:$A, Captura_Obra!A120, Captura_Pegaso!$D:$D, Captura_Obra!B120, Captura_Pegaso!$E:$E, Captura_Obra!D120) + SUMIFS(Captura_Marimba_M01!$G:$G, Captura_Marimba_M01!$A:$A, Captura_Obra!A120, Captura_Marimba_M01!$C:$C, Captura_Obra!B120, Captura_Marimba_M01!$D:$D, Captura_Obra!D120))&gt;0), "", Captura_Obra!B120)</f>
        <v/>
      </c>
      <c r="G416" s="10646">
        <f>IF(OR(Captura_Obra!A120="", (SUMIFS(Captura_Pegaso!$H:$H, Captura_Pegaso!$A:$A, Captura_Obra!A120, Captura_Pegaso!$D:$D, Captura_Obra!B120, Captura_Pegaso!$E:$E, Captura_Obra!D120) + SUMIFS(Captura_Marimba_M01!$G:$G, Captura_Marimba_M01!$A:$A, Captura_Obra!A120, Captura_Marimba_M01!$C:$C, Captura_Obra!B120, Captura_Marimba_M01!$D:$D, Captura_Obra!D120))&gt;0), "", Captura_Obra!D120)</f>
        <v/>
      </c>
      <c r="H416" s="10647">
        <f>IF(OR(Captura_Obra!A120="", (SUMIFS(Captura_Pegaso!$H:$H, Captura_Pegaso!$A:$A, Captura_Obra!A120, Captura_Pegaso!$D:$D, Captura_Obra!B120, Captura_Pegaso!$E:$E, Captura_Obra!D120) + SUMIFS(Captura_Marimba_M01!$G:$G, Captura_Marimba_M01!$A:$A, Captura_Obra!A120, Captura_Marimba_M01!$C:$C, Captura_Obra!B120, Captura_Marimba_M01!$D:$D, Captura_Obra!D120))&gt;0), "", 0)</f>
        <v/>
      </c>
      <c r="I416" s="10648">
        <f>IF(OR(Captura_Obra!A120="", (SUMIFS(Captura_Pegaso!$H:$H, Captura_Pegaso!$A:$A, Captura_Obra!A120, Captura_Pegaso!$D:$D, Captura_Obra!B120, Captura_Pegaso!$E:$E, Captura_Obra!D120) + SUMIFS(Captura_Marimba_M01!$G:$G, Captura_Marimba_M01!$A:$A, Captura_Obra!A120, Captura_Marimba_M01!$C:$C, Captura_Obra!B120, Captura_Marimba_M01!$D:$D, Captura_Obra!D120))&gt;0), "", Captura_Obra!F120)</f>
        <v/>
      </c>
      <c r="J416" s="10649">
        <f>IF(OR(Captura_Obra!A120="", (SUMIFS(Captura_Pegaso!$H:$H, Captura_Pegaso!$A:$A, Captura_Obra!A120, Captura_Pegaso!$D:$D, Captura_Obra!B120, Captura_Pegaso!$E:$E, Captura_Obra!D120) + SUMIFS(Captura_Marimba_M01!$G:$G, Captura_Marimba_M01!$A:$A, Captura_Obra!A120, Captura_Marimba_M01!$C:$C, Captura_Obra!B120, Captura_Marimba_M01!$D:$D, Captura_Obra!D120))&gt;0), "", H416 - I416)</f>
        <v/>
      </c>
      <c r="K416" s="4225" t="n"/>
    </row>
    <row r="417">
      <c r="A417" s="10650">
        <f>IF(OR(Captura_Obra!A121="", (SUMIFS(Captura_Pegaso!$H:$H, Captura_Pegaso!$A:$A, Captura_Obra!A121, Captura_Pegaso!$D:$D, Captura_Obra!B121, Captura_Pegaso!$E:$E, Captura_Obra!D121) + SUMIFS(Captura_Marimba_M01!$G:$G, Captura_Marimba_M01!$A:$A, Captura_Obra!A121, Captura_Marimba_M01!$C:$C, Captura_Obra!B121, Captura_Marimba_M01!$D:$D, Captura_Obra!D121))&gt;0), "", "Huérfano Obra")</f>
        <v/>
      </c>
      <c r="B417" s="10651">
        <f>IF(OR(Captura_Obra!A121="", (SUMIFS(Captura_Pegaso!$H:$H, Captura_Pegaso!$A:$A, Captura_Obra!A121, Captura_Pegaso!$D:$D, Captura_Obra!B121, Captura_Pegaso!$E:$E, Captura_Obra!D121) + SUMIFS(Captura_Marimba_M01!$G:$G, Captura_Marimba_M01!$A:$A, Captura_Obra!A121, Captura_Marimba_M01!$C:$C, Captura_Obra!B121, Captura_Marimba_M01!$D:$D, Captura_Obra!D121))&gt;0), "", "No Reportado")</f>
        <v/>
      </c>
      <c r="C417" s="10652">
        <f>IF(OR(Captura_Obra!A121="", (SUMIFS(Captura_Pegaso!$H:$H, Captura_Pegaso!$A:$A, Captura_Obra!A121, Captura_Pegaso!$D:$D, Captura_Obra!B121, Captura_Pegaso!$E:$E, Captura_Obra!D121) + SUMIFS(Captura_Marimba_M01!$G:$G, Captura_Marimba_M01!$A:$A, Captura_Obra!A121, Captura_Marimba_M01!$C:$C, Captura_Obra!B121, Captura_Marimba_M01!$D:$D, Captura_Obra!D121))&gt;0), "", Captura_Obra!N121)</f>
        <v/>
      </c>
      <c r="D417" s="10653">
        <f>IF(OR(Captura_Obra!A121="", (SUMIFS(Captura_Pegaso!$H:$H, Captura_Pegaso!$A:$A, Captura_Obra!A121, Captura_Pegaso!$D:$D, Captura_Obra!B121, Captura_Pegaso!$E:$E, Captura_Obra!D121) + SUMIFS(Captura_Marimba_M01!$G:$G, Captura_Marimba_M01!$A:$A, Captura_Obra!A121, Captura_Marimba_M01!$C:$C, Captura_Obra!B121, Captura_Marimba_M01!$D:$D, Captura_Obra!D121))&gt;0), "", "❌ Falta en Pipa")</f>
        <v/>
      </c>
      <c r="E417" s="10654">
        <f>IF(OR(Captura_Obra!A121="", (SUMIFS(Captura_Pegaso!$H:$H, Captura_Pegaso!$A:$A, Captura_Obra!A121, Captura_Pegaso!$D:$D, Captura_Obra!B121, Captura_Pegaso!$E:$E, Captura_Obra!D121) + SUMIFS(Captura_Marimba_M01!$G:$G, Captura_Marimba_M01!$A:$A, Captura_Obra!A121, Captura_Marimba_M01!$C:$C, Captura_Obra!B121, Captura_Marimba_M01!$D:$D, Captura_Obra!D121))&gt;0), "", Captura_Obra!A121)</f>
        <v/>
      </c>
      <c r="F417" s="10655">
        <f>IF(OR(Captura_Obra!A121="", (SUMIFS(Captura_Pegaso!$H:$H, Captura_Pegaso!$A:$A, Captura_Obra!A121, Captura_Pegaso!$D:$D, Captura_Obra!B121, Captura_Pegaso!$E:$E, Captura_Obra!D121) + SUMIFS(Captura_Marimba_M01!$G:$G, Captura_Marimba_M01!$A:$A, Captura_Obra!A121, Captura_Marimba_M01!$C:$C, Captura_Obra!B121, Captura_Marimba_M01!$D:$D, Captura_Obra!D121))&gt;0), "", Captura_Obra!B121)</f>
        <v/>
      </c>
      <c r="G417" s="10656">
        <f>IF(OR(Captura_Obra!A121="", (SUMIFS(Captura_Pegaso!$H:$H, Captura_Pegaso!$A:$A, Captura_Obra!A121, Captura_Pegaso!$D:$D, Captura_Obra!B121, Captura_Pegaso!$E:$E, Captura_Obra!D121) + SUMIFS(Captura_Marimba_M01!$G:$G, Captura_Marimba_M01!$A:$A, Captura_Obra!A121, Captura_Marimba_M01!$C:$C, Captura_Obra!B121, Captura_Marimba_M01!$D:$D, Captura_Obra!D121))&gt;0), "", Captura_Obra!D121)</f>
        <v/>
      </c>
      <c r="H417" s="10657">
        <f>IF(OR(Captura_Obra!A121="", (SUMIFS(Captura_Pegaso!$H:$H, Captura_Pegaso!$A:$A, Captura_Obra!A121, Captura_Pegaso!$D:$D, Captura_Obra!B121, Captura_Pegaso!$E:$E, Captura_Obra!D121) + SUMIFS(Captura_Marimba_M01!$G:$G, Captura_Marimba_M01!$A:$A, Captura_Obra!A121, Captura_Marimba_M01!$C:$C, Captura_Obra!B121, Captura_Marimba_M01!$D:$D, Captura_Obra!D121))&gt;0), "", 0)</f>
        <v/>
      </c>
      <c r="I417" s="10658">
        <f>IF(OR(Captura_Obra!A121="", (SUMIFS(Captura_Pegaso!$H:$H, Captura_Pegaso!$A:$A, Captura_Obra!A121, Captura_Pegaso!$D:$D, Captura_Obra!B121, Captura_Pegaso!$E:$E, Captura_Obra!D121) + SUMIFS(Captura_Marimba_M01!$G:$G, Captura_Marimba_M01!$A:$A, Captura_Obra!A121, Captura_Marimba_M01!$C:$C, Captura_Obra!B121, Captura_Marimba_M01!$D:$D, Captura_Obra!D121))&gt;0), "", Captura_Obra!F121)</f>
        <v/>
      </c>
      <c r="J417" s="10659">
        <f>IF(OR(Captura_Obra!A121="", (SUMIFS(Captura_Pegaso!$H:$H, Captura_Pegaso!$A:$A, Captura_Obra!A121, Captura_Pegaso!$D:$D, Captura_Obra!B121, Captura_Pegaso!$E:$E, Captura_Obra!D121) + SUMIFS(Captura_Marimba_M01!$G:$G, Captura_Marimba_M01!$A:$A, Captura_Obra!A121, Captura_Marimba_M01!$C:$C, Captura_Obra!B121, Captura_Marimba_M01!$D:$D, Captura_Obra!D121))&gt;0), "", H417 - I417)</f>
        <v/>
      </c>
      <c r="K417" s="4226" t="n"/>
    </row>
    <row r="418">
      <c r="A418" s="10660">
        <f>IF(OR(Captura_Obra!A122="", (SUMIFS(Captura_Pegaso!$H:$H, Captura_Pegaso!$A:$A, Captura_Obra!A122, Captura_Pegaso!$D:$D, Captura_Obra!B122, Captura_Pegaso!$E:$E, Captura_Obra!D122) + SUMIFS(Captura_Marimba_M01!$G:$G, Captura_Marimba_M01!$A:$A, Captura_Obra!A122, Captura_Marimba_M01!$C:$C, Captura_Obra!B122, Captura_Marimba_M01!$D:$D, Captura_Obra!D122))&gt;0), "", "Huérfano Obra")</f>
        <v/>
      </c>
      <c r="B418" s="10661">
        <f>IF(OR(Captura_Obra!A122="", (SUMIFS(Captura_Pegaso!$H:$H, Captura_Pegaso!$A:$A, Captura_Obra!A122, Captura_Pegaso!$D:$D, Captura_Obra!B122, Captura_Pegaso!$E:$E, Captura_Obra!D122) + SUMIFS(Captura_Marimba_M01!$G:$G, Captura_Marimba_M01!$A:$A, Captura_Obra!A122, Captura_Marimba_M01!$C:$C, Captura_Obra!B122, Captura_Marimba_M01!$D:$D, Captura_Obra!D122))&gt;0), "", "No Reportado")</f>
        <v/>
      </c>
      <c r="C418" s="10662">
        <f>IF(OR(Captura_Obra!A122="", (SUMIFS(Captura_Pegaso!$H:$H, Captura_Pegaso!$A:$A, Captura_Obra!A122, Captura_Pegaso!$D:$D, Captura_Obra!B122, Captura_Pegaso!$E:$E, Captura_Obra!D122) + SUMIFS(Captura_Marimba_M01!$G:$G, Captura_Marimba_M01!$A:$A, Captura_Obra!A122, Captura_Marimba_M01!$C:$C, Captura_Obra!B122, Captura_Marimba_M01!$D:$D, Captura_Obra!D122))&gt;0), "", Captura_Obra!N122)</f>
        <v/>
      </c>
      <c r="D418" s="10663">
        <f>IF(OR(Captura_Obra!A122="", (SUMIFS(Captura_Pegaso!$H:$H, Captura_Pegaso!$A:$A, Captura_Obra!A122, Captura_Pegaso!$D:$D, Captura_Obra!B122, Captura_Pegaso!$E:$E, Captura_Obra!D122) + SUMIFS(Captura_Marimba_M01!$G:$G, Captura_Marimba_M01!$A:$A, Captura_Obra!A122, Captura_Marimba_M01!$C:$C, Captura_Obra!B122, Captura_Marimba_M01!$D:$D, Captura_Obra!D122))&gt;0), "", "❌ Falta en Pipa")</f>
        <v/>
      </c>
      <c r="E418" s="10664">
        <f>IF(OR(Captura_Obra!A122="", (SUMIFS(Captura_Pegaso!$H:$H, Captura_Pegaso!$A:$A, Captura_Obra!A122, Captura_Pegaso!$D:$D, Captura_Obra!B122, Captura_Pegaso!$E:$E, Captura_Obra!D122) + SUMIFS(Captura_Marimba_M01!$G:$G, Captura_Marimba_M01!$A:$A, Captura_Obra!A122, Captura_Marimba_M01!$C:$C, Captura_Obra!B122, Captura_Marimba_M01!$D:$D, Captura_Obra!D122))&gt;0), "", Captura_Obra!A122)</f>
        <v/>
      </c>
      <c r="F418" s="10665">
        <f>IF(OR(Captura_Obra!A122="", (SUMIFS(Captura_Pegaso!$H:$H, Captura_Pegaso!$A:$A, Captura_Obra!A122, Captura_Pegaso!$D:$D, Captura_Obra!B122, Captura_Pegaso!$E:$E, Captura_Obra!D122) + SUMIFS(Captura_Marimba_M01!$G:$G, Captura_Marimba_M01!$A:$A, Captura_Obra!A122, Captura_Marimba_M01!$C:$C, Captura_Obra!B122, Captura_Marimba_M01!$D:$D, Captura_Obra!D122))&gt;0), "", Captura_Obra!B122)</f>
        <v/>
      </c>
      <c r="G418" s="10666">
        <f>IF(OR(Captura_Obra!A122="", (SUMIFS(Captura_Pegaso!$H:$H, Captura_Pegaso!$A:$A, Captura_Obra!A122, Captura_Pegaso!$D:$D, Captura_Obra!B122, Captura_Pegaso!$E:$E, Captura_Obra!D122) + SUMIFS(Captura_Marimba_M01!$G:$G, Captura_Marimba_M01!$A:$A, Captura_Obra!A122, Captura_Marimba_M01!$C:$C, Captura_Obra!B122, Captura_Marimba_M01!$D:$D, Captura_Obra!D122))&gt;0), "", Captura_Obra!D122)</f>
        <v/>
      </c>
      <c r="H418" s="10667">
        <f>IF(OR(Captura_Obra!A122="", (SUMIFS(Captura_Pegaso!$H:$H, Captura_Pegaso!$A:$A, Captura_Obra!A122, Captura_Pegaso!$D:$D, Captura_Obra!B122, Captura_Pegaso!$E:$E, Captura_Obra!D122) + SUMIFS(Captura_Marimba_M01!$G:$G, Captura_Marimba_M01!$A:$A, Captura_Obra!A122, Captura_Marimba_M01!$C:$C, Captura_Obra!B122, Captura_Marimba_M01!$D:$D, Captura_Obra!D122))&gt;0), "", 0)</f>
        <v/>
      </c>
      <c r="I418" s="10668">
        <f>IF(OR(Captura_Obra!A122="", (SUMIFS(Captura_Pegaso!$H:$H, Captura_Pegaso!$A:$A, Captura_Obra!A122, Captura_Pegaso!$D:$D, Captura_Obra!B122, Captura_Pegaso!$E:$E, Captura_Obra!D122) + SUMIFS(Captura_Marimba_M01!$G:$G, Captura_Marimba_M01!$A:$A, Captura_Obra!A122, Captura_Marimba_M01!$C:$C, Captura_Obra!B122, Captura_Marimba_M01!$D:$D, Captura_Obra!D122))&gt;0), "", Captura_Obra!F122)</f>
        <v/>
      </c>
      <c r="J418" s="10669">
        <f>IF(OR(Captura_Obra!A122="", (SUMIFS(Captura_Pegaso!$H:$H, Captura_Pegaso!$A:$A, Captura_Obra!A122, Captura_Pegaso!$D:$D, Captura_Obra!B122, Captura_Pegaso!$E:$E, Captura_Obra!D122) + SUMIFS(Captura_Marimba_M01!$G:$G, Captura_Marimba_M01!$A:$A, Captura_Obra!A122, Captura_Marimba_M01!$C:$C, Captura_Obra!B122, Captura_Marimba_M01!$D:$D, Captura_Obra!D122))&gt;0), "", H418 - I418)</f>
        <v/>
      </c>
      <c r="K418" s="4227" t="n"/>
    </row>
    <row r="419">
      <c r="A419" s="10670">
        <f>IF(OR(Captura_Obra!A123="", (SUMIFS(Captura_Pegaso!$H:$H, Captura_Pegaso!$A:$A, Captura_Obra!A123, Captura_Pegaso!$D:$D, Captura_Obra!B123, Captura_Pegaso!$E:$E, Captura_Obra!D123) + SUMIFS(Captura_Marimba_M01!$G:$G, Captura_Marimba_M01!$A:$A, Captura_Obra!A123, Captura_Marimba_M01!$C:$C, Captura_Obra!B123, Captura_Marimba_M01!$D:$D, Captura_Obra!D123))&gt;0), "", "Huérfano Obra")</f>
        <v/>
      </c>
      <c r="B419" s="10671">
        <f>IF(OR(Captura_Obra!A123="", (SUMIFS(Captura_Pegaso!$H:$H, Captura_Pegaso!$A:$A, Captura_Obra!A123, Captura_Pegaso!$D:$D, Captura_Obra!B123, Captura_Pegaso!$E:$E, Captura_Obra!D123) + SUMIFS(Captura_Marimba_M01!$G:$G, Captura_Marimba_M01!$A:$A, Captura_Obra!A123, Captura_Marimba_M01!$C:$C, Captura_Obra!B123, Captura_Marimba_M01!$D:$D, Captura_Obra!D123))&gt;0), "", "No Reportado")</f>
        <v/>
      </c>
      <c r="C419" s="10672">
        <f>IF(OR(Captura_Obra!A123="", (SUMIFS(Captura_Pegaso!$H:$H, Captura_Pegaso!$A:$A, Captura_Obra!A123, Captura_Pegaso!$D:$D, Captura_Obra!B123, Captura_Pegaso!$E:$E, Captura_Obra!D123) + SUMIFS(Captura_Marimba_M01!$G:$G, Captura_Marimba_M01!$A:$A, Captura_Obra!A123, Captura_Marimba_M01!$C:$C, Captura_Obra!B123, Captura_Marimba_M01!$D:$D, Captura_Obra!D123))&gt;0), "", Captura_Obra!N123)</f>
        <v/>
      </c>
      <c r="D419" s="10673">
        <f>IF(OR(Captura_Obra!A123="", (SUMIFS(Captura_Pegaso!$H:$H, Captura_Pegaso!$A:$A, Captura_Obra!A123, Captura_Pegaso!$D:$D, Captura_Obra!B123, Captura_Pegaso!$E:$E, Captura_Obra!D123) + SUMIFS(Captura_Marimba_M01!$G:$G, Captura_Marimba_M01!$A:$A, Captura_Obra!A123, Captura_Marimba_M01!$C:$C, Captura_Obra!B123, Captura_Marimba_M01!$D:$D, Captura_Obra!D123))&gt;0), "", "❌ Falta en Pipa")</f>
        <v/>
      </c>
      <c r="E419" s="10674">
        <f>IF(OR(Captura_Obra!A123="", (SUMIFS(Captura_Pegaso!$H:$H, Captura_Pegaso!$A:$A, Captura_Obra!A123, Captura_Pegaso!$D:$D, Captura_Obra!B123, Captura_Pegaso!$E:$E, Captura_Obra!D123) + SUMIFS(Captura_Marimba_M01!$G:$G, Captura_Marimba_M01!$A:$A, Captura_Obra!A123, Captura_Marimba_M01!$C:$C, Captura_Obra!B123, Captura_Marimba_M01!$D:$D, Captura_Obra!D123))&gt;0), "", Captura_Obra!A123)</f>
        <v/>
      </c>
      <c r="F419" s="10675">
        <f>IF(OR(Captura_Obra!A123="", (SUMIFS(Captura_Pegaso!$H:$H, Captura_Pegaso!$A:$A, Captura_Obra!A123, Captura_Pegaso!$D:$D, Captura_Obra!B123, Captura_Pegaso!$E:$E, Captura_Obra!D123) + SUMIFS(Captura_Marimba_M01!$G:$G, Captura_Marimba_M01!$A:$A, Captura_Obra!A123, Captura_Marimba_M01!$C:$C, Captura_Obra!B123, Captura_Marimba_M01!$D:$D, Captura_Obra!D123))&gt;0), "", Captura_Obra!B123)</f>
        <v/>
      </c>
      <c r="G419" s="10676">
        <f>IF(OR(Captura_Obra!A123="", (SUMIFS(Captura_Pegaso!$H:$H, Captura_Pegaso!$A:$A, Captura_Obra!A123, Captura_Pegaso!$D:$D, Captura_Obra!B123, Captura_Pegaso!$E:$E, Captura_Obra!D123) + SUMIFS(Captura_Marimba_M01!$G:$G, Captura_Marimba_M01!$A:$A, Captura_Obra!A123, Captura_Marimba_M01!$C:$C, Captura_Obra!B123, Captura_Marimba_M01!$D:$D, Captura_Obra!D123))&gt;0), "", Captura_Obra!D123)</f>
        <v/>
      </c>
      <c r="H419" s="10677">
        <f>IF(OR(Captura_Obra!A123="", (SUMIFS(Captura_Pegaso!$H:$H, Captura_Pegaso!$A:$A, Captura_Obra!A123, Captura_Pegaso!$D:$D, Captura_Obra!B123, Captura_Pegaso!$E:$E, Captura_Obra!D123) + SUMIFS(Captura_Marimba_M01!$G:$G, Captura_Marimba_M01!$A:$A, Captura_Obra!A123, Captura_Marimba_M01!$C:$C, Captura_Obra!B123, Captura_Marimba_M01!$D:$D, Captura_Obra!D123))&gt;0), "", 0)</f>
        <v/>
      </c>
      <c r="I419" s="10678">
        <f>IF(OR(Captura_Obra!A123="", (SUMIFS(Captura_Pegaso!$H:$H, Captura_Pegaso!$A:$A, Captura_Obra!A123, Captura_Pegaso!$D:$D, Captura_Obra!B123, Captura_Pegaso!$E:$E, Captura_Obra!D123) + SUMIFS(Captura_Marimba_M01!$G:$G, Captura_Marimba_M01!$A:$A, Captura_Obra!A123, Captura_Marimba_M01!$C:$C, Captura_Obra!B123, Captura_Marimba_M01!$D:$D, Captura_Obra!D123))&gt;0), "", Captura_Obra!F123)</f>
        <v/>
      </c>
      <c r="J419" s="10679">
        <f>IF(OR(Captura_Obra!A123="", (SUMIFS(Captura_Pegaso!$H:$H, Captura_Pegaso!$A:$A, Captura_Obra!A123, Captura_Pegaso!$D:$D, Captura_Obra!B123, Captura_Pegaso!$E:$E, Captura_Obra!D123) + SUMIFS(Captura_Marimba_M01!$G:$G, Captura_Marimba_M01!$A:$A, Captura_Obra!A123, Captura_Marimba_M01!$C:$C, Captura_Obra!B123, Captura_Marimba_M01!$D:$D, Captura_Obra!D123))&gt;0), "", H419 - I419)</f>
        <v/>
      </c>
      <c r="K419" s="4228" t="n"/>
    </row>
    <row r="420">
      <c r="A420" s="10680">
        <f>IF(OR(Captura_Obra!A124="", (SUMIFS(Captura_Pegaso!$H:$H, Captura_Pegaso!$A:$A, Captura_Obra!A124, Captura_Pegaso!$D:$D, Captura_Obra!B124, Captura_Pegaso!$E:$E, Captura_Obra!D124) + SUMIFS(Captura_Marimba_M01!$G:$G, Captura_Marimba_M01!$A:$A, Captura_Obra!A124, Captura_Marimba_M01!$C:$C, Captura_Obra!B124, Captura_Marimba_M01!$D:$D, Captura_Obra!D124))&gt;0), "", "Huérfano Obra")</f>
        <v/>
      </c>
      <c r="B420" s="10681">
        <f>IF(OR(Captura_Obra!A124="", (SUMIFS(Captura_Pegaso!$H:$H, Captura_Pegaso!$A:$A, Captura_Obra!A124, Captura_Pegaso!$D:$D, Captura_Obra!B124, Captura_Pegaso!$E:$E, Captura_Obra!D124) + SUMIFS(Captura_Marimba_M01!$G:$G, Captura_Marimba_M01!$A:$A, Captura_Obra!A124, Captura_Marimba_M01!$C:$C, Captura_Obra!B124, Captura_Marimba_M01!$D:$D, Captura_Obra!D124))&gt;0), "", "No Reportado")</f>
        <v/>
      </c>
      <c r="C420" s="10682">
        <f>IF(OR(Captura_Obra!A124="", (SUMIFS(Captura_Pegaso!$H:$H, Captura_Pegaso!$A:$A, Captura_Obra!A124, Captura_Pegaso!$D:$D, Captura_Obra!B124, Captura_Pegaso!$E:$E, Captura_Obra!D124) + SUMIFS(Captura_Marimba_M01!$G:$G, Captura_Marimba_M01!$A:$A, Captura_Obra!A124, Captura_Marimba_M01!$C:$C, Captura_Obra!B124, Captura_Marimba_M01!$D:$D, Captura_Obra!D124))&gt;0), "", Captura_Obra!N124)</f>
        <v/>
      </c>
      <c r="D420" s="10683">
        <f>IF(OR(Captura_Obra!A124="", (SUMIFS(Captura_Pegaso!$H:$H, Captura_Pegaso!$A:$A, Captura_Obra!A124, Captura_Pegaso!$D:$D, Captura_Obra!B124, Captura_Pegaso!$E:$E, Captura_Obra!D124) + SUMIFS(Captura_Marimba_M01!$G:$G, Captura_Marimba_M01!$A:$A, Captura_Obra!A124, Captura_Marimba_M01!$C:$C, Captura_Obra!B124, Captura_Marimba_M01!$D:$D, Captura_Obra!D124))&gt;0), "", "❌ Falta en Pipa")</f>
        <v/>
      </c>
      <c r="E420" s="10684">
        <f>IF(OR(Captura_Obra!A124="", (SUMIFS(Captura_Pegaso!$H:$H, Captura_Pegaso!$A:$A, Captura_Obra!A124, Captura_Pegaso!$D:$D, Captura_Obra!B124, Captura_Pegaso!$E:$E, Captura_Obra!D124) + SUMIFS(Captura_Marimba_M01!$G:$G, Captura_Marimba_M01!$A:$A, Captura_Obra!A124, Captura_Marimba_M01!$C:$C, Captura_Obra!B124, Captura_Marimba_M01!$D:$D, Captura_Obra!D124))&gt;0), "", Captura_Obra!A124)</f>
        <v/>
      </c>
      <c r="F420" s="10685">
        <f>IF(OR(Captura_Obra!A124="", (SUMIFS(Captura_Pegaso!$H:$H, Captura_Pegaso!$A:$A, Captura_Obra!A124, Captura_Pegaso!$D:$D, Captura_Obra!B124, Captura_Pegaso!$E:$E, Captura_Obra!D124) + SUMIFS(Captura_Marimba_M01!$G:$G, Captura_Marimba_M01!$A:$A, Captura_Obra!A124, Captura_Marimba_M01!$C:$C, Captura_Obra!B124, Captura_Marimba_M01!$D:$D, Captura_Obra!D124))&gt;0), "", Captura_Obra!B124)</f>
        <v/>
      </c>
      <c r="G420" s="10686">
        <f>IF(OR(Captura_Obra!A124="", (SUMIFS(Captura_Pegaso!$H:$H, Captura_Pegaso!$A:$A, Captura_Obra!A124, Captura_Pegaso!$D:$D, Captura_Obra!B124, Captura_Pegaso!$E:$E, Captura_Obra!D124) + SUMIFS(Captura_Marimba_M01!$G:$G, Captura_Marimba_M01!$A:$A, Captura_Obra!A124, Captura_Marimba_M01!$C:$C, Captura_Obra!B124, Captura_Marimba_M01!$D:$D, Captura_Obra!D124))&gt;0), "", Captura_Obra!D124)</f>
        <v/>
      </c>
      <c r="H420" s="10687">
        <f>IF(OR(Captura_Obra!A124="", (SUMIFS(Captura_Pegaso!$H:$H, Captura_Pegaso!$A:$A, Captura_Obra!A124, Captura_Pegaso!$D:$D, Captura_Obra!B124, Captura_Pegaso!$E:$E, Captura_Obra!D124) + SUMIFS(Captura_Marimba_M01!$G:$G, Captura_Marimba_M01!$A:$A, Captura_Obra!A124, Captura_Marimba_M01!$C:$C, Captura_Obra!B124, Captura_Marimba_M01!$D:$D, Captura_Obra!D124))&gt;0), "", 0)</f>
        <v/>
      </c>
      <c r="I420" s="10688">
        <f>IF(OR(Captura_Obra!A124="", (SUMIFS(Captura_Pegaso!$H:$H, Captura_Pegaso!$A:$A, Captura_Obra!A124, Captura_Pegaso!$D:$D, Captura_Obra!B124, Captura_Pegaso!$E:$E, Captura_Obra!D124) + SUMIFS(Captura_Marimba_M01!$G:$G, Captura_Marimba_M01!$A:$A, Captura_Obra!A124, Captura_Marimba_M01!$C:$C, Captura_Obra!B124, Captura_Marimba_M01!$D:$D, Captura_Obra!D124))&gt;0), "", Captura_Obra!F124)</f>
        <v/>
      </c>
      <c r="J420" s="10689">
        <f>IF(OR(Captura_Obra!A124="", (SUMIFS(Captura_Pegaso!$H:$H, Captura_Pegaso!$A:$A, Captura_Obra!A124, Captura_Pegaso!$D:$D, Captura_Obra!B124, Captura_Pegaso!$E:$E, Captura_Obra!D124) + SUMIFS(Captura_Marimba_M01!$G:$G, Captura_Marimba_M01!$A:$A, Captura_Obra!A124, Captura_Marimba_M01!$C:$C, Captura_Obra!B124, Captura_Marimba_M01!$D:$D, Captura_Obra!D124))&gt;0), "", H420 - I420)</f>
        <v/>
      </c>
      <c r="K420" s="4229" t="n"/>
    </row>
    <row r="421">
      <c r="A421" s="10690">
        <f>IF(OR(Captura_Obra!A125="", (SUMIFS(Captura_Pegaso!$H:$H, Captura_Pegaso!$A:$A, Captura_Obra!A125, Captura_Pegaso!$D:$D, Captura_Obra!B125, Captura_Pegaso!$E:$E, Captura_Obra!D125) + SUMIFS(Captura_Marimba_M01!$G:$G, Captura_Marimba_M01!$A:$A, Captura_Obra!A125, Captura_Marimba_M01!$C:$C, Captura_Obra!B125, Captura_Marimba_M01!$D:$D, Captura_Obra!D125))&gt;0), "", "Huérfano Obra")</f>
        <v/>
      </c>
      <c r="B421" s="10691">
        <f>IF(OR(Captura_Obra!A125="", (SUMIFS(Captura_Pegaso!$H:$H, Captura_Pegaso!$A:$A, Captura_Obra!A125, Captura_Pegaso!$D:$D, Captura_Obra!B125, Captura_Pegaso!$E:$E, Captura_Obra!D125) + SUMIFS(Captura_Marimba_M01!$G:$G, Captura_Marimba_M01!$A:$A, Captura_Obra!A125, Captura_Marimba_M01!$C:$C, Captura_Obra!B125, Captura_Marimba_M01!$D:$D, Captura_Obra!D125))&gt;0), "", "No Reportado")</f>
        <v/>
      </c>
      <c r="C421" s="10692">
        <f>IF(OR(Captura_Obra!A125="", (SUMIFS(Captura_Pegaso!$H:$H, Captura_Pegaso!$A:$A, Captura_Obra!A125, Captura_Pegaso!$D:$D, Captura_Obra!B125, Captura_Pegaso!$E:$E, Captura_Obra!D125) + SUMIFS(Captura_Marimba_M01!$G:$G, Captura_Marimba_M01!$A:$A, Captura_Obra!A125, Captura_Marimba_M01!$C:$C, Captura_Obra!B125, Captura_Marimba_M01!$D:$D, Captura_Obra!D125))&gt;0), "", Captura_Obra!N125)</f>
        <v/>
      </c>
      <c r="D421" s="10693">
        <f>IF(OR(Captura_Obra!A125="", (SUMIFS(Captura_Pegaso!$H:$H, Captura_Pegaso!$A:$A, Captura_Obra!A125, Captura_Pegaso!$D:$D, Captura_Obra!B125, Captura_Pegaso!$E:$E, Captura_Obra!D125) + SUMIFS(Captura_Marimba_M01!$G:$G, Captura_Marimba_M01!$A:$A, Captura_Obra!A125, Captura_Marimba_M01!$C:$C, Captura_Obra!B125, Captura_Marimba_M01!$D:$D, Captura_Obra!D125))&gt;0), "", "❌ Falta en Pipa")</f>
        <v/>
      </c>
      <c r="E421" s="10694">
        <f>IF(OR(Captura_Obra!A125="", (SUMIFS(Captura_Pegaso!$H:$H, Captura_Pegaso!$A:$A, Captura_Obra!A125, Captura_Pegaso!$D:$D, Captura_Obra!B125, Captura_Pegaso!$E:$E, Captura_Obra!D125) + SUMIFS(Captura_Marimba_M01!$G:$G, Captura_Marimba_M01!$A:$A, Captura_Obra!A125, Captura_Marimba_M01!$C:$C, Captura_Obra!B125, Captura_Marimba_M01!$D:$D, Captura_Obra!D125))&gt;0), "", Captura_Obra!A125)</f>
        <v/>
      </c>
      <c r="F421" s="10695">
        <f>IF(OR(Captura_Obra!A125="", (SUMIFS(Captura_Pegaso!$H:$H, Captura_Pegaso!$A:$A, Captura_Obra!A125, Captura_Pegaso!$D:$D, Captura_Obra!B125, Captura_Pegaso!$E:$E, Captura_Obra!D125) + SUMIFS(Captura_Marimba_M01!$G:$G, Captura_Marimba_M01!$A:$A, Captura_Obra!A125, Captura_Marimba_M01!$C:$C, Captura_Obra!B125, Captura_Marimba_M01!$D:$D, Captura_Obra!D125))&gt;0), "", Captura_Obra!B125)</f>
        <v/>
      </c>
      <c r="G421" s="10696">
        <f>IF(OR(Captura_Obra!A125="", (SUMIFS(Captura_Pegaso!$H:$H, Captura_Pegaso!$A:$A, Captura_Obra!A125, Captura_Pegaso!$D:$D, Captura_Obra!B125, Captura_Pegaso!$E:$E, Captura_Obra!D125) + SUMIFS(Captura_Marimba_M01!$G:$G, Captura_Marimba_M01!$A:$A, Captura_Obra!A125, Captura_Marimba_M01!$C:$C, Captura_Obra!B125, Captura_Marimba_M01!$D:$D, Captura_Obra!D125))&gt;0), "", Captura_Obra!D125)</f>
        <v/>
      </c>
      <c r="H421" s="10697">
        <f>IF(OR(Captura_Obra!A125="", (SUMIFS(Captura_Pegaso!$H:$H, Captura_Pegaso!$A:$A, Captura_Obra!A125, Captura_Pegaso!$D:$D, Captura_Obra!B125, Captura_Pegaso!$E:$E, Captura_Obra!D125) + SUMIFS(Captura_Marimba_M01!$G:$G, Captura_Marimba_M01!$A:$A, Captura_Obra!A125, Captura_Marimba_M01!$C:$C, Captura_Obra!B125, Captura_Marimba_M01!$D:$D, Captura_Obra!D125))&gt;0), "", 0)</f>
        <v/>
      </c>
      <c r="I421" s="10698">
        <f>IF(OR(Captura_Obra!A125="", (SUMIFS(Captura_Pegaso!$H:$H, Captura_Pegaso!$A:$A, Captura_Obra!A125, Captura_Pegaso!$D:$D, Captura_Obra!B125, Captura_Pegaso!$E:$E, Captura_Obra!D125) + SUMIFS(Captura_Marimba_M01!$G:$G, Captura_Marimba_M01!$A:$A, Captura_Obra!A125, Captura_Marimba_M01!$C:$C, Captura_Obra!B125, Captura_Marimba_M01!$D:$D, Captura_Obra!D125))&gt;0), "", Captura_Obra!F125)</f>
        <v/>
      </c>
      <c r="J421" s="10699">
        <f>IF(OR(Captura_Obra!A125="", (SUMIFS(Captura_Pegaso!$H:$H, Captura_Pegaso!$A:$A, Captura_Obra!A125, Captura_Pegaso!$D:$D, Captura_Obra!B125, Captura_Pegaso!$E:$E, Captura_Obra!D125) + SUMIFS(Captura_Marimba_M01!$G:$G, Captura_Marimba_M01!$A:$A, Captura_Obra!A125, Captura_Marimba_M01!$C:$C, Captura_Obra!B125, Captura_Marimba_M01!$D:$D, Captura_Obra!D125))&gt;0), "", H421 - I421)</f>
        <v/>
      </c>
      <c r="K421" s="4230" t="n"/>
    </row>
    <row r="422">
      <c r="A422" s="10700">
        <f>IF(OR(Captura_Obra!A126="", (SUMIFS(Captura_Pegaso!$H:$H, Captura_Pegaso!$A:$A, Captura_Obra!A126, Captura_Pegaso!$D:$D, Captura_Obra!B126, Captura_Pegaso!$E:$E, Captura_Obra!D126) + SUMIFS(Captura_Marimba_M01!$G:$G, Captura_Marimba_M01!$A:$A, Captura_Obra!A126, Captura_Marimba_M01!$C:$C, Captura_Obra!B126, Captura_Marimba_M01!$D:$D, Captura_Obra!D126))&gt;0), "", "Huérfano Obra")</f>
        <v/>
      </c>
      <c r="B422" s="10701">
        <f>IF(OR(Captura_Obra!A126="", (SUMIFS(Captura_Pegaso!$H:$H, Captura_Pegaso!$A:$A, Captura_Obra!A126, Captura_Pegaso!$D:$D, Captura_Obra!B126, Captura_Pegaso!$E:$E, Captura_Obra!D126) + SUMIFS(Captura_Marimba_M01!$G:$G, Captura_Marimba_M01!$A:$A, Captura_Obra!A126, Captura_Marimba_M01!$C:$C, Captura_Obra!B126, Captura_Marimba_M01!$D:$D, Captura_Obra!D126))&gt;0), "", "No Reportado")</f>
        <v/>
      </c>
      <c r="C422" s="10702">
        <f>IF(OR(Captura_Obra!A126="", (SUMIFS(Captura_Pegaso!$H:$H, Captura_Pegaso!$A:$A, Captura_Obra!A126, Captura_Pegaso!$D:$D, Captura_Obra!B126, Captura_Pegaso!$E:$E, Captura_Obra!D126) + SUMIFS(Captura_Marimba_M01!$G:$G, Captura_Marimba_M01!$A:$A, Captura_Obra!A126, Captura_Marimba_M01!$C:$C, Captura_Obra!B126, Captura_Marimba_M01!$D:$D, Captura_Obra!D126))&gt;0), "", Captura_Obra!N126)</f>
        <v/>
      </c>
      <c r="D422" s="10703">
        <f>IF(OR(Captura_Obra!A126="", (SUMIFS(Captura_Pegaso!$H:$H, Captura_Pegaso!$A:$A, Captura_Obra!A126, Captura_Pegaso!$D:$D, Captura_Obra!B126, Captura_Pegaso!$E:$E, Captura_Obra!D126) + SUMIFS(Captura_Marimba_M01!$G:$G, Captura_Marimba_M01!$A:$A, Captura_Obra!A126, Captura_Marimba_M01!$C:$C, Captura_Obra!B126, Captura_Marimba_M01!$D:$D, Captura_Obra!D126))&gt;0), "", "❌ Falta en Pipa")</f>
        <v/>
      </c>
      <c r="E422" s="10704">
        <f>IF(OR(Captura_Obra!A126="", (SUMIFS(Captura_Pegaso!$H:$H, Captura_Pegaso!$A:$A, Captura_Obra!A126, Captura_Pegaso!$D:$D, Captura_Obra!B126, Captura_Pegaso!$E:$E, Captura_Obra!D126) + SUMIFS(Captura_Marimba_M01!$G:$G, Captura_Marimba_M01!$A:$A, Captura_Obra!A126, Captura_Marimba_M01!$C:$C, Captura_Obra!B126, Captura_Marimba_M01!$D:$D, Captura_Obra!D126))&gt;0), "", Captura_Obra!A126)</f>
        <v/>
      </c>
      <c r="F422" s="10705">
        <f>IF(OR(Captura_Obra!A126="", (SUMIFS(Captura_Pegaso!$H:$H, Captura_Pegaso!$A:$A, Captura_Obra!A126, Captura_Pegaso!$D:$D, Captura_Obra!B126, Captura_Pegaso!$E:$E, Captura_Obra!D126) + SUMIFS(Captura_Marimba_M01!$G:$G, Captura_Marimba_M01!$A:$A, Captura_Obra!A126, Captura_Marimba_M01!$C:$C, Captura_Obra!B126, Captura_Marimba_M01!$D:$D, Captura_Obra!D126))&gt;0), "", Captura_Obra!B126)</f>
        <v/>
      </c>
      <c r="G422" s="10706">
        <f>IF(OR(Captura_Obra!A126="", (SUMIFS(Captura_Pegaso!$H:$H, Captura_Pegaso!$A:$A, Captura_Obra!A126, Captura_Pegaso!$D:$D, Captura_Obra!B126, Captura_Pegaso!$E:$E, Captura_Obra!D126) + SUMIFS(Captura_Marimba_M01!$G:$G, Captura_Marimba_M01!$A:$A, Captura_Obra!A126, Captura_Marimba_M01!$C:$C, Captura_Obra!B126, Captura_Marimba_M01!$D:$D, Captura_Obra!D126))&gt;0), "", Captura_Obra!D126)</f>
        <v/>
      </c>
      <c r="H422" s="10707">
        <f>IF(OR(Captura_Obra!A126="", (SUMIFS(Captura_Pegaso!$H:$H, Captura_Pegaso!$A:$A, Captura_Obra!A126, Captura_Pegaso!$D:$D, Captura_Obra!B126, Captura_Pegaso!$E:$E, Captura_Obra!D126) + SUMIFS(Captura_Marimba_M01!$G:$G, Captura_Marimba_M01!$A:$A, Captura_Obra!A126, Captura_Marimba_M01!$C:$C, Captura_Obra!B126, Captura_Marimba_M01!$D:$D, Captura_Obra!D126))&gt;0), "", 0)</f>
        <v/>
      </c>
      <c r="I422" s="10708">
        <f>IF(OR(Captura_Obra!A126="", (SUMIFS(Captura_Pegaso!$H:$H, Captura_Pegaso!$A:$A, Captura_Obra!A126, Captura_Pegaso!$D:$D, Captura_Obra!B126, Captura_Pegaso!$E:$E, Captura_Obra!D126) + SUMIFS(Captura_Marimba_M01!$G:$G, Captura_Marimba_M01!$A:$A, Captura_Obra!A126, Captura_Marimba_M01!$C:$C, Captura_Obra!B126, Captura_Marimba_M01!$D:$D, Captura_Obra!D126))&gt;0), "", Captura_Obra!F126)</f>
        <v/>
      </c>
      <c r="J422" s="10709">
        <f>IF(OR(Captura_Obra!A126="", (SUMIFS(Captura_Pegaso!$H:$H, Captura_Pegaso!$A:$A, Captura_Obra!A126, Captura_Pegaso!$D:$D, Captura_Obra!B126, Captura_Pegaso!$E:$E, Captura_Obra!D126) + SUMIFS(Captura_Marimba_M01!$G:$G, Captura_Marimba_M01!$A:$A, Captura_Obra!A126, Captura_Marimba_M01!$C:$C, Captura_Obra!B126, Captura_Marimba_M01!$D:$D, Captura_Obra!D126))&gt;0), "", H422 - I422)</f>
        <v/>
      </c>
      <c r="K422" s="4231" t="n"/>
    </row>
    <row r="423">
      <c r="A423" s="10710">
        <f>IF(OR(Captura_Obra!A127="", (SUMIFS(Captura_Pegaso!$H:$H, Captura_Pegaso!$A:$A, Captura_Obra!A127, Captura_Pegaso!$D:$D, Captura_Obra!B127, Captura_Pegaso!$E:$E, Captura_Obra!D127) + SUMIFS(Captura_Marimba_M01!$G:$G, Captura_Marimba_M01!$A:$A, Captura_Obra!A127, Captura_Marimba_M01!$C:$C, Captura_Obra!B127, Captura_Marimba_M01!$D:$D, Captura_Obra!D127))&gt;0), "", "Huérfano Obra")</f>
        <v/>
      </c>
      <c r="B423" s="10711">
        <f>IF(OR(Captura_Obra!A127="", (SUMIFS(Captura_Pegaso!$H:$H, Captura_Pegaso!$A:$A, Captura_Obra!A127, Captura_Pegaso!$D:$D, Captura_Obra!B127, Captura_Pegaso!$E:$E, Captura_Obra!D127) + SUMIFS(Captura_Marimba_M01!$G:$G, Captura_Marimba_M01!$A:$A, Captura_Obra!A127, Captura_Marimba_M01!$C:$C, Captura_Obra!B127, Captura_Marimba_M01!$D:$D, Captura_Obra!D127))&gt;0), "", "No Reportado")</f>
        <v/>
      </c>
      <c r="C423" s="10712">
        <f>IF(OR(Captura_Obra!A127="", (SUMIFS(Captura_Pegaso!$H:$H, Captura_Pegaso!$A:$A, Captura_Obra!A127, Captura_Pegaso!$D:$D, Captura_Obra!B127, Captura_Pegaso!$E:$E, Captura_Obra!D127) + SUMIFS(Captura_Marimba_M01!$G:$G, Captura_Marimba_M01!$A:$A, Captura_Obra!A127, Captura_Marimba_M01!$C:$C, Captura_Obra!B127, Captura_Marimba_M01!$D:$D, Captura_Obra!D127))&gt;0), "", Captura_Obra!N127)</f>
        <v/>
      </c>
      <c r="D423" s="10713">
        <f>IF(OR(Captura_Obra!A127="", (SUMIFS(Captura_Pegaso!$H:$H, Captura_Pegaso!$A:$A, Captura_Obra!A127, Captura_Pegaso!$D:$D, Captura_Obra!B127, Captura_Pegaso!$E:$E, Captura_Obra!D127) + SUMIFS(Captura_Marimba_M01!$G:$G, Captura_Marimba_M01!$A:$A, Captura_Obra!A127, Captura_Marimba_M01!$C:$C, Captura_Obra!B127, Captura_Marimba_M01!$D:$D, Captura_Obra!D127))&gt;0), "", "❌ Falta en Pipa")</f>
        <v/>
      </c>
      <c r="E423" s="10714">
        <f>IF(OR(Captura_Obra!A127="", (SUMIFS(Captura_Pegaso!$H:$H, Captura_Pegaso!$A:$A, Captura_Obra!A127, Captura_Pegaso!$D:$D, Captura_Obra!B127, Captura_Pegaso!$E:$E, Captura_Obra!D127) + SUMIFS(Captura_Marimba_M01!$G:$G, Captura_Marimba_M01!$A:$A, Captura_Obra!A127, Captura_Marimba_M01!$C:$C, Captura_Obra!B127, Captura_Marimba_M01!$D:$D, Captura_Obra!D127))&gt;0), "", Captura_Obra!A127)</f>
        <v/>
      </c>
      <c r="F423" s="10715">
        <f>IF(OR(Captura_Obra!A127="", (SUMIFS(Captura_Pegaso!$H:$H, Captura_Pegaso!$A:$A, Captura_Obra!A127, Captura_Pegaso!$D:$D, Captura_Obra!B127, Captura_Pegaso!$E:$E, Captura_Obra!D127) + SUMIFS(Captura_Marimba_M01!$G:$G, Captura_Marimba_M01!$A:$A, Captura_Obra!A127, Captura_Marimba_M01!$C:$C, Captura_Obra!B127, Captura_Marimba_M01!$D:$D, Captura_Obra!D127))&gt;0), "", Captura_Obra!B127)</f>
        <v/>
      </c>
      <c r="G423" s="10716">
        <f>IF(OR(Captura_Obra!A127="", (SUMIFS(Captura_Pegaso!$H:$H, Captura_Pegaso!$A:$A, Captura_Obra!A127, Captura_Pegaso!$D:$D, Captura_Obra!B127, Captura_Pegaso!$E:$E, Captura_Obra!D127) + SUMIFS(Captura_Marimba_M01!$G:$G, Captura_Marimba_M01!$A:$A, Captura_Obra!A127, Captura_Marimba_M01!$C:$C, Captura_Obra!B127, Captura_Marimba_M01!$D:$D, Captura_Obra!D127))&gt;0), "", Captura_Obra!D127)</f>
        <v/>
      </c>
      <c r="H423" s="10717">
        <f>IF(OR(Captura_Obra!A127="", (SUMIFS(Captura_Pegaso!$H:$H, Captura_Pegaso!$A:$A, Captura_Obra!A127, Captura_Pegaso!$D:$D, Captura_Obra!B127, Captura_Pegaso!$E:$E, Captura_Obra!D127) + SUMIFS(Captura_Marimba_M01!$G:$G, Captura_Marimba_M01!$A:$A, Captura_Obra!A127, Captura_Marimba_M01!$C:$C, Captura_Obra!B127, Captura_Marimba_M01!$D:$D, Captura_Obra!D127))&gt;0), "", 0)</f>
        <v/>
      </c>
      <c r="I423" s="10718">
        <f>IF(OR(Captura_Obra!A127="", (SUMIFS(Captura_Pegaso!$H:$H, Captura_Pegaso!$A:$A, Captura_Obra!A127, Captura_Pegaso!$D:$D, Captura_Obra!B127, Captura_Pegaso!$E:$E, Captura_Obra!D127) + SUMIFS(Captura_Marimba_M01!$G:$G, Captura_Marimba_M01!$A:$A, Captura_Obra!A127, Captura_Marimba_M01!$C:$C, Captura_Obra!B127, Captura_Marimba_M01!$D:$D, Captura_Obra!D127))&gt;0), "", Captura_Obra!F127)</f>
        <v/>
      </c>
      <c r="J423" s="10719">
        <f>IF(OR(Captura_Obra!A127="", (SUMIFS(Captura_Pegaso!$H:$H, Captura_Pegaso!$A:$A, Captura_Obra!A127, Captura_Pegaso!$D:$D, Captura_Obra!B127, Captura_Pegaso!$E:$E, Captura_Obra!D127) + SUMIFS(Captura_Marimba_M01!$G:$G, Captura_Marimba_M01!$A:$A, Captura_Obra!A127, Captura_Marimba_M01!$C:$C, Captura_Obra!B127, Captura_Marimba_M01!$D:$D, Captura_Obra!D127))&gt;0), "", H423 - I423)</f>
        <v/>
      </c>
      <c r="K423" s="4232" t="n"/>
    </row>
    <row r="424">
      <c r="A424" s="10720">
        <f>IF(OR(Captura_Obra!A128="", (SUMIFS(Captura_Pegaso!$H:$H, Captura_Pegaso!$A:$A, Captura_Obra!A128, Captura_Pegaso!$D:$D, Captura_Obra!B128, Captura_Pegaso!$E:$E, Captura_Obra!D128) + SUMIFS(Captura_Marimba_M01!$G:$G, Captura_Marimba_M01!$A:$A, Captura_Obra!A128, Captura_Marimba_M01!$C:$C, Captura_Obra!B128, Captura_Marimba_M01!$D:$D, Captura_Obra!D128))&gt;0), "", "Huérfano Obra")</f>
        <v/>
      </c>
      <c r="B424" s="10721">
        <f>IF(OR(Captura_Obra!A128="", (SUMIFS(Captura_Pegaso!$H:$H, Captura_Pegaso!$A:$A, Captura_Obra!A128, Captura_Pegaso!$D:$D, Captura_Obra!B128, Captura_Pegaso!$E:$E, Captura_Obra!D128) + SUMIFS(Captura_Marimba_M01!$G:$G, Captura_Marimba_M01!$A:$A, Captura_Obra!A128, Captura_Marimba_M01!$C:$C, Captura_Obra!B128, Captura_Marimba_M01!$D:$D, Captura_Obra!D128))&gt;0), "", "No Reportado")</f>
        <v/>
      </c>
      <c r="C424" s="10722">
        <f>IF(OR(Captura_Obra!A128="", (SUMIFS(Captura_Pegaso!$H:$H, Captura_Pegaso!$A:$A, Captura_Obra!A128, Captura_Pegaso!$D:$D, Captura_Obra!B128, Captura_Pegaso!$E:$E, Captura_Obra!D128) + SUMIFS(Captura_Marimba_M01!$G:$G, Captura_Marimba_M01!$A:$A, Captura_Obra!A128, Captura_Marimba_M01!$C:$C, Captura_Obra!B128, Captura_Marimba_M01!$D:$D, Captura_Obra!D128))&gt;0), "", Captura_Obra!N128)</f>
        <v/>
      </c>
      <c r="D424" s="10723">
        <f>IF(OR(Captura_Obra!A128="", (SUMIFS(Captura_Pegaso!$H:$H, Captura_Pegaso!$A:$A, Captura_Obra!A128, Captura_Pegaso!$D:$D, Captura_Obra!B128, Captura_Pegaso!$E:$E, Captura_Obra!D128) + SUMIFS(Captura_Marimba_M01!$G:$G, Captura_Marimba_M01!$A:$A, Captura_Obra!A128, Captura_Marimba_M01!$C:$C, Captura_Obra!B128, Captura_Marimba_M01!$D:$D, Captura_Obra!D128))&gt;0), "", "❌ Falta en Pipa")</f>
        <v/>
      </c>
      <c r="E424" s="10724">
        <f>IF(OR(Captura_Obra!A128="", (SUMIFS(Captura_Pegaso!$H:$H, Captura_Pegaso!$A:$A, Captura_Obra!A128, Captura_Pegaso!$D:$D, Captura_Obra!B128, Captura_Pegaso!$E:$E, Captura_Obra!D128) + SUMIFS(Captura_Marimba_M01!$G:$G, Captura_Marimba_M01!$A:$A, Captura_Obra!A128, Captura_Marimba_M01!$C:$C, Captura_Obra!B128, Captura_Marimba_M01!$D:$D, Captura_Obra!D128))&gt;0), "", Captura_Obra!A128)</f>
        <v/>
      </c>
      <c r="F424" s="10725">
        <f>IF(OR(Captura_Obra!A128="", (SUMIFS(Captura_Pegaso!$H:$H, Captura_Pegaso!$A:$A, Captura_Obra!A128, Captura_Pegaso!$D:$D, Captura_Obra!B128, Captura_Pegaso!$E:$E, Captura_Obra!D128) + SUMIFS(Captura_Marimba_M01!$G:$G, Captura_Marimba_M01!$A:$A, Captura_Obra!A128, Captura_Marimba_M01!$C:$C, Captura_Obra!B128, Captura_Marimba_M01!$D:$D, Captura_Obra!D128))&gt;0), "", Captura_Obra!B128)</f>
        <v/>
      </c>
      <c r="G424" s="10726">
        <f>IF(OR(Captura_Obra!A128="", (SUMIFS(Captura_Pegaso!$H:$H, Captura_Pegaso!$A:$A, Captura_Obra!A128, Captura_Pegaso!$D:$D, Captura_Obra!B128, Captura_Pegaso!$E:$E, Captura_Obra!D128) + SUMIFS(Captura_Marimba_M01!$G:$G, Captura_Marimba_M01!$A:$A, Captura_Obra!A128, Captura_Marimba_M01!$C:$C, Captura_Obra!B128, Captura_Marimba_M01!$D:$D, Captura_Obra!D128))&gt;0), "", Captura_Obra!D128)</f>
        <v/>
      </c>
      <c r="H424" s="10727">
        <f>IF(OR(Captura_Obra!A128="", (SUMIFS(Captura_Pegaso!$H:$H, Captura_Pegaso!$A:$A, Captura_Obra!A128, Captura_Pegaso!$D:$D, Captura_Obra!B128, Captura_Pegaso!$E:$E, Captura_Obra!D128) + SUMIFS(Captura_Marimba_M01!$G:$G, Captura_Marimba_M01!$A:$A, Captura_Obra!A128, Captura_Marimba_M01!$C:$C, Captura_Obra!B128, Captura_Marimba_M01!$D:$D, Captura_Obra!D128))&gt;0), "", 0)</f>
        <v/>
      </c>
      <c r="I424" s="10728">
        <f>IF(OR(Captura_Obra!A128="", (SUMIFS(Captura_Pegaso!$H:$H, Captura_Pegaso!$A:$A, Captura_Obra!A128, Captura_Pegaso!$D:$D, Captura_Obra!B128, Captura_Pegaso!$E:$E, Captura_Obra!D128) + SUMIFS(Captura_Marimba_M01!$G:$G, Captura_Marimba_M01!$A:$A, Captura_Obra!A128, Captura_Marimba_M01!$C:$C, Captura_Obra!B128, Captura_Marimba_M01!$D:$D, Captura_Obra!D128))&gt;0), "", Captura_Obra!F128)</f>
        <v/>
      </c>
      <c r="J424" s="10729">
        <f>IF(OR(Captura_Obra!A128="", (SUMIFS(Captura_Pegaso!$H:$H, Captura_Pegaso!$A:$A, Captura_Obra!A128, Captura_Pegaso!$D:$D, Captura_Obra!B128, Captura_Pegaso!$E:$E, Captura_Obra!D128) + SUMIFS(Captura_Marimba_M01!$G:$G, Captura_Marimba_M01!$A:$A, Captura_Obra!A128, Captura_Marimba_M01!$C:$C, Captura_Obra!B128, Captura_Marimba_M01!$D:$D, Captura_Obra!D128))&gt;0), "", H424 - I424)</f>
        <v/>
      </c>
      <c r="K424" s="4233" t="n"/>
    </row>
    <row r="425">
      <c r="A425" s="10730">
        <f>IF(OR(Captura_Obra!A129="", (SUMIFS(Captura_Pegaso!$H:$H, Captura_Pegaso!$A:$A, Captura_Obra!A129, Captura_Pegaso!$D:$D, Captura_Obra!B129, Captura_Pegaso!$E:$E, Captura_Obra!D129) + SUMIFS(Captura_Marimba_M01!$G:$G, Captura_Marimba_M01!$A:$A, Captura_Obra!A129, Captura_Marimba_M01!$C:$C, Captura_Obra!B129, Captura_Marimba_M01!$D:$D, Captura_Obra!D129))&gt;0), "", "Huérfano Obra")</f>
        <v/>
      </c>
      <c r="B425" s="10731">
        <f>IF(OR(Captura_Obra!A129="", (SUMIFS(Captura_Pegaso!$H:$H, Captura_Pegaso!$A:$A, Captura_Obra!A129, Captura_Pegaso!$D:$D, Captura_Obra!B129, Captura_Pegaso!$E:$E, Captura_Obra!D129) + SUMIFS(Captura_Marimba_M01!$G:$G, Captura_Marimba_M01!$A:$A, Captura_Obra!A129, Captura_Marimba_M01!$C:$C, Captura_Obra!B129, Captura_Marimba_M01!$D:$D, Captura_Obra!D129))&gt;0), "", "No Reportado")</f>
        <v/>
      </c>
      <c r="C425" s="10732">
        <f>IF(OR(Captura_Obra!A129="", (SUMIFS(Captura_Pegaso!$H:$H, Captura_Pegaso!$A:$A, Captura_Obra!A129, Captura_Pegaso!$D:$D, Captura_Obra!B129, Captura_Pegaso!$E:$E, Captura_Obra!D129) + SUMIFS(Captura_Marimba_M01!$G:$G, Captura_Marimba_M01!$A:$A, Captura_Obra!A129, Captura_Marimba_M01!$C:$C, Captura_Obra!B129, Captura_Marimba_M01!$D:$D, Captura_Obra!D129))&gt;0), "", Captura_Obra!N129)</f>
        <v/>
      </c>
      <c r="D425" s="10733">
        <f>IF(OR(Captura_Obra!A129="", (SUMIFS(Captura_Pegaso!$H:$H, Captura_Pegaso!$A:$A, Captura_Obra!A129, Captura_Pegaso!$D:$D, Captura_Obra!B129, Captura_Pegaso!$E:$E, Captura_Obra!D129) + SUMIFS(Captura_Marimba_M01!$G:$G, Captura_Marimba_M01!$A:$A, Captura_Obra!A129, Captura_Marimba_M01!$C:$C, Captura_Obra!B129, Captura_Marimba_M01!$D:$D, Captura_Obra!D129))&gt;0), "", "❌ Falta en Pipa")</f>
        <v/>
      </c>
      <c r="E425" s="10734">
        <f>IF(OR(Captura_Obra!A129="", (SUMIFS(Captura_Pegaso!$H:$H, Captura_Pegaso!$A:$A, Captura_Obra!A129, Captura_Pegaso!$D:$D, Captura_Obra!B129, Captura_Pegaso!$E:$E, Captura_Obra!D129) + SUMIFS(Captura_Marimba_M01!$G:$G, Captura_Marimba_M01!$A:$A, Captura_Obra!A129, Captura_Marimba_M01!$C:$C, Captura_Obra!B129, Captura_Marimba_M01!$D:$D, Captura_Obra!D129))&gt;0), "", Captura_Obra!A129)</f>
        <v/>
      </c>
      <c r="F425" s="10735">
        <f>IF(OR(Captura_Obra!A129="", (SUMIFS(Captura_Pegaso!$H:$H, Captura_Pegaso!$A:$A, Captura_Obra!A129, Captura_Pegaso!$D:$D, Captura_Obra!B129, Captura_Pegaso!$E:$E, Captura_Obra!D129) + SUMIFS(Captura_Marimba_M01!$G:$G, Captura_Marimba_M01!$A:$A, Captura_Obra!A129, Captura_Marimba_M01!$C:$C, Captura_Obra!B129, Captura_Marimba_M01!$D:$D, Captura_Obra!D129))&gt;0), "", Captura_Obra!B129)</f>
        <v/>
      </c>
      <c r="G425" s="10736">
        <f>IF(OR(Captura_Obra!A129="", (SUMIFS(Captura_Pegaso!$H:$H, Captura_Pegaso!$A:$A, Captura_Obra!A129, Captura_Pegaso!$D:$D, Captura_Obra!B129, Captura_Pegaso!$E:$E, Captura_Obra!D129) + SUMIFS(Captura_Marimba_M01!$G:$G, Captura_Marimba_M01!$A:$A, Captura_Obra!A129, Captura_Marimba_M01!$C:$C, Captura_Obra!B129, Captura_Marimba_M01!$D:$D, Captura_Obra!D129))&gt;0), "", Captura_Obra!D129)</f>
        <v/>
      </c>
      <c r="H425" s="10737">
        <f>IF(OR(Captura_Obra!A129="", (SUMIFS(Captura_Pegaso!$H:$H, Captura_Pegaso!$A:$A, Captura_Obra!A129, Captura_Pegaso!$D:$D, Captura_Obra!B129, Captura_Pegaso!$E:$E, Captura_Obra!D129) + SUMIFS(Captura_Marimba_M01!$G:$G, Captura_Marimba_M01!$A:$A, Captura_Obra!A129, Captura_Marimba_M01!$C:$C, Captura_Obra!B129, Captura_Marimba_M01!$D:$D, Captura_Obra!D129))&gt;0), "", 0)</f>
        <v/>
      </c>
      <c r="I425" s="10738">
        <f>IF(OR(Captura_Obra!A129="", (SUMIFS(Captura_Pegaso!$H:$H, Captura_Pegaso!$A:$A, Captura_Obra!A129, Captura_Pegaso!$D:$D, Captura_Obra!B129, Captura_Pegaso!$E:$E, Captura_Obra!D129) + SUMIFS(Captura_Marimba_M01!$G:$G, Captura_Marimba_M01!$A:$A, Captura_Obra!A129, Captura_Marimba_M01!$C:$C, Captura_Obra!B129, Captura_Marimba_M01!$D:$D, Captura_Obra!D129))&gt;0), "", Captura_Obra!F129)</f>
        <v/>
      </c>
      <c r="J425" s="10739">
        <f>IF(OR(Captura_Obra!A129="", (SUMIFS(Captura_Pegaso!$H:$H, Captura_Pegaso!$A:$A, Captura_Obra!A129, Captura_Pegaso!$D:$D, Captura_Obra!B129, Captura_Pegaso!$E:$E, Captura_Obra!D129) + SUMIFS(Captura_Marimba_M01!$G:$G, Captura_Marimba_M01!$A:$A, Captura_Obra!A129, Captura_Marimba_M01!$C:$C, Captura_Obra!B129, Captura_Marimba_M01!$D:$D, Captura_Obra!D129))&gt;0), "", H425 - I425)</f>
        <v/>
      </c>
      <c r="K425" s="4234" t="n"/>
    </row>
    <row r="426">
      <c r="A426" s="10740">
        <f>IF(OR(Captura_Obra!A130="", (SUMIFS(Captura_Pegaso!$H:$H, Captura_Pegaso!$A:$A, Captura_Obra!A130, Captura_Pegaso!$D:$D, Captura_Obra!B130, Captura_Pegaso!$E:$E, Captura_Obra!D130) + SUMIFS(Captura_Marimba_M01!$G:$G, Captura_Marimba_M01!$A:$A, Captura_Obra!A130, Captura_Marimba_M01!$C:$C, Captura_Obra!B130, Captura_Marimba_M01!$D:$D, Captura_Obra!D130))&gt;0), "", "Huérfano Obra")</f>
        <v/>
      </c>
      <c r="B426" s="10741">
        <f>IF(OR(Captura_Obra!A130="", (SUMIFS(Captura_Pegaso!$H:$H, Captura_Pegaso!$A:$A, Captura_Obra!A130, Captura_Pegaso!$D:$D, Captura_Obra!B130, Captura_Pegaso!$E:$E, Captura_Obra!D130) + SUMIFS(Captura_Marimba_M01!$G:$G, Captura_Marimba_M01!$A:$A, Captura_Obra!A130, Captura_Marimba_M01!$C:$C, Captura_Obra!B130, Captura_Marimba_M01!$D:$D, Captura_Obra!D130))&gt;0), "", "No Reportado")</f>
        <v/>
      </c>
      <c r="C426" s="10742">
        <f>IF(OR(Captura_Obra!A130="", (SUMIFS(Captura_Pegaso!$H:$H, Captura_Pegaso!$A:$A, Captura_Obra!A130, Captura_Pegaso!$D:$D, Captura_Obra!B130, Captura_Pegaso!$E:$E, Captura_Obra!D130) + SUMIFS(Captura_Marimba_M01!$G:$G, Captura_Marimba_M01!$A:$A, Captura_Obra!A130, Captura_Marimba_M01!$C:$C, Captura_Obra!B130, Captura_Marimba_M01!$D:$D, Captura_Obra!D130))&gt;0), "", Captura_Obra!N130)</f>
        <v/>
      </c>
      <c r="D426" s="10743">
        <f>IF(OR(Captura_Obra!A130="", (SUMIFS(Captura_Pegaso!$H:$H, Captura_Pegaso!$A:$A, Captura_Obra!A130, Captura_Pegaso!$D:$D, Captura_Obra!B130, Captura_Pegaso!$E:$E, Captura_Obra!D130) + SUMIFS(Captura_Marimba_M01!$G:$G, Captura_Marimba_M01!$A:$A, Captura_Obra!A130, Captura_Marimba_M01!$C:$C, Captura_Obra!B130, Captura_Marimba_M01!$D:$D, Captura_Obra!D130))&gt;0), "", "❌ Falta en Pipa")</f>
        <v/>
      </c>
      <c r="E426" s="10744">
        <f>IF(OR(Captura_Obra!A130="", (SUMIFS(Captura_Pegaso!$H:$H, Captura_Pegaso!$A:$A, Captura_Obra!A130, Captura_Pegaso!$D:$D, Captura_Obra!B130, Captura_Pegaso!$E:$E, Captura_Obra!D130) + SUMIFS(Captura_Marimba_M01!$G:$G, Captura_Marimba_M01!$A:$A, Captura_Obra!A130, Captura_Marimba_M01!$C:$C, Captura_Obra!B130, Captura_Marimba_M01!$D:$D, Captura_Obra!D130))&gt;0), "", Captura_Obra!A130)</f>
        <v/>
      </c>
      <c r="F426" s="10745">
        <f>IF(OR(Captura_Obra!A130="", (SUMIFS(Captura_Pegaso!$H:$H, Captura_Pegaso!$A:$A, Captura_Obra!A130, Captura_Pegaso!$D:$D, Captura_Obra!B130, Captura_Pegaso!$E:$E, Captura_Obra!D130) + SUMIFS(Captura_Marimba_M01!$G:$G, Captura_Marimba_M01!$A:$A, Captura_Obra!A130, Captura_Marimba_M01!$C:$C, Captura_Obra!B130, Captura_Marimba_M01!$D:$D, Captura_Obra!D130))&gt;0), "", Captura_Obra!B130)</f>
        <v/>
      </c>
      <c r="G426" s="10746">
        <f>IF(OR(Captura_Obra!A130="", (SUMIFS(Captura_Pegaso!$H:$H, Captura_Pegaso!$A:$A, Captura_Obra!A130, Captura_Pegaso!$D:$D, Captura_Obra!B130, Captura_Pegaso!$E:$E, Captura_Obra!D130) + SUMIFS(Captura_Marimba_M01!$G:$G, Captura_Marimba_M01!$A:$A, Captura_Obra!A130, Captura_Marimba_M01!$C:$C, Captura_Obra!B130, Captura_Marimba_M01!$D:$D, Captura_Obra!D130))&gt;0), "", Captura_Obra!D130)</f>
        <v/>
      </c>
      <c r="H426" s="10747">
        <f>IF(OR(Captura_Obra!A130="", (SUMIFS(Captura_Pegaso!$H:$H, Captura_Pegaso!$A:$A, Captura_Obra!A130, Captura_Pegaso!$D:$D, Captura_Obra!B130, Captura_Pegaso!$E:$E, Captura_Obra!D130) + SUMIFS(Captura_Marimba_M01!$G:$G, Captura_Marimba_M01!$A:$A, Captura_Obra!A130, Captura_Marimba_M01!$C:$C, Captura_Obra!B130, Captura_Marimba_M01!$D:$D, Captura_Obra!D130))&gt;0), "", 0)</f>
        <v/>
      </c>
      <c r="I426" s="10748">
        <f>IF(OR(Captura_Obra!A130="", (SUMIFS(Captura_Pegaso!$H:$H, Captura_Pegaso!$A:$A, Captura_Obra!A130, Captura_Pegaso!$D:$D, Captura_Obra!B130, Captura_Pegaso!$E:$E, Captura_Obra!D130) + SUMIFS(Captura_Marimba_M01!$G:$G, Captura_Marimba_M01!$A:$A, Captura_Obra!A130, Captura_Marimba_M01!$C:$C, Captura_Obra!B130, Captura_Marimba_M01!$D:$D, Captura_Obra!D130))&gt;0), "", Captura_Obra!F130)</f>
        <v/>
      </c>
      <c r="J426" s="10749">
        <f>IF(OR(Captura_Obra!A130="", (SUMIFS(Captura_Pegaso!$H:$H, Captura_Pegaso!$A:$A, Captura_Obra!A130, Captura_Pegaso!$D:$D, Captura_Obra!B130, Captura_Pegaso!$E:$E, Captura_Obra!D130) + SUMIFS(Captura_Marimba_M01!$G:$G, Captura_Marimba_M01!$A:$A, Captura_Obra!A130, Captura_Marimba_M01!$C:$C, Captura_Obra!B130, Captura_Marimba_M01!$D:$D, Captura_Obra!D130))&gt;0), "", H426 - I426)</f>
        <v/>
      </c>
      <c r="K426" s="4235" t="n"/>
    </row>
    <row r="427">
      <c r="A427" s="10750">
        <f>IF(OR(Captura_Obra!A131="", (SUMIFS(Captura_Pegaso!$H:$H, Captura_Pegaso!$A:$A, Captura_Obra!A131, Captura_Pegaso!$D:$D, Captura_Obra!B131, Captura_Pegaso!$E:$E, Captura_Obra!D131) + SUMIFS(Captura_Marimba_M01!$G:$G, Captura_Marimba_M01!$A:$A, Captura_Obra!A131, Captura_Marimba_M01!$C:$C, Captura_Obra!B131, Captura_Marimba_M01!$D:$D, Captura_Obra!D131))&gt;0), "", "Huérfano Obra")</f>
        <v/>
      </c>
      <c r="B427" s="10751">
        <f>IF(OR(Captura_Obra!A131="", (SUMIFS(Captura_Pegaso!$H:$H, Captura_Pegaso!$A:$A, Captura_Obra!A131, Captura_Pegaso!$D:$D, Captura_Obra!B131, Captura_Pegaso!$E:$E, Captura_Obra!D131) + SUMIFS(Captura_Marimba_M01!$G:$G, Captura_Marimba_M01!$A:$A, Captura_Obra!A131, Captura_Marimba_M01!$C:$C, Captura_Obra!B131, Captura_Marimba_M01!$D:$D, Captura_Obra!D131))&gt;0), "", "No Reportado")</f>
        <v/>
      </c>
      <c r="C427" s="10752">
        <f>IF(OR(Captura_Obra!A131="", (SUMIFS(Captura_Pegaso!$H:$H, Captura_Pegaso!$A:$A, Captura_Obra!A131, Captura_Pegaso!$D:$D, Captura_Obra!B131, Captura_Pegaso!$E:$E, Captura_Obra!D131) + SUMIFS(Captura_Marimba_M01!$G:$G, Captura_Marimba_M01!$A:$A, Captura_Obra!A131, Captura_Marimba_M01!$C:$C, Captura_Obra!B131, Captura_Marimba_M01!$D:$D, Captura_Obra!D131))&gt;0), "", Captura_Obra!N131)</f>
        <v/>
      </c>
      <c r="D427" s="10753">
        <f>IF(OR(Captura_Obra!A131="", (SUMIFS(Captura_Pegaso!$H:$H, Captura_Pegaso!$A:$A, Captura_Obra!A131, Captura_Pegaso!$D:$D, Captura_Obra!B131, Captura_Pegaso!$E:$E, Captura_Obra!D131) + SUMIFS(Captura_Marimba_M01!$G:$G, Captura_Marimba_M01!$A:$A, Captura_Obra!A131, Captura_Marimba_M01!$C:$C, Captura_Obra!B131, Captura_Marimba_M01!$D:$D, Captura_Obra!D131))&gt;0), "", "❌ Falta en Pipa")</f>
        <v/>
      </c>
      <c r="E427" s="10754">
        <f>IF(OR(Captura_Obra!A131="", (SUMIFS(Captura_Pegaso!$H:$H, Captura_Pegaso!$A:$A, Captura_Obra!A131, Captura_Pegaso!$D:$D, Captura_Obra!B131, Captura_Pegaso!$E:$E, Captura_Obra!D131) + SUMIFS(Captura_Marimba_M01!$G:$G, Captura_Marimba_M01!$A:$A, Captura_Obra!A131, Captura_Marimba_M01!$C:$C, Captura_Obra!B131, Captura_Marimba_M01!$D:$D, Captura_Obra!D131))&gt;0), "", Captura_Obra!A131)</f>
        <v/>
      </c>
      <c r="F427" s="10755">
        <f>IF(OR(Captura_Obra!A131="", (SUMIFS(Captura_Pegaso!$H:$H, Captura_Pegaso!$A:$A, Captura_Obra!A131, Captura_Pegaso!$D:$D, Captura_Obra!B131, Captura_Pegaso!$E:$E, Captura_Obra!D131) + SUMIFS(Captura_Marimba_M01!$G:$G, Captura_Marimba_M01!$A:$A, Captura_Obra!A131, Captura_Marimba_M01!$C:$C, Captura_Obra!B131, Captura_Marimba_M01!$D:$D, Captura_Obra!D131))&gt;0), "", Captura_Obra!B131)</f>
        <v/>
      </c>
      <c r="G427" s="10756">
        <f>IF(OR(Captura_Obra!A131="", (SUMIFS(Captura_Pegaso!$H:$H, Captura_Pegaso!$A:$A, Captura_Obra!A131, Captura_Pegaso!$D:$D, Captura_Obra!B131, Captura_Pegaso!$E:$E, Captura_Obra!D131) + SUMIFS(Captura_Marimba_M01!$G:$G, Captura_Marimba_M01!$A:$A, Captura_Obra!A131, Captura_Marimba_M01!$C:$C, Captura_Obra!B131, Captura_Marimba_M01!$D:$D, Captura_Obra!D131))&gt;0), "", Captura_Obra!D131)</f>
        <v/>
      </c>
      <c r="H427" s="10757">
        <f>IF(OR(Captura_Obra!A131="", (SUMIFS(Captura_Pegaso!$H:$H, Captura_Pegaso!$A:$A, Captura_Obra!A131, Captura_Pegaso!$D:$D, Captura_Obra!B131, Captura_Pegaso!$E:$E, Captura_Obra!D131) + SUMIFS(Captura_Marimba_M01!$G:$G, Captura_Marimba_M01!$A:$A, Captura_Obra!A131, Captura_Marimba_M01!$C:$C, Captura_Obra!B131, Captura_Marimba_M01!$D:$D, Captura_Obra!D131))&gt;0), "", 0)</f>
        <v/>
      </c>
      <c r="I427" s="10758">
        <f>IF(OR(Captura_Obra!A131="", (SUMIFS(Captura_Pegaso!$H:$H, Captura_Pegaso!$A:$A, Captura_Obra!A131, Captura_Pegaso!$D:$D, Captura_Obra!B131, Captura_Pegaso!$E:$E, Captura_Obra!D131) + SUMIFS(Captura_Marimba_M01!$G:$G, Captura_Marimba_M01!$A:$A, Captura_Obra!A131, Captura_Marimba_M01!$C:$C, Captura_Obra!B131, Captura_Marimba_M01!$D:$D, Captura_Obra!D131))&gt;0), "", Captura_Obra!F131)</f>
        <v/>
      </c>
      <c r="J427" s="10759">
        <f>IF(OR(Captura_Obra!A131="", (SUMIFS(Captura_Pegaso!$H:$H, Captura_Pegaso!$A:$A, Captura_Obra!A131, Captura_Pegaso!$D:$D, Captura_Obra!B131, Captura_Pegaso!$E:$E, Captura_Obra!D131) + SUMIFS(Captura_Marimba_M01!$G:$G, Captura_Marimba_M01!$A:$A, Captura_Obra!A131, Captura_Marimba_M01!$C:$C, Captura_Obra!B131, Captura_Marimba_M01!$D:$D, Captura_Obra!D131))&gt;0), "", H427 - I427)</f>
        <v/>
      </c>
      <c r="K427" s="4236" t="n"/>
    </row>
    <row r="428">
      <c r="A428" s="10760">
        <f>IF(OR(Captura_Obra!A132="", (SUMIFS(Captura_Pegaso!$H:$H, Captura_Pegaso!$A:$A, Captura_Obra!A132, Captura_Pegaso!$D:$D, Captura_Obra!B132, Captura_Pegaso!$E:$E, Captura_Obra!D132) + SUMIFS(Captura_Marimba_M01!$G:$G, Captura_Marimba_M01!$A:$A, Captura_Obra!A132, Captura_Marimba_M01!$C:$C, Captura_Obra!B132, Captura_Marimba_M01!$D:$D, Captura_Obra!D132))&gt;0), "", "Huérfano Obra")</f>
        <v/>
      </c>
      <c r="B428" s="10761">
        <f>IF(OR(Captura_Obra!A132="", (SUMIFS(Captura_Pegaso!$H:$H, Captura_Pegaso!$A:$A, Captura_Obra!A132, Captura_Pegaso!$D:$D, Captura_Obra!B132, Captura_Pegaso!$E:$E, Captura_Obra!D132) + SUMIFS(Captura_Marimba_M01!$G:$G, Captura_Marimba_M01!$A:$A, Captura_Obra!A132, Captura_Marimba_M01!$C:$C, Captura_Obra!B132, Captura_Marimba_M01!$D:$D, Captura_Obra!D132))&gt;0), "", "No Reportado")</f>
        <v/>
      </c>
      <c r="C428" s="10762">
        <f>IF(OR(Captura_Obra!A132="", (SUMIFS(Captura_Pegaso!$H:$H, Captura_Pegaso!$A:$A, Captura_Obra!A132, Captura_Pegaso!$D:$D, Captura_Obra!B132, Captura_Pegaso!$E:$E, Captura_Obra!D132) + SUMIFS(Captura_Marimba_M01!$G:$G, Captura_Marimba_M01!$A:$A, Captura_Obra!A132, Captura_Marimba_M01!$C:$C, Captura_Obra!B132, Captura_Marimba_M01!$D:$D, Captura_Obra!D132))&gt;0), "", Captura_Obra!N132)</f>
        <v/>
      </c>
      <c r="D428" s="10763">
        <f>IF(OR(Captura_Obra!A132="", (SUMIFS(Captura_Pegaso!$H:$H, Captura_Pegaso!$A:$A, Captura_Obra!A132, Captura_Pegaso!$D:$D, Captura_Obra!B132, Captura_Pegaso!$E:$E, Captura_Obra!D132) + SUMIFS(Captura_Marimba_M01!$G:$G, Captura_Marimba_M01!$A:$A, Captura_Obra!A132, Captura_Marimba_M01!$C:$C, Captura_Obra!B132, Captura_Marimba_M01!$D:$D, Captura_Obra!D132))&gt;0), "", "❌ Falta en Pipa")</f>
        <v/>
      </c>
      <c r="E428" s="10764">
        <f>IF(OR(Captura_Obra!A132="", (SUMIFS(Captura_Pegaso!$H:$H, Captura_Pegaso!$A:$A, Captura_Obra!A132, Captura_Pegaso!$D:$D, Captura_Obra!B132, Captura_Pegaso!$E:$E, Captura_Obra!D132) + SUMIFS(Captura_Marimba_M01!$G:$G, Captura_Marimba_M01!$A:$A, Captura_Obra!A132, Captura_Marimba_M01!$C:$C, Captura_Obra!B132, Captura_Marimba_M01!$D:$D, Captura_Obra!D132))&gt;0), "", Captura_Obra!A132)</f>
        <v/>
      </c>
      <c r="F428" s="10765">
        <f>IF(OR(Captura_Obra!A132="", (SUMIFS(Captura_Pegaso!$H:$H, Captura_Pegaso!$A:$A, Captura_Obra!A132, Captura_Pegaso!$D:$D, Captura_Obra!B132, Captura_Pegaso!$E:$E, Captura_Obra!D132) + SUMIFS(Captura_Marimba_M01!$G:$G, Captura_Marimba_M01!$A:$A, Captura_Obra!A132, Captura_Marimba_M01!$C:$C, Captura_Obra!B132, Captura_Marimba_M01!$D:$D, Captura_Obra!D132))&gt;0), "", Captura_Obra!B132)</f>
        <v/>
      </c>
      <c r="G428" s="10766">
        <f>IF(OR(Captura_Obra!A132="", (SUMIFS(Captura_Pegaso!$H:$H, Captura_Pegaso!$A:$A, Captura_Obra!A132, Captura_Pegaso!$D:$D, Captura_Obra!B132, Captura_Pegaso!$E:$E, Captura_Obra!D132) + SUMIFS(Captura_Marimba_M01!$G:$G, Captura_Marimba_M01!$A:$A, Captura_Obra!A132, Captura_Marimba_M01!$C:$C, Captura_Obra!B132, Captura_Marimba_M01!$D:$D, Captura_Obra!D132))&gt;0), "", Captura_Obra!D132)</f>
        <v/>
      </c>
      <c r="H428" s="10767">
        <f>IF(OR(Captura_Obra!A132="", (SUMIFS(Captura_Pegaso!$H:$H, Captura_Pegaso!$A:$A, Captura_Obra!A132, Captura_Pegaso!$D:$D, Captura_Obra!B132, Captura_Pegaso!$E:$E, Captura_Obra!D132) + SUMIFS(Captura_Marimba_M01!$G:$G, Captura_Marimba_M01!$A:$A, Captura_Obra!A132, Captura_Marimba_M01!$C:$C, Captura_Obra!B132, Captura_Marimba_M01!$D:$D, Captura_Obra!D132))&gt;0), "", 0)</f>
        <v/>
      </c>
      <c r="I428" s="10768">
        <f>IF(OR(Captura_Obra!A132="", (SUMIFS(Captura_Pegaso!$H:$H, Captura_Pegaso!$A:$A, Captura_Obra!A132, Captura_Pegaso!$D:$D, Captura_Obra!B132, Captura_Pegaso!$E:$E, Captura_Obra!D132) + SUMIFS(Captura_Marimba_M01!$G:$G, Captura_Marimba_M01!$A:$A, Captura_Obra!A132, Captura_Marimba_M01!$C:$C, Captura_Obra!B132, Captura_Marimba_M01!$D:$D, Captura_Obra!D132))&gt;0), "", Captura_Obra!F132)</f>
        <v/>
      </c>
      <c r="J428" s="10769">
        <f>IF(OR(Captura_Obra!A132="", (SUMIFS(Captura_Pegaso!$H:$H, Captura_Pegaso!$A:$A, Captura_Obra!A132, Captura_Pegaso!$D:$D, Captura_Obra!B132, Captura_Pegaso!$E:$E, Captura_Obra!D132) + SUMIFS(Captura_Marimba_M01!$G:$G, Captura_Marimba_M01!$A:$A, Captura_Obra!A132, Captura_Marimba_M01!$C:$C, Captura_Obra!B132, Captura_Marimba_M01!$D:$D, Captura_Obra!D132))&gt;0), "", H428 - I428)</f>
        <v/>
      </c>
      <c r="K428" s="4237" t="n"/>
    </row>
    <row r="429">
      <c r="A429" s="10770">
        <f>IF(OR(Captura_Obra!A133="", (SUMIFS(Captura_Pegaso!$H:$H, Captura_Pegaso!$A:$A, Captura_Obra!A133, Captura_Pegaso!$D:$D, Captura_Obra!B133, Captura_Pegaso!$E:$E, Captura_Obra!D133) + SUMIFS(Captura_Marimba_M01!$G:$G, Captura_Marimba_M01!$A:$A, Captura_Obra!A133, Captura_Marimba_M01!$C:$C, Captura_Obra!B133, Captura_Marimba_M01!$D:$D, Captura_Obra!D133))&gt;0), "", "Huérfano Obra")</f>
        <v/>
      </c>
      <c r="B429" s="10771">
        <f>IF(OR(Captura_Obra!A133="", (SUMIFS(Captura_Pegaso!$H:$H, Captura_Pegaso!$A:$A, Captura_Obra!A133, Captura_Pegaso!$D:$D, Captura_Obra!B133, Captura_Pegaso!$E:$E, Captura_Obra!D133) + SUMIFS(Captura_Marimba_M01!$G:$G, Captura_Marimba_M01!$A:$A, Captura_Obra!A133, Captura_Marimba_M01!$C:$C, Captura_Obra!B133, Captura_Marimba_M01!$D:$D, Captura_Obra!D133))&gt;0), "", "No Reportado")</f>
        <v/>
      </c>
      <c r="C429" s="10772">
        <f>IF(OR(Captura_Obra!A133="", (SUMIFS(Captura_Pegaso!$H:$H, Captura_Pegaso!$A:$A, Captura_Obra!A133, Captura_Pegaso!$D:$D, Captura_Obra!B133, Captura_Pegaso!$E:$E, Captura_Obra!D133) + SUMIFS(Captura_Marimba_M01!$G:$G, Captura_Marimba_M01!$A:$A, Captura_Obra!A133, Captura_Marimba_M01!$C:$C, Captura_Obra!B133, Captura_Marimba_M01!$D:$D, Captura_Obra!D133))&gt;0), "", Captura_Obra!N133)</f>
        <v/>
      </c>
      <c r="D429" s="10773">
        <f>IF(OR(Captura_Obra!A133="", (SUMIFS(Captura_Pegaso!$H:$H, Captura_Pegaso!$A:$A, Captura_Obra!A133, Captura_Pegaso!$D:$D, Captura_Obra!B133, Captura_Pegaso!$E:$E, Captura_Obra!D133) + SUMIFS(Captura_Marimba_M01!$G:$G, Captura_Marimba_M01!$A:$A, Captura_Obra!A133, Captura_Marimba_M01!$C:$C, Captura_Obra!B133, Captura_Marimba_M01!$D:$D, Captura_Obra!D133))&gt;0), "", "❌ Falta en Pipa")</f>
        <v/>
      </c>
      <c r="E429" s="10774">
        <f>IF(OR(Captura_Obra!A133="", (SUMIFS(Captura_Pegaso!$H:$H, Captura_Pegaso!$A:$A, Captura_Obra!A133, Captura_Pegaso!$D:$D, Captura_Obra!B133, Captura_Pegaso!$E:$E, Captura_Obra!D133) + SUMIFS(Captura_Marimba_M01!$G:$G, Captura_Marimba_M01!$A:$A, Captura_Obra!A133, Captura_Marimba_M01!$C:$C, Captura_Obra!B133, Captura_Marimba_M01!$D:$D, Captura_Obra!D133))&gt;0), "", Captura_Obra!A133)</f>
        <v/>
      </c>
      <c r="F429" s="10775">
        <f>IF(OR(Captura_Obra!A133="", (SUMIFS(Captura_Pegaso!$H:$H, Captura_Pegaso!$A:$A, Captura_Obra!A133, Captura_Pegaso!$D:$D, Captura_Obra!B133, Captura_Pegaso!$E:$E, Captura_Obra!D133) + SUMIFS(Captura_Marimba_M01!$G:$G, Captura_Marimba_M01!$A:$A, Captura_Obra!A133, Captura_Marimba_M01!$C:$C, Captura_Obra!B133, Captura_Marimba_M01!$D:$D, Captura_Obra!D133))&gt;0), "", Captura_Obra!B133)</f>
        <v/>
      </c>
      <c r="G429" s="10776">
        <f>IF(OR(Captura_Obra!A133="", (SUMIFS(Captura_Pegaso!$H:$H, Captura_Pegaso!$A:$A, Captura_Obra!A133, Captura_Pegaso!$D:$D, Captura_Obra!B133, Captura_Pegaso!$E:$E, Captura_Obra!D133) + SUMIFS(Captura_Marimba_M01!$G:$G, Captura_Marimba_M01!$A:$A, Captura_Obra!A133, Captura_Marimba_M01!$C:$C, Captura_Obra!B133, Captura_Marimba_M01!$D:$D, Captura_Obra!D133))&gt;0), "", Captura_Obra!D133)</f>
        <v/>
      </c>
      <c r="H429" s="10777">
        <f>IF(OR(Captura_Obra!A133="", (SUMIFS(Captura_Pegaso!$H:$H, Captura_Pegaso!$A:$A, Captura_Obra!A133, Captura_Pegaso!$D:$D, Captura_Obra!B133, Captura_Pegaso!$E:$E, Captura_Obra!D133) + SUMIFS(Captura_Marimba_M01!$G:$G, Captura_Marimba_M01!$A:$A, Captura_Obra!A133, Captura_Marimba_M01!$C:$C, Captura_Obra!B133, Captura_Marimba_M01!$D:$D, Captura_Obra!D133))&gt;0), "", 0)</f>
        <v/>
      </c>
      <c r="I429" s="10778">
        <f>IF(OR(Captura_Obra!A133="", (SUMIFS(Captura_Pegaso!$H:$H, Captura_Pegaso!$A:$A, Captura_Obra!A133, Captura_Pegaso!$D:$D, Captura_Obra!B133, Captura_Pegaso!$E:$E, Captura_Obra!D133) + SUMIFS(Captura_Marimba_M01!$G:$G, Captura_Marimba_M01!$A:$A, Captura_Obra!A133, Captura_Marimba_M01!$C:$C, Captura_Obra!B133, Captura_Marimba_M01!$D:$D, Captura_Obra!D133))&gt;0), "", Captura_Obra!F133)</f>
        <v/>
      </c>
      <c r="J429" s="10779">
        <f>IF(OR(Captura_Obra!A133="", (SUMIFS(Captura_Pegaso!$H:$H, Captura_Pegaso!$A:$A, Captura_Obra!A133, Captura_Pegaso!$D:$D, Captura_Obra!B133, Captura_Pegaso!$E:$E, Captura_Obra!D133) + SUMIFS(Captura_Marimba_M01!$G:$G, Captura_Marimba_M01!$A:$A, Captura_Obra!A133, Captura_Marimba_M01!$C:$C, Captura_Obra!B133, Captura_Marimba_M01!$D:$D, Captura_Obra!D133))&gt;0), "", H429 - I429)</f>
        <v/>
      </c>
      <c r="K429" s="4238" t="n"/>
    </row>
    <row r="430">
      <c r="A430" s="10780">
        <f>IF(OR(Captura_Obra!A134="", (SUMIFS(Captura_Pegaso!$H:$H, Captura_Pegaso!$A:$A, Captura_Obra!A134, Captura_Pegaso!$D:$D, Captura_Obra!B134, Captura_Pegaso!$E:$E, Captura_Obra!D134) + SUMIFS(Captura_Marimba_M01!$G:$G, Captura_Marimba_M01!$A:$A, Captura_Obra!A134, Captura_Marimba_M01!$C:$C, Captura_Obra!B134, Captura_Marimba_M01!$D:$D, Captura_Obra!D134))&gt;0), "", "Huérfano Obra")</f>
        <v/>
      </c>
      <c r="B430" s="10781">
        <f>IF(OR(Captura_Obra!A134="", (SUMIFS(Captura_Pegaso!$H:$H, Captura_Pegaso!$A:$A, Captura_Obra!A134, Captura_Pegaso!$D:$D, Captura_Obra!B134, Captura_Pegaso!$E:$E, Captura_Obra!D134) + SUMIFS(Captura_Marimba_M01!$G:$G, Captura_Marimba_M01!$A:$A, Captura_Obra!A134, Captura_Marimba_M01!$C:$C, Captura_Obra!B134, Captura_Marimba_M01!$D:$D, Captura_Obra!D134))&gt;0), "", "No Reportado")</f>
        <v/>
      </c>
      <c r="C430" s="10782">
        <f>IF(OR(Captura_Obra!A134="", (SUMIFS(Captura_Pegaso!$H:$H, Captura_Pegaso!$A:$A, Captura_Obra!A134, Captura_Pegaso!$D:$D, Captura_Obra!B134, Captura_Pegaso!$E:$E, Captura_Obra!D134) + SUMIFS(Captura_Marimba_M01!$G:$G, Captura_Marimba_M01!$A:$A, Captura_Obra!A134, Captura_Marimba_M01!$C:$C, Captura_Obra!B134, Captura_Marimba_M01!$D:$D, Captura_Obra!D134))&gt;0), "", Captura_Obra!N134)</f>
        <v/>
      </c>
      <c r="D430" s="10783">
        <f>IF(OR(Captura_Obra!A134="", (SUMIFS(Captura_Pegaso!$H:$H, Captura_Pegaso!$A:$A, Captura_Obra!A134, Captura_Pegaso!$D:$D, Captura_Obra!B134, Captura_Pegaso!$E:$E, Captura_Obra!D134) + SUMIFS(Captura_Marimba_M01!$G:$G, Captura_Marimba_M01!$A:$A, Captura_Obra!A134, Captura_Marimba_M01!$C:$C, Captura_Obra!B134, Captura_Marimba_M01!$D:$D, Captura_Obra!D134))&gt;0), "", "❌ Falta en Pipa")</f>
        <v/>
      </c>
      <c r="E430" s="10784">
        <f>IF(OR(Captura_Obra!A134="", (SUMIFS(Captura_Pegaso!$H:$H, Captura_Pegaso!$A:$A, Captura_Obra!A134, Captura_Pegaso!$D:$D, Captura_Obra!B134, Captura_Pegaso!$E:$E, Captura_Obra!D134) + SUMIFS(Captura_Marimba_M01!$G:$G, Captura_Marimba_M01!$A:$A, Captura_Obra!A134, Captura_Marimba_M01!$C:$C, Captura_Obra!B134, Captura_Marimba_M01!$D:$D, Captura_Obra!D134))&gt;0), "", Captura_Obra!A134)</f>
        <v/>
      </c>
      <c r="F430" s="10785">
        <f>IF(OR(Captura_Obra!A134="", (SUMIFS(Captura_Pegaso!$H:$H, Captura_Pegaso!$A:$A, Captura_Obra!A134, Captura_Pegaso!$D:$D, Captura_Obra!B134, Captura_Pegaso!$E:$E, Captura_Obra!D134) + SUMIFS(Captura_Marimba_M01!$G:$G, Captura_Marimba_M01!$A:$A, Captura_Obra!A134, Captura_Marimba_M01!$C:$C, Captura_Obra!B134, Captura_Marimba_M01!$D:$D, Captura_Obra!D134))&gt;0), "", Captura_Obra!B134)</f>
        <v/>
      </c>
      <c r="G430" s="10786">
        <f>IF(OR(Captura_Obra!A134="", (SUMIFS(Captura_Pegaso!$H:$H, Captura_Pegaso!$A:$A, Captura_Obra!A134, Captura_Pegaso!$D:$D, Captura_Obra!B134, Captura_Pegaso!$E:$E, Captura_Obra!D134) + SUMIFS(Captura_Marimba_M01!$G:$G, Captura_Marimba_M01!$A:$A, Captura_Obra!A134, Captura_Marimba_M01!$C:$C, Captura_Obra!B134, Captura_Marimba_M01!$D:$D, Captura_Obra!D134))&gt;0), "", Captura_Obra!D134)</f>
        <v/>
      </c>
      <c r="H430" s="10787">
        <f>IF(OR(Captura_Obra!A134="", (SUMIFS(Captura_Pegaso!$H:$H, Captura_Pegaso!$A:$A, Captura_Obra!A134, Captura_Pegaso!$D:$D, Captura_Obra!B134, Captura_Pegaso!$E:$E, Captura_Obra!D134) + SUMIFS(Captura_Marimba_M01!$G:$G, Captura_Marimba_M01!$A:$A, Captura_Obra!A134, Captura_Marimba_M01!$C:$C, Captura_Obra!B134, Captura_Marimba_M01!$D:$D, Captura_Obra!D134))&gt;0), "", 0)</f>
        <v/>
      </c>
      <c r="I430" s="10788">
        <f>IF(OR(Captura_Obra!A134="", (SUMIFS(Captura_Pegaso!$H:$H, Captura_Pegaso!$A:$A, Captura_Obra!A134, Captura_Pegaso!$D:$D, Captura_Obra!B134, Captura_Pegaso!$E:$E, Captura_Obra!D134) + SUMIFS(Captura_Marimba_M01!$G:$G, Captura_Marimba_M01!$A:$A, Captura_Obra!A134, Captura_Marimba_M01!$C:$C, Captura_Obra!B134, Captura_Marimba_M01!$D:$D, Captura_Obra!D134))&gt;0), "", Captura_Obra!F134)</f>
        <v/>
      </c>
      <c r="J430" s="10789">
        <f>IF(OR(Captura_Obra!A134="", (SUMIFS(Captura_Pegaso!$H:$H, Captura_Pegaso!$A:$A, Captura_Obra!A134, Captura_Pegaso!$D:$D, Captura_Obra!B134, Captura_Pegaso!$E:$E, Captura_Obra!D134) + SUMIFS(Captura_Marimba_M01!$G:$G, Captura_Marimba_M01!$A:$A, Captura_Obra!A134, Captura_Marimba_M01!$C:$C, Captura_Obra!B134, Captura_Marimba_M01!$D:$D, Captura_Obra!D134))&gt;0), "", H430 - I430)</f>
        <v/>
      </c>
      <c r="K430" s="4239" t="n"/>
    </row>
    <row r="431">
      <c r="A431" s="10790">
        <f>IF(OR(Captura_Obra!A135="", (SUMIFS(Captura_Pegaso!$H:$H, Captura_Pegaso!$A:$A, Captura_Obra!A135, Captura_Pegaso!$D:$D, Captura_Obra!B135, Captura_Pegaso!$E:$E, Captura_Obra!D135) + SUMIFS(Captura_Marimba_M01!$G:$G, Captura_Marimba_M01!$A:$A, Captura_Obra!A135, Captura_Marimba_M01!$C:$C, Captura_Obra!B135, Captura_Marimba_M01!$D:$D, Captura_Obra!D135))&gt;0), "", "Huérfano Obra")</f>
        <v/>
      </c>
      <c r="B431" s="10791">
        <f>IF(OR(Captura_Obra!A135="", (SUMIFS(Captura_Pegaso!$H:$H, Captura_Pegaso!$A:$A, Captura_Obra!A135, Captura_Pegaso!$D:$D, Captura_Obra!B135, Captura_Pegaso!$E:$E, Captura_Obra!D135) + SUMIFS(Captura_Marimba_M01!$G:$G, Captura_Marimba_M01!$A:$A, Captura_Obra!A135, Captura_Marimba_M01!$C:$C, Captura_Obra!B135, Captura_Marimba_M01!$D:$D, Captura_Obra!D135))&gt;0), "", "No Reportado")</f>
        <v/>
      </c>
      <c r="C431" s="10792">
        <f>IF(OR(Captura_Obra!A135="", (SUMIFS(Captura_Pegaso!$H:$H, Captura_Pegaso!$A:$A, Captura_Obra!A135, Captura_Pegaso!$D:$D, Captura_Obra!B135, Captura_Pegaso!$E:$E, Captura_Obra!D135) + SUMIFS(Captura_Marimba_M01!$G:$G, Captura_Marimba_M01!$A:$A, Captura_Obra!A135, Captura_Marimba_M01!$C:$C, Captura_Obra!B135, Captura_Marimba_M01!$D:$D, Captura_Obra!D135))&gt;0), "", Captura_Obra!N135)</f>
        <v/>
      </c>
      <c r="D431" s="10793">
        <f>IF(OR(Captura_Obra!A135="", (SUMIFS(Captura_Pegaso!$H:$H, Captura_Pegaso!$A:$A, Captura_Obra!A135, Captura_Pegaso!$D:$D, Captura_Obra!B135, Captura_Pegaso!$E:$E, Captura_Obra!D135) + SUMIFS(Captura_Marimba_M01!$G:$G, Captura_Marimba_M01!$A:$A, Captura_Obra!A135, Captura_Marimba_M01!$C:$C, Captura_Obra!B135, Captura_Marimba_M01!$D:$D, Captura_Obra!D135))&gt;0), "", "❌ Falta en Pipa")</f>
        <v/>
      </c>
      <c r="E431" s="10794">
        <f>IF(OR(Captura_Obra!A135="", (SUMIFS(Captura_Pegaso!$H:$H, Captura_Pegaso!$A:$A, Captura_Obra!A135, Captura_Pegaso!$D:$D, Captura_Obra!B135, Captura_Pegaso!$E:$E, Captura_Obra!D135) + SUMIFS(Captura_Marimba_M01!$G:$G, Captura_Marimba_M01!$A:$A, Captura_Obra!A135, Captura_Marimba_M01!$C:$C, Captura_Obra!B135, Captura_Marimba_M01!$D:$D, Captura_Obra!D135))&gt;0), "", Captura_Obra!A135)</f>
        <v/>
      </c>
      <c r="F431" s="10795">
        <f>IF(OR(Captura_Obra!A135="", (SUMIFS(Captura_Pegaso!$H:$H, Captura_Pegaso!$A:$A, Captura_Obra!A135, Captura_Pegaso!$D:$D, Captura_Obra!B135, Captura_Pegaso!$E:$E, Captura_Obra!D135) + SUMIFS(Captura_Marimba_M01!$G:$G, Captura_Marimba_M01!$A:$A, Captura_Obra!A135, Captura_Marimba_M01!$C:$C, Captura_Obra!B135, Captura_Marimba_M01!$D:$D, Captura_Obra!D135))&gt;0), "", Captura_Obra!B135)</f>
        <v/>
      </c>
      <c r="G431" s="10796">
        <f>IF(OR(Captura_Obra!A135="", (SUMIFS(Captura_Pegaso!$H:$H, Captura_Pegaso!$A:$A, Captura_Obra!A135, Captura_Pegaso!$D:$D, Captura_Obra!B135, Captura_Pegaso!$E:$E, Captura_Obra!D135) + SUMIFS(Captura_Marimba_M01!$G:$G, Captura_Marimba_M01!$A:$A, Captura_Obra!A135, Captura_Marimba_M01!$C:$C, Captura_Obra!B135, Captura_Marimba_M01!$D:$D, Captura_Obra!D135))&gt;0), "", Captura_Obra!D135)</f>
        <v/>
      </c>
      <c r="H431" s="10797">
        <f>IF(OR(Captura_Obra!A135="", (SUMIFS(Captura_Pegaso!$H:$H, Captura_Pegaso!$A:$A, Captura_Obra!A135, Captura_Pegaso!$D:$D, Captura_Obra!B135, Captura_Pegaso!$E:$E, Captura_Obra!D135) + SUMIFS(Captura_Marimba_M01!$G:$G, Captura_Marimba_M01!$A:$A, Captura_Obra!A135, Captura_Marimba_M01!$C:$C, Captura_Obra!B135, Captura_Marimba_M01!$D:$D, Captura_Obra!D135))&gt;0), "", 0)</f>
        <v/>
      </c>
      <c r="I431" s="10798">
        <f>IF(OR(Captura_Obra!A135="", (SUMIFS(Captura_Pegaso!$H:$H, Captura_Pegaso!$A:$A, Captura_Obra!A135, Captura_Pegaso!$D:$D, Captura_Obra!B135, Captura_Pegaso!$E:$E, Captura_Obra!D135) + SUMIFS(Captura_Marimba_M01!$G:$G, Captura_Marimba_M01!$A:$A, Captura_Obra!A135, Captura_Marimba_M01!$C:$C, Captura_Obra!B135, Captura_Marimba_M01!$D:$D, Captura_Obra!D135))&gt;0), "", Captura_Obra!F135)</f>
        <v/>
      </c>
      <c r="J431" s="10799">
        <f>IF(OR(Captura_Obra!A135="", (SUMIFS(Captura_Pegaso!$H:$H, Captura_Pegaso!$A:$A, Captura_Obra!A135, Captura_Pegaso!$D:$D, Captura_Obra!B135, Captura_Pegaso!$E:$E, Captura_Obra!D135) + SUMIFS(Captura_Marimba_M01!$G:$G, Captura_Marimba_M01!$A:$A, Captura_Obra!A135, Captura_Marimba_M01!$C:$C, Captura_Obra!B135, Captura_Marimba_M01!$D:$D, Captura_Obra!D135))&gt;0), "", H431 - I431)</f>
        <v/>
      </c>
      <c r="K431" s="4240" t="n"/>
    </row>
    <row r="432">
      <c r="A432" s="10800">
        <f>IF(OR(Captura_Obra!A136="", (SUMIFS(Captura_Pegaso!$H:$H, Captura_Pegaso!$A:$A, Captura_Obra!A136, Captura_Pegaso!$D:$D, Captura_Obra!B136, Captura_Pegaso!$E:$E, Captura_Obra!D136) + SUMIFS(Captura_Marimba_M01!$G:$G, Captura_Marimba_M01!$A:$A, Captura_Obra!A136, Captura_Marimba_M01!$C:$C, Captura_Obra!B136, Captura_Marimba_M01!$D:$D, Captura_Obra!D136))&gt;0), "", "Huérfano Obra")</f>
        <v/>
      </c>
      <c r="B432" s="10801">
        <f>IF(OR(Captura_Obra!A136="", (SUMIFS(Captura_Pegaso!$H:$H, Captura_Pegaso!$A:$A, Captura_Obra!A136, Captura_Pegaso!$D:$D, Captura_Obra!B136, Captura_Pegaso!$E:$E, Captura_Obra!D136) + SUMIFS(Captura_Marimba_M01!$G:$G, Captura_Marimba_M01!$A:$A, Captura_Obra!A136, Captura_Marimba_M01!$C:$C, Captura_Obra!B136, Captura_Marimba_M01!$D:$D, Captura_Obra!D136))&gt;0), "", "No Reportado")</f>
        <v/>
      </c>
      <c r="C432" s="10802">
        <f>IF(OR(Captura_Obra!A136="", (SUMIFS(Captura_Pegaso!$H:$H, Captura_Pegaso!$A:$A, Captura_Obra!A136, Captura_Pegaso!$D:$D, Captura_Obra!B136, Captura_Pegaso!$E:$E, Captura_Obra!D136) + SUMIFS(Captura_Marimba_M01!$G:$G, Captura_Marimba_M01!$A:$A, Captura_Obra!A136, Captura_Marimba_M01!$C:$C, Captura_Obra!B136, Captura_Marimba_M01!$D:$D, Captura_Obra!D136))&gt;0), "", Captura_Obra!N136)</f>
        <v/>
      </c>
      <c r="D432" s="10803">
        <f>IF(OR(Captura_Obra!A136="", (SUMIFS(Captura_Pegaso!$H:$H, Captura_Pegaso!$A:$A, Captura_Obra!A136, Captura_Pegaso!$D:$D, Captura_Obra!B136, Captura_Pegaso!$E:$E, Captura_Obra!D136) + SUMIFS(Captura_Marimba_M01!$G:$G, Captura_Marimba_M01!$A:$A, Captura_Obra!A136, Captura_Marimba_M01!$C:$C, Captura_Obra!B136, Captura_Marimba_M01!$D:$D, Captura_Obra!D136))&gt;0), "", "❌ Falta en Pipa")</f>
        <v/>
      </c>
      <c r="E432" s="10804">
        <f>IF(OR(Captura_Obra!A136="", (SUMIFS(Captura_Pegaso!$H:$H, Captura_Pegaso!$A:$A, Captura_Obra!A136, Captura_Pegaso!$D:$D, Captura_Obra!B136, Captura_Pegaso!$E:$E, Captura_Obra!D136) + SUMIFS(Captura_Marimba_M01!$G:$G, Captura_Marimba_M01!$A:$A, Captura_Obra!A136, Captura_Marimba_M01!$C:$C, Captura_Obra!B136, Captura_Marimba_M01!$D:$D, Captura_Obra!D136))&gt;0), "", Captura_Obra!A136)</f>
        <v/>
      </c>
      <c r="F432" s="10805">
        <f>IF(OR(Captura_Obra!A136="", (SUMIFS(Captura_Pegaso!$H:$H, Captura_Pegaso!$A:$A, Captura_Obra!A136, Captura_Pegaso!$D:$D, Captura_Obra!B136, Captura_Pegaso!$E:$E, Captura_Obra!D136) + SUMIFS(Captura_Marimba_M01!$G:$G, Captura_Marimba_M01!$A:$A, Captura_Obra!A136, Captura_Marimba_M01!$C:$C, Captura_Obra!B136, Captura_Marimba_M01!$D:$D, Captura_Obra!D136))&gt;0), "", Captura_Obra!B136)</f>
        <v/>
      </c>
      <c r="G432" s="10806">
        <f>IF(OR(Captura_Obra!A136="", (SUMIFS(Captura_Pegaso!$H:$H, Captura_Pegaso!$A:$A, Captura_Obra!A136, Captura_Pegaso!$D:$D, Captura_Obra!B136, Captura_Pegaso!$E:$E, Captura_Obra!D136) + SUMIFS(Captura_Marimba_M01!$G:$G, Captura_Marimba_M01!$A:$A, Captura_Obra!A136, Captura_Marimba_M01!$C:$C, Captura_Obra!B136, Captura_Marimba_M01!$D:$D, Captura_Obra!D136))&gt;0), "", Captura_Obra!D136)</f>
        <v/>
      </c>
      <c r="H432" s="10807">
        <f>IF(OR(Captura_Obra!A136="", (SUMIFS(Captura_Pegaso!$H:$H, Captura_Pegaso!$A:$A, Captura_Obra!A136, Captura_Pegaso!$D:$D, Captura_Obra!B136, Captura_Pegaso!$E:$E, Captura_Obra!D136) + SUMIFS(Captura_Marimba_M01!$G:$G, Captura_Marimba_M01!$A:$A, Captura_Obra!A136, Captura_Marimba_M01!$C:$C, Captura_Obra!B136, Captura_Marimba_M01!$D:$D, Captura_Obra!D136))&gt;0), "", 0)</f>
        <v/>
      </c>
      <c r="I432" s="10808">
        <f>IF(OR(Captura_Obra!A136="", (SUMIFS(Captura_Pegaso!$H:$H, Captura_Pegaso!$A:$A, Captura_Obra!A136, Captura_Pegaso!$D:$D, Captura_Obra!B136, Captura_Pegaso!$E:$E, Captura_Obra!D136) + SUMIFS(Captura_Marimba_M01!$G:$G, Captura_Marimba_M01!$A:$A, Captura_Obra!A136, Captura_Marimba_M01!$C:$C, Captura_Obra!B136, Captura_Marimba_M01!$D:$D, Captura_Obra!D136))&gt;0), "", Captura_Obra!F136)</f>
        <v/>
      </c>
      <c r="J432" s="10809">
        <f>IF(OR(Captura_Obra!A136="", (SUMIFS(Captura_Pegaso!$H:$H, Captura_Pegaso!$A:$A, Captura_Obra!A136, Captura_Pegaso!$D:$D, Captura_Obra!B136, Captura_Pegaso!$E:$E, Captura_Obra!D136) + SUMIFS(Captura_Marimba_M01!$G:$G, Captura_Marimba_M01!$A:$A, Captura_Obra!A136, Captura_Marimba_M01!$C:$C, Captura_Obra!B136, Captura_Marimba_M01!$D:$D, Captura_Obra!D136))&gt;0), "", H432 - I432)</f>
        <v/>
      </c>
      <c r="K432" s="4241" t="n"/>
    </row>
    <row r="433">
      <c r="A433" s="10810">
        <f>IF(OR(Captura_Obra!A137="", (SUMIFS(Captura_Pegaso!$H:$H, Captura_Pegaso!$A:$A, Captura_Obra!A137, Captura_Pegaso!$D:$D, Captura_Obra!B137, Captura_Pegaso!$E:$E, Captura_Obra!D137) + SUMIFS(Captura_Marimba_M01!$G:$G, Captura_Marimba_M01!$A:$A, Captura_Obra!A137, Captura_Marimba_M01!$C:$C, Captura_Obra!B137, Captura_Marimba_M01!$D:$D, Captura_Obra!D137))&gt;0), "", "Huérfano Obra")</f>
        <v/>
      </c>
      <c r="B433" s="10811">
        <f>IF(OR(Captura_Obra!A137="", (SUMIFS(Captura_Pegaso!$H:$H, Captura_Pegaso!$A:$A, Captura_Obra!A137, Captura_Pegaso!$D:$D, Captura_Obra!B137, Captura_Pegaso!$E:$E, Captura_Obra!D137) + SUMIFS(Captura_Marimba_M01!$G:$G, Captura_Marimba_M01!$A:$A, Captura_Obra!A137, Captura_Marimba_M01!$C:$C, Captura_Obra!B137, Captura_Marimba_M01!$D:$D, Captura_Obra!D137))&gt;0), "", "No Reportado")</f>
        <v/>
      </c>
      <c r="C433" s="10812">
        <f>IF(OR(Captura_Obra!A137="", (SUMIFS(Captura_Pegaso!$H:$H, Captura_Pegaso!$A:$A, Captura_Obra!A137, Captura_Pegaso!$D:$D, Captura_Obra!B137, Captura_Pegaso!$E:$E, Captura_Obra!D137) + SUMIFS(Captura_Marimba_M01!$G:$G, Captura_Marimba_M01!$A:$A, Captura_Obra!A137, Captura_Marimba_M01!$C:$C, Captura_Obra!B137, Captura_Marimba_M01!$D:$D, Captura_Obra!D137))&gt;0), "", Captura_Obra!N137)</f>
        <v/>
      </c>
      <c r="D433" s="10813">
        <f>IF(OR(Captura_Obra!A137="", (SUMIFS(Captura_Pegaso!$H:$H, Captura_Pegaso!$A:$A, Captura_Obra!A137, Captura_Pegaso!$D:$D, Captura_Obra!B137, Captura_Pegaso!$E:$E, Captura_Obra!D137) + SUMIFS(Captura_Marimba_M01!$G:$G, Captura_Marimba_M01!$A:$A, Captura_Obra!A137, Captura_Marimba_M01!$C:$C, Captura_Obra!B137, Captura_Marimba_M01!$D:$D, Captura_Obra!D137))&gt;0), "", "❌ Falta en Pipa")</f>
        <v/>
      </c>
      <c r="E433" s="10814">
        <f>IF(OR(Captura_Obra!A137="", (SUMIFS(Captura_Pegaso!$H:$H, Captura_Pegaso!$A:$A, Captura_Obra!A137, Captura_Pegaso!$D:$D, Captura_Obra!B137, Captura_Pegaso!$E:$E, Captura_Obra!D137) + SUMIFS(Captura_Marimba_M01!$G:$G, Captura_Marimba_M01!$A:$A, Captura_Obra!A137, Captura_Marimba_M01!$C:$C, Captura_Obra!B137, Captura_Marimba_M01!$D:$D, Captura_Obra!D137))&gt;0), "", Captura_Obra!A137)</f>
        <v/>
      </c>
      <c r="F433" s="10815">
        <f>IF(OR(Captura_Obra!A137="", (SUMIFS(Captura_Pegaso!$H:$H, Captura_Pegaso!$A:$A, Captura_Obra!A137, Captura_Pegaso!$D:$D, Captura_Obra!B137, Captura_Pegaso!$E:$E, Captura_Obra!D137) + SUMIFS(Captura_Marimba_M01!$G:$G, Captura_Marimba_M01!$A:$A, Captura_Obra!A137, Captura_Marimba_M01!$C:$C, Captura_Obra!B137, Captura_Marimba_M01!$D:$D, Captura_Obra!D137))&gt;0), "", Captura_Obra!B137)</f>
        <v/>
      </c>
      <c r="G433" s="10816">
        <f>IF(OR(Captura_Obra!A137="", (SUMIFS(Captura_Pegaso!$H:$H, Captura_Pegaso!$A:$A, Captura_Obra!A137, Captura_Pegaso!$D:$D, Captura_Obra!B137, Captura_Pegaso!$E:$E, Captura_Obra!D137) + SUMIFS(Captura_Marimba_M01!$G:$G, Captura_Marimba_M01!$A:$A, Captura_Obra!A137, Captura_Marimba_M01!$C:$C, Captura_Obra!B137, Captura_Marimba_M01!$D:$D, Captura_Obra!D137))&gt;0), "", Captura_Obra!D137)</f>
        <v/>
      </c>
      <c r="H433" s="10817">
        <f>IF(OR(Captura_Obra!A137="", (SUMIFS(Captura_Pegaso!$H:$H, Captura_Pegaso!$A:$A, Captura_Obra!A137, Captura_Pegaso!$D:$D, Captura_Obra!B137, Captura_Pegaso!$E:$E, Captura_Obra!D137) + SUMIFS(Captura_Marimba_M01!$G:$G, Captura_Marimba_M01!$A:$A, Captura_Obra!A137, Captura_Marimba_M01!$C:$C, Captura_Obra!B137, Captura_Marimba_M01!$D:$D, Captura_Obra!D137))&gt;0), "", 0)</f>
        <v/>
      </c>
      <c r="I433" s="10818">
        <f>IF(OR(Captura_Obra!A137="", (SUMIFS(Captura_Pegaso!$H:$H, Captura_Pegaso!$A:$A, Captura_Obra!A137, Captura_Pegaso!$D:$D, Captura_Obra!B137, Captura_Pegaso!$E:$E, Captura_Obra!D137) + SUMIFS(Captura_Marimba_M01!$G:$G, Captura_Marimba_M01!$A:$A, Captura_Obra!A137, Captura_Marimba_M01!$C:$C, Captura_Obra!B137, Captura_Marimba_M01!$D:$D, Captura_Obra!D137))&gt;0), "", Captura_Obra!F137)</f>
        <v/>
      </c>
      <c r="J433" s="10819">
        <f>IF(OR(Captura_Obra!A137="", (SUMIFS(Captura_Pegaso!$H:$H, Captura_Pegaso!$A:$A, Captura_Obra!A137, Captura_Pegaso!$D:$D, Captura_Obra!B137, Captura_Pegaso!$E:$E, Captura_Obra!D137) + SUMIFS(Captura_Marimba_M01!$G:$G, Captura_Marimba_M01!$A:$A, Captura_Obra!A137, Captura_Marimba_M01!$C:$C, Captura_Obra!B137, Captura_Marimba_M01!$D:$D, Captura_Obra!D137))&gt;0), "", H433 - I433)</f>
        <v/>
      </c>
      <c r="K433" s="4242" t="n"/>
    </row>
    <row r="434">
      <c r="A434" s="10820">
        <f>IF(OR(Captura_Obra!A138="", (SUMIFS(Captura_Pegaso!$H:$H, Captura_Pegaso!$A:$A, Captura_Obra!A138, Captura_Pegaso!$D:$D, Captura_Obra!B138, Captura_Pegaso!$E:$E, Captura_Obra!D138) + SUMIFS(Captura_Marimba_M01!$G:$G, Captura_Marimba_M01!$A:$A, Captura_Obra!A138, Captura_Marimba_M01!$C:$C, Captura_Obra!B138, Captura_Marimba_M01!$D:$D, Captura_Obra!D138))&gt;0), "", "Huérfano Obra")</f>
        <v/>
      </c>
      <c r="B434" s="10821">
        <f>IF(OR(Captura_Obra!A138="", (SUMIFS(Captura_Pegaso!$H:$H, Captura_Pegaso!$A:$A, Captura_Obra!A138, Captura_Pegaso!$D:$D, Captura_Obra!B138, Captura_Pegaso!$E:$E, Captura_Obra!D138) + SUMIFS(Captura_Marimba_M01!$G:$G, Captura_Marimba_M01!$A:$A, Captura_Obra!A138, Captura_Marimba_M01!$C:$C, Captura_Obra!B138, Captura_Marimba_M01!$D:$D, Captura_Obra!D138))&gt;0), "", "No Reportado")</f>
        <v/>
      </c>
      <c r="C434" s="10822">
        <f>IF(OR(Captura_Obra!A138="", (SUMIFS(Captura_Pegaso!$H:$H, Captura_Pegaso!$A:$A, Captura_Obra!A138, Captura_Pegaso!$D:$D, Captura_Obra!B138, Captura_Pegaso!$E:$E, Captura_Obra!D138) + SUMIFS(Captura_Marimba_M01!$G:$G, Captura_Marimba_M01!$A:$A, Captura_Obra!A138, Captura_Marimba_M01!$C:$C, Captura_Obra!B138, Captura_Marimba_M01!$D:$D, Captura_Obra!D138))&gt;0), "", Captura_Obra!N138)</f>
        <v/>
      </c>
      <c r="D434" s="10823">
        <f>IF(OR(Captura_Obra!A138="", (SUMIFS(Captura_Pegaso!$H:$H, Captura_Pegaso!$A:$A, Captura_Obra!A138, Captura_Pegaso!$D:$D, Captura_Obra!B138, Captura_Pegaso!$E:$E, Captura_Obra!D138) + SUMIFS(Captura_Marimba_M01!$G:$G, Captura_Marimba_M01!$A:$A, Captura_Obra!A138, Captura_Marimba_M01!$C:$C, Captura_Obra!B138, Captura_Marimba_M01!$D:$D, Captura_Obra!D138))&gt;0), "", "❌ Falta en Pipa")</f>
        <v/>
      </c>
      <c r="E434" s="10824">
        <f>IF(OR(Captura_Obra!A138="", (SUMIFS(Captura_Pegaso!$H:$H, Captura_Pegaso!$A:$A, Captura_Obra!A138, Captura_Pegaso!$D:$D, Captura_Obra!B138, Captura_Pegaso!$E:$E, Captura_Obra!D138) + SUMIFS(Captura_Marimba_M01!$G:$G, Captura_Marimba_M01!$A:$A, Captura_Obra!A138, Captura_Marimba_M01!$C:$C, Captura_Obra!B138, Captura_Marimba_M01!$D:$D, Captura_Obra!D138))&gt;0), "", Captura_Obra!A138)</f>
        <v/>
      </c>
      <c r="F434" s="10825">
        <f>IF(OR(Captura_Obra!A138="", (SUMIFS(Captura_Pegaso!$H:$H, Captura_Pegaso!$A:$A, Captura_Obra!A138, Captura_Pegaso!$D:$D, Captura_Obra!B138, Captura_Pegaso!$E:$E, Captura_Obra!D138) + SUMIFS(Captura_Marimba_M01!$G:$G, Captura_Marimba_M01!$A:$A, Captura_Obra!A138, Captura_Marimba_M01!$C:$C, Captura_Obra!B138, Captura_Marimba_M01!$D:$D, Captura_Obra!D138))&gt;0), "", Captura_Obra!B138)</f>
        <v/>
      </c>
      <c r="G434" s="10826">
        <f>IF(OR(Captura_Obra!A138="", (SUMIFS(Captura_Pegaso!$H:$H, Captura_Pegaso!$A:$A, Captura_Obra!A138, Captura_Pegaso!$D:$D, Captura_Obra!B138, Captura_Pegaso!$E:$E, Captura_Obra!D138) + SUMIFS(Captura_Marimba_M01!$G:$G, Captura_Marimba_M01!$A:$A, Captura_Obra!A138, Captura_Marimba_M01!$C:$C, Captura_Obra!B138, Captura_Marimba_M01!$D:$D, Captura_Obra!D138))&gt;0), "", Captura_Obra!D138)</f>
        <v/>
      </c>
      <c r="H434" s="10827">
        <f>IF(OR(Captura_Obra!A138="", (SUMIFS(Captura_Pegaso!$H:$H, Captura_Pegaso!$A:$A, Captura_Obra!A138, Captura_Pegaso!$D:$D, Captura_Obra!B138, Captura_Pegaso!$E:$E, Captura_Obra!D138) + SUMIFS(Captura_Marimba_M01!$G:$G, Captura_Marimba_M01!$A:$A, Captura_Obra!A138, Captura_Marimba_M01!$C:$C, Captura_Obra!B138, Captura_Marimba_M01!$D:$D, Captura_Obra!D138))&gt;0), "", 0)</f>
        <v/>
      </c>
      <c r="I434" s="10828">
        <f>IF(OR(Captura_Obra!A138="", (SUMIFS(Captura_Pegaso!$H:$H, Captura_Pegaso!$A:$A, Captura_Obra!A138, Captura_Pegaso!$D:$D, Captura_Obra!B138, Captura_Pegaso!$E:$E, Captura_Obra!D138) + SUMIFS(Captura_Marimba_M01!$G:$G, Captura_Marimba_M01!$A:$A, Captura_Obra!A138, Captura_Marimba_M01!$C:$C, Captura_Obra!B138, Captura_Marimba_M01!$D:$D, Captura_Obra!D138))&gt;0), "", Captura_Obra!F138)</f>
        <v/>
      </c>
      <c r="J434" s="10829">
        <f>IF(OR(Captura_Obra!A138="", (SUMIFS(Captura_Pegaso!$H:$H, Captura_Pegaso!$A:$A, Captura_Obra!A138, Captura_Pegaso!$D:$D, Captura_Obra!B138, Captura_Pegaso!$E:$E, Captura_Obra!D138) + SUMIFS(Captura_Marimba_M01!$G:$G, Captura_Marimba_M01!$A:$A, Captura_Obra!A138, Captura_Marimba_M01!$C:$C, Captura_Obra!B138, Captura_Marimba_M01!$D:$D, Captura_Obra!D138))&gt;0), "", H434 - I434)</f>
        <v/>
      </c>
      <c r="K434" s="4243" t="n"/>
    </row>
    <row r="435">
      <c r="A435" s="10830">
        <f>IF(OR(Captura_Obra!A139="", (SUMIFS(Captura_Pegaso!$H:$H, Captura_Pegaso!$A:$A, Captura_Obra!A139, Captura_Pegaso!$D:$D, Captura_Obra!B139, Captura_Pegaso!$E:$E, Captura_Obra!D139) + SUMIFS(Captura_Marimba_M01!$G:$G, Captura_Marimba_M01!$A:$A, Captura_Obra!A139, Captura_Marimba_M01!$C:$C, Captura_Obra!B139, Captura_Marimba_M01!$D:$D, Captura_Obra!D139))&gt;0), "", "Huérfano Obra")</f>
        <v/>
      </c>
      <c r="B435" s="10831">
        <f>IF(OR(Captura_Obra!A139="", (SUMIFS(Captura_Pegaso!$H:$H, Captura_Pegaso!$A:$A, Captura_Obra!A139, Captura_Pegaso!$D:$D, Captura_Obra!B139, Captura_Pegaso!$E:$E, Captura_Obra!D139) + SUMIFS(Captura_Marimba_M01!$G:$G, Captura_Marimba_M01!$A:$A, Captura_Obra!A139, Captura_Marimba_M01!$C:$C, Captura_Obra!B139, Captura_Marimba_M01!$D:$D, Captura_Obra!D139))&gt;0), "", "No Reportado")</f>
        <v/>
      </c>
      <c r="C435" s="10832">
        <f>IF(OR(Captura_Obra!A139="", (SUMIFS(Captura_Pegaso!$H:$H, Captura_Pegaso!$A:$A, Captura_Obra!A139, Captura_Pegaso!$D:$D, Captura_Obra!B139, Captura_Pegaso!$E:$E, Captura_Obra!D139) + SUMIFS(Captura_Marimba_M01!$G:$G, Captura_Marimba_M01!$A:$A, Captura_Obra!A139, Captura_Marimba_M01!$C:$C, Captura_Obra!B139, Captura_Marimba_M01!$D:$D, Captura_Obra!D139))&gt;0), "", Captura_Obra!N139)</f>
        <v/>
      </c>
      <c r="D435" s="10833">
        <f>IF(OR(Captura_Obra!A139="", (SUMIFS(Captura_Pegaso!$H:$H, Captura_Pegaso!$A:$A, Captura_Obra!A139, Captura_Pegaso!$D:$D, Captura_Obra!B139, Captura_Pegaso!$E:$E, Captura_Obra!D139) + SUMIFS(Captura_Marimba_M01!$G:$G, Captura_Marimba_M01!$A:$A, Captura_Obra!A139, Captura_Marimba_M01!$C:$C, Captura_Obra!B139, Captura_Marimba_M01!$D:$D, Captura_Obra!D139))&gt;0), "", "❌ Falta en Pipa")</f>
        <v/>
      </c>
      <c r="E435" s="10834">
        <f>IF(OR(Captura_Obra!A139="", (SUMIFS(Captura_Pegaso!$H:$H, Captura_Pegaso!$A:$A, Captura_Obra!A139, Captura_Pegaso!$D:$D, Captura_Obra!B139, Captura_Pegaso!$E:$E, Captura_Obra!D139) + SUMIFS(Captura_Marimba_M01!$G:$G, Captura_Marimba_M01!$A:$A, Captura_Obra!A139, Captura_Marimba_M01!$C:$C, Captura_Obra!B139, Captura_Marimba_M01!$D:$D, Captura_Obra!D139))&gt;0), "", Captura_Obra!A139)</f>
        <v/>
      </c>
      <c r="F435" s="10835">
        <f>IF(OR(Captura_Obra!A139="", (SUMIFS(Captura_Pegaso!$H:$H, Captura_Pegaso!$A:$A, Captura_Obra!A139, Captura_Pegaso!$D:$D, Captura_Obra!B139, Captura_Pegaso!$E:$E, Captura_Obra!D139) + SUMIFS(Captura_Marimba_M01!$G:$G, Captura_Marimba_M01!$A:$A, Captura_Obra!A139, Captura_Marimba_M01!$C:$C, Captura_Obra!B139, Captura_Marimba_M01!$D:$D, Captura_Obra!D139))&gt;0), "", Captura_Obra!B139)</f>
        <v/>
      </c>
      <c r="G435" s="10836">
        <f>IF(OR(Captura_Obra!A139="", (SUMIFS(Captura_Pegaso!$H:$H, Captura_Pegaso!$A:$A, Captura_Obra!A139, Captura_Pegaso!$D:$D, Captura_Obra!B139, Captura_Pegaso!$E:$E, Captura_Obra!D139) + SUMIFS(Captura_Marimba_M01!$G:$G, Captura_Marimba_M01!$A:$A, Captura_Obra!A139, Captura_Marimba_M01!$C:$C, Captura_Obra!B139, Captura_Marimba_M01!$D:$D, Captura_Obra!D139))&gt;0), "", Captura_Obra!D139)</f>
        <v/>
      </c>
      <c r="H435" s="10837">
        <f>IF(OR(Captura_Obra!A139="", (SUMIFS(Captura_Pegaso!$H:$H, Captura_Pegaso!$A:$A, Captura_Obra!A139, Captura_Pegaso!$D:$D, Captura_Obra!B139, Captura_Pegaso!$E:$E, Captura_Obra!D139) + SUMIFS(Captura_Marimba_M01!$G:$G, Captura_Marimba_M01!$A:$A, Captura_Obra!A139, Captura_Marimba_M01!$C:$C, Captura_Obra!B139, Captura_Marimba_M01!$D:$D, Captura_Obra!D139))&gt;0), "", 0)</f>
        <v/>
      </c>
      <c r="I435" s="10838">
        <f>IF(OR(Captura_Obra!A139="", (SUMIFS(Captura_Pegaso!$H:$H, Captura_Pegaso!$A:$A, Captura_Obra!A139, Captura_Pegaso!$D:$D, Captura_Obra!B139, Captura_Pegaso!$E:$E, Captura_Obra!D139) + SUMIFS(Captura_Marimba_M01!$G:$G, Captura_Marimba_M01!$A:$A, Captura_Obra!A139, Captura_Marimba_M01!$C:$C, Captura_Obra!B139, Captura_Marimba_M01!$D:$D, Captura_Obra!D139))&gt;0), "", Captura_Obra!F139)</f>
        <v/>
      </c>
      <c r="J435" s="10839">
        <f>IF(OR(Captura_Obra!A139="", (SUMIFS(Captura_Pegaso!$H:$H, Captura_Pegaso!$A:$A, Captura_Obra!A139, Captura_Pegaso!$D:$D, Captura_Obra!B139, Captura_Pegaso!$E:$E, Captura_Obra!D139) + SUMIFS(Captura_Marimba_M01!$G:$G, Captura_Marimba_M01!$A:$A, Captura_Obra!A139, Captura_Marimba_M01!$C:$C, Captura_Obra!B139, Captura_Marimba_M01!$D:$D, Captura_Obra!D139))&gt;0), "", H435 - I435)</f>
        <v/>
      </c>
      <c r="K435" s="4244" t="n"/>
    </row>
    <row r="436">
      <c r="A436" s="10840">
        <f>IF(OR(Captura_Obra!A140="", (SUMIFS(Captura_Pegaso!$H:$H, Captura_Pegaso!$A:$A, Captura_Obra!A140, Captura_Pegaso!$D:$D, Captura_Obra!B140, Captura_Pegaso!$E:$E, Captura_Obra!D140) + SUMIFS(Captura_Marimba_M01!$G:$G, Captura_Marimba_M01!$A:$A, Captura_Obra!A140, Captura_Marimba_M01!$C:$C, Captura_Obra!B140, Captura_Marimba_M01!$D:$D, Captura_Obra!D140))&gt;0), "", "Huérfano Obra")</f>
        <v/>
      </c>
      <c r="B436" s="10841">
        <f>IF(OR(Captura_Obra!A140="", (SUMIFS(Captura_Pegaso!$H:$H, Captura_Pegaso!$A:$A, Captura_Obra!A140, Captura_Pegaso!$D:$D, Captura_Obra!B140, Captura_Pegaso!$E:$E, Captura_Obra!D140) + SUMIFS(Captura_Marimba_M01!$G:$G, Captura_Marimba_M01!$A:$A, Captura_Obra!A140, Captura_Marimba_M01!$C:$C, Captura_Obra!B140, Captura_Marimba_M01!$D:$D, Captura_Obra!D140))&gt;0), "", "No Reportado")</f>
        <v/>
      </c>
      <c r="C436" s="10842">
        <f>IF(OR(Captura_Obra!A140="", (SUMIFS(Captura_Pegaso!$H:$H, Captura_Pegaso!$A:$A, Captura_Obra!A140, Captura_Pegaso!$D:$D, Captura_Obra!B140, Captura_Pegaso!$E:$E, Captura_Obra!D140) + SUMIFS(Captura_Marimba_M01!$G:$G, Captura_Marimba_M01!$A:$A, Captura_Obra!A140, Captura_Marimba_M01!$C:$C, Captura_Obra!B140, Captura_Marimba_M01!$D:$D, Captura_Obra!D140))&gt;0), "", Captura_Obra!N140)</f>
        <v/>
      </c>
      <c r="D436" s="10843">
        <f>IF(OR(Captura_Obra!A140="", (SUMIFS(Captura_Pegaso!$H:$H, Captura_Pegaso!$A:$A, Captura_Obra!A140, Captura_Pegaso!$D:$D, Captura_Obra!B140, Captura_Pegaso!$E:$E, Captura_Obra!D140) + SUMIFS(Captura_Marimba_M01!$G:$G, Captura_Marimba_M01!$A:$A, Captura_Obra!A140, Captura_Marimba_M01!$C:$C, Captura_Obra!B140, Captura_Marimba_M01!$D:$D, Captura_Obra!D140))&gt;0), "", "❌ Falta en Pipa")</f>
        <v/>
      </c>
      <c r="E436" s="10844">
        <f>IF(OR(Captura_Obra!A140="", (SUMIFS(Captura_Pegaso!$H:$H, Captura_Pegaso!$A:$A, Captura_Obra!A140, Captura_Pegaso!$D:$D, Captura_Obra!B140, Captura_Pegaso!$E:$E, Captura_Obra!D140) + SUMIFS(Captura_Marimba_M01!$G:$G, Captura_Marimba_M01!$A:$A, Captura_Obra!A140, Captura_Marimba_M01!$C:$C, Captura_Obra!B140, Captura_Marimba_M01!$D:$D, Captura_Obra!D140))&gt;0), "", Captura_Obra!A140)</f>
        <v/>
      </c>
      <c r="F436" s="10845">
        <f>IF(OR(Captura_Obra!A140="", (SUMIFS(Captura_Pegaso!$H:$H, Captura_Pegaso!$A:$A, Captura_Obra!A140, Captura_Pegaso!$D:$D, Captura_Obra!B140, Captura_Pegaso!$E:$E, Captura_Obra!D140) + SUMIFS(Captura_Marimba_M01!$G:$G, Captura_Marimba_M01!$A:$A, Captura_Obra!A140, Captura_Marimba_M01!$C:$C, Captura_Obra!B140, Captura_Marimba_M01!$D:$D, Captura_Obra!D140))&gt;0), "", Captura_Obra!B140)</f>
        <v/>
      </c>
      <c r="G436" s="10846">
        <f>IF(OR(Captura_Obra!A140="", (SUMIFS(Captura_Pegaso!$H:$H, Captura_Pegaso!$A:$A, Captura_Obra!A140, Captura_Pegaso!$D:$D, Captura_Obra!B140, Captura_Pegaso!$E:$E, Captura_Obra!D140) + SUMIFS(Captura_Marimba_M01!$G:$G, Captura_Marimba_M01!$A:$A, Captura_Obra!A140, Captura_Marimba_M01!$C:$C, Captura_Obra!B140, Captura_Marimba_M01!$D:$D, Captura_Obra!D140))&gt;0), "", Captura_Obra!D140)</f>
        <v/>
      </c>
      <c r="H436" s="10847">
        <f>IF(OR(Captura_Obra!A140="", (SUMIFS(Captura_Pegaso!$H:$H, Captura_Pegaso!$A:$A, Captura_Obra!A140, Captura_Pegaso!$D:$D, Captura_Obra!B140, Captura_Pegaso!$E:$E, Captura_Obra!D140) + SUMIFS(Captura_Marimba_M01!$G:$G, Captura_Marimba_M01!$A:$A, Captura_Obra!A140, Captura_Marimba_M01!$C:$C, Captura_Obra!B140, Captura_Marimba_M01!$D:$D, Captura_Obra!D140))&gt;0), "", 0)</f>
        <v/>
      </c>
      <c r="I436" s="10848">
        <f>IF(OR(Captura_Obra!A140="", (SUMIFS(Captura_Pegaso!$H:$H, Captura_Pegaso!$A:$A, Captura_Obra!A140, Captura_Pegaso!$D:$D, Captura_Obra!B140, Captura_Pegaso!$E:$E, Captura_Obra!D140) + SUMIFS(Captura_Marimba_M01!$G:$G, Captura_Marimba_M01!$A:$A, Captura_Obra!A140, Captura_Marimba_M01!$C:$C, Captura_Obra!B140, Captura_Marimba_M01!$D:$D, Captura_Obra!D140))&gt;0), "", Captura_Obra!F140)</f>
        <v/>
      </c>
      <c r="J436" s="10849">
        <f>IF(OR(Captura_Obra!A140="", (SUMIFS(Captura_Pegaso!$H:$H, Captura_Pegaso!$A:$A, Captura_Obra!A140, Captura_Pegaso!$D:$D, Captura_Obra!B140, Captura_Pegaso!$E:$E, Captura_Obra!D140) + SUMIFS(Captura_Marimba_M01!$G:$G, Captura_Marimba_M01!$A:$A, Captura_Obra!A140, Captura_Marimba_M01!$C:$C, Captura_Obra!B140, Captura_Marimba_M01!$D:$D, Captura_Obra!D140))&gt;0), "", H436 - I436)</f>
        <v/>
      </c>
      <c r="K436" s="4245" t="n"/>
    </row>
    <row r="437">
      <c r="A437" s="10850">
        <f>IF(OR(Captura_Obra!A141="", (SUMIFS(Captura_Pegaso!$H:$H, Captura_Pegaso!$A:$A, Captura_Obra!A141, Captura_Pegaso!$D:$D, Captura_Obra!B141, Captura_Pegaso!$E:$E, Captura_Obra!D141) + SUMIFS(Captura_Marimba_M01!$G:$G, Captura_Marimba_M01!$A:$A, Captura_Obra!A141, Captura_Marimba_M01!$C:$C, Captura_Obra!B141, Captura_Marimba_M01!$D:$D, Captura_Obra!D141))&gt;0), "", "Huérfano Obra")</f>
        <v/>
      </c>
      <c r="B437" s="10851">
        <f>IF(OR(Captura_Obra!A141="", (SUMIFS(Captura_Pegaso!$H:$H, Captura_Pegaso!$A:$A, Captura_Obra!A141, Captura_Pegaso!$D:$D, Captura_Obra!B141, Captura_Pegaso!$E:$E, Captura_Obra!D141) + SUMIFS(Captura_Marimba_M01!$G:$G, Captura_Marimba_M01!$A:$A, Captura_Obra!A141, Captura_Marimba_M01!$C:$C, Captura_Obra!B141, Captura_Marimba_M01!$D:$D, Captura_Obra!D141))&gt;0), "", "No Reportado")</f>
        <v/>
      </c>
      <c r="C437" s="10852">
        <f>IF(OR(Captura_Obra!A141="", (SUMIFS(Captura_Pegaso!$H:$H, Captura_Pegaso!$A:$A, Captura_Obra!A141, Captura_Pegaso!$D:$D, Captura_Obra!B141, Captura_Pegaso!$E:$E, Captura_Obra!D141) + SUMIFS(Captura_Marimba_M01!$G:$G, Captura_Marimba_M01!$A:$A, Captura_Obra!A141, Captura_Marimba_M01!$C:$C, Captura_Obra!B141, Captura_Marimba_M01!$D:$D, Captura_Obra!D141))&gt;0), "", Captura_Obra!N141)</f>
        <v/>
      </c>
      <c r="D437" s="10853">
        <f>IF(OR(Captura_Obra!A141="", (SUMIFS(Captura_Pegaso!$H:$H, Captura_Pegaso!$A:$A, Captura_Obra!A141, Captura_Pegaso!$D:$D, Captura_Obra!B141, Captura_Pegaso!$E:$E, Captura_Obra!D141) + SUMIFS(Captura_Marimba_M01!$G:$G, Captura_Marimba_M01!$A:$A, Captura_Obra!A141, Captura_Marimba_M01!$C:$C, Captura_Obra!B141, Captura_Marimba_M01!$D:$D, Captura_Obra!D141))&gt;0), "", "❌ Falta en Pipa")</f>
        <v/>
      </c>
      <c r="E437" s="10854">
        <f>IF(OR(Captura_Obra!A141="", (SUMIFS(Captura_Pegaso!$H:$H, Captura_Pegaso!$A:$A, Captura_Obra!A141, Captura_Pegaso!$D:$D, Captura_Obra!B141, Captura_Pegaso!$E:$E, Captura_Obra!D141) + SUMIFS(Captura_Marimba_M01!$G:$G, Captura_Marimba_M01!$A:$A, Captura_Obra!A141, Captura_Marimba_M01!$C:$C, Captura_Obra!B141, Captura_Marimba_M01!$D:$D, Captura_Obra!D141))&gt;0), "", Captura_Obra!A141)</f>
        <v/>
      </c>
      <c r="F437" s="10855">
        <f>IF(OR(Captura_Obra!A141="", (SUMIFS(Captura_Pegaso!$H:$H, Captura_Pegaso!$A:$A, Captura_Obra!A141, Captura_Pegaso!$D:$D, Captura_Obra!B141, Captura_Pegaso!$E:$E, Captura_Obra!D141) + SUMIFS(Captura_Marimba_M01!$G:$G, Captura_Marimba_M01!$A:$A, Captura_Obra!A141, Captura_Marimba_M01!$C:$C, Captura_Obra!B141, Captura_Marimba_M01!$D:$D, Captura_Obra!D141))&gt;0), "", Captura_Obra!B141)</f>
        <v/>
      </c>
      <c r="G437" s="10856">
        <f>IF(OR(Captura_Obra!A141="", (SUMIFS(Captura_Pegaso!$H:$H, Captura_Pegaso!$A:$A, Captura_Obra!A141, Captura_Pegaso!$D:$D, Captura_Obra!B141, Captura_Pegaso!$E:$E, Captura_Obra!D141) + SUMIFS(Captura_Marimba_M01!$G:$G, Captura_Marimba_M01!$A:$A, Captura_Obra!A141, Captura_Marimba_M01!$C:$C, Captura_Obra!B141, Captura_Marimba_M01!$D:$D, Captura_Obra!D141))&gt;0), "", Captura_Obra!D141)</f>
        <v/>
      </c>
      <c r="H437" s="10857">
        <f>IF(OR(Captura_Obra!A141="", (SUMIFS(Captura_Pegaso!$H:$H, Captura_Pegaso!$A:$A, Captura_Obra!A141, Captura_Pegaso!$D:$D, Captura_Obra!B141, Captura_Pegaso!$E:$E, Captura_Obra!D141) + SUMIFS(Captura_Marimba_M01!$G:$G, Captura_Marimba_M01!$A:$A, Captura_Obra!A141, Captura_Marimba_M01!$C:$C, Captura_Obra!B141, Captura_Marimba_M01!$D:$D, Captura_Obra!D141))&gt;0), "", 0)</f>
        <v/>
      </c>
      <c r="I437" s="10858">
        <f>IF(OR(Captura_Obra!A141="", (SUMIFS(Captura_Pegaso!$H:$H, Captura_Pegaso!$A:$A, Captura_Obra!A141, Captura_Pegaso!$D:$D, Captura_Obra!B141, Captura_Pegaso!$E:$E, Captura_Obra!D141) + SUMIFS(Captura_Marimba_M01!$G:$G, Captura_Marimba_M01!$A:$A, Captura_Obra!A141, Captura_Marimba_M01!$C:$C, Captura_Obra!B141, Captura_Marimba_M01!$D:$D, Captura_Obra!D141))&gt;0), "", Captura_Obra!F141)</f>
        <v/>
      </c>
      <c r="J437" s="10859">
        <f>IF(OR(Captura_Obra!A141="", (SUMIFS(Captura_Pegaso!$H:$H, Captura_Pegaso!$A:$A, Captura_Obra!A141, Captura_Pegaso!$D:$D, Captura_Obra!B141, Captura_Pegaso!$E:$E, Captura_Obra!D141) + SUMIFS(Captura_Marimba_M01!$G:$G, Captura_Marimba_M01!$A:$A, Captura_Obra!A141, Captura_Marimba_M01!$C:$C, Captura_Obra!B141, Captura_Marimba_M01!$D:$D, Captura_Obra!D141))&gt;0), "", H437 - I437)</f>
        <v/>
      </c>
      <c r="K437" s="4246" t="n"/>
    </row>
    <row r="438">
      <c r="A438" s="10860">
        <f>IF(OR(Captura_Obra!A142="", (SUMIFS(Captura_Pegaso!$H:$H, Captura_Pegaso!$A:$A, Captura_Obra!A142, Captura_Pegaso!$D:$D, Captura_Obra!B142, Captura_Pegaso!$E:$E, Captura_Obra!D142) + SUMIFS(Captura_Marimba_M01!$G:$G, Captura_Marimba_M01!$A:$A, Captura_Obra!A142, Captura_Marimba_M01!$C:$C, Captura_Obra!B142, Captura_Marimba_M01!$D:$D, Captura_Obra!D142))&gt;0), "", "Huérfano Obra")</f>
        <v/>
      </c>
      <c r="B438" s="10861">
        <f>IF(OR(Captura_Obra!A142="", (SUMIFS(Captura_Pegaso!$H:$H, Captura_Pegaso!$A:$A, Captura_Obra!A142, Captura_Pegaso!$D:$D, Captura_Obra!B142, Captura_Pegaso!$E:$E, Captura_Obra!D142) + SUMIFS(Captura_Marimba_M01!$G:$G, Captura_Marimba_M01!$A:$A, Captura_Obra!A142, Captura_Marimba_M01!$C:$C, Captura_Obra!B142, Captura_Marimba_M01!$D:$D, Captura_Obra!D142))&gt;0), "", "No Reportado")</f>
        <v/>
      </c>
      <c r="C438" s="10862">
        <f>IF(OR(Captura_Obra!A142="", (SUMIFS(Captura_Pegaso!$H:$H, Captura_Pegaso!$A:$A, Captura_Obra!A142, Captura_Pegaso!$D:$D, Captura_Obra!B142, Captura_Pegaso!$E:$E, Captura_Obra!D142) + SUMIFS(Captura_Marimba_M01!$G:$G, Captura_Marimba_M01!$A:$A, Captura_Obra!A142, Captura_Marimba_M01!$C:$C, Captura_Obra!B142, Captura_Marimba_M01!$D:$D, Captura_Obra!D142))&gt;0), "", Captura_Obra!N142)</f>
        <v/>
      </c>
      <c r="D438" s="10863">
        <f>IF(OR(Captura_Obra!A142="", (SUMIFS(Captura_Pegaso!$H:$H, Captura_Pegaso!$A:$A, Captura_Obra!A142, Captura_Pegaso!$D:$D, Captura_Obra!B142, Captura_Pegaso!$E:$E, Captura_Obra!D142) + SUMIFS(Captura_Marimba_M01!$G:$G, Captura_Marimba_M01!$A:$A, Captura_Obra!A142, Captura_Marimba_M01!$C:$C, Captura_Obra!B142, Captura_Marimba_M01!$D:$D, Captura_Obra!D142))&gt;0), "", "❌ Falta en Pipa")</f>
        <v/>
      </c>
      <c r="E438" s="10864">
        <f>IF(OR(Captura_Obra!A142="", (SUMIFS(Captura_Pegaso!$H:$H, Captura_Pegaso!$A:$A, Captura_Obra!A142, Captura_Pegaso!$D:$D, Captura_Obra!B142, Captura_Pegaso!$E:$E, Captura_Obra!D142) + SUMIFS(Captura_Marimba_M01!$G:$G, Captura_Marimba_M01!$A:$A, Captura_Obra!A142, Captura_Marimba_M01!$C:$C, Captura_Obra!B142, Captura_Marimba_M01!$D:$D, Captura_Obra!D142))&gt;0), "", Captura_Obra!A142)</f>
        <v/>
      </c>
      <c r="F438" s="10865">
        <f>IF(OR(Captura_Obra!A142="", (SUMIFS(Captura_Pegaso!$H:$H, Captura_Pegaso!$A:$A, Captura_Obra!A142, Captura_Pegaso!$D:$D, Captura_Obra!B142, Captura_Pegaso!$E:$E, Captura_Obra!D142) + SUMIFS(Captura_Marimba_M01!$G:$G, Captura_Marimba_M01!$A:$A, Captura_Obra!A142, Captura_Marimba_M01!$C:$C, Captura_Obra!B142, Captura_Marimba_M01!$D:$D, Captura_Obra!D142))&gt;0), "", Captura_Obra!B142)</f>
        <v/>
      </c>
      <c r="G438" s="10866">
        <f>IF(OR(Captura_Obra!A142="", (SUMIFS(Captura_Pegaso!$H:$H, Captura_Pegaso!$A:$A, Captura_Obra!A142, Captura_Pegaso!$D:$D, Captura_Obra!B142, Captura_Pegaso!$E:$E, Captura_Obra!D142) + SUMIFS(Captura_Marimba_M01!$G:$G, Captura_Marimba_M01!$A:$A, Captura_Obra!A142, Captura_Marimba_M01!$C:$C, Captura_Obra!B142, Captura_Marimba_M01!$D:$D, Captura_Obra!D142))&gt;0), "", Captura_Obra!D142)</f>
        <v/>
      </c>
      <c r="H438" s="10867">
        <f>IF(OR(Captura_Obra!A142="", (SUMIFS(Captura_Pegaso!$H:$H, Captura_Pegaso!$A:$A, Captura_Obra!A142, Captura_Pegaso!$D:$D, Captura_Obra!B142, Captura_Pegaso!$E:$E, Captura_Obra!D142) + SUMIFS(Captura_Marimba_M01!$G:$G, Captura_Marimba_M01!$A:$A, Captura_Obra!A142, Captura_Marimba_M01!$C:$C, Captura_Obra!B142, Captura_Marimba_M01!$D:$D, Captura_Obra!D142))&gt;0), "", 0)</f>
        <v/>
      </c>
      <c r="I438" s="10868">
        <f>IF(OR(Captura_Obra!A142="", (SUMIFS(Captura_Pegaso!$H:$H, Captura_Pegaso!$A:$A, Captura_Obra!A142, Captura_Pegaso!$D:$D, Captura_Obra!B142, Captura_Pegaso!$E:$E, Captura_Obra!D142) + SUMIFS(Captura_Marimba_M01!$G:$G, Captura_Marimba_M01!$A:$A, Captura_Obra!A142, Captura_Marimba_M01!$C:$C, Captura_Obra!B142, Captura_Marimba_M01!$D:$D, Captura_Obra!D142))&gt;0), "", Captura_Obra!F142)</f>
        <v/>
      </c>
      <c r="J438" s="10869">
        <f>IF(OR(Captura_Obra!A142="", (SUMIFS(Captura_Pegaso!$H:$H, Captura_Pegaso!$A:$A, Captura_Obra!A142, Captura_Pegaso!$D:$D, Captura_Obra!B142, Captura_Pegaso!$E:$E, Captura_Obra!D142) + SUMIFS(Captura_Marimba_M01!$G:$G, Captura_Marimba_M01!$A:$A, Captura_Obra!A142, Captura_Marimba_M01!$C:$C, Captura_Obra!B142, Captura_Marimba_M01!$D:$D, Captura_Obra!D142))&gt;0), "", H438 - I438)</f>
        <v/>
      </c>
      <c r="K438" s="4247" t="n"/>
    </row>
    <row r="439">
      <c r="A439" s="10870">
        <f>IF(OR(Captura_Obra!A143="", (SUMIFS(Captura_Pegaso!$H:$H, Captura_Pegaso!$A:$A, Captura_Obra!A143, Captura_Pegaso!$D:$D, Captura_Obra!B143, Captura_Pegaso!$E:$E, Captura_Obra!D143) + SUMIFS(Captura_Marimba_M01!$G:$G, Captura_Marimba_M01!$A:$A, Captura_Obra!A143, Captura_Marimba_M01!$C:$C, Captura_Obra!B143, Captura_Marimba_M01!$D:$D, Captura_Obra!D143))&gt;0), "", "Huérfano Obra")</f>
        <v/>
      </c>
      <c r="B439" s="10871">
        <f>IF(OR(Captura_Obra!A143="", (SUMIFS(Captura_Pegaso!$H:$H, Captura_Pegaso!$A:$A, Captura_Obra!A143, Captura_Pegaso!$D:$D, Captura_Obra!B143, Captura_Pegaso!$E:$E, Captura_Obra!D143) + SUMIFS(Captura_Marimba_M01!$G:$G, Captura_Marimba_M01!$A:$A, Captura_Obra!A143, Captura_Marimba_M01!$C:$C, Captura_Obra!B143, Captura_Marimba_M01!$D:$D, Captura_Obra!D143))&gt;0), "", "No Reportado")</f>
        <v/>
      </c>
      <c r="C439" s="10872">
        <f>IF(OR(Captura_Obra!A143="", (SUMIFS(Captura_Pegaso!$H:$H, Captura_Pegaso!$A:$A, Captura_Obra!A143, Captura_Pegaso!$D:$D, Captura_Obra!B143, Captura_Pegaso!$E:$E, Captura_Obra!D143) + SUMIFS(Captura_Marimba_M01!$G:$G, Captura_Marimba_M01!$A:$A, Captura_Obra!A143, Captura_Marimba_M01!$C:$C, Captura_Obra!B143, Captura_Marimba_M01!$D:$D, Captura_Obra!D143))&gt;0), "", Captura_Obra!N143)</f>
        <v/>
      </c>
      <c r="D439" s="10873">
        <f>IF(OR(Captura_Obra!A143="", (SUMIFS(Captura_Pegaso!$H:$H, Captura_Pegaso!$A:$A, Captura_Obra!A143, Captura_Pegaso!$D:$D, Captura_Obra!B143, Captura_Pegaso!$E:$E, Captura_Obra!D143) + SUMIFS(Captura_Marimba_M01!$G:$G, Captura_Marimba_M01!$A:$A, Captura_Obra!A143, Captura_Marimba_M01!$C:$C, Captura_Obra!B143, Captura_Marimba_M01!$D:$D, Captura_Obra!D143))&gt;0), "", "❌ Falta en Pipa")</f>
        <v/>
      </c>
      <c r="E439" s="10874">
        <f>IF(OR(Captura_Obra!A143="", (SUMIFS(Captura_Pegaso!$H:$H, Captura_Pegaso!$A:$A, Captura_Obra!A143, Captura_Pegaso!$D:$D, Captura_Obra!B143, Captura_Pegaso!$E:$E, Captura_Obra!D143) + SUMIFS(Captura_Marimba_M01!$G:$G, Captura_Marimba_M01!$A:$A, Captura_Obra!A143, Captura_Marimba_M01!$C:$C, Captura_Obra!B143, Captura_Marimba_M01!$D:$D, Captura_Obra!D143))&gt;0), "", Captura_Obra!A143)</f>
        <v/>
      </c>
      <c r="F439" s="10875">
        <f>IF(OR(Captura_Obra!A143="", (SUMIFS(Captura_Pegaso!$H:$H, Captura_Pegaso!$A:$A, Captura_Obra!A143, Captura_Pegaso!$D:$D, Captura_Obra!B143, Captura_Pegaso!$E:$E, Captura_Obra!D143) + SUMIFS(Captura_Marimba_M01!$G:$G, Captura_Marimba_M01!$A:$A, Captura_Obra!A143, Captura_Marimba_M01!$C:$C, Captura_Obra!B143, Captura_Marimba_M01!$D:$D, Captura_Obra!D143))&gt;0), "", Captura_Obra!B143)</f>
        <v/>
      </c>
      <c r="G439" s="10876">
        <f>IF(OR(Captura_Obra!A143="", (SUMIFS(Captura_Pegaso!$H:$H, Captura_Pegaso!$A:$A, Captura_Obra!A143, Captura_Pegaso!$D:$D, Captura_Obra!B143, Captura_Pegaso!$E:$E, Captura_Obra!D143) + SUMIFS(Captura_Marimba_M01!$G:$G, Captura_Marimba_M01!$A:$A, Captura_Obra!A143, Captura_Marimba_M01!$C:$C, Captura_Obra!B143, Captura_Marimba_M01!$D:$D, Captura_Obra!D143))&gt;0), "", Captura_Obra!D143)</f>
        <v/>
      </c>
      <c r="H439" s="10877">
        <f>IF(OR(Captura_Obra!A143="", (SUMIFS(Captura_Pegaso!$H:$H, Captura_Pegaso!$A:$A, Captura_Obra!A143, Captura_Pegaso!$D:$D, Captura_Obra!B143, Captura_Pegaso!$E:$E, Captura_Obra!D143) + SUMIFS(Captura_Marimba_M01!$G:$G, Captura_Marimba_M01!$A:$A, Captura_Obra!A143, Captura_Marimba_M01!$C:$C, Captura_Obra!B143, Captura_Marimba_M01!$D:$D, Captura_Obra!D143))&gt;0), "", 0)</f>
        <v/>
      </c>
      <c r="I439" s="10878">
        <f>IF(OR(Captura_Obra!A143="", (SUMIFS(Captura_Pegaso!$H:$H, Captura_Pegaso!$A:$A, Captura_Obra!A143, Captura_Pegaso!$D:$D, Captura_Obra!B143, Captura_Pegaso!$E:$E, Captura_Obra!D143) + SUMIFS(Captura_Marimba_M01!$G:$G, Captura_Marimba_M01!$A:$A, Captura_Obra!A143, Captura_Marimba_M01!$C:$C, Captura_Obra!B143, Captura_Marimba_M01!$D:$D, Captura_Obra!D143))&gt;0), "", Captura_Obra!F143)</f>
        <v/>
      </c>
      <c r="J439" s="10879">
        <f>IF(OR(Captura_Obra!A143="", (SUMIFS(Captura_Pegaso!$H:$H, Captura_Pegaso!$A:$A, Captura_Obra!A143, Captura_Pegaso!$D:$D, Captura_Obra!B143, Captura_Pegaso!$E:$E, Captura_Obra!D143) + SUMIFS(Captura_Marimba_M01!$G:$G, Captura_Marimba_M01!$A:$A, Captura_Obra!A143, Captura_Marimba_M01!$C:$C, Captura_Obra!B143, Captura_Marimba_M01!$D:$D, Captura_Obra!D143))&gt;0), "", H439 - I439)</f>
        <v/>
      </c>
      <c r="K439" s="4248" t="n"/>
    </row>
    <row r="440">
      <c r="A440" s="10880">
        <f>IF(OR(Captura_Obra!A144="", (SUMIFS(Captura_Pegaso!$H:$H, Captura_Pegaso!$A:$A, Captura_Obra!A144, Captura_Pegaso!$D:$D, Captura_Obra!B144, Captura_Pegaso!$E:$E, Captura_Obra!D144) + SUMIFS(Captura_Marimba_M01!$G:$G, Captura_Marimba_M01!$A:$A, Captura_Obra!A144, Captura_Marimba_M01!$C:$C, Captura_Obra!B144, Captura_Marimba_M01!$D:$D, Captura_Obra!D144))&gt;0), "", "Huérfano Obra")</f>
        <v/>
      </c>
      <c r="B440" s="10881">
        <f>IF(OR(Captura_Obra!A144="", (SUMIFS(Captura_Pegaso!$H:$H, Captura_Pegaso!$A:$A, Captura_Obra!A144, Captura_Pegaso!$D:$D, Captura_Obra!B144, Captura_Pegaso!$E:$E, Captura_Obra!D144) + SUMIFS(Captura_Marimba_M01!$G:$G, Captura_Marimba_M01!$A:$A, Captura_Obra!A144, Captura_Marimba_M01!$C:$C, Captura_Obra!B144, Captura_Marimba_M01!$D:$D, Captura_Obra!D144))&gt;0), "", "No Reportado")</f>
        <v/>
      </c>
      <c r="C440" s="10882">
        <f>IF(OR(Captura_Obra!A144="", (SUMIFS(Captura_Pegaso!$H:$H, Captura_Pegaso!$A:$A, Captura_Obra!A144, Captura_Pegaso!$D:$D, Captura_Obra!B144, Captura_Pegaso!$E:$E, Captura_Obra!D144) + SUMIFS(Captura_Marimba_M01!$G:$G, Captura_Marimba_M01!$A:$A, Captura_Obra!A144, Captura_Marimba_M01!$C:$C, Captura_Obra!B144, Captura_Marimba_M01!$D:$D, Captura_Obra!D144))&gt;0), "", Captura_Obra!N144)</f>
        <v/>
      </c>
      <c r="D440" s="10883">
        <f>IF(OR(Captura_Obra!A144="", (SUMIFS(Captura_Pegaso!$H:$H, Captura_Pegaso!$A:$A, Captura_Obra!A144, Captura_Pegaso!$D:$D, Captura_Obra!B144, Captura_Pegaso!$E:$E, Captura_Obra!D144) + SUMIFS(Captura_Marimba_M01!$G:$G, Captura_Marimba_M01!$A:$A, Captura_Obra!A144, Captura_Marimba_M01!$C:$C, Captura_Obra!B144, Captura_Marimba_M01!$D:$D, Captura_Obra!D144))&gt;0), "", "❌ Falta en Pipa")</f>
        <v/>
      </c>
      <c r="E440" s="10884">
        <f>IF(OR(Captura_Obra!A144="", (SUMIFS(Captura_Pegaso!$H:$H, Captura_Pegaso!$A:$A, Captura_Obra!A144, Captura_Pegaso!$D:$D, Captura_Obra!B144, Captura_Pegaso!$E:$E, Captura_Obra!D144) + SUMIFS(Captura_Marimba_M01!$G:$G, Captura_Marimba_M01!$A:$A, Captura_Obra!A144, Captura_Marimba_M01!$C:$C, Captura_Obra!B144, Captura_Marimba_M01!$D:$D, Captura_Obra!D144))&gt;0), "", Captura_Obra!A144)</f>
        <v/>
      </c>
      <c r="F440" s="10885">
        <f>IF(OR(Captura_Obra!A144="", (SUMIFS(Captura_Pegaso!$H:$H, Captura_Pegaso!$A:$A, Captura_Obra!A144, Captura_Pegaso!$D:$D, Captura_Obra!B144, Captura_Pegaso!$E:$E, Captura_Obra!D144) + SUMIFS(Captura_Marimba_M01!$G:$G, Captura_Marimba_M01!$A:$A, Captura_Obra!A144, Captura_Marimba_M01!$C:$C, Captura_Obra!B144, Captura_Marimba_M01!$D:$D, Captura_Obra!D144))&gt;0), "", Captura_Obra!B144)</f>
        <v/>
      </c>
      <c r="G440" s="10886">
        <f>IF(OR(Captura_Obra!A144="", (SUMIFS(Captura_Pegaso!$H:$H, Captura_Pegaso!$A:$A, Captura_Obra!A144, Captura_Pegaso!$D:$D, Captura_Obra!B144, Captura_Pegaso!$E:$E, Captura_Obra!D144) + SUMIFS(Captura_Marimba_M01!$G:$G, Captura_Marimba_M01!$A:$A, Captura_Obra!A144, Captura_Marimba_M01!$C:$C, Captura_Obra!B144, Captura_Marimba_M01!$D:$D, Captura_Obra!D144))&gt;0), "", Captura_Obra!D144)</f>
        <v/>
      </c>
      <c r="H440" s="10887">
        <f>IF(OR(Captura_Obra!A144="", (SUMIFS(Captura_Pegaso!$H:$H, Captura_Pegaso!$A:$A, Captura_Obra!A144, Captura_Pegaso!$D:$D, Captura_Obra!B144, Captura_Pegaso!$E:$E, Captura_Obra!D144) + SUMIFS(Captura_Marimba_M01!$G:$G, Captura_Marimba_M01!$A:$A, Captura_Obra!A144, Captura_Marimba_M01!$C:$C, Captura_Obra!B144, Captura_Marimba_M01!$D:$D, Captura_Obra!D144))&gt;0), "", 0)</f>
        <v/>
      </c>
      <c r="I440" s="10888">
        <f>IF(OR(Captura_Obra!A144="", (SUMIFS(Captura_Pegaso!$H:$H, Captura_Pegaso!$A:$A, Captura_Obra!A144, Captura_Pegaso!$D:$D, Captura_Obra!B144, Captura_Pegaso!$E:$E, Captura_Obra!D144) + SUMIFS(Captura_Marimba_M01!$G:$G, Captura_Marimba_M01!$A:$A, Captura_Obra!A144, Captura_Marimba_M01!$C:$C, Captura_Obra!B144, Captura_Marimba_M01!$D:$D, Captura_Obra!D144))&gt;0), "", Captura_Obra!F144)</f>
        <v/>
      </c>
      <c r="J440" s="10889">
        <f>IF(OR(Captura_Obra!A144="", (SUMIFS(Captura_Pegaso!$H:$H, Captura_Pegaso!$A:$A, Captura_Obra!A144, Captura_Pegaso!$D:$D, Captura_Obra!B144, Captura_Pegaso!$E:$E, Captura_Obra!D144) + SUMIFS(Captura_Marimba_M01!$G:$G, Captura_Marimba_M01!$A:$A, Captura_Obra!A144, Captura_Marimba_M01!$C:$C, Captura_Obra!B144, Captura_Marimba_M01!$D:$D, Captura_Obra!D144))&gt;0), "", H440 - I440)</f>
        <v/>
      </c>
      <c r="K440" s="4249" t="n"/>
    </row>
    <row r="441">
      <c r="A441" s="10890">
        <f>IF(OR(Captura_Obra!A145="", (SUMIFS(Captura_Pegaso!$H:$H, Captura_Pegaso!$A:$A, Captura_Obra!A145, Captura_Pegaso!$D:$D, Captura_Obra!B145, Captura_Pegaso!$E:$E, Captura_Obra!D145) + SUMIFS(Captura_Marimba_M01!$G:$G, Captura_Marimba_M01!$A:$A, Captura_Obra!A145, Captura_Marimba_M01!$C:$C, Captura_Obra!B145, Captura_Marimba_M01!$D:$D, Captura_Obra!D145))&gt;0), "", "Huérfano Obra")</f>
        <v/>
      </c>
      <c r="B441" s="10891">
        <f>IF(OR(Captura_Obra!A145="", (SUMIFS(Captura_Pegaso!$H:$H, Captura_Pegaso!$A:$A, Captura_Obra!A145, Captura_Pegaso!$D:$D, Captura_Obra!B145, Captura_Pegaso!$E:$E, Captura_Obra!D145) + SUMIFS(Captura_Marimba_M01!$G:$G, Captura_Marimba_M01!$A:$A, Captura_Obra!A145, Captura_Marimba_M01!$C:$C, Captura_Obra!B145, Captura_Marimba_M01!$D:$D, Captura_Obra!D145))&gt;0), "", "No Reportado")</f>
        <v/>
      </c>
      <c r="C441" s="10892">
        <f>IF(OR(Captura_Obra!A145="", (SUMIFS(Captura_Pegaso!$H:$H, Captura_Pegaso!$A:$A, Captura_Obra!A145, Captura_Pegaso!$D:$D, Captura_Obra!B145, Captura_Pegaso!$E:$E, Captura_Obra!D145) + SUMIFS(Captura_Marimba_M01!$G:$G, Captura_Marimba_M01!$A:$A, Captura_Obra!A145, Captura_Marimba_M01!$C:$C, Captura_Obra!B145, Captura_Marimba_M01!$D:$D, Captura_Obra!D145))&gt;0), "", Captura_Obra!N145)</f>
        <v/>
      </c>
      <c r="D441" s="10893">
        <f>IF(OR(Captura_Obra!A145="", (SUMIFS(Captura_Pegaso!$H:$H, Captura_Pegaso!$A:$A, Captura_Obra!A145, Captura_Pegaso!$D:$D, Captura_Obra!B145, Captura_Pegaso!$E:$E, Captura_Obra!D145) + SUMIFS(Captura_Marimba_M01!$G:$G, Captura_Marimba_M01!$A:$A, Captura_Obra!A145, Captura_Marimba_M01!$C:$C, Captura_Obra!B145, Captura_Marimba_M01!$D:$D, Captura_Obra!D145))&gt;0), "", "❌ Falta en Pipa")</f>
        <v/>
      </c>
      <c r="E441" s="10894">
        <f>IF(OR(Captura_Obra!A145="", (SUMIFS(Captura_Pegaso!$H:$H, Captura_Pegaso!$A:$A, Captura_Obra!A145, Captura_Pegaso!$D:$D, Captura_Obra!B145, Captura_Pegaso!$E:$E, Captura_Obra!D145) + SUMIFS(Captura_Marimba_M01!$G:$G, Captura_Marimba_M01!$A:$A, Captura_Obra!A145, Captura_Marimba_M01!$C:$C, Captura_Obra!B145, Captura_Marimba_M01!$D:$D, Captura_Obra!D145))&gt;0), "", Captura_Obra!A145)</f>
        <v/>
      </c>
      <c r="F441" s="10895">
        <f>IF(OR(Captura_Obra!A145="", (SUMIFS(Captura_Pegaso!$H:$H, Captura_Pegaso!$A:$A, Captura_Obra!A145, Captura_Pegaso!$D:$D, Captura_Obra!B145, Captura_Pegaso!$E:$E, Captura_Obra!D145) + SUMIFS(Captura_Marimba_M01!$G:$G, Captura_Marimba_M01!$A:$A, Captura_Obra!A145, Captura_Marimba_M01!$C:$C, Captura_Obra!B145, Captura_Marimba_M01!$D:$D, Captura_Obra!D145))&gt;0), "", Captura_Obra!B145)</f>
        <v/>
      </c>
      <c r="G441" s="10896">
        <f>IF(OR(Captura_Obra!A145="", (SUMIFS(Captura_Pegaso!$H:$H, Captura_Pegaso!$A:$A, Captura_Obra!A145, Captura_Pegaso!$D:$D, Captura_Obra!B145, Captura_Pegaso!$E:$E, Captura_Obra!D145) + SUMIFS(Captura_Marimba_M01!$G:$G, Captura_Marimba_M01!$A:$A, Captura_Obra!A145, Captura_Marimba_M01!$C:$C, Captura_Obra!B145, Captura_Marimba_M01!$D:$D, Captura_Obra!D145))&gt;0), "", Captura_Obra!D145)</f>
        <v/>
      </c>
      <c r="H441" s="10897">
        <f>IF(OR(Captura_Obra!A145="", (SUMIFS(Captura_Pegaso!$H:$H, Captura_Pegaso!$A:$A, Captura_Obra!A145, Captura_Pegaso!$D:$D, Captura_Obra!B145, Captura_Pegaso!$E:$E, Captura_Obra!D145) + SUMIFS(Captura_Marimba_M01!$G:$G, Captura_Marimba_M01!$A:$A, Captura_Obra!A145, Captura_Marimba_M01!$C:$C, Captura_Obra!B145, Captura_Marimba_M01!$D:$D, Captura_Obra!D145))&gt;0), "", 0)</f>
        <v/>
      </c>
      <c r="I441" s="10898">
        <f>IF(OR(Captura_Obra!A145="", (SUMIFS(Captura_Pegaso!$H:$H, Captura_Pegaso!$A:$A, Captura_Obra!A145, Captura_Pegaso!$D:$D, Captura_Obra!B145, Captura_Pegaso!$E:$E, Captura_Obra!D145) + SUMIFS(Captura_Marimba_M01!$G:$G, Captura_Marimba_M01!$A:$A, Captura_Obra!A145, Captura_Marimba_M01!$C:$C, Captura_Obra!B145, Captura_Marimba_M01!$D:$D, Captura_Obra!D145))&gt;0), "", Captura_Obra!F145)</f>
        <v/>
      </c>
      <c r="J441" s="10899">
        <f>IF(OR(Captura_Obra!A145="", (SUMIFS(Captura_Pegaso!$H:$H, Captura_Pegaso!$A:$A, Captura_Obra!A145, Captura_Pegaso!$D:$D, Captura_Obra!B145, Captura_Pegaso!$E:$E, Captura_Obra!D145) + SUMIFS(Captura_Marimba_M01!$G:$G, Captura_Marimba_M01!$A:$A, Captura_Obra!A145, Captura_Marimba_M01!$C:$C, Captura_Obra!B145, Captura_Marimba_M01!$D:$D, Captura_Obra!D145))&gt;0), "", H441 - I441)</f>
        <v/>
      </c>
      <c r="K441" s="4250" t="n"/>
    </row>
    <row r="442">
      <c r="A442" s="10900">
        <f>IF(OR(Captura_Obra!A146="", (SUMIFS(Captura_Pegaso!$H:$H, Captura_Pegaso!$A:$A, Captura_Obra!A146, Captura_Pegaso!$D:$D, Captura_Obra!B146, Captura_Pegaso!$E:$E, Captura_Obra!D146) + SUMIFS(Captura_Marimba_M01!$G:$G, Captura_Marimba_M01!$A:$A, Captura_Obra!A146, Captura_Marimba_M01!$C:$C, Captura_Obra!B146, Captura_Marimba_M01!$D:$D, Captura_Obra!D146))&gt;0), "", "Huérfano Obra")</f>
        <v/>
      </c>
      <c r="B442" s="10901">
        <f>IF(OR(Captura_Obra!A146="", (SUMIFS(Captura_Pegaso!$H:$H, Captura_Pegaso!$A:$A, Captura_Obra!A146, Captura_Pegaso!$D:$D, Captura_Obra!B146, Captura_Pegaso!$E:$E, Captura_Obra!D146) + SUMIFS(Captura_Marimba_M01!$G:$G, Captura_Marimba_M01!$A:$A, Captura_Obra!A146, Captura_Marimba_M01!$C:$C, Captura_Obra!B146, Captura_Marimba_M01!$D:$D, Captura_Obra!D146))&gt;0), "", "No Reportado")</f>
        <v/>
      </c>
      <c r="C442" s="10902">
        <f>IF(OR(Captura_Obra!A146="", (SUMIFS(Captura_Pegaso!$H:$H, Captura_Pegaso!$A:$A, Captura_Obra!A146, Captura_Pegaso!$D:$D, Captura_Obra!B146, Captura_Pegaso!$E:$E, Captura_Obra!D146) + SUMIFS(Captura_Marimba_M01!$G:$G, Captura_Marimba_M01!$A:$A, Captura_Obra!A146, Captura_Marimba_M01!$C:$C, Captura_Obra!B146, Captura_Marimba_M01!$D:$D, Captura_Obra!D146))&gt;0), "", Captura_Obra!N146)</f>
        <v/>
      </c>
      <c r="D442" s="10903">
        <f>IF(OR(Captura_Obra!A146="", (SUMIFS(Captura_Pegaso!$H:$H, Captura_Pegaso!$A:$A, Captura_Obra!A146, Captura_Pegaso!$D:$D, Captura_Obra!B146, Captura_Pegaso!$E:$E, Captura_Obra!D146) + SUMIFS(Captura_Marimba_M01!$G:$G, Captura_Marimba_M01!$A:$A, Captura_Obra!A146, Captura_Marimba_M01!$C:$C, Captura_Obra!B146, Captura_Marimba_M01!$D:$D, Captura_Obra!D146))&gt;0), "", "❌ Falta en Pipa")</f>
        <v/>
      </c>
      <c r="E442" s="10904">
        <f>IF(OR(Captura_Obra!A146="", (SUMIFS(Captura_Pegaso!$H:$H, Captura_Pegaso!$A:$A, Captura_Obra!A146, Captura_Pegaso!$D:$D, Captura_Obra!B146, Captura_Pegaso!$E:$E, Captura_Obra!D146) + SUMIFS(Captura_Marimba_M01!$G:$G, Captura_Marimba_M01!$A:$A, Captura_Obra!A146, Captura_Marimba_M01!$C:$C, Captura_Obra!B146, Captura_Marimba_M01!$D:$D, Captura_Obra!D146))&gt;0), "", Captura_Obra!A146)</f>
        <v/>
      </c>
      <c r="F442" s="10905">
        <f>IF(OR(Captura_Obra!A146="", (SUMIFS(Captura_Pegaso!$H:$H, Captura_Pegaso!$A:$A, Captura_Obra!A146, Captura_Pegaso!$D:$D, Captura_Obra!B146, Captura_Pegaso!$E:$E, Captura_Obra!D146) + SUMIFS(Captura_Marimba_M01!$G:$G, Captura_Marimba_M01!$A:$A, Captura_Obra!A146, Captura_Marimba_M01!$C:$C, Captura_Obra!B146, Captura_Marimba_M01!$D:$D, Captura_Obra!D146))&gt;0), "", Captura_Obra!B146)</f>
        <v/>
      </c>
      <c r="G442" s="10906">
        <f>IF(OR(Captura_Obra!A146="", (SUMIFS(Captura_Pegaso!$H:$H, Captura_Pegaso!$A:$A, Captura_Obra!A146, Captura_Pegaso!$D:$D, Captura_Obra!B146, Captura_Pegaso!$E:$E, Captura_Obra!D146) + SUMIFS(Captura_Marimba_M01!$G:$G, Captura_Marimba_M01!$A:$A, Captura_Obra!A146, Captura_Marimba_M01!$C:$C, Captura_Obra!B146, Captura_Marimba_M01!$D:$D, Captura_Obra!D146))&gt;0), "", Captura_Obra!D146)</f>
        <v/>
      </c>
      <c r="H442" s="10907">
        <f>IF(OR(Captura_Obra!A146="", (SUMIFS(Captura_Pegaso!$H:$H, Captura_Pegaso!$A:$A, Captura_Obra!A146, Captura_Pegaso!$D:$D, Captura_Obra!B146, Captura_Pegaso!$E:$E, Captura_Obra!D146) + SUMIFS(Captura_Marimba_M01!$G:$G, Captura_Marimba_M01!$A:$A, Captura_Obra!A146, Captura_Marimba_M01!$C:$C, Captura_Obra!B146, Captura_Marimba_M01!$D:$D, Captura_Obra!D146))&gt;0), "", 0)</f>
        <v/>
      </c>
      <c r="I442" s="10908">
        <f>IF(OR(Captura_Obra!A146="", (SUMIFS(Captura_Pegaso!$H:$H, Captura_Pegaso!$A:$A, Captura_Obra!A146, Captura_Pegaso!$D:$D, Captura_Obra!B146, Captura_Pegaso!$E:$E, Captura_Obra!D146) + SUMIFS(Captura_Marimba_M01!$G:$G, Captura_Marimba_M01!$A:$A, Captura_Obra!A146, Captura_Marimba_M01!$C:$C, Captura_Obra!B146, Captura_Marimba_M01!$D:$D, Captura_Obra!D146))&gt;0), "", Captura_Obra!F146)</f>
        <v/>
      </c>
      <c r="J442" s="10909">
        <f>IF(OR(Captura_Obra!A146="", (SUMIFS(Captura_Pegaso!$H:$H, Captura_Pegaso!$A:$A, Captura_Obra!A146, Captura_Pegaso!$D:$D, Captura_Obra!B146, Captura_Pegaso!$E:$E, Captura_Obra!D146) + SUMIFS(Captura_Marimba_M01!$G:$G, Captura_Marimba_M01!$A:$A, Captura_Obra!A146, Captura_Marimba_M01!$C:$C, Captura_Obra!B146, Captura_Marimba_M01!$D:$D, Captura_Obra!D146))&gt;0), "", H442 - I442)</f>
        <v/>
      </c>
      <c r="K442" s="4251" t="n"/>
    </row>
    <row r="443">
      <c r="A443" s="10910">
        <f>IF(OR(Captura_Obra!A147="", (SUMIFS(Captura_Pegaso!$H:$H, Captura_Pegaso!$A:$A, Captura_Obra!A147, Captura_Pegaso!$D:$D, Captura_Obra!B147, Captura_Pegaso!$E:$E, Captura_Obra!D147) + SUMIFS(Captura_Marimba_M01!$G:$G, Captura_Marimba_M01!$A:$A, Captura_Obra!A147, Captura_Marimba_M01!$C:$C, Captura_Obra!B147, Captura_Marimba_M01!$D:$D, Captura_Obra!D147))&gt;0), "", "Huérfano Obra")</f>
        <v/>
      </c>
      <c r="B443" s="10911">
        <f>IF(OR(Captura_Obra!A147="", (SUMIFS(Captura_Pegaso!$H:$H, Captura_Pegaso!$A:$A, Captura_Obra!A147, Captura_Pegaso!$D:$D, Captura_Obra!B147, Captura_Pegaso!$E:$E, Captura_Obra!D147) + SUMIFS(Captura_Marimba_M01!$G:$G, Captura_Marimba_M01!$A:$A, Captura_Obra!A147, Captura_Marimba_M01!$C:$C, Captura_Obra!B147, Captura_Marimba_M01!$D:$D, Captura_Obra!D147))&gt;0), "", "No Reportado")</f>
        <v/>
      </c>
      <c r="C443" s="10912">
        <f>IF(OR(Captura_Obra!A147="", (SUMIFS(Captura_Pegaso!$H:$H, Captura_Pegaso!$A:$A, Captura_Obra!A147, Captura_Pegaso!$D:$D, Captura_Obra!B147, Captura_Pegaso!$E:$E, Captura_Obra!D147) + SUMIFS(Captura_Marimba_M01!$G:$G, Captura_Marimba_M01!$A:$A, Captura_Obra!A147, Captura_Marimba_M01!$C:$C, Captura_Obra!B147, Captura_Marimba_M01!$D:$D, Captura_Obra!D147))&gt;0), "", Captura_Obra!N147)</f>
        <v/>
      </c>
      <c r="D443" s="10913">
        <f>IF(OR(Captura_Obra!A147="", (SUMIFS(Captura_Pegaso!$H:$H, Captura_Pegaso!$A:$A, Captura_Obra!A147, Captura_Pegaso!$D:$D, Captura_Obra!B147, Captura_Pegaso!$E:$E, Captura_Obra!D147) + SUMIFS(Captura_Marimba_M01!$G:$G, Captura_Marimba_M01!$A:$A, Captura_Obra!A147, Captura_Marimba_M01!$C:$C, Captura_Obra!B147, Captura_Marimba_M01!$D:$D, Captura_Obra!D147))&gt;0), "", "❌ Falta en Pipa")</f>
        <v/>
      </c>
      <c r="E443" s="10914">
        <f>IF(OR(Captura_Obra!A147="", (SUMIFS(Captura_Pegaso!$H:$H, Captura_Pegaso!$A:$A, Captura_Obra!A147, Captura_Pegaso!$D:$D, Captura_Obra!B147, Captura_Pegaso!$E:$E, Captura_Obra!D147) + SUMIFS(Captura_Marimba_M01!$G:$G, Captura_Marimba_M01!$A:$A, Captura_Obra!A147, Captura_Marimba_M01!$C:$C, Captura_Obra!B147, Captura_Marimba_M01!$D:$D, Captura_Obra!D147))&gt;0), "", Captura_Obra!A147)</f>
        <v/>
      </c>
      <c r="F443" s="10915">
        <f>IF(OR(Captura_Obra!A147="", (SUMIFS(Captura_Pegaso!$H:$H, Captura_Pegaso!$A:$A, Captura_Obra!A147, Captura_Pegaso!$D:$D, Captura_Obra!B147, Captura_Pegaso!$E:$E, Captura_Obra!D147) + SUMIFS(Captura_Marimba_M01!$G:$G, Captura_Marimba_M01!$A:$A, Captura_Obra!A147, Captura_Marimba_M01!$C:$C, Captura_Obra!B147, Captura_Marimba_M01!$D:$D, Captura_Obra!D147))&gt;0), "", Captura_Obra!B147)</f>
        <v/>
      </c>
      <c r="G443" s="10916">
        <f>IF(OR(Captura_Obra!A147="", (SUMIFS(Captura_Pegaso!$H:$H, Captura_Pegaso!$A:$A, Captura_Obra!A147, Captura_Pegaso!$D:$D, Captura_Obra!B147, Captura_Pegaso!$E:$E, Captura_Obra!D147) + SUMIFS(Captura_Marimba_M01!$G:$G, Captura_Marimba_M01!$A:$A, Captura_Obra!A147, Captura_Marimba_M01!$C:$C, Captura_Obra!B147, Captura_Marimba_M01!$D:$D, Captura_Obra!D147))&gt;0), "", Captura_Obra!D147)</f>
        <v/>
      </c>
      <c r="H443" s="10917">
        <f>IF(OR(Captura_Obra!A147="", (SUMIFS(Captura_Pegaso!$H:$H, Captura_Pegaso!$A:$A, Captura_Obra!A147, Captura_Pegaso!$D:$D, Captura_Obra!B147, Captura_Pegaso!$E:$E, Captura_Obra!D147) + SUMIFS(Captura_Marimba_M01!$G:$G, Captura_Marimba_M01!$A:$A, Captura_Obra!A147, Captura_Marimba_M01!$C:$C, Captura_Obra!B147, Captura_Marimba_M01!$D:$D, Captura_Obra!D147))&gt;0), "", 0)</f>
        <v/>
      </c>
      <c r="I443" s="10918">
        <f>IF(OR(Captura_Obra!A147="", (SUMIFS(Captura_Pegaso!$H:$H, Captura_Pegaso!$A:$A, Captura_Obra!A147, Captura_Pegaso!$D:$D, Captura_Obra!B147, Captura_Pegaso!$E:$E, Captura_Obra!D147) + SUMIFS(Captura_Marimba_M01!$G:$G, Captura_Marimba_M01!$A:$A, Captura_Obra!A147, Captura_Marimba_M01!$C:$C, Captura_Obra!B147, Captura_Marimba_M01!$D:$D, Captura_Obra!D147))&gt;0), "", Captura_Obra!F147)</f>
        <v/>
      </c>
      <c r="J443" s="10919">
        <f>IF(OR(Captura_Obra!A147="", (SUMIFS(Captura_Pegaso!$H:$H, Captura_Pegaso!$A:$A, Captura_Obra!A147, Captura_Pegaso!$D:$D, Captura_Obra!B147, Captura_Pegaso!$E:$E, Captura_Obra!D147) + SUMIFS(Captura_Marimba_M01!$G:$G, Captura_Marimba_M01!$A:$A, Captura_Obra!A147, Captura_Marimba_M01!$C:$C, Captura_Obra!B147, Captura_Marimba_M01!$D:$D, Captura_Obra!D147))&gt;0), "", H443 - I443)</f>
        <v/>
      </c>
      <c r="K443" s="4252" t="n"/>
    </row>
    <row r="444">
      <c r="A444" s="10920">
        <f>IF(OR(Captura_Obra!A148="", (SUMIFS(Captura_Pegaso!$H:$H, Captura_Pegaso!$A:$A, Captura_Obra!A148, Captura_Pegaso!$D:$D, Captura_Obra!B148, Captura_Pegaso!$E:$E, Captura_Obra!D148) + SUMIFS(Captura_Marimba_M01!$G:$G, Captura_Marimba_M01!$A:$A, Captura_Obra!A148, Captura_Marimba_M01!$C:$C, Captura_Obra!B148, Captura_Marimba_M01!$D:$D, Captura_Obra!D148))&gt;0), "", "Huérfano Obra")</f>
        <v/>
      </c>
      <c r="B444" s="10921">
        <f>IF(OR(Captura_Obra!A148="", (SUMIFS(Captura_Pegaso!$H:$H, Captura_Pegaso!$A:$A, Captura_Obra!A148, Captura_Pegaso!$D:$D, Captura_Obra!B148, Captura_Pegaso!$E:$E, Captura_Obra!D148) + SUMIFS(Captura_Marimba_M01!$G:$G, Captura_Marimba_M01!$A:$A, Captura_Obra!A148, Captura_Marimba_M01!$C:$C, Captura_Obra!B148, Captura_Marimba_M01!$D:$D, Captura_Obra!D148))&gt;0), "", "No Reportado")</f>
        <v/>
      </c>
      <c r="C444" s="10922">
        <f>IF(OR(Captura_Obra!A148="", (SUMIFS(Captura_Pegaso!$H:$H, Captura_Pegaso!$A:$A, Captura_Obra!A148, Captura_Pegaso!$D:$D, Captura_Obra!B148, Captura_Pegaso!$E:$E, Captura_Obra!D148) + SUMIFS(Captura_Marimba_M01!$G:$G, Captura_Marimba_M01!$A:$A, Captura_Obra!A148, Captura_Marimba_M01!$C:$C, Captura_Obra!B148, Captura_Marimba_M01!$D:$D, Captura_Obra!D148))&gt;0), "", Captura_Obra!N148)</f>
        <v/>
      </c>
      <c r="D444" s="10923">
        <f>IF(OR(Captura_Obra!A148="", (SUMIFS(Captura_Pegaso!$H:$H, Captura_Pegaso!$A:$A, Captura_Obra!A148, Captura_Pegaso!$D:$D, Captura_Obra!B148, Captura_Pegaso!$E:$E, Captura_Obra!D148) + SUMIFS(Captura_Marimba_M01!$G:$G, Captura_Marimba_M01!$A:$A, Captura_Obra!A148, Captura_Marimba_M01!$C:$C, Captura_Obra!B148, Captura_Marimba_M01!$D:$D, Captura_Obra!D148))&gt;0), "", "❌ Falta en Pipa")</f>
        <v/>
      </c>
      <c r="E444" s="10924">
        <f>IF(OR(Captura_Obra!A148="", (SUMIFS(Captura_Pegaso!$H:$H, Captura_Pegaso!$A:$A, Captura_Obra!A148, Captura_Pegaso!$D:$D, Captura_Obra!B148, Captura_Pegaso!$E:$E, Captura_Obra!D148) + SUMIFS(Captura_Marimba_M01!$G:$G, Captura_Marimba_M01!$A:$A, Captura_Obra!A148, Captura_Marimba_M01!$C:$C, Captura_Obra!B148, Captura_Marimba_M01!$D:$D, Captura_Obra!D148))&gt;0), "", Captura_Obra!A148)</f>
        <v/>
      </c>
      <c r="F444" s="10925">
        <f>IF(OR(Captura_Obra!A148="", (SUMIFS(Captura_Pegaso!$H:$H, Captura_Pegaso!$A:$A, Captura_Obra!A148, Captura_Pegaso!$D:$D, Captura_Obra!B148, Captura_Pegaso!$E:$E, Captura_Obra!D148) + SUMIFS(Captura_Marimba_M01!$G:$G, Captura_Marimba_M01!$A:$A, Captura_Obra!A148, Captura_Marimba_M01!$C:$C, Captura_Obra!B148, Captura_Marimba_M01!$D:$D, Captura_Obra!D148))&gt;0), "", Captura_Obra!B148)</f>
        <v/>
      </c>
      <c r="G444" s="10926">
        <f>IF(OR(Captura_Obra!A148="", (SUMIFS(Captura_Pegaso!$H:$H, Captura_Pegaso!$A:$A, Captura_Obra!A148, Captura_Pegaso!$D:$D, Captura_Obra!B148, Captura_Pegaso!$E:$E, Captura_Obra!D148) + SUMIFS(Captura_Marimba_M01!$G:$G, Captura_Marimba_M01!$A:$A, Captura_Obra!A148, Captura_Marimba_M01!$C:$C, Captura_Obra!B148, Captura_Marimba_M01!$D:$D, Captura_Obra!D148))&gt;0), "", Captura_Obra!D148)</f>
        <v/>
      </c>
      <c r="H444" s="10927">
        <f>IF(OR(Captura_Obra!A148="", (SUMIFS(Captura_Pegaso!$H:$H, Captura_Pegaso!$A:$A, Captura_Obra!A148, Captura_Pegaso!$D:$D, Captura_Obra!B148, Captura_Pegaso!$E:$E, Captura_Obra!D148) + SUMIFS(Captura_Marimba_M01!$G:$G, Captura_Marimba_M01!$A:$A, Captura_Obra!A148, Captura_Marimba_M01!$C:$C, Captura_Obra!B148, Captura_Marimba_M01!$D:$D, Captura_Obra!D148))&gt;0), "", 0)</f>
        <v/>
      </c>
      <c r="I444" s="10928">
        <f>IF(OR(Captura_Obra!A148="", (SUMIFS(Captura_Pegaso!$H:$H, Captura_Pegaso!$A:$A, Captura_Obra!A148, Captura_Pegaso!$D:$D, Captura_Obra!B148, Captura_Pegaso!$E:$E, Captura_Obra!D148) + SUMIFS(Captura_Marimba_M01!$G:$G, Captura_Marimba_M01!$A:$A, Captura_Obra!A148, Captura_Marimba_M01!$C:$C, Captura_Obra!B148, Captura_Marimba_M01!$D:$D, Captura_Obra!D148))&gt;0), "", Captura_Obra!F148)</f>
        <v/>
      </c>
      <c r="J444" s="10929">
        <f>IF(OR(Captura_Obra!A148="", (SUMIFS(Captura_Pegaso!$H:$H, Captura_Pegaso!$A:$A, Captura_Obra!A148, Captura_Pegaso!$D:$D, Captura_Obra!B148, Captura_Pegaso!$E:$E, Captura_Obra!D148) + SUMIFS(Captura_Marimba_M01!$G:$G, Captura_Marimba_M01!$A:$A, Captura_Obra!A148, Captura_Marimba_M01!$C:$C, Captura_Obra!B148, Captura_Marimba_M01!$D:$D, Captura_Obra!D148))&gt;0), "", H444 - I444)</f>
        <v/>
      </c>
      <c r="K444" s="4253" t="n"/>
    </row>
    <row r="445">
      <c r="A445" s="10930">
        <f>IF(OR(Captura_Obra!A149="", (SUMIFS(Captura_Pegaso!$H:$H, Captura_Pegaso!$A:$A, Captura_Obra!A149, Captura_Pegaso!$D:$D, Captura_Obra!B149, Captura_Pegaso!$E:$E, Captura_Obra!D149) + SUMIFS(Captura_Marimba_M01!$G:$G, Captura_Marimba_M01!$A:$A, Captura_Obra!A149, Captura_Marimba_M01!$C:$C, Captura_Obra!B149, Captura_Marimba_M01!$D:$D, Captura_Obra!D149))&gt;0), "", "Huérfano Obra")</f>
        <v/>
      </c>
      <c r="B445" s="10931">
        <f>IF(OR(Captura_Obra!A149="", (SUMIFS(Captura_Pegaso!$H:$H, Captura_Pegaso!$A:$A, Captura_Obra!A149, Captura_Pegaso!$D:$D, Captura_Obra!B149, Captura_Pegaso!$E:$E, Captura_Obra!D149) + SUMIFS(Captura_Marimba_M01!$G:$G, Captura_Marimba_M01!$A:$A, Captura_Obra!A149, Captura_Marimba_M01!$C:$C, Captura_Obra!B149, Captura_Marimba_M01!$D:$D, Captura_Obra!D149))&gt;0), "", "No Reportado")</f>
        <v/>
      </c>
      <c r="C445" s="10932">
        <f>IF(OR(Captura_Obra!A149="", (SUMIFS(Captura_Pegaso!$H:$H, Captura_Pegaso!$A:$A, Captura_Obra!A149, Captura_Pegaso!$D:$D, Captura_Obra!B149, Captura_Pegaso!$E:$E, Captura_Obra!D149) + SUMIFS(Captura_Marimba_M01!$G:$G, Captura_Marimba_M01!$A:$A, Captura_Obra!A149, Captura_Marimba_M01!$C:$C, Captura_Obra!B149, Captura_Marimba_M01!$D:$D, Captura_Obra!D149))&gt;0), "", Captura_Obra!N149)</f>
        <v/>
      </c>
      <c r="D445" s="10933">
        <f>IF(OR(Captura_Obra!A149="", (SUMIFS(Captura_Pegaso!$H:$H, Captura_Pegaso!$A:$A, Captura_Obra!A149, Captura_Pegaso!$D:$D, Captura_Obra!B149, Captura_Pegaso!$E:$E, Captura_Obra!D149) + SUMIFS(Captura_Marimba_M01!$G:$G, Captura_Marimba_M01!$A:$A, Captura_Obra!A149, Captura_Marimba_M01!$C:$C, Captura_Obra!B149, Captura_Marimba_M01!$D:$D, Captura_Obra!D149))&gt;0), "", "❌ Falta en Pipa")</f>
        <v/>
      </c>
      <c r="E445" s="10934">
        <f>IF(OR(Captura_Obra!A149="", (SUMIFS(Captura_Pegaso!$H:$H, Captura_Pegaso!$A:$A, Captura_Obra!A149, Captura_Pegaso!$D:$D, Captura_Obra!B149, Captura_Pegaso!$E:$E, Captura_Obra!D149) + SUMIFS(Captura_Marimba_M01!$G:$G, Captura_Marimba_M01!$A:$A, Captura_Obra!A149, Captura_Marimba_M01!$C:$C, Captura_Obra!B149, Captura_Marimba_M01!$D:$D, Captura_Obra!D149))&gt;0), "", Captura_Obra!A149)</f>
        <v/>
      </c>
      <c r="F445" s="10935">
        <f>IF(OR(Captura_Obra!A149="", (SUMIFS(Captura_Pegaso!$H:$H, Captura_Pegaso!$A:$A, Captura_Obra!A149, Captura_Pegaso!$D:$D, Captura_Obra!B149, Captura_Pegaso!$E:$E, Captura_Obra!D149) + SUMIFS(Captura_Marimba_M01!$G:$G, Captura_Marimba_M01!$A:$A, Captura_Obra!A149, Captura_Marimba_M01!$C:$C, Captura_Obra!B149, Captura_Marimba_M01!$D:$D, Captura_Obra!D149))&gt;0), "", Captura_Obra!B149)</f>
        <v/>
      </c>
      <c r="G445" s="10936">
        <f>IF(OR(Captura_Obra!A149="", (SUMIFS(Captura_Pegaso!$H:$H, Captura_Pegaso!$A:$A, Captura_Obra!A149, Captura_Pegaso!$D:$D, Captura_Obra!B149, Captura_Pegaso!$E:$E, Captura_Obra!D149) + SUMIFS(Captura_Marimba_M01!$G:$G, Captura_Marimba_M01!$A:$A, Captura_Obra!A149, Captura_Marimba_M01!$C:$C, Captura_Obra!B149, Captura_Marimba_M01!$D:$D, Captura_Obra!D149))&gt;0), "", Captura_Obra!D149)</f>
        <v/>
      </c>
      <c r="H445" s="10937">
        <f>IF(OR(Captura_Obra!A149="", (SUMIFS(Captura_Pegaso!$H:$H, Captura_Pegaso!$A:$A, Captura_Obra!A149, Captura_Pegaso!$D:$D, Captura_Obra!B149, Captura_Pegaso!$E:$E, Captura_Obra!D149) + SUMIFS(Captura_Marimba_M01!$G:$G, Captura_Marimba_M01!$A:$A, Captura_Obra!A149, Captura_Marimba_M01!$C:$C, Captura_Obra!B149, Captura_Marimba_M01!$D:$D, Captura_Obra!D149))&gt;0), "", 0)</f>
        <v/>
      </c>
      <c r="I445" s="10938">
        <f>IF(OR(Captura_Obra!A149="", (SUMIFS(Captura_Pegaso!$H:$H, Captura_Pegaso!$A:$A, Captura_Obra!A149, Captura_Pegaso!$D:$D, Captura_Obra!B149, Captura_Pegaso!$E:$E, Captura_Obra!D149) + SUMIFS(Captura_Marimba_M01!$G:$G, Captura_Marimba_M01!$A:$A, Captura_Obra!A149, Captura_Marimba_M01!$C:$C, Captura_Obra!B149, Captura_Marimba_M01!$D:$D, Captura_Obra!D149))&gt;0), "", Captura_Obra!F149)</f>
        <v/>
      </c>
      <c r="J445" s="10939">
        <f>IF(OR(Captura_Obra!A149="", (SUMIFS(Captura_Pegaso!$H:$H, Captura_Pegaso!$A:$A, Captura_Obra!A149, Captura_Pegaso!$D:$D, Captura_Obra!B149, Captura_Pegaso!$E:$E, Captura_Obra!D149) + SUMIFS(Captura_Marimba_M01!$G:$G, Captura_Marimba_M01!$A:$A, Captura_Obra!A149, Captura_Marimba_M01!$C:$C, Captura_Obra!B149, Captura_Marimba_M01!$D:$D, Captura_Obra!D149))&gt;0), "", H445 - I445)</f>
        <v/>
      </c>
      <c r="K445" s="4254" t="n"/>
    </row>
    <row r="446">
      <c r="A446" s="10940">
        <f>IF(OR(Captura_Obra!A150="", (SUMIFS(Captura_Pegaso!$H:$H, Captura_Pegaso!$A:$A, Captura_Obra!A150, Captura_Pegaso!$D:$D, Captura_Obra!B150, Captura_Pegaso!$E:$E, Captura_Obra!D150) + SUMIFS(Captura_Marimba_M01!$G:$G, Captura_Marimba_M01!$A:$A, Captura_Obra!A150, Captura_Marimba_M01!$C:$C, Captura_Obra!B150, Captura_Marimba_M01!$D:$D, Captura_Obra!D150))&gt;0), "", "Huérfano Obra")</f>
        <v/>
      </c>
      <c r="B446" s="10941">
        <f>IF(OR(Captura_Obra!A150="", (SUMIFS(Captura_Pegaso!$H:$H, Captura_Pegaso!$A:$A, Captura_Obra!A150, Captura_Pegaso!$D:$D, Captura_Obra!B150, Captura_Pegaso!$E:$E, Captura_Obra!D150) + SUMIFS(Captura_Marimba_M01!$G:$G, Captura_Marimba_M01!$A:$A, Captura_Obra!A150, Captura_Marimba_M01!$C:$C, Captura_Obra!B150, Captura_Marimba_M01!$D:$D, Captura_Obra!D150))&gt;0), "", "No Reportado")</f>
        <v/>
      </c>
      <c r="C446" s="10942">
        <f>IF(OR(Captura_Obra!A150="", (SUMIFS(Captura_Pegaso!$H:$H, Captura_Pegaso!$A:$A, Captura_Obra!A150, Captura_Pegaso!$D:$D, Captura_Obra!B150, Captura_Pegaso!$E:$E, Captura_Obra!D150) + SUMIFS(Captura_Marimba_M01!$G:$G, Captura_Marimba_M01!$A:$A, Captura_Obra!A150, Captura_Marimba_M01!$C:$C, Captura_Obra!B150, Captura_Marimba_M01!$D:$D, Captura_Obra!D150))&gt;0), "", Captura_Obra!N150)</f>
        <v/>
      </c>
      <c r="D446" s="10943">
        <f>IF(OR(Captura_Obra!A150="", (SUMIFS(Captura_Pegaso!$H:$H, Captura_Pegaso!$A:$A, Captura_Obra!A150, Captura_Pegaso!$D:$D, Captura_Obra!B150, Captura_Pegaso!$E:$E, Captura_Obra!D150) + SUMIFS(Captura_Marimba_M01!$G:$G, Captura_Marimba_M01!$A:$A, Captura_Obra!A150, Captura_Marimba_M01!$C:$C, Captura_Obra!B150, Captura_Marimba_M01!$D:$D, Captura_Obra!D150))&gt;0), "", "❌ Falta en Pipa")</f>
        <v/>
      </c>
      <c r="E446" s="10944">
        <f>IF(OR(Captura_Obra!A150="", (SUMIFS(Captura_Pegaso!$H:$H, Captura_Pegaso!$A:$A, Captura_Obra!A150, Captura_Pegaso!$D:$D, Captura_Obra!B150, Captura_Pegaso!$E:$E, Captura_Obra!D150) + SUMIFS(Captura_Marimba_M01!$G:$G, Captura_Marimba_M01!$A:$A, Captura_Obra!A150, Captura_Marimba_M01!$C:$C, Captura_Obra!B150, Captura_Marimba_M01!$D:$D, Captura_Obra!D150))&gt;0), "", Captura_Obra!A150)</f>
        <v/>
      </c>
      <c r="F446" s="10945">
        <f>IF(OR(Captura_Obra!A150="", (SUMIFS(Captura_Pegaso!$H:$H, Captura_Pegaso!$A:$A, Captura_Obra!A150, Captura_Pegaso!$D:$D, Captura_Obra!B150, Captura_Pegaso!$E:$E, Captura_Obra!D150) + SUMIFS(Captura_Marimba_M01!$G:$G, Captura_Marimba_M01!$A:$A, Captura_Obra!A150, Captura_Marimba_M01!$C:$C, Captura_Obra!B150, Captura_Marimba_M01!$D:$D, Captura_Obra!D150))&gt;0), "", Captura_Obra!B150)</f>
        <v/>
      </c>
      <c r="G446" s="10946">
        <f>IF(OR(Captura_Obra!A150="", (SUMIFS(Captura_Pegaso!$H:$H, Captura_Pegaso!$A:$A, Captura_Obra!A150, Captura_Pegaso!$D:$D, Captura_Obra!B150, Captura_Pegaso!$E:$E, Captura_Obra!D150) + SUMIFS(Captura_Marimba_M01!$G:$G, Captura_Marimba_M01!$A:$A, Captura_Obra!A150, Captura_Marimba_M01!$C:$C, Captura_Obra!B150, Captura_Marimba_M01!$D:$D, Captura_Obra!D150))&gt;0), "", Captura_Obra!D150)</f>
        <v/>
      </c>
      <c r="H446" s="10947">
        <f>IF(OR(Captura_Obra!A150="", (SUMIFS(Captura_Pegaso!$H:$H, Captura_Pegaso!$A:$A, Captura_Obra!A150, Captura_Pegaso!$D:$D, Captura_Obra!B150, Captura_Pegaso!$E:$E, Captura_Obra!D150) + SUMIFS(Captura_Marimba_M01!$G:$G, Captura_Marimba_M01!$A:$A, Captura_Obra!A150, Captura_Marimba_M01!$C:$C, Captura_Obra!B150, Captura_Marimba_M01!$D:$D, Captura_Obra!D150))&gt;0), "", 0)</f>
        <v/>
      </c>
      <c r="I446" s="10948">
        <f>IF(OR(Captura_Obra!A150="", (SUMIFS(Captura_Pegaso!$H:$H, Captura_Pegaso!$A:$A, Captura_Obra!A150, Captura_Pegaso!$D:$D, Captura_Obra!B150, Captura_Pegaso!$E:$E, Captura_Obra!D150) + SUMIFS(Captura_Marimba_M01!$G:$G, Captura_Marimba_M01!$A:$A, Captura_Obra!A150, Captura_Marimba_M01!$C:$C, Captura_Obra!B150, Captura_Marimba_M01!$D:$D, Captura_Obra!D150))&gt;0), "", Captura_Obra!F150)</f>
        <v/>
      </c>
      <c r="J446" s="10949">
        <f>IF(OR(Captura_Obra!A150="", (SUMIFS(Captura_Pegaso!$H:$H, Captura_Pegaso!$A:$A, Captura_Obra!A150, Captura_Pegaso!$D:$D, Captura_Obra!B150, Captura_Pegaso!$E:$E, Captura_Obra!D150) + SUMIFS(Captura_Marimba_M01!$G:$G, Captura_Marimba_M01!$A:$A, Captura_Obra!A150, Captura_Marimba_M01!$C:$C, Captura_Obra!B150, Captura_Marimba_M01!$D:$D, Captura_Obra!D150))&gt;0), "", H446 - I446)</f>
        <v/>
      </c>
      <c r="K446" s="4255" t="n"/>
    </row>
    <row r="447">
      <c r="A447" s="10950">
        <f>IF(OR(Captura_Obra!A151="", (SUMIFS(Captura_Pegaso!$H:$H, Captura_Pegaso!$A:$A, Captura_Obra!A151, Captura_Pegaso!$D:$D, Captura_Obra!B151, Captura_Pegaso!$E:$E, Captura_Obra!D151) + SUMIFS(Captura_Marimba_M01!$G:$G, Captura_Marimba_M01!$A:$A, Captura_Obra!A151, Captura_Marimba_M01!$C:$C, Captura_Obra!B151, Captura_Marimba_M01!$D:$D, Captura_Obra!D151))&gt;0), "", "Huérfano Obra")</f>
        <v/>
      </c>
      <c r="B447" s="10951">
        <f>IF(OR(Captura_Obra!A151="", (SUMIFS(Captura_Pegaso!$H:$H, Captura_Pegaso!$A:$A, Captura_Obra!A151, Captura_Pegaso!$D:$D, Captura_Obra!B151, Captura_Pegaso!$E:$E, Captura_Obra!D151) + SUMIFS(Captura_Marimba_M01!$G:$G, Captura_Marimba_M01!$A:$A, Captura_Obra!A151, Captura_Marimba_M01!$C:$C, Captura_Obra!B151, Captura_Marimba_M01!$D:$D, Captura_Obra!D151))&gt;0), "", "No Reportado")</f>
        <v/>
      </c>
      <c r="C447" s="10952">
        <f>IF(OR(Captura_Obra!A151="", (SUMIFS(Captura_Pegaso!$H:$H, Captura_Pegaso!$A:$A, Captura_Obra!A151, Captura_Pegaso!$D:$D, Captura_Obra!B151, Captura_Pegaso!$E:$E, Captura_Obra!D151) + SUMIFS(Captura_Marimba_M01!$G:$G, Captura_Marimba_M01!$A:$A, Captura_Obra!A151, Captura_Marimba_M01!$C:$C, Captura_Obra!B151, Captura_Marimba_M01!$D:$D, Captura_Obra!D151))&gt;0), "", Captura_Obra!N151)</f>
        <v/>
      </c>
      <c r="D447" s="10953">
        <f>IF(OR(Captura_Obra!A151="", (SUMIFS(Captura_Pegaso!$H:$H, Captura_Pegaso!$A:$A, Captura_Obra!A151, Captura_Pegaso!$D:$D, Captura_Obra!B151, Captura_Pegaso!$E:$E, Captura_Obra!D151) + SUMIFS(Captura_Marimba_M01!$G:$G, Captura_Marimba_M01!$A:$A, Captura_Obra!A151, Captura_Marimba_M01!$C:$C, Captura_Obra!B151, Captura_Marimba_M01!$D:$D, Captura_Obra!D151))&gt;0), "", "❌ Falta en Pipa")</f>
        <v/>
      </c>
      <c r="E447" s="10954">
        <f>IF(OR(Captura_Obra!A151="", (SUMIFS(Captura_Pegaso!$H:$H, Captura_Pegaso!$A:$A, Captura_Obra!A151, Captura_Pegaso!$D:$D, Captura_Obra!B151, Captura_Pegaso!$E:$E, Captura_Obra!D151) + SUMIFS(Captura_Marimba_M01!$G:$G, Captura_Marimba_M01!$A:$A, Captura_Obra!A151, Captura_Marimba_M01!$C:$C, Captura_Obra!B151, Captura_Marimba_M01!$D:$D, Captura_Obra!D151))&gt;0), "", Captura_Obra!A151)</f>
        <v/>
      </c>
      <c r="F447" s="10955">
        <f>IF(OR(Captura_Obra!A151="", (SUMIFS(Captura_Pegaso!$H:$H, Captura_Pegaso!$A:$A, Captura_Obra!A151, Captura_Pegaso!$D:$D, Captura_Obra!B151, Captura_Pegaso!$E:$E, Captura_Obra!D151) + SUMIFS(Captura_Marimba_M01!$G:$G, Captura_Marimba_M01!$A:$A, Captura_Obra!A151, Captura_Marimba_M01!$C:$C, Captura_Obra!B151, Captura_Marimba_M01!$D:$D, Captura_Obra!D151))&gt;0), "", Captura_Obra!B151)</f>
        <v/>
      </c>
      <c r="G447" s="10956">
        <f>IF(OR(Captura_Obra!A151="", (SUMIFS(Captura_Pegaso!$H:$H, Captura_Pegaso!$A:$A, Captura_Obra!A151, Captura_Pegaso!$D:$D, Captura_Obra!B151, Captura_Pegaso!$E:$E, Captura_Obra!D151) + SUMIFS(Captura_Marimba_M01!$G:$G, Captura_Marimba_M01!$A:$A, Captura_Obra!A151, Captura_Marimba_M01!$C:$C, Captura_Obra!B151, Captura_Marimba_M01!$D:$D, Captura_Obra!D151))&gt;0), "", Captura_Obra!D151)</f>
        <v/>
      </c>
      <c r="H447" s="10957">
        <f>IF(OR(Captura_Obra!A151="", (SUMIFS(Captura_Pegaso!$H:$H, Captura_Pegaso!$A:$A, Captura_Obra!A151, Captura_Pegaso!$D:$D, Captura_Obra!B151, Captura_Pegaso!$E:$E, Captura_Obra!D151) + SUMIFS(Captura_Marimba_M01!$G:$G, Captura_Marimba_M01!$A:$A, Captura_Obra!A151, Captura_Marimba_M01!$C:$C, Captura_Obra!B151, Captura_Marimba_M01!$D:$D, Captura_Obra!D151))&gt;0), "", 0)</f>
        <v/>
      </c>
      <c r="I447" s="10958">
        <f>IF(OR(Captura_Obra!A151="", (SUMIFS(Captura_Pegaso!$H:$H, Captura_Pegaso!$A:$A, Captura_Obra!A151, Captura_Pegaso!$D:$D, Captura_Obra!B151, Captura_Pegaso!$E:$E, Captura_Obra!D151) + SUMIFS(Captura_Marimba_M01!$G:$G, Captura_Marimba_M01!$A:$A, Captura_Obra!A151, Captura_Marimba_M01!$C:$C, Captura_Obra!B151, Captura_Marimba_M01!$D:$D, Captura_Obra!D151))&gt;0), "", Captura_Obra!F151)</f>
        <v/>
      </c>
      <c r="J447" s="10959">
        <f>IF(OR(Captura_Obra!A151="", (SUMIFS(Captura_Pegaso!$H:$H, Captura_Pegaso!$A:$A, Captura_Obra!A151, Captura_Pegaso!$D:$D, Captura_Obra!B151, Captura_Pegaso!$E:$E, Captura_Obra!D151) + SUMIFS(Captura_Marimba_M01!$G:$G, Captura_Marimba_M01!$A:$A, Captura_Obra!A151, Captura_Marimba_M01!$C:$C, Captura_Obra!B151, Captura_Marimba_M01!$D:$D, Captura_Obra!D151))&gt;0), "", H447 - I447)</f>
        <v/>
      </c>
      <c r="K447" s="4256" t="n"/>
    </row>
    <row r="448">
      <c r="A448" s="10960">
        <f>IF(OR(Captura_Obra!A152="", (SUMIFS(Captura_Pegaso!$H:$H, Captura_Pegaso!$A:$A, Captura_Obra!A152, Captura_Pegaso!$D:$D, Captura_Obra!B152, Captura_Pegaso!$E:$E, Captura_Obra!D152) + SUMIFS(Captura_Marimba_M01!$G:$G, Captura_Marimba_M01!$A:$A, Captura_Obra!A152, Captura_Marimba_M01!$C:$C, Captura_Obra!B152, Captura_Marimba_M01!$D:$D, Captura_Obra!D152))&gt;0), "", "Huérfano Obra")</f>
        <v/>
      </c>
      <c r="B448" s="10961">
        <f>IF(OR(Captura_Obra!A152="", (SUMIFS(Captura_Pegaso!$H:$H, Captura_Pegaso!$A:$A, Captura_Obra!A152, Captura_Pegaso!$D:$D, Captura_Obra!B152, Captura_Pegaso!$E:$E, Captura_Obra!D152) + SUMIFS(Captura_Marimba_M01!$G:$G, Captura_Marimba_M01!$A:$A, Captura_Obra!A152, Captura_Marimba_M01!$C:$C, Captura_Obra!B152, Captura_Marimba_M01!$D:$D, Captura_Obra!D152))&gt;0), "", "No Reportado")</f>
        <v/>
      </c>
      <c r="C448" s="10962">
        <f>IF(OR(Captura_Obra!A152="", (SUMIFS(Captura_Pegaso!$H:$H, Captura_Pegaso!$A:$A, Captura_Obra!A152, Captura_Pegaso!$D:$D, Captura_Obra!B152, Captura_Pegaso!$E:$E, Captura_Obra!D152) + SUMIFS(Captura_Marimba_M01!$G:$G, Captura_Marimba_M01!$A:$A, Captura_Obra!A152, Captura_Marimba_M01!$C:$C, Captura_Obra!B152, Captura_Marimba_M01!$D:$D, Captura_Obra!D152))&gt;0), "", Captura_Obra!N152)</f>
        <v/>
      </c>
      <c r="D448" s="10963">
        <f>IF(OR(Captura_Obra!A152="", (SUMIFS(Captura_Pegaso!$H:$H, Captura_Pegaso!$A:$A, Captura_Obra!A152, Captura_Pegaso!$D:$D, Captura_Obra!B152, Captura_Pegaso!$E:$E, Captura_Obra!D152) + SUMIFS(Captura_Marimba_M01!$G:$G, Captura_Marimba_M01!$A:$A, Captura_Obra!A152, Captura_Marimba_M01!$C:$C, Captura_Obra!B152, Captura_Marimba_M01!$D:$D, Captura_Obra!D152))&gt;0), "", "❌ Falta en Pipa")</f>
        <v/>
      </c>
      <c r="E448" s="10964">
        <f>IF(OR(Captura_Obra!A152="", (SUMIFS(Captura_Pegaso!$H:$H, Captura_Pegaso!$A:$A, Captura_Obra!A152, Captura_Pegaso!$D:$D, Captura_Obra!B152, Captura_Pegaso!$E:$E, Captura_Obra!D152) + SUMIFS(Captura_Marimba_M01!$G:$G, Captura_Marimba_M01!$A:$A, Captura_Obra!A152, Captura_Marimba_M01!$C:$C, Captura_Obra!B152, Captura_Marimba_M01!$D:$D, Captura_Obra!D152))&gt;0), "", Captura_Obra!A152)</f>
        <v/>
      </c>
      <c r="F448" s="10965">
        <f>IF(OR(Captura_Obra!A152="", (SUMIFS(Captura_Pegaso!$H:$H, Captura_Pegaso!$A:$A, Captura_Obra!A152, Captura_Pegaso!$D:$D, Captura_Obra!B152, Captura_Pegaso!$E:$E, Captura_Obra!D152) + SUMIFS(Captura_Marimba_M01!$G:$G, Captura_Marimba_M01!$A:$A, Captura_Obra!A152, Captura_Marimba_M01!$C:$C, Captura_Obra!B152, Captura_Marimba_M01!$D:$D, Captura_Obra!D152))&gt;0), "", Captura_Obra!B152)</f>
        <v/>
      </c>
      <c r="G448" s="10966">
        <f>IF(OR(Captura_Obra!A152="", (SUMIFS(Captura_Pegaso!$H:$H, Captura_Pegaso!$A:$A, Captura_Obra!A152, Captura_Pegaso!$D:$D, Captura_Obra!B152, Captura_Pegaso!$E:$E, Captura_Obra!D152) + SUMIFS(Captura_Marimba_M01!$G:$G, Captura_Marimba_M01!$A:$A, Captura_Obra!A152, Captura_Marimba_M01!$C:$C, Captura_Obra!B152, Captura_Marimba_M01!$D:$D, Captura_Obra!D152))&gt;0), "", Captura_Obra!D152)</f>
        <v/>
      </c>
      <c r="H448" s="10967">
        <f>IF(OR(Captura_Obra!A152="", (SUMIFS(Captura_Pegaso!$H:$H, Captura_Pegaso!$A:$A, Captura_Obra!A152, Captura_Pegaso!$D:$D, Captura_Obra!B152, Captura_Pegaso!$E:$E, Captura_Obra!D152) + SUMIFS(Captura_Marimba_M01!$G:$G, Captura_Marimba_M01!$A:$A, Captura_Obra!A152, Captura_Marimba_M01!$C:$C, Captura_Obra!B152, Captura_Marimba_M01!$D:$D, Captura_Obra!D152))&gt;0), "", 0)</f>
        <v/>
      </c>
      <c r="I448" s="10968">
        <f>IF(OR(Captura_Obra!A152="", (SUMIFS(Captura_Pegaso!$H:$H, Captura_Pegaso!$A:$A, Captura_Obra!A152, Captura_Pegaso!$D:$D, Captura_Obra!B152, Captura_Pegaso!$E:$E, Captura_Obra!D152) + SUMIFS(Captura_Marimba_M01!$G:$G, Captura_Marimba_M01!$A:$A, Captura_Obra!A152, Captura_Marimba_M01!$C:$C, Captura_Obra!B152, Captura_Marimba_M01!$D:$D, Captura_Obra!D152))&gt;0), "", Captura_Obra!F152)</f>
        <v/>
      </c>
      <c r="J448" s="10969">
        <f>IF(OR(Captura_Obra!A152="", (SUMIFS(Captura_Pegaso!$H:$H, Captura_Pegaso!$A:$A, Captura_Obra!A152, Captura_Pegaso!$D:$D, Captura_Obra!B152, Captura_Pegaso!$E:$E, Captura_Obra!D152) + SUMIFS(Captura_Marimba_M01!$G:$G, Captura_Marimba_M01!$A:$A, Captura_Obra!A152, Captura_Marimba_M01!$C:$C, Captura_Obra!B152, Captura_Marimba_M01!$D:$D, Captura_Obra!D152))&gt;0), "", H448 - I448)</f>
        <v/>
      </c>
      <c r="K448" s="4257" t="n"/>
    </row>
    <row r="449">
      <c r="A449" s="10970">
        <f>IF(OR(Captura_Obra!A153="", (SUMIFS(Captura_Pegaso!$H:$H, Captura_Pegaso!$A:$A, Captura_Obra!A153, Captura_Pegaso!$D:$D, Captura_Obra!B153, Captura_Pegaso!$E:$E, Captura_Obra!D153) + SUMIFS(Captura_Marimba_M01!$G:$G, Captura_Marimba_M01!$A:$A, Captura_Obra!A153, Captura_Marimba_M01!$C:$C, Captura_Obra!B153, Captura_Marimba_M01!$D:$D, Captura_Obra!D153))&gt;0), "", "Huérfano Obra")</f>
        <v/>
      </c>
      <c r="B449" s="10971">
        <f>IF(OR(Captura_Obra!A153="", (SUMIFS(Captura_Pegaso!$H:$H, Captura_Pegaso!$A:$A, Captura_Obra!A153, Captura_Pegaso!$D:$D, Captura_Obra!B153, Captura_Pegaso!$E:$E, Captura_Obra!D153) + SUMIFS(Captura_Marimba_M01!$G:$G, Captura_Marimba_M01!$A:$A, Captura_Obra!A153, Captura_Marimba_M01!$C:$C, Captura_Obra!B153, Captura_Marimba_M01!$D:$D, Captura_Obra!D153))&gt;0), "", "No Reportado")</f>
        <v/>
      </c>
      <c r="C449" s="10972">
        <f>IF(OR(Captura_Obra!A153="", (SUMIFS(Captura_Pegaso!$H:$H, Captura_Pegaso!$A:$A, Captura_Obra!A153, Captura_Pegaso!$D:$D, Captura_Obra!B153, Captura_Pegaso!$E:$E, Captura_Obra!D153) + SUMIFS(Captura_Marimba_M01!$G:$G, Captura_Marimba_M01!$A:$A, Captura_Obra!A153, Captura_Marimba_M01!$C:$C, Captura_Obra!B153, Captura_Marimba_M01!$D:$D, Captura_Obra!D153))&gt;0), "", Captura_Obra!N153)</f>
        <v/>
      </c>
      <c r="D449" s="10973">
        <f>IF(OR(Captura_Obra!A153="", (SUMIFS(Captura_Pegaso!$H:$H, Captura_Pegaso!$A:$A, Captura_Obra!A153, Captura_Pegaso!$D:$D, Captura_Obra!B153, Captura_Pegaso!$E:$E, Captura_Obra!D153) + SUMIFS(Captura_Marimba_M01!$G:$G, Captura_Marimba_M01!$A:$A, Captura_Obra!A153, Captura_Marimba_M01!$C:$C, Captura_Obra!B153, Captura_Marimba_M01!$D:$D, Captura_Obra!D153))&gt;0), "", "❌ Falta en Pipa")</f>
        <v/>
      </c>
      <c r="E449" s="10974">
        <f>IF(OR(Captura_Obra!A153="", (SUMIFS(Captura_Pegaso!$H:$H, Captura_Pegaso!$A:$A, Captura_Obra!A153, Captura_Pegaso!$D:$D, Captura_Obra!B153, Captura_Pegaso!$E:$E, Captura_Obra!D153) + SUMIFS(Captura_Marimba_M01!$G:$G, Captura_Marimba_M01!$A:$A, Captura_Obra!A153, Captura_Marimba_M01!$C:$C, Captura_Obra!B153, Captura_Marimba_M01!$D:$D, Captura_Obra!D153))&gt;0), "", Captura_Obra!A153)</f>
        <v/>
      </c>
      <c r="F449" s="10975">
        <f>IF(OR(Captura_Obra!A153="", (SUMIFS(Captura_Pegaso!$H:$H, Captura_Pegaso!$A:$A, Captura_Obra!A153, Captura_Pegaso!$D:$D, Captura_Obra!B153, Captura_Pegaso!$E:$E, Captura_Obra!D153) + SUMIFS(Captura_Marimba_M01!$G:$G, Captura_Marimba_M01!$A:$A, Captura_Obra!A153, Captura_Marimba_M01!$C:$C, Captura_Obra!B153, Captura_Marimba_M01!$D:$D, Captura_Obra!D153))&gt;0), "", Captura_Obra!B153)</f>
        <v/>
      </c>
      <c r="G449" s="10976">
        <f>IF(OR(Captura_Obra!A153="", (SUMIFS(Captura_Pegaso!$H:$H, Captura_Pegaso!$A:$A, Captura_Obra!A153, Captura_Pegaso!$D:$D, Captura_Obra!B153, Captura_Pegaso!$E:$E, Captura_Obra!D153) + SUMIFS(Captura_Marimba_M01!$G:$G, Captura_Marimba_M01!$A:$A, Captura_Obra!A153, Captura_Marimba_M01!$C:$C, Captura_Obra!B153, Captura_Marimba_M01!$D:$D, Captura_Obra!D153))&gt;0), "", Captura_Obra!D153)</f>
        <v/>
      </c>
      <c r="H449" s="10977">
        <f>IF(OR(Captura_Obra!A153="", (SUMIFS(Captura_Pegaso!$H:$H, Captura_Pegaso!$A:$A, Captura_Obra!A153, Captura_Pegaso!$D:$D, Captura_Obra!B153, Captura_Pegaso!$E:$E, Captura_Obra!D153) + SUMIFS(Captura_Marimba_M01!$G:$G, Captura_Marimba_M01!$A:$A, Captura_Obra!A153, Captura_Marimba_M01!$C:$C, Captura_Obra!B153, Captura_Marimba_M01!$D:$D, Captura_Obra!D153))&gt;0), "", 0)</f>
        <v/>
      </c>
      <c r="I449" s="10978">
        <f>IF(OR(Captura_Obra!A153="", (SUMIFS(Captura_Pegaso!$H:$H, Captura_Pegaso!$A:$A, Captura_Obra!A153, Captura_Pegaso!$D:$D, Captura_Obra!B153, Captura_Pegaso!$E:$E, Captura_Obra!D153) + SUMIFS(Captura_Marimba_M01!$G:$G, Captura_Marimba_M01!$A:$A, Captura_Obra!A153, Captura_Marimba_M01!$C:$C, Captura_Obra!B153, Captura_Marimba_M01!$D:$D, Captura_Obra!D153))&gt;0), "", Captura_Obra!F153)</f>
        <v/>
      </c>
      <c r="J449" s="10979">
        <f>IF(OR(Captura_Obra!A153="", (SUMIFS(Captura_Pegaso!$H:$H, Captura_Pegaso!$A:$A, Captura_Obra!A153, Captura_Pegaso!$D:$D, Captura_Obra!B153, Captura_Pegaso!$E:$E, Captura_Obra!D153) + SUMIFS(Captura_Marimba_M01!$G:$G, Captura_Marimba_M01!$A:$A, Captura_Obra!A153, Captura_Marimba_M01!$C:$C, Captura_Obra!B153, Captura_Marimba_M01!$D:$D, Captura_Obra!D153))&gt;0), "", H449 - I449)</f>
        <v/>
      </c>
      <c r="K449" s="4258" t="n"/>
    </row>
    <row r="450">
      <c r="A450" s="10980">
        <f>IF(OR(Captura_Obra!A154="", (SUMIFS(Captura_Pegaso!$H:$H, Captura_Pegaso!$A:$A, Captura_Obra!A154, Captura_Pegaso!$D:$D, Captura_Obra!B154, Captura_Pegaso!$E:$E, Captura_Obra!D154) + SUMIFS(Captura_Marimba_M01!$G:$G, Captura_Marimba_M01!$A:$A, Captura_Obra!A154, Captura_Marimba_M01!$C:$C, Captura_Obra!B154, Captura_Marimba_M01!$D:$D, Captura_Obra!D154))&gt;0), "", "Huérfano Obra")</f>
        <v/>
      </c>
      <c r="B450" s="10981">
        <f>IF(OR(Captura_Obra!A154="", (SUMIFS(Captura_Pegaso!$H:$H, Captura_Pegaso!$A:$A, Captura_Obra!A154, Captura_Pegaso!$D:$D, Captura_Obra!B154, Captura_Pegaso!$E:$E, Captura_Obra!D154) + SUMIFS(Captura_Marimba_M01!$G:$G, Captura_Marimba_M01!$A:$A, Captura_Obra!A154, Captura_Marimba_M01!$C:$C, Captura_Obra!B154, Captura_Marimba_M01!$D:$D, Captura_Obra!D154))&gt;0), "", "No Reportado")</f>
        <v/>
      </c>
      <c r="C450" s="10982">
        <f>IF(OR(Captura_Obra!A154="", (SUMIFS(Captura_Pegaso!$H:$H, Captura_Pegaso!$A:$A, Captura_Obra!A154, Captura_Pegaso!$D:$D, Captura_Obra!B154, Captura_Pegaso!$E:$E, Captura_Obra!D154) + SUMIFS(Captura_Marimba_M01!$G:$G, Captura_Marimba_M01!$A:$A, Captura_Obra!A154, Captura_Marimba_M01!$C:$C, Captura_Obra!B154, Captura_Marimba_M01!$D:$D, Captura_Obra!D154))&gt;0), "", Captura_Obra!N154)</f>
        <v/>
      </c>
      <c r="D450" s="10983">
        <f>IF(OR(Captura_Obra!A154="", (SUMIFS(Captura_Pegaso!$H:$H, Captura_Pegaso!$A:$A, Captura_Obra!A154, Captura_Pegaso!$D:$D, Captura_Obra!B154, Captura_Pegaso!$E:$E, Captura_Obra!D154) + SUMIFS(Captura_Marimba_M01!$G:$G, Captura_Marimba_M01!$A:$A, Captura_Obra!A154, Captura_Marimba_M01!$C:$C, Captura_Obra!B154, Captura_Marimba_M01!$D:$D, Captura_Obra!D154))&gt;0), "", "❌ Falta en Pipa")</f>
        <v/>
      </c>
      <c r="E450" s="10984">
        <f>IF(OR(Captura_Obra!A154="", (SUMIFS(Captura_Pegaso!$H:$H, Captura_Pegaso!$A:$A, Captura_Obra!A154, Captura_Pegaso!$D:$D, Captura_Obra!B154, Captura_Pegaso!$E:$E, Captura_Obra!D154) + SUMIFS(Captura_Marimba_M01!$G:$G, Captura_Marimba_M01!$A:$A, Captura_Obra!A154, Captura_Marimba_M01!$C:$C, Captura_Obra!B154, Captura_Marimba_M01!$D:$D, Captura_Obra!D154))&gt;0), "", Captura_Obra!A154)</f>
        <v/>
      </c>
      <c r="F450" s="10985">
        <f>IF(OR(Captura_Obra!A154="", (SUMIFS(Captura_Pegaso!$H:$H, Captura_Pegaso!$A:$A, Captura_Obra!A154, Captura_Pegaso!$D:$D, Captura_Obra!B154, Captura_Pegaso!$E:$E, Captura_Obra!D154) + SUMIFS(Captura_Marimba_M01!$G:$G, Captura_Marimba_M01!$A:$A, Captura_Obra!A154, Captura_Marimba_M01!$C:$C, Captura_Obra!B154, Captura_Marimba_M01!$D:$D, Captura_Obra!D154))&gt;0), "", Captura_Obra!B154)</f>
        <v/>
      </c>
      <c r="G450" s="10986">
        <f>IF(OR(Captura_Obra!A154="", (SUMIFS(Captura_Pegaso!$H:$H, Captura_Pegaso!$A:$A, Captura_Obra!A154, Captura_Pegaso!$D:$D, Captura_Obra!B154, Captura_Pegaso!$E:$E, Captura_Obra!D154) + SUMIFS(Captura_Marimba_M01!$G:$G, Captura_Marimba_M01!$A:$A, Captura_Obra!A154, Captura_Marimba_M01!$C:$C, Captura_Obra!B154, Captura_Marimba_M01!$D:$D, Captura_Obra!D154))&gt;0), "", Captura_Obra!D154)</f>
        <v/>
      </c>
      <c r="H450" s="10987">
        <f>IF(OR(Captura_Obra!A154="", (SUMIFS(Captura_Pegaso!$H:$H, Captura_Pegaso!$A:$A, Captura_Obra!A154, Captura_Pegaso!$D:$D, Captura_Obra!B154, Captura_Pegaso!$E:$E, Captura_Obra!D154) + SUMIFS(Captura_Marimba_M01!$G:$G, Captura_Marimba_M01!$A:$A, Captura_Obra!A154, Captura_Marimba_M01!$C:$C, Captura_Obra!B154, Captura_Marimba_M01!$D:$D, Captura_Obra!D154))&gt;0), "", 0)</f>
        <v/>
      </c>
      <c r="I450" s="10988">
        <f>IF(OR(Captura_Obra!A154="", (SUMIFS(Captura_Pegaso!$H:$H, Captura_Pegaso!$A:$A, Captura_Obra!A154, Captura_Pegaso!$D:$D, Captura_Obra!B154, Captura_Pegaso!$E:$E, Captura_Obra!D154) + SUMIFS(Captura_Marimba_M01!$G:$G, Captura_Marimba_M01!$A:$A, Captura_Obra!A154, Captura_Marimba_M01!$C:$C, Captura_Obra!B154, Captura_Marimba_M01!$D:$D, Captura_Obra!D154))&gt;0), "", Captura_Obra!F154)</f>
        <v/>
      </c>
      <c r="J450" s="10989">
        <f>IF(OR(Captura_Obra!A154="", (SUMIFS(Captura_Pegaso!$H:$H, Captura_Pegaso!$A:$A, Captura_Obra!A154, Captura_Pegaso!$D:$D, Captura_Obra!B154, Captura_Pegaso!$E:$E, Captura_Obra!D154) + SUMIFS(Captura_Marimba_M01!$G:$G, Captura_Marimba_M01!$A:$A, Captura_Obra!A154, Captura_Marimba_M01!$C:$C, Captura_Obra!B154, Captura_Marimba_M01!$D:$D, Captura_Obra!D154))&gt;0), "", H450 - I450)</f>
        <v/>
      </c>
      <c r="K450" s="4259" t="n"/>
    </row>
    <row r="451">
      <c r="A451" s="10990">
        <f>IF(OR(Captura_Obra!A155="", (SUMIFS(Captura_Pegaso!$H:$H, Captura_Pegaso!$A:$A, Captura_Obra!A155, Captura_Pegaso!$D:$D, Captura_Obra!B155, Captura_Pegaso!$E:$E, Captura_Obra!D155) + SUMIFS(Captura_Marimba_M01!$G:$G, Captura_Marimba_M01!$A:$A, Captura_Obra!A155, Captura_Marimba_M01!$C:$C, Captura_Obra!B155, Captura_Marimba_M01!$D:$D, Captura_Obra!D155))&gt;0), "", "Huérfano Obra")</f>
        <v/>
      </c>
      <c r="B451" s="10991">
        <f>IF(OR(Captura_Obra!A155="", (SUMIFS(Captura_Pegaso!$H:$H, Captura_Pegaso!$A:$A, Captura_Obra!A155, Captura_Pegaso!$D:$D, Captura_Obra!B155, Captura_Pegaso!$E:$E, Captura_Obra!D155) + SUMIFS(Captura_Marimba_M01!$G:$G, Captura_Marimba_M01!$A:$A, Captura_Obra!A155, Captura_Marimba_M01!$C:$C, Captura_Obra!B155, Captura_Marimba_M01!$D:$D, Captura_Obra!D155))&gt;0), "", "No Reportado")</f>
        <v/>
      </c>
      <c r="C451" s="10992">
        <f>IF(OR(Captura_Obra!A155="", (SUMIFS(Captura_Pegaso!$H:$H, Captura_Pegaso!$A:$A, Captura_Obra!A155, Captura_Pegaso!$D:$D, Captura_Obra!B155, Captura_Pegaso!$E:$E, Captura_Obra!D155) + SUMIFS(Captura_Marimba_M01!$G:$G, Captura_Marimba_M01!$A:$A, Captura_Obra!A155, Captura_Marimba_M01!$C:$C, Captura_Obra!B155, Captura_Marimba_M01!$D:$D, Captura_Obra!D155))&gt;0), "", Captura_Obra!N155)</f>
        <v/>
      </c>
      <c r="D451" s="10993">
        <f>IF(OR(Captura_Obra!A155="", (SUMIFS(Captura_Pegaso!$H:$H, Captura_Pegaso!$A:$A, Captura_Obra!A155, Captura_Pegaso!$D:$D, Captura_Obra!B155, Captura_Pegaso!$E:$E, Captura_Obra!D155) + SUMIFS(Captura_Marimba_M01!$G:$G, Captura_Marimba_M01!$A:$A, Captura_Obra!A155, Captura_Marimba_M01!$C:$C, Captura_Obra!B155, Captura_Marimba_M01!$D:$D, Captura_Obra!D155))&gt;0), "", "❌ Falta en Pipa")</f>
        <v/>
      </c>
      <c r="E451" s="10994">
        <f>IF(OR(Captura_Obra!A155="", (SUMIFS(Captura_Pegaso!$H:$H, Captura_Pegaso!$A:$A, Captura_Obra!A155, Captura_Pegaso!$D:$D, Captura_Obra!B155, Captura_Pegaso!$E:$E, Captura_Obra!D155) + SUMIFS(Captura_Marimba_M01!$G:$G, Captura_Marimba_M01!$A:$A, Captura_Obra!A155, Captura_Marimba_M01!$C:$C, Captura_Obra!B155, Captura_Marimba_M01!$D:$D, Captura_Obra!D155))&gt;0), "", Captura_Obra!A155)</f>
        <v/>
      </c>
      <c r="F451" s="10995">
        <f>IF(OR(Captura_Obra!A155="", (SUMIFS(Captura_Pegaso!$H:$H, Captura_Pegaso!$A:$A, Captura_Obra!A155, Captura_Pegaso!$D:$D, Captura_Obra!B155, Captura_Pegaso!$E:$E, Captura_Obra!D155) + SUMIFS(Captura_Marimba_M01!$G:$G, Captura_Marimba_M01!$A:$A, Captura_Obra!A155, Captura_Marimba_M01!$C:$C, Captura_Obra!B155, Captura_Marimba_M01!$D:$D, Captura_Obra!D155))&gt;0), "", Captura_Obra!B155)</f>
        <v/>
      </c>
      <c r="G451" s="10996">
        <f>IF(OR(Captura_Obra!A155="", (SUMIFS(Captura_Pegaso!$H:$H, Captura_Pegaso!$A:$A, Captura_Obra!A155, Captura_Pegaso!$D:$D, Captura_Obra!B155, Captura_Pegaso!$E:$E, Captura_Obra!D155) + SUMIFS(Captura_Marimba_M01!$G:$G, Captura_Marimba_M01!$A:$A, Captura_Obra!A155, Captura_Marimba_M01!$C:$C, Captura_Obra!B155, Captura_Marimba_M01!$D:$D, Captura_Obra!D155))&gt;0), "", Captura_Obra!D155)</f>
        <v/>
      </c>
      <c r="H451" s="10997">
        <f>IF(OR(Captura_Obra!A155="", (SUMIFS(Captura_Pegaso!$H:$H, Captura_Pegaso!$A:$A, Captura_Obra!A155, Captura_Pegaso!$D:$D, Captura_Obra!B155, Captura_Pegaso!$E:$E, Captura_Obra!D155) + SUMIFS(Captura_Marimba_M01!$G:$G, Captura_Marimba_M01!$A:$A, Captura_Obra!A155, Captura_Marimba_M01!$C:$C, Captura_Obra!B155, Captura_Marimba_M01!$D:$D, Captura_Obra!D155))&gt;0), "", 0)</f>
        <v/>
      </c>
      <c r="I451" s="10998">
        <f>IF(OR(Captura_Obra!A155="", (SUMIFS(Captura_Pegaso!$H:$H, Captura_Pegaso!$A:$A, Captura_Obra!A155, Captura_Pegaso!$D:$D, Captura_Obra!B155, Captura_Pegaso!$E:$E, Captura_Obra!D155) + SUMIFS(Captura_Marimba_M01!$G:$G, Captura_Marimba_M01!$A:$A, Captura_Obra!A155, Captura_Marimba_M01!$C:$C, Captura_Obra!B155, Captura_Marimba_M01!$D:$D, Captura_Obra!D155))&gt;0), "", Captura_Obra!F155)</f>
        <v/>
      </c>
      <c r="J451" s="10999">
        <f>IF(OR(Captura_Obra!A155="", (SUMIFS(Captura_Pegaso!$H:$H, Captura_Pegaso!$A:$A, Captura_Obra!A155, Captura_Pegaso!$D:$D, Captura_Obra!B155, Captura_Pegaso!$E:$E, Captura_Obra!D155) + SUMIFS(Captura_Marimba_M01!$G:$G, Captura_Marimba_M01!$A:$A, Captura_Obra!A155, Captura_Marimba_M01!$C:$C, Captura_Obra!B155, Captura_Marimba_M01!$D:$D, Captura_Obra!D155))&gt;0), "", H451 - I451)</f>
        <v/>
      </c>
      <c r="K451" s="4260" t="n"/>
    </row>
    <row r="452">
      <c r="A452" s="11000">
        <f>IF(OR(Captura_Obra!A156="", (SUMIFS(Captura_Pegaso!$H:$H, Captura_Pegaso!$A:$A, Captura_Obra!A156, Captura_Pegaso!$D:$D, Captura_Obra!B156, Captura_Pegaso!$E:$E, Captura_Obra!D156) + SUMIFS(Captura_Marimba_M01!$G:$G, Captura_Marimba_M01!$A:$A, Captura_Obra!A156, Captura_Marimba_M01!$C:$C, Captura_Obra!B156, Captura_Marimba_M01!$D:$D, Captura_Obra!D156))&gt;0), "", "Huérfano Obra")</f>
        <v/>
      </c>
      <c r="B452" s="11001">
        <f>IF(OR(Captura_Obra!A156="", (SUMIFS(Captura_Pegaso!$H:$H, Captura_Pegaso!$A:$A, Captura_Obra!A156, Captura_Pegaso!$D:$D, Captura_Obra!B156, Captura_Pegaso!$E:$E, Captura_Obra!D156) + SUMIFS(Captura_Marimba_M01!$G:$G, Captura_Marimba_M01!$A:$A, Captura_Obra!A156, Captura_Marimba_M01!$C:$C, Captura_Obra!B156, Captura_Marimba_M01!$D:$D, Captura_Obra!D156))&gt;0), "", "No Reportado")</f>
        <v/>
      </c>
      <c r="C452" s="11002">
        <f>IF(OR(Captura_Obra!A156="", (SUMIFS(Captura_Pegaso!$H:$H, Captura_Pegaso!$A:$A, Captura_Obra!A156, Captura_Pegaso!$D:$D, Captura_Obra!B156, Captura_Pegaso!$E:$E, Captura_Obra!D156) + SUMIFS(Captura_Marimba_M01!$G:$G, Captura_Marimba_M01!$A:$A, Captura_Obra!A156, Captura_Marimba_M01!$C:$C, Captura_Obra!B156, Captura_Marimba_M01!$D:$D, Captura_Obra!D156))&gt;0), "", Captura_Obra!N156)</f>
        <v/>
      </c>
      <c r="D452" s="11003">
        <f>IF(OR(Captura_Obra!A156="", (SUMIFS(Captura_Pegaso!$H:$H, Captura_Pegaso!$A:$A, Captura_Obra!A156, Captura_Pegaso!$D:$D, Captura_Obra!B156, Captura_Pegaso!$E:$E, Captura_Obra!D156) + SUMIFS(Captura_Marimba_M01!$G:$G, Captura_Marimba_M01!$A:$A, Captura_Obra!A156, Captura_Marimba_M01!$C:$C, Captura_Obra!B156, Captura_Marimba_M01!$D:$D, Captura_Obra!D156))&gt;0), "", "❌ Falta en Pipa")</f>
        <v/>
      </c>
      <c r="E452" s="11004">
        <f>IF(OR(Captura_Obra!A156="", (SUMIFS(Captura_Pegaso!$H:$H, Captura_Pegaso!$A:$A, Captura_Obra!A156, Captura_Pegaso!$D:$D, Captura_Obra!B156, Captura_Pegaso!$E:$E, Captura_Obra!D156) + SUMIFS(Captura_Marimba_M01!$G:$G, Captura_Marimba_M01!$A:$A, Captura_Obra!A156, Captura_Marimba_M01!$C:$C, Captura_Obra!B156, Captura_Marimba_M01!$D:$D, Captura_Obra!D156))&gt;0), "", Captura_Obra!A156)</f>
        <v/>
      </c>
      <c r="F452" s="11005">
        <f>IF(OR(Captura_Obra!A156="", (SUMIFS(Captura_Pegaso!$H:$H, Captura_Pegaso!$A:$A, Captura_Obra!A156, Captura_Pegaso!$D:$D, Captura_Obra!B156, Captura_Pegaso!$E:$E, Captura_Obra!D156) + SUMIFS(Captura_Marimba_M01!$G:$G, Captura_Marimba_M01!$A:$A, Captura_Obra!A156, Captura_Marimba_M01!$C:$C, Captura_Obra!B156, Captura_Marimba_M01!$D:$D, Captura_Obra!D156))&gt;0), "", Captura_Obra!B156)</f>
        <v/>
      </c>
      <c r="G452" s="11006">
        <f>IF(OR(Captura_Obra!A156="", (SUMIFS(Captura_Pegaso!$H:$H, Captura_Pegaso!$A:$A, Captura_Obra!A156, Captura_Pegaso!$D:$D, Captura_Obra!B156, Captura_Pegaso!$E:$E, Captura_Obra!D156) + SUMIFS(Captura_Marimba_M01!$G:$G, Captura_Marimba_M01!$A:$A, Captura_Obra!A156, Captura_Marimba_M01!$C:$C, Captura_Obra!B156, Captura_Marimba_M01!$D:$D, Captura_Obra!D156))&gt;0), "", Captura_Obra!D156)</f>
        <v/>
      </c>
      <c r="H452" s="11007">
        <f>IF(OR(Captura_Obra!A156="", (SUMIFS(Captura_Pegaso!$H:$H, Captura_Pegaso!$A:$A, Captura_Obra!A156, Captura_Pegaso!$D:$D, Captura_Obra!B156, Captura_Pegaso!$E:$E, Captura_Obra!D156) + SUMIFS(Captura_Marimba_M01!$G:$G, Captura_Marimba_M01!$A:$A, Captura_Obra!A156, Captura_Marimba_M01!$C:$C, Captura_Obra!B156, Captura_Marimba_M01!$D:$D, Captura_Obra!D156))&gt;0), "", 0)</f>
        <v/>
      </c>
      <c r="I452" s="11008">
        <f>IF(OR(Captura_Obra!A156="", (SUMIFS(Captura_Pegaso!$H:$H, Captura_Pegaso!$A:$A, Captura_Obra!A156, Captura_Pegaso!$D:$D, Captura_Obra!B156, Captura_Pegaso!$E:$E, Captura_Obra!D156) + SUMIFS(Captura_Marimba_M01!$G:$G, Captura_Marimba_M01!$A:$A, Captura_Obra!A156, Captura_Marimba_M01!$C:$C, Captura_Obra!B156, Captura_Marimba_M01!$D:$D, Captura_Obra!D156))&gt;0), "", Captura_Obra!F156)</f>
        <v/>
      </c>
      <c r="J452" s="11009">
        <f>IF(OR(Captura_Obra!A156="", (SUMIFS(Captura_Pegaso!$H:$H, Captura_Pegaso!$A:$A, Captura_Obra!A156, Captura_Pegaso!$D:$D, Captura_Obra!B156, Captura_Pegaso!$E:$E, Captura_Obra!D156) + SUMIFS(Captura_Marimba_M01!$G:$G, Captura_Marimba_M01!$A:$A, Captura_Obra!A156, Captura_Marimba_M01!$C:$C, Captura_Obra!B156, Captura_Marimba_M01!$D:$D, Captura_Obra!D156))&gt;0), "", H452 - I452)</f>
        <v/>
      </c>
      <c r="K452" s="4261" t="n"/>
    </row>
    <row r="453">
      <c r="A453" s="11010">
        <f>IF(OR(Captura_Obra!A157="", (SUMIFS(Captura_Pegaso!$H:$H, Captura_Pegaso!$A:$A, Captura_Obra!A157, Captura_Pegaso!$D:$D, Captura_Obra!B157, Captura_Pegaso!$E:$E, Captura_Obra!D157) + SUMIFS(Captura_Marimba_M01!$G:$G, Captura_Marimba_M01!$A:$A, Captura_Obra!A157, Captura_Marimba_M01!$C:$C, Captura_Obra!B157, Captura_Marimba_M01!$D:$D, Captura_Obra!D157))&gt;0), "", "Huérfano Obra")</f>
        <v/>
      </c>
      <c r="B453" s="11011">
        <f>IF(OR(Captura_Obra!A157="", (SUMIFS(Captura_Pegaso!$H:$H, Captura_Pegaso!$A:$A, Captura_Obra!A157, Captura_Pegaso!$D:$D, Captura_Obra!B157, Captura_Pegaso!$E:$E, Captura_Obra!D157) + SUMIFS(Captura_Marimba_M01!$G:$G, Captura_Marimba_M01!$A:$A, Captura_Obra!A157, Captura_Marimba_M01!$C:$C, Captura_Obra!B157, Captura_Marimba_M01!$D:$D, Captura_Obra!D157))&gt;0), "", "No Reportado")</f>
        <v/>
      </c>
      <c r="C453" s="11012">
        <f>IF(OR(Captura_Obra!A157="", (SUMIFS(Captura_Pegaso!$H:$H, Captura_Pegaso!$A:$A, Captura_Obra!A157, Captura_Pegaso!$D:$D, Captura_Obra!B157, Captura_Pegaso!$E:$E, Captura_Obra!D157) + SUMIFS(Captura_Marimba_M01!$G:$G, Captura_Marimba_M01!$A:$A, Captura_Obra!A157, Captura_Marimba_M01!$C:$C, Captura_Obra!B157, Captura_Marimba_M01!$D:$D, Captura_Obra!D157))&gt;0), "", Captura_Obra!N157)</f>
        <v/>
      </c>
      <c r="D453" s="11013">
        <f>IF(OR(Captura_Obra!A157="", (SUMIFS(Captura_Pegaso!$H:$H, Captura_Pegaso!$A:$A, Captura_Obra!A157, Captura_Pegaso!$D:$D, Captura_Obra!B157, Captura_Pegaso!$E:$E, Captura_Obra!D157) + SUMIFS(Captura_Marimba_M01!$G:$G, Captura_Marimba_M01!$A:$A, Captura_Obra!A157, Captura_Marimba_M01!$C:$C, Captura_Obra!B157, Captura_Marimba_M01!$D:$D, Captura_Obra!D157))&gt;0), "", "❌ Falta en Pipa")</f>
        <v/>
      </c>
      <c r="E453" s="11014">
        <f>IF(OR(Captura_Obra!A157="", (SUMIFS(Captura_Pegaso!$H:$H, Captura_Pegaso!$A:$A, Captura_Obra!A157, Captura_Pegaso!$D:$D, Captura_Obra!B157, Captura_Pegaso!$E:$E, Captura_Obra!D157) + SUMIFS(Captura_Marimba_M01!$G:$G, Captura_Marimba_M01!$A:$A, Captura_Obra!A157, Captura_Marimba_M01!$C:$C, Captura_Obra!B157, Captura_Marimba_M01!$D:$D, Captura_Obra!D157))&gt;0), "", Captura_Obra!A157)</f>
        <v/>
      </c>
      <c r="F453" s="11015">
        <f>IF(OR(Captura_Obra!A157="", (SUMIFS(Captura_Pegaso!$H:$H, Captura_Pegaso!$A:$A, Captura_Obra!A157, Captura_Pegaso!$D:$D, Captura_Obra!B157, Captura_Pegaso!$E:$E, Captura_Obra!D157) + SUMIFS(Captura_Marimba_M01!$G:$G, Captura_Marimba_M01!$A:$A, Captura_Obra!A157, Captura_Marimba_M01!$C:$C, Captura_Obra!B157, Captura_Marimba_M01!$D:$D, Captura_Obra!D157))&gt;0), "", Captura_Obra!B157)</f>
        <v/>
      </c>
      <c r="G453" s="11016">
        <f>IF(OR(Captura_Obra!A157="", (SUMIFS(Captura_Pegaso!$H:$H, Captura_Pegaso!$A:$A, Captura_Obra!A157, Captura_Pegaso!$D:$D, Captura_Obra!B157, Captura_Pegaso!$E:$E, Captura_Obra!D157) + SUMIFS(Captura_Marimba_M01!$G:$G, Captura_Marimba_M01!$A:$A, Captura_Obra!A157, Captura_Marimba_M01!$C:$C, Captura_Obra!B157, Captura_Marimba_M01!$D:$D, Captura_Obra!D157))&gt;0), "", Captura_Obra!D157)</f>
        <v/>
      </c>
      <c r="H453" s="11017">
        <f>IF(OR(Captura_Obra!A157="", (SUMIFS(Captura_Pegaso!$H:$H, Captura_Pegaso!$A:$A, Captura_Obra!A157, Captura_Pegaso!$D:$D, Captura_Obra!B157, Captura_Pegaso!$E:$E, Captura_Obra!D157) + SUMIFS(Captura_Marimba_M01!$G:$G, Captura_Marimba_M01!$A:$A, Captura_Obra!A157, Captura_Marimba_M01!$C:$C, Captura_Obra!B157, Captura_Marimba_M01!$D:$D, Captura_Obra!D157))&gt;0), "", 0)</f>
        <v/>
      </c>
      <c r="I453" s="11018">
        <f>IF(OR(Captura_Obra!A157="", (SUMIFS(Captura_Pegaso!$H:$H, Captura_Pegaso!$A:$A, Captura_Obra!A157, Captura_Pegaso!$D:$D, Captura_Obra!B157, Captura_Pegaso!$E:$E, Captura_Obra!D157) + SUMIFS(Captura_Marimba_M01!$G:$G, Captura_Marimba_M01!$A:$A, Captura_Obra!A157, Captura_Marimba_M01!$C:$C, Captura_Obra!B157, Captura_Marimba_M01!$D:$D, Captura_Obra!D157))&gt;0), "", Captura_Obra!F157)</f>
        <v/>
      </c>
      <c r="J453" s="11019">
        <f>IF(OR(Captura_Obra!A157="", (SUMIFS(Captura_Pegaso!$H:$H, Captura_Pegaso!$A:$A, Captura_Obra!A157, Captura_Pegaso!$D:$D, Captura_Obra!B157, Captura_Pegaso!$E:$E, Captura_Obra!D157) + SUMIFS(Captura_Marimba_M01!$G:$G, Captura_Marimba_M01!$A:$A, Captura_Obra!A157, Captura_Marimba_M01!$C:$C, Captura_Obra!B157, Captura_Marimba_M01!$D:$D, Captura_Obra!D157))&gt;0), "", H453 - I453)</f>
        <v/>
      </c>
      <c r="K453" s="4262" t="n"/>
    </row>
    <row r="454">
      <c r="A454" s="11020">
        <f>IF(OR(Captura_Obra!A158="", (SUMIFS(Captura_Pegaso!$H:$H, Captura_Pegaso!$A:$A, Captura_Obra!A158, Captura_Pegaso!$D:$D, Captura_Obra!B158, Captura_Pegaso!$E:$E, Captura_Obra!D158) + SUMIFS(Captura_Marimba_M01!$G:$G, Captura_Marimba_M01!$A:$A, Captura_Obra!A158, Captura_Marimba_M01!$C:$C, Captura_Obra!B158, Captura_Marimba_M01!$D:$D, Captura_Obra!D158))&gt;0), "", "Huérfano Obra")</f>
        <v/>
      </c>
      <c r="B454" s="11021">
        <f>IF(OR(Captura_Obra!A158="", (SUMIFS(Captura_Pegaso!$H:$H, Captura_Pegaso!$A:$A, Captura_Obra!A158, Captura_Pegaso!$D:$D, Captura_Obra!B158, Captura_Pegaso!$E:$E, Captura_Obra!D158) + SUMIFS(Captura_Marimba_M01!$G:$G, Captura_Marimba_M01!$A:$A, Captura_Obra!A158, Captura_Marimba_M01!$C:$C, Captura_Obra!B158, Captura_Marimba_M01!$D:$D, Captura_Obra!D158))&gt;0), "", "No Reportado")</f>
        <v/>
      </c>
      <c r="C454" s="11022">
        <f>IF(OR(Captura_Obra!A158="", (SUMIFS(Captura_Pegaso!$H:$H, Captura_Pegaso!$A:$A, Captura_Obra!A158, Captura_Pegaso!$D:$D, Captura_Obra!B158, Captura_Pegaso!$E:$E, Captura_Obra!D158) + SUMIFS(Captura_Marimba_M01!$G:$G, Captura_Marimba_M01!$A:$A, Captura_Obra!A158, Captura_Marimba_M01!$C:$C, Captura_Obra!B158, Captura_Marimba_M01!$D:$D, Captura_Obra!D158))&gt;0), "", Captura_Obra!N158)</f>
        <v/>
      </c>
      <c r="D454" s="11023">
        <f>IF(OR(Captura_Obra!A158="", (SUMIFS(Captura_Pegaso!$H:$H, Captura_Pegaso!$A:$A, Captura_Obra!A158, Captura_Pegaso!$D:$D, Captura_Obra!B158, Captura_Pegaso!$E:$E, Captura_Obra!D158) + SUMIFS(Captura_Marimba_M01!$G:$G, Captura_Marimba_M01!$A:$A, Captura_Obra!A158, Captura_Marimba_M01!$C:$C, Captura_Obra!B158, Captura_Marimba_M01!$D:$D, Captura_Obra!D158))&gt;0), "", "❌ Falta en Pipa")</f>
        <v/>
      </c>
      <c r="E454" s="11024">
        <f>IF(OR(Captura_Obra!A158="", (SUMIFS(Captura_Pegaso!$H:$H, Captura_Pegaso!$A:$A, Captura_Obra!A158, Captura_Pegaso!$D:$D, Captura_Obra!B158, Captura_Pegaso!$E:$E, Captura_Obra!D158) + SUMIFS(Captura_Marimba_M01!$G:$G, Captura_Marimba_M01!$A:$A, Captura_Obra!A158, Captura_Marimba_M01!$C:$C, Captura_Obra!B158, Captura_Marimba_M01!$D:$D, Captura_Obra!D158))&gt;0), "", Captura_Obra!A158)</f>
        <v/>
      </c>
      <c r="F454" s="11025">
        <f>IF(OR(Captura_Obra!A158="", (SUMIFS(Captura_Pegaso!$H:$H, Captura_Pegaso!$A:$A, Captura_Obra!A158, Captura_Pegaso!$D:$D, Captura_Obra!B158, Captura_Pegaso!$E:$E, Captura_Obra!D158) + SUMIFS(Captura_Marimba_M01!$G:$G, Captura_Marimba_M01!$A:$A, Captura_Obra!A158, Captura_Marimba_M01!$C:$C, Captura_Obra!B158, Captura_Marimba_M01!$D:$D, Captura_Obra!D158))&gt;0), "", Captura_Obra!B158)</f>
        <v/>
      </c>
      <c r="G454" s="11026">
        <f>IF(OR(Captura_Obra!A158="", (SUMIFS(Captura_Pegaso!$H:$H, Captura_Pegaso!$A:$A, Captura_Obra!A158, Captura_Pegaso!$D:$D, Captura_Obra!B158, Captura_Pegaso!$E:$E, Captura_Obra!D158) + SUMIFS(Captura_Marimba_M01!$G:$G, Captura_Marimba_M01!$A:$A, Captura_Obra!A158, Captura_Marimba_M01!$C:$C, Captura_Obra!B158, Captura_Marimba_M01!$D:$D, Captura_Obra!D158))&gt;0), "", Captura_Obra!D158)</f>
        <v/>
      </c>
      <c r="H454" s="11027">
        <f>IF(OR(Captura_Obra!A158="", (SUMIFS(Captura_Pegaso!$H:$H, Captura_Pegaso!$A:$A, Captura_Obra!A158, Captura_Pegaso!$D:$D, Captura_Obra!B158, Captura_Pegaso!$E:$E, Captura_Obra!D158) + SUMIFS(Captura_Marimba_M01!$G:$G, Captura_Marimba_M01!$A:$A, Captura_Obra!A158, Captura_Marimba_M01!$C:$C, Captura_Obra!B158, Captura_Marimba_M01!$D:$D, Captura_Obra!D158))&gt;0), "", 0)</f>
        <v/>
      </c>
      <c r="I454" s="11028">
        <f>IF(OR(Captura_Obra!A158="", (SUMIFS(Captura_Pegaso!$H:$H, Captura_Pegaso!$A:$A, Captura_Obra!A158, Captura_Pegaso!$D:$D, Captura_Obra!B158, Captura_Pegaso!$E:$E, Captura_Obra!D158) + SUMIFS(Captura_Marimba_M01!$G:$G, Captura_Marimba_M01!$A:$A, Captura_Obra!A158, Captura_Marimba_M01!$C:$C, Captura_Obra!B158, Captura_Marimba_M01!$D:$D, Captura_Obra!D158))&gt;0), "", Captura_Obra!F158)</f>
        <v/>
      </c>
      <c r="J454" s="11029">
        <f>IF(OR(Captura_Obra!A158="", (SUMIFS(Captura_Pegaso!$H:$H, Captura_Pegaso!$A:$A, Captura_Obra!A158, Captura_Pegaso!$D:$D, Captura_Obra!B158, Captura_Pegaso!$E:$E, Captura_Obra!D158) + SUMIFS(Captura_Marimba_M01!$G:$G, Captura_Marimba_M01!$A:$A, Captura_Obra!A158, Captura_Marimba_M01!$C:$C, Captura_Obra!B158, Captura_Marimba_M01!$D:$D, Captura_Obra!D158))&gt;0), "", H454 - I454)</f>
        <v/>
      </c>
      <c r="K454" s="4263" t="n"/>
    </row>
    <row r="455">
      <c r="A455" s="11030">
        <f>IF(OR(Captura_Obra!A159="", (SUMIFS(Captura_Pegaso!$H:$H, Captura_Pegaso!$A:$A, Captura_Obra!A159, Captura_Pegaso!$D:$D, Captura_Obra!B159, Captura_Pegaso!$E:$E, Captura_Obra!D159) + SUMIFS(Captura_Marimba_M01!$G:$G, Captura_Marimba_M01!$A:$A, Captura_Obra!A159, Captura_Marimba_M01!$C:$C, Captura_Obra!B159, Captura_Marimba_M01!$D:$D, Captura_Obra!D159))&gt;0), "", "Huérfano Obra")</f>
        <v/>
      </c>
      <c r="B455" s="11031">
        <f>IF(OR(Captura_Obra!A159="", (SUMIFS(Captura_Pegaso!$H:$H, Captura_Pegaso!$A:$A, Captura_Obra!A159, Captura_Pegaso!$D:$D, Captura_Obra!B159, Captura_Pegaso!$E:$E, Captura_Obra!D159) + SUMIFS(Captura_Marimba_M01!$G:$G, Captura_Marimba_M01!$A:$A, Captura_Obra!A159, Captura_Marimba_M01!$C:$C, Captura_Obra!B159, Captura_Marimba_M01!$D:$D, Captura_Obra!D159))&gt;0), "", "No Reportado")</f>
        <v/>
      </c>
      <c r="C455" s="11032">
        <f>IF(OR(Captura_Obra!A159="", (SUMIFS(Captura_Pegaso!$H:$H, Captura_Pegaso!$A:$A, Captura_Obra!A159, Captura_Pegaso!$D:$D, Captura_Obra!B159, Captura_Pegaso!$E:$E, Captura_Obra!D159) + SUMIFS(Captura_Marimba_M01!$G:$G, Captura_Marimba_M01!$A:$A, Captura_Obra!A159, Captura_Marimba_M01!$C:$C, Captura_Obra!B159, Captura_Marimba_M01!$D:$D, Captura_Obra!D159))&gt;0), "", Captura_Obra!N159)</f>
        <v/>
      </c>
      <c r="D455" s="11033">
        <f>IF(OR(Captura_Obra!A159="", (SUMIFS(Captura_Pegaso!$H:$H, Captura_Pegaso!$A:$A, Captura_Obra!A159, Captura_Pegaso!$D:$D, Captura_Obra!B159, Captura_Pegaso!$E:$E, Captura_Obra!D159) + SUMIFS(Captura_Marimba_M01!$G:$G, Captura_Marimba_M01!$A:$A, Captura_Obra!A159, Captura_Marimba_M01!$C:$C, Captura_Obra!B159, Captura_Marimba_M01!$D:$D, Captura_Obra!D159))&gt;0), "", "❌ Falta en Pipa")</f>
        <v/>
      </c>
      <c r="E455" s="11034">
        <f>IF(OR(Captura_Obra!A159="", (SUMIFS(Captura_Pegaso!$H:$H, Captura_Pegaso!$A:$A, Captura_Obra!A159, Captura_Pegaso!$D:$D, Captura_Obra!B159, Captura_Pegaso!$E:$E, Captura_Obra!D159) + SUMIFS(Captura_Marimba_M01!$G:$G, Captura_Marimba_M01!$A:$A, Captura_Obra!A159, Captura_Marimba_M01!$C:$C, Captura_Obra!B159, Captura_Marimba_M01!$D:$D, Captura_Obra!D159))&gt;0), "", Captura_Obra!A159)</f>
        <v/>
      </c>
      <c r="F455" s="11035">
        <f>IF(OR(Captura_Obra!A159="", (SUMIFS(Captura_Pegaso!$H:$H, Captura_Pegaso!$A:$A, Captura_Obra!A159, Captura_Pegaso!$D:$D, Captura_Obra!B159, Captura_Pegaso!$E:$E, Captura_Obra!D159) + SUMIFS(Captura_Marimba_M01!$G:$G, Captura_Marimba_M01!$A:$A, Captura_Obra!A159, Captura_Marimba_M01!$C:$C, Captura_Obra!B159, Captura_Marimba_M01!$D:$D, Captura_Obra!D159))&gt;0), "", Captura_Obra!B159)</f>
        <v/>
      </c>
      <c r="G455" s="11036">
        <f>IF(OR(Captura_Obra!A159="", (SUMIFS(Captura_Pegaso!$H:$H, Captura_Pegaso!$A:$A, Captura_Obra!A159, Captura_Pegaso!$D:$D, Captura_Obra!B159, Captura_Pegaso!$E:$E, Captura_Obra!D159) + SUMIFS(Captura_Marimba_M01!$G:$G, Captura_Marimba_M01!$A:$A, Captura_Obra!A159, Captura_Marimba_M01!$C:$C, Captura_Obra!B159, Captura_Marimba_M01!$D:$D, Captura_Obra!D159))&gt;0), "", Captura_Obra!D159)</f>
        <v/>
      </c>
      <c r="H455" s="11037">
        <f>IF(OR(Captura_Obra!A159="", (SUMIFS(Captura_Pegaso!$H:$H, Captura_Pegaso!$A:$A, Captura_Obra!A159, Captura_Pegaso!$D:$D, Captura_Obra!B159, Captura_Pegaso!$E:$E, Captura_Obra!D159) + SUMIFS(Captura_Marimba_M01!$G:$G, Captura_Marimba_M01!$A:$A, Captura_Obra!A159, Captura_Marimba_M01!$C:$C, Captura_Obra!B159, Captura_Marimba_M01!$D:$D, Captura_Obra!D159))&gt;0), "", 0)</f>
        <v/>
      </c>
      <c r="I455" s="11038">
        <f>IF(OR(Captura_Obra!A159="", (SUMIFS(Captura_Pegaso!$H:$H, Captura_Pegaso!$A:$A, Captura_Obra!A159, Captura_Pegaso!$D:$D, Captura_Obra!B159, Captura_Pegaso!$E:$E, Captura_Obra!D159) + SUMIFS(Captura_Marimba_M01!$G:$G, Captura_Marimba_M01!$A:$A, Captura_Obra!A159, Captura_Marimba_M01!$C:$C, Captura_Obra!B159, Captura_Marimba_M01!$D:$D, Captura_Obra!D159))&gt;0), "", Captura_Obra!F159)</f>
        <v/>
      </c>
      <c r="J455" s="11039">
        <f>IF(OR(Captura_Obra!A159="", (SUMIFS(Captura_Pegaso!$H:$H, Captura_Pegaso!$A:$A, Captura_Obra!A159, Captura_Pegaso!$D:$D, Captura_Obra!B159, Captura_Pegaso!$E:$E, Captura_Obra!D159) + SUMIFS(Captura_Marimba_M01!$G:$G, Captura_Marimba_M01!$A:$A, Captura_Obra!A159, Captura_Marimba_M01!$C:$C, Captura_Obra!B159, Captura_Marimba_M01!$D:$D, Captura_Obra!D159))&gt;0), "", H455 - I455)</f>
        <v/>
      </c>
      <c r="K455" s="4264" t="n"/>
    </row>
    <row r="456">
      <c r="A456" s="11040">
        <f>IF(OR(Captura_Obra!A160="", (SUMIFS(Captura_Pegaso!$H:$H, Captura_Pegaso!$A:$A, Captura_Obra!A160, Captura_Pegaso!$D:$D, Captura_Obra!B160, Captura_Pegaso!$E:$E, Captura_Obra!D160) + SUMIFS(Captura_Marimba_M01!$G:$G, Captura_Marimba_M01!$A:$A, Captura_Obra!A160, Captura_Marimba_M01!$C:$C, Captura_Obra!B160, Captura_Marimba_M01!$D:$D, Captura_Obra!D160))&gt;0), "", "Huérfano Obra")</f>
        <v/>
      </c>
      <c r="B456" s="11041">
        <f>IF(OR(Captura_Obra!A160="", (SUMIFS(Captura_Pegaso!$H:$H, Captura_Pegaso!$A:$A, Captura_Obra!A160, Captura_Pegaso!$D:$D, Captura_Obra!B160, Captura_Pegaso!$E:$E, Captura_Obra!D160) + SUMIFS(Captura_Marimba_M01!$G:$G, Captura_Marimba_M01!$A:$A, Captura_Obra!A160, Captura_Marimba_M01!$C:$C, Captura_Obra!B160, Captura_Marimba_M01!$D:$D, Captura_Obra!D160))&gt;0), "", "No Reportado")</f>
        <v/>
      </c>
      <c r="C456" s="11042">
        <f>IF(OR(Captura_Obra!A160="", (SUMIFS(Captura_Pegaso!$H:$H, Captura_Pegaso!$A:$A, Captura_Obra!A160, Captura_Pegaso!$D:$D, Captura_Obra!B160, Captura_Pegaso!$E:$E, Captura_Obra!D160) + SUMIFS(Captura_Marimba_M01!$G:$G, Captura_Marimba_M01!$A:$A, Captura_Obra!A160, Captura_Marimba_M01!$C:$C, Captura_Obra!B160, Captura_Marimba_M01!$D:$D, Captura_Obra!D160))&gt;0), "", Captura_Obra!N160)</f>
        <v/>
      </c>
      <c r="D456" s="11043">
        <f>IF(OR(Captura_Obra!A160="", (SUMIFS(Captura_Pegaso!$H:$H, Captura_Pegaso!$A:$A, Captura_Obra!A160, Captura_Pegaso!$D:$D, Captura_Obra!B160, Captura_Pegaso!$E:$E, Captura_Obra!D160) + SUMIFS(Captura_Marimba_M01!$G:$G, Captura_Marimba_M01!$A:$A, Captura_Obra!A160, Captura_Marimba_M01!$C:$C, Captura_Obra!B160, Captura_Marimba_M01!$D:$D, Captura_Obra!D160))&gt;0), "", "❌ Falta en Pipa")</f>
        <v/>
      </c>
      <c r="E456" s="11044">
        <f>IF(OR(Captura_Obra!A160="", (SUMIFS(Captura_Pegaso!$H:$H, Captura_Pegaso!$A:$A, Captura_Obra!A160, Captura_Pegaso!$D:$D, Captura_Obra!B160, Captura_Pegaso!$E:$E, Captura_Obra!D160) + SUMIFS(Captura_Marimba_M01!$G:$G, Captura_Marimba_M01!$A:$A, Captura_Obra!A160, Captura_Marimba_M01!$C:$C, Captura_Obra!B160, Captura_Marimba_M01!$D:$D, Captura_Obra!D160))&gt;0), "", Captura_Obra!A160)</f>
        <v/>
      </c>
      <c r="F456" s="11045">
        <f>IF(OR(Captura_Obra!A160="", (SUMIFS(Captura_Pegaso!$H:$H, Captura_Pegaso!$A:$A, Captura_Obra!A160, Captura_Pegaso!$D:$D, Captura_Obra!B160, Captura_Pegaso!$E:$E, Captura_Obra!D160) + SUMIFS(Captura_Marimba_M01!$G:$G, Captura_Marimba_M01!$A:$A, Captura_Obra!A160, Captura_Marimba_M01!$C:$C, Captura_Obra!B160, Captura_Marimba_M01!$D:$D, Captura_Obra!D160))&gt;0), "", Captura_Obra!B160)</f>
        <v/>
      </c>
      <c r="G456" s="11046">
        <f>IF(OR(Captura_Obra!A160="", (SUMIFS(Captura_Pegaso!$H:$H, Captura_Pegaso!$A:$A, Captura_Obra!A160, Captura_Pegaso!$D:$D, Captura_Obra!B160, Captura_Pegaso!$E:$E, Captura_Obra!D160) + SUMIFS(Captura_Marimba_M01!$G:$G, Captura_Marimba_M01!$A:$A, Captura_Obra!A160, Captura_Marimba_M01!$C:$C, Captura_Obra!B160, Captura_Marimba_M01!$D:$D, Captura_Obra!D160))&gt;0), "", Captura_Obra!D160)</f>
        <v/>
      </c>
      <c r="H456" s="11047">
        <f>IF(OR(Captura_Obra!A160="", (SUMIFS(Captura_Pegaso!$H:$H, Captura_Pegaso!$A:$A, Captura_Obra!A160, Captura_Pegaso!$D:$D, Captura_Obra!B160, Captura_Pegaso!$E:$E, Captura_Obra!D160) + SUMIFS(Captura_Marimba_M01!$G:$G, Captura_Marimba_M01!$A:$A, Captura_Obra!A160, Captura_Marimba_M01!$C:$C, Captura_Obra!B160, Captura_Marimba_M01!$D:$D, Captura_Obra!D160))&gt;0), "", 0)</f>
        <v/>
      </c>
      <c r="I456" s="11048">
        <f>IF(OR(Captura_Obra!A160="", (SUMIFS(Captura_Pegaso!$H:$H, Captura_Pegaso!$A:$A, Captura_Obra!A160, Captura_Pegaso!$D:$D, Captura_Obra!B160, Captura_Pegaso!$E:$E, Captura_Obra!D160) + SUMIFS(Captura_Marimba_M01!$G:$G, Captura_Marimba_M01!$A:$A, Captura_Obra!A160, Captura_Marimba_M01!$C:$C, Captura_Obra!B160, Captura_Marimba_M01!$D:$D, Captura_Obra!D160))&gt;0), "", Captura_Obra!F160)</f>
        <v/>
      </c>
      <c r="J456" s="11049">
        <f>IF(OR(Captura_Obra!A160="", (SUMIFS(Captura_Pegaso!$H:$H, Captura_Pegaso!$A:$A, Captura_Obra!A160, Captura_Pegaso!$D:$D, Captura_Obra!B160, Captura_Pegaso!$E:$E, Captura_Obra!D160) + SUMIFS(Captura_Marimba_M01!$G:$G, Captura_Marimba_M01!$A:$A, Captura_Obra!A160, Captura_Marimba_M01!$C:$C, Captura_Obra!B160, Captura_Marimba_M01!$D:$D, Captura_Obra!D160))&gt;0), "", H456 - I456)</f>
        <v/>
      </c>
      <c r="K456" s="4265" t="n"/>
    </row>
    <row r="457">
      <c r="A457" s="11050">
        <f>IF(OR(Captura_Obra!A161="", (SUMIFS(Captura_Pegaso!$H:$H, Captura_Pegaso!$A:$A, Captura_Obra!A161, Captura_Pegaso!$D:$D, Captura_Obra!B161, Captura_Pegaso!$E:$E, Captura_Obra!D161) + SUMIFS(Captura_Marimba_M01!$G:$G, Captura_Marimba_M01!$A:$A, Captura_Obra!A161, Captura_Marimba_M01!$C:$C, Captura_Obra!B161, Captura_Marimba_M01!$D:$D, Captura_Obra!D161))&gt;0), "", "Huérfano Obra")</f>
        <v/>
      </c>
      <c r="B457" s="11051">
        <f>IF(OR(Captura_Obra!A161="", (SUMIFS(Captura_Pegaso!$H:$H, Captura_Pegaso!$A:$A, Captura_Obra!A161, Captura_Pegaso!$D:$D, Captura_Obra!B161, Captura_Pegaso!$E:$E, Captura_Obra!D161) + SUMIFS(Captura_Marimba_M01!$G:$G, Captura_Marimba_M01!$A:$A, Captura_Obra!A161, Captura_Marimba_M01!$C:$C, Captura_Obra!B161, Captura_Marimba_M01!$D:$D, Captura_Obra!D161))&gt;0), "", "No Reportado")</f>
        <v/>
      </c>
      <c r="C457" s="11052">
        <f>IF(OR(Captura_Obra!A161="", (SUMIFS(Captura_Pegaso!$H:$H, Captura_Pegaso!$A:$A, Captura_Obra!A161, Captura_Pegaso!$D:$D, Captura_Obra!B161, Captura_Pegaso!$E:$E, Captura_Obra!D161) + SUMIFS(Captura_Marimba_M01!$G:$G, Captura_Marimba_M01!$A:$A, Captura_Obra!A161, Captura_Marimba_M01!$C:$C, Captura_Obra!B161, Captura_Marimba_M01!$D:$D, Captura_Obra!D161))&gt;0), "", Captura_Obra!N161)</f>
        <v/>
      </c>
      <c r="D457" s="11053">
        <f>IF(OR(Captura_Obra!A161="", (SUMIFS(Captura_Pegaso!$H:$H, Captura_Pegaso!$A:$A, Captura_Obra!A161, Captura_Pegaso!$D:$D, Captura_Obra!B161, Captura_Pegaso!$E:$E, Captura_Obra!D161) + SUMIFS(Captura_Marimba_M01!$G:$G, Captura_Marimba_M01!$A:$A, Captura_Obra!A161, Captura_Marimba_M01!$C:$C, Captura_Obra!B161, Captura_Marimba_M01!$D:$D, Captura_Obra!D161))&gt;0), "", "❌ Falta en Pipa")</f>
        <v/>
      </c>
      <c r="E457" s="11054">
        <f>IF(OR(Captura_Obra!A161="", (SUMIFS(Captura_Pegaso!$H:$H, Captura_Pegaso!$A:$A, Captura_Obra!A161, Captura_Pegaso!$D:$D, Captura_Obra!B161, Captura_Pegaso!$E:$E, Captura_Obra!D161) + SUMIFS(Captura_Marimba_M01!$G:$G, Captura_Marimba_M01!$A:$A, Captura_Obra!A161, Captura_Marimba_M01!$C:$C, Captura_Obra!B161, Captura_Marimba_M01!$D:$D, Captura_Obra!D161))&gt;0), "", Captura_Obra!A161)</f>
        <v/>
      </c>
      <c r="F457" s="11055">
        <f>IF(OR(Captura_Obra!A161="", (SUMIFS(Captura_Pegaso!$H:$H, Captura_Pegaso!$A:$A, Captura_Obra!A161, Captura_Pegaso!$D:$D, Captura_Obra!B161, Captura_Pegaso!$E:$E, Captura_Obra!D161) + SUMIFS(Captura_Marimba_M01!$G:$G, Captura_Marimba_M01!$A:$A, Captura_Obra!A161, Captura_Marimba_M01!$C:$C, Captura_Obra!B161, Captura_Marimba_M01!$D:$D, Captura_Obra!D161))&gt;0), "", Captura_Obra!B161)</f>
        <v/>
      </c>
      <c r="G457" s="11056">
        <f>IF(OR(Captura_Obra!A161="", (SUMIFS(Captura_Pegaso!$H:$H, Captura_Pegaso!$A:$A, Captura_Obra!A161, Captura_Pegaso!$D:$D, Captura_Obra!B161, Captura_Pegaso!$E:$E, Captura_Obra!D161) + SUMIFS(Captura_Marimba_M01!$G:$G, Captura_Marimba_M01!$A:$A, Captura_Obra!A161, Captura_Marimba_M01!$C:$C, Captura_Obra!B161, Captura_Marimba_M01!$D:$D, Captura_Obra!D161))&gt;0), "", Captura_Obra!D161)</f>
        <v/>
      </c>
      <c r="H457" s="11057">
        <f>IF(OR(Captura_Obra!A161="", (SUMIFS(Captura_Pegaso!$H:$H, Captura_Pegaso!$A:$A, Captura_Obra!A161, Captura_Pegaso!$D:$D, Captura_Obra!B161, Captura_Pegaso!$E:$E, Captura_Obra!D161) + SUMIFS(Captura_Marimba_M01!$G:$G, Captura_Marimba_M01!$A:$A, Captura_Obra!A161, Captura_Marimba_M01!$C:$C, Captura_Obra!B161, Captura_Marimba_M01!$D:$D, Captura_Obra!D161))&gt;0), "", 0)</f>
        <v/>
      </c>
      <c r="I457" s="11058">
        <f>IF(OR(Captura_Obra!A161="", (SUMIFS(Captura_Pegaso!$H:$H, Captura_Pegaso!$A:$A, Captura_Obra!A161, Captura_Pegaso!$D:$D, Captura_Obra!B161, Captura_Pegaso!$E:$E, Captura_Obra!D161) + SUMIFS(Captura_Marimba_M01!$G:$G, Captura_Marimba_M01!$A:$A, Captura_Obra!A161, Captura_Marimba_M01!$C:$C, Captura_Obra!B161, Captura_Marimba_M01!$D:$D, Captura_Obra!D161))&gt;0), "", Captura_Obra!F161)</f>
        <v/>
      </c>
      <c r="J457" s="11059">
        <f>IF(OR(Captura_Obra!A161="", (SUMIFS(Captura_Pegaso!$H:$H, Captura_Pegaso!$A:$A, Captura_Obra!A161, Captura_Pegaso!$D:$D, Captura_Obra!B161, Captura_Pegaso!$E:$E, Captura_Obra!D161) + SUMIFS(Captura_Marimba_M01!$G:$G, Captura_Marimba_M01!$A:$A, Captura_Obra!A161, Captura_Marimba_M01!$C:$C, Captura_Obra!B161, Captura_Marimba_M01!$D:$D, Captura_Obra!D161))&gt;0), "", H457 - I457)</f>
        <v/>
      </c>
      <c r="K457" s="4266" t="n"/>
    </row>
    <row r="458">
      <c r="A458" s="11060">
        <f>IF(OR(Captura_Obra!A162="", (SUMIFS(Captura_Pegaso!$H:$H, Captura_Pegaso!$A:$A, Captura_Obra!A162, Captura_Pegaso!$D:$D, Captura_Obra!B162, Captura_Pegaso!$E:$E, Captura_Obra!D162) + SUMIFS(Captura_Marimba_M01!$G:$G, Captura_Marimba_M01!$A:$A, Captura_Obra!A162, Captura_Marimba_M01!$C:$C, Captura_Obra!B162, Captura_Marimba_M01!$D:$D, Captura_Obra!D162))&gt;0), "", "Huérfano Obra")</f>
        <v/>
      </c>
      <c r="B458" s="11061">
        <f>IF(OR(Captura_Obra!A162="", (SUMIFS(Captura_Pegaso!$H:$H, Captura_Pegaso!$A:$A, Captura_Obra!A162, Captura_Pegaso!$D:$D, Captura_Obra!B162, Captura_Pegaso!$E:$E, Captura_Obra!D162) + SUMIFS(Captura_Marimba_M01!$G:$G, Captura_Marimba_M01!$A:$A, Captura_Obra!A162, Captura_Marimba_M01!$C:$C, Captura_Obra!B162, Captura_Marimba_M01!$D:$D, Captura_Obra!D162))&gt;0), "", "No Reportado")</f>
        <v/>
      </c>
      <c r="C458" s="11062">
        <f>IF(OR(Captura_Obra!A162="", (SUMIFS(Captura_Pegaso!$H:$H, Captura_Pegaso!$A:$A, Captura_Obra!A162, Captura_Pegaso!$D:$D, Captura_Obra!B162, Captura_Pegaso!$E:$E, Captura_Obra!D162) + SUMIFS(Captura_Marimba_M01!$G:$G, Captura_Marimba_M01!$A:$A, Captura_Obra!A162, Captura_Marimba_M01!$C:$C, Captura_Obra!B162, Captura_Marimba_M01!$D:$D, Captura_Obra!D162))&gt;0), "", Captura_Obra!N162)</f>
        <v/>
      </c>
      <c r="D458" s="11063">
        <f>IF(OR(Captura_Obra!A162="", (SUMIFS(Captura_Pegaso!$H:$H, Captura_Pegaso!$A:$A, Captura_Obra!A162, Captura_Pegaso!$D:$D, Captura_Obra!B162, Captura_Pegaso!$E:$E, Captura_Obra!D162) + SUMIFS(Captura_Marimba_M01!$G:$G, Captura_Marimba_M01!$A:$A, Captura_Obra!A162, Captura_Marimba_M01!$C:$C, Captura_Obra!B162, Captura_Marimba_M01!$D:$D, Captura_Obra!D162))&gt;0), "", "❌ Falta en Pipa")</f>
        <v/>
      </c>
      <c r="E458" s="11064">
        <f>IF(OR(Captura_Obra!A162="", (SUMIFS(Captura_Pegaso!$H:$H, Captura_Pegaso!$A:$A, Captura_Obra!A162, Captura_Pegaso!$D:$D, Captura_Obra!B162, Captura_Pegaso!$E:$E, Captura_Obra!D162) + SUMIFS(Captura_Marimba_M01!$G:$G, Captura_Marimba_M01!$A:$A, Captura_Obra!A162, Captura_Marimba_M01!$C:$C, Captura_Obra!B162, Captura_Marimba_M01!$D:$D, Captura_Obra!D162))&gt;0), "", Captura_Obra!A162)</f>
        <v/>
      </c>
      <c r="F458" s="11065">
        <f>IF(OR(Captura_Obra!A162="", (SUMIFS(Captura_Pegaso!$H:$H, Captura_Pegaso!$A:$A, Captura_Obra!A162, Captura_Pegaso!$D:$D, Captura_Obra!B162, Captura_Pegaso!$E:$E, Captura_Obra!D162) + SUMIFS(Captura_Marimba_M01!$G:$G, Captura_Marimba_M01!$A:$A, Captura_Obra!A162, Captura_Marimba_M01!$C:$C, Captura_Obra!B162, Captura_Marimba_M01!$D:$D, Captura_Obra!D162))&gt;0), "", Captura_Obra!B162)</f>
        <v/>
      </c>
      <c r="G458" s="11066">
        <f>IF(OR(Captura_Obra!A162="", (SUMIFS(Captura_Pegaso!$H:$H, Captura_Pegaso!$A:$A, Captura_Obra!A162, Captura_Pegaso!$D:$D, Captura_Obra!B162, Captura_Pegaso!$E:$E, Captura_Obra!D162) + SUMIFS(Captura_Marimba_M01!$G:$G, Captura_Marimba_M01!$A:$A, Captura_Obra!A162, Captura_Marimba_M01!$C:$C, Captura_Obra!B162, Captura_Marimba_M01!$D:$D, Captura_Obra!D162))&gt;0), "", Captura_Obra!D162)</f>
        <v/>
      </c>
      <c r="H458" s="11067">
        <f>IF(OR(Captura_Obra!A162="", (SUMIFS(Captura_Pegaso!$H:$H, Captura_Pegaso!$A:$A, Captura_Obra!A162, Captura_Pegaso!$D:$D, Captura_Obra!B162, Captura_Pegaso!$E:$E, Captura_Obra!D162) + SUMIFS(Captura_Marimba_M01!$G:$G, Captura_Marimba_M01!$A:$A, Captura_Obra!A162, Captura_Marimba_M01!$C:$C, Captura_Obra!B162, Captura_Marimba_M01!$D:$D, Captura_Obra!D162))&gt;0), "", 0)</f>
        <v/>
      </c>
      <c r="I458" s="11068">
        <f>IF(OR(Captura_Obra!A162="", (SUMIFS(Captura_Pegaso!$H:$H, Captura_Pegaso!$A:$A, Captura_Obra!A162, Captura_Pegaso!$D:$D, Captura_Obra!B162, Captura_Pegaso!$E:$E, Captura_Obra!D162) + SUMIFS(Captura_Marimba_M01!$G:$G, Captura_Marimba_M01!$A:$A, Captura_Obra!A162, Captura_Marimba_M01!$C:$C, Captura_Obra!B162, Captura_Marimba_M01!$D:$D, Captura_Obra!D162))&gt;0), "", Captura_Obra!F162)</f>
        <v/>
      </c>
      <c r="J458" s="11069">
        <f>IF(OR(Captura_Obra!A162="", (SUMIFS(Captura_Pegaso!$H:$H, Captura_Pegaso!$A:$A, Captura_Obra!A162, Captura_Pegaso!$D:$D, Captura_Obra!B162, Captura_Pegaso!$E:$E, Captura_Obra!D162) + SUMIFS(Captura_Marimba_M01!$G:$G, Captura_Marimba_M01!$A:$A, Captura_Obra!A162, Captura_Marimba_M01!$C:$C, Captura_Obra!B162, Captura_Marimba_M01!$D:$D, Captura_Obra!D162))&gt;0), "", H458 - I458)</f>
        <v/>
      </c>
      <c r="K458" s="4267" t="n"/>
    </row>
    <row r="459">
      <c r="A459" s="11070">
        <f>IF(OR(Captura_Obra!A163="", (SUMIFS(Captura_Pegaso!$H:$H, Captura_Pegaso!$A:$A, Captura_Obra!A163, Captura_Pegaso!$D:$D, Captura_Obra!B163, Captura_Pegaso!$E:$E, Captura_Obra!D163) + SUMIFS(Captura_Marimba_M01!$G:$G, Captura_Marimba_M01!$A:$A, Captura_Obra!A163, Captura_Marimba_M01!$C:$C, Captura_Obra!B163, Captura_Marimba_M01!$D:$D, Captura_Obra!D163))&gt;0), "", "Huérfano Obra")</f>
        <v/>
      </c>
      <c r="B459" s="11071">
        <f>IF(OR(Captura_Obra!A163="", (SUMIFS(Captura_Pegaso!$H:$H, Captura_Pegaso!$A:$A, Captura_Obra!A163, Captura_Pegaso!$D:$D, Captura_Obra!B163, Captura_Pegaso!$E:$E, Captura_Obra!D163) + SUMIFS(Captura_Marimba_M01!$G:$G, Captura_Marimba_M01!$A:$A, Captura_Obra!A163, Captura_Marimba_M01!$C:$C, Captura_Obra!B163, Captura_Marimba_M01!$D:$D, Captura_Obra!D163))&gt;0), "", "No Reportado")</f>
        <v/>
      </c>
      <c r="C459" s="11072">
        <f>IF(OR(Captura_Obra!A163="", (SUMIFS(Captura_Pegaso!$H:$H, Captura_Pegaso!$A:$A, Captura_Obra!A163, Captura_Pegaso!$D:$D, Captura_Obra!B163, Captura_Pegaso!$E:$E, Captura_Obra!D163) + SUMIFS(Captura_Marimba_M01!$G:$G, Captura_Marimba_M01!$A:$A, Captura_Obra!A163, Captura_Marimba_M01!$C:$C, Captura_Obra!B163, Captura_Marimba_M01!$D:$D, Captura_Obra!D163))&gt;0), "", Captura_Obra!N163)</f>
        <v/>
      </c>
      <c r="D459" s="11073">
        <f>IF(OR(Captura_Obra!A163="", (SUMIFS(Captura_Pegaso!$H:$H, Captura_Pegaso!$A:$A, Captura_Obra!A163, Captura_Pegaso!$D:$D, Captura_Obra!B163, Captura_Pegaso!$E:$E, Captura_Obra!D163) + SUMIFS(Captura_Marimba_M01!$G:$G, Captura_Marimba_M01!$A:$A, Captura_Obra!A163, Captura_Marimba_M01!$C:$C, Captura_Obra!B163, Captura_Marimba_M01!$D:$D, Captura_Obra!D163))&gt;0), "", "❌ Falta en Pipa")</f>
        <v/>
      </c>
      <c r="E459" s="11074">
        <f>IF(OR(Captura_Obra!A163="", (SUMIFS(Captura_Pegaso!$H:$H, Captura_Pegaso!$A:$A, Captura_Obra!A163, Captura_Pegaso!$D:$D, Captura_Obra!B163, Captura_Pegaso!$E:$E, Captura_Obra!D163) + SUMIFS(Captura_Marimba_M01!$G:$G, Captura_Marimba_M01!$A:$A, Captura_Obra!A163, Captura_Marimba_M01!$C:$C, Captura_Obra!B163, Captura_Marimba_M01!$D:$D, Captura_Obra!D163))&gt;0), "", Captura_Obra!A163)</f>
        <v/>
      </c>
      <c r="F459" s="11075">
        <f>IF(OR(Captura_Obra!A163="", (SUMIFS(Captura_Pegaso!$H:$H, Captura_Pegaso!$A:$A, Captura_Obra!A163, Captura_Pegaso!$D:$D, Captura_Obra!B163, Captura_Pegaso!$E:$E, Captura_Obra!D163) + SUMIFS(Captura_Marimba_M01!$G:$G, Captura_Marimba_M01!$A:$A, Captura_Obra!A163, Captura_Marimba_M01!$C:$C, Captura_Obra!B163, Captura_Marimba_M01!$D:$D, Captura_Obra!D163))&gt;0), "", Captura_Obra!B163)</f>
        <v/>
      </c>
      <c r="G459" s="11076">
        <f>IF(OR(Captura_Obra!A163="", (SUMIFS(Captura_Pegaso!$H:$H, Captura_Pegaso!$A:$A, Captura_Obra!A163, Captura_Pegaso!$D:$D, Captura_Obra!B163, Captura_Pegaso!$E:$E, Captura_Obra!D163) + SUMIFS(Captura_Marimba_M01!$G:$G, Captura_Marimba_M01!$A:$A, Captura_Obra!A163, Captura_Marimba_M01!$C:$C, Captura_Obra!B163, Captura_Marimba_M01!$D:$D, Captura_Obra!D163))&gt;0), "", Captura_Obra!D163)</f>
        <v/>
      </c>
      <c r="H459" s="11077">
        <f>IF(OR(Captura_Obra!A163="", (SUMIFS(Captura_Pegaso!$H:$H, Captura_Pegaso!$A:$A, Captura_Obra!A163, Captura_Pegaso!$D:$D, Captura_Obra!B163, Captura_Pegaso!$E:$E, Captura_Obra!D163) + SUMIFS(Captura_Marimba_M01!$G:$G, Captura_Marimba_M01!$A:$A, Captura_Obra!A163, Captura_Marimba_M01!$C:$C, Captura_Obra!B163, Captura_Marimba_M01!$D:$D, Captura_Obra!D163))&gt;0), "", 0)</f>
        <v/>
      </c>
      <c r="I459" s="11078">
        <f>IF(OR(Captura_Obra!A163="", (SUMIFS(Captura_Pegaso!$H:$H, Captura_Pegaso!$A:$A, Captura_Obra!A163, Captura_Pegaso!$D:$D, Captura_Obra!B163, Captura_Pegaso!$E:$E, Captura_Obra!D163) + SUMIFS(Captura_Marimba_M01!$G:$G, Captura_Marimba_M01!$A:$A, Captura_Obra!A163, Captura_Marimba_M01!$C:$C, Captura_Obra!B163, Captura_Marimba_M01!$D:$D, Captura_Obra!D163))&gt;0), "", Captura_Obra!F163)</f>
        <v/>
      </c>
      <c r="J459" s="11079">
        <f>IF(OR(Captura_Obra!A163="", (SUMIFS(Captura_Pegaso!$H:$H, Captura_Pegaso!$A:$A, Captura_Obra!A163, Captura_Pegaso!$D:$D, Captura_Obra!B163, Captura_Pegaso!$E:$E, Captura_Obra!D163) + SUMIFS(Captura_Marimba_M01!$G:$G, Captura_Marimba_M01!$A:$A, Captura_Obra!A163, Captura_Marimba_M01!$C:$C, Captura_Obra!B163, Captura_Marimba_M01!$D:$D, Captura_Obra!D163))&gt;0), "", H459 - I459)</f>
        <v/>
      </c>
      <c r="K459" s="4268" t="n"/>
    </row>
    <row r="460">
      <c r="A460" s="11080">
        <f>IF(OR(Captura_Obra!A164="", (SUMIFS(Captura_Pegaso!$H:$H, Captura_Pegaso!$A:$A, Captura_Obra!A164, Captura_Pegaso!$D:$D, Captura_Obra!B164, Captura_Pegaso!$E:$E, Captura_Obra!D164) + SUMIFS(Captura_Marimba_M01!$G:$G, Captura_Marimba_M01!$A:$A, Captura_Obra!A164, Captura_Marimba_M01!$C:$C, Captura_Obra!B164, Captura_Marimba_M01!$D:$D, Captura_Obra!D164))&gt;0), "", "Huérfano Obra")</f>
        <v/>
      </c>
      <c r="B460" s="11081">
        <f>IF(OR(Captura_Obra!A164="", (SUMIFS(Captura_Pegaso!$H:$H, Captura_Pegaso!$A:$A, Captura_Obra!A164, Captura_Pegaso!$D:$D, Captura_Obra!B164, Captura_Pegaso!$E:$E, Captura_Obra!D164) + SUMIFS(Captura_Marimba_M01!$G:$G, Captura_Marimba_M01!$A:$A, Captura_Obra!A164, Captura_Marimba_M01!$C:$C, Captura_Obra!B164, Captura_Marimba_M01!$D:$D, Captura_Obra!D164))&gt;0), "", "No Reportado")</f>
        <v/>
      </c>
      <c r="C460" s="11082">
        <f>IF(OR(Captura_Obra!A164="", (SUMIFS(Captura_Pegaso!$H:$H, Captura_Pegaso!$A:$A, Captura_Obra!A164, Captura_Pegaso!$D:$D, Captura_Obra!B164, Captura_Pegaso!$E:$E, Captura_Obra!D164) + SUMIFS(Captura_Marimba_M01!$G:$G, Captura_Marimba_M01!$A:$A, Captura_Obra!A164, Captura_Marimba_M01!$C:$C, Captura_Obra!B164, Captura_Marimba_M01!$D:$D, Captura_Obra!D164))&gt;0), "", Captura_Obra!N164)</f>
        <v/>
      </c>
      <c r="D460" s="11083">
        <f>IF(OR(Captura_Obra!A164="", (SUMIFS(Captura_Pegaso!$H:$H, Captura_Pegaso!$A:$A, Captura_Obra!A164, Captura_Pegaso!$D:$D, Captura_Obra!B164, Captura_Pegaso!$E:$E, Captura_Obra!D164) + SUMIFS(Captura_Marimba_M01!$G:$G, Captura_Marimba_M01!$A:$A, Captura_Obra!A164, Captura_Marimba_M01!$C:$C, Captura_Obra!B164, Captura_Marimba_M01!$D:$D, Captura_Obra!D164))&gt;0), "", "❌ Falta en Pipa")</f>
        <v/>
      </c>
      <c r="E460" s="11084">
        <f>IF(OR(Captura_Obra!A164="", (SUMIFS(Captura_Pegaso!$H:$H, Captura_Pegaso!$A:$A, Captura_Obra!A164, Captura_Pegaso!$D:$D, Captura_Obra!B164, Captura_Pegaso!$E:$E, Captura_Obra!D164) + SUMIFS(Captura_Marimba_M01!$G:$G, Captura_Marimba_M01!$A:$A, Captura_Obra!A164, Captura_Marimba_M01!$C:$C, Captura_Obra!B164, Captura_Marimba_M01!$D:$D, Captura_Obra!D164))&gt;0), "", Captura_Obra!A164)</f>
        <v/>
      </c>
      <c r="F460" s="11085">
        <f>IF(OR(Captura_Obra!A164="", (SUMIFS(Captura_Pegaso!$H:$H, Captura_Pegaso!$A:$A, Captura_Obra!A164, Captura_Pegaso!$D:$D, Captura_Obra!B164, Captura_Pegaso!$E:$E, Captura_Obra!D164) + SUMIFS(Captura_Marimba_M01!$G:$G, Captura_Marimba_M01!$A:$A, Captura_Obra!A164, Captura_Marimba_M01!$C:$C, Captura_Obra!B164, Captura_Marimba_M01!$D:$D, Captura_Obra!D164))&gt;0), "", Captura_Obra!B164)</f>
        <v/>
      </c>
      <c r="G460" s="11086">
        <f>IF(OR(Captura_Obra!A164="", (SUMIFS(Captura_Pegaso!$H:$H, Captura_Pegaso!$A:$A, Captura_Obra!A164, Captura_Pegaso!$D:$D, Captura_Obra!B164, Captura_Pegaso!$E:$E, Captura_Obra!D164) + SUMIFS(Captura_Marimba_M01!$G:$G, Captura_Marimba_M01!$A:$A, Captura_Obra!A164, Captura_Marimba_M01!$C:$C, Captura_Obra!B164, Captura_Marimba_M01!$D:$D, Captura_Obra!D164))&gt;0), "", Captura_Obra!D164)</f>
        <v/>
      </c>
      <c r="H460" s="11087">
        <f>IF(OR(Captura_Obra!A164="", (SUMIFS(Captura_Pegaso!$H:$H, Captura_Pegaso!$A:$A, Captura_Obra!A164, Captura_Pegaso!$D:$D, Captura_Obra!B164, Captura_Pegaso!$E:$E, Captura_Obra!D164) + SUMIFS(Captura_Marimba_M01!$G:$G, Captura_Marimba_M01!$A:$A, Captura_Obra!A164, Captura_Marimba_M01!$C:$C, Captura_Obra!B164, Captura_Marimba_M01!$D:$D, Captura_Obra!D164))&gt;0), "", 0)</f>
        <v/>
      </c>
      <c r="I460" s="11088">
        <f>IF(OR(Captura_Obra!A164="", (SUMIFS(Captura_Pegaso!$H:$H, Captura_Pegaso!$A:$A, Captura_Obra!A164, Captura_Pegaso!$D:$D, Captura_Obra!B164, Captura_Pegaso!$E:$E, Captura_Obra!D164) + SUMIFS(Captura_Marimba_M01!$G:$G, Captura_Marimba_M01!$A:$A, Captura_Obra!A164, Captura_Marimba_M01!$C:$C, Captura_Obra!B164, Captura_Marimba_M01!$D:$D, Captura_Obra!D164))&gt;0), "", Captura_Obra!F164)</f>
        <v/>
      </c>
      <c r="J460" s="11089">
        <f>IF(OR(Captura_Obra!A164="", (SUMIFS(Captura_Pegaso!$H:$H, Captura_Pegaso!$A:$A, Captura_Obra!A164, Captura_Pegaso!$D:$D, Captura_Obra!B164, Captura_Pegaso!$E:$E, Captura_Obra!D164) + SUMIFS(Captura_Marimba_M01!$G:$G, Captura_Marimba_M01!$A:$A, Captura_Obra!A164, Captura_Marimba_M01!$C:$C, Captura_Obra!B164, Captura_Marimba_M01!$D:$D, Captura_Obra!D164))&gt;0), "", H460 - I460)</f>
        <v/>
      </c>
      <c r="K460" s="4269" t="n"/>
    </row>
    <row r="461">
      <c r="A461" s="11090">
        <f>IF(OR(Captura_Obra!A165="", (SUMIFS(Captura_Pegaso!$H:$H, Captura_Pegaso!$A:$A, Captura_Obra!A165, Captura_Pegaso!$D:$D, Captura_Obra!B165, Captura_Pegaso!$E:$E, Captura_Obra!D165) + SUMIFS(Captura_Marimba_M01!$G:$G, Captura_Marimba_M01!$A:$A, Captura_Obra!A165, Captura_Marimba_M01!$C:$C, Captura_Obra!B165, Captura_Marimba_M01!$D:$D, Captura_Obra!D165))&gt;0), "", "Huérfano Obra")</f>
        <v/>
      </c>
      <c r="B461" s="11091">
        <f>IF(OR(Captura_Obra!A165="", (SUMIFS(Captura_Pegaso!$H:$H, Captura_Pegaso!$A:$A, Captura_Obra!A165, Captura_Pegaso!$D:$D, Captura_Obra!B165, Captura_Pegaso!$E:$E, Captura_Obra!D165) + SUMIFS(Captura_Marimba_M01!$G:$G, Captura_Marimba_M01!$A:$A, Captura_Obra!A165, Captura_Marimba_M01!$C:$C, Captura_Obra!B165, Captura_Marimba_M01!$D:$D, Captura_Obra!D165))&gt;0), "", "No Reportado")</f>
        <v/>
      </c>
      <c r="C461" s="11092">
        <f>IF(OR(Captura_Obra!A165="", (SUMIFS(Captura_Pegaso!$H:$H, Captura_Pegaso!$A:$A, Captura_Obra!A165, Captura_Pegaso!$D:$D, Captura_Obra!B165, Captura_Pegaso!$E:$E, Captura_Obra!D165) + SUMIFS(Captura_Marimba_M01!$G:$G, Captura_Marimba_M01!$A:$A, Captura_Obra!A165, Captura_Marimba_M01!$C:$C, Captura_Obra!B165, Captura_Marimba_M01!$D:$D, Captura_Obra!D165))&gt;0), "", Captura_Obra!N165)</f>
        <v/>
      </c>
      <c r="D461" s="11093">
        <f>IF(OR(Captura_Obra!A165="", (SUMIFS(Captura_Pegaso!$H:$H, Captura_Pegaso!$A:$A, Captura_Obra!A165, Captura_Pegaso!$D:$D, Captura_Obra!B165, Captura_Pegaso!$E:$E, Captura_Obra!D165) + SUMIFS(Captura_Marimba_M01!$G:$G, Captura_Marimba_M01!$A:$A, Captura_Obra!A165, Captura_Marimba_M01!$C:$C, Captura_Obra!B165, Captura_Marimba_M01!$D:$D, Captura_Obra!D165))&gt;0), "", "❌ Falta en Pipa")</f>
        <v/>
      </c>
      <c r="E461" s="11094">
        <f>IF(OR(Captura_Obra!A165="", (SUMIFS(Captura_Pegaso!$H:$H, Captura_Pegaso!$A:$A, Captura_Obra!A165, Captura_Pegaso!$D:$D, Captura_Obra!B165, Captura_Pegaso!$E:$E, Captura_Obra!D165) + SUMIFS(Captura_Marimba_M01!$G:$G, Captura_Marimba_M01!$A:$A, Captura_Obra!A165, Captura_Marimba_M01!$C:$C, Captura_Obra!B165, Captura_Marimba_M01!$D:$D, Captura_Obra!D165))&gt;0), "", Captura_Obra!A165)</f>
        <v/>
      </c>
      <c r="F461" s="11095">
        <f>IF(OR(Captura_Obra!A165="", (SUMIFS(Captura_Pegaso!$H:$H, Captura_Pegaso!$A:$A, Captura_Obra!A165, Captura_Pegaso!$D:$D, Captura_Obra!B165, Captura_Pegaso!$E:$E, Captura_Obra!D165) + SUMIFS(Captura_Marimba_M01!$G:$G, Captura_Marimba_M01!$A:$A, Captura_Obra!A165, Captura_Marimba_M01!$C:$C, Captura_Obra!B165, Captura_Marimba_M01!$D:$D, Captura_Obra!D165))&gt;0), "", Captura_Obra!B165)</f>
        <v/>
      </c>
      <c r="G461" s="11096">
        <f>IF(OR(Captura_Obra!A165="", (SUMIFS(Captura_Pegaso!$H:$H, Captura_Pegaso!$A:$A, Captura_Obra!A165, Captura_Pegaso!$D:$D, Captura_Obra!B165, Captura_Pegaso!$E:$E, Captura_Obra!D165) + SUMIFS(Captura_Marimba_M01!$G:$G, Captura_Marimba_M01!$A:$A, Captura_Obra!A165, Captura_Marimba_M01!$C:$C, Captura_Obra!B165, Captura_Marimba_M01!$D:$D, Captura_Obra!D165))&gt;0), "", Captura_Obra!D165)</f>
        <v/>
      </c>
      <c r="H461" s="11097">
        <f>IF(OR(Captura_Obra!A165="", (SUMIFS(Captura_Pegaso!$H:$H, Captura_Pegaso!$A:$A, Captura_Obra!A165, Captura_Pegaso!$D:$D, Captura_Obra!B165, Captura_Pegaso!$E:$E, Captura_Obra!D165) + SUMIFS(Captura_Marimba_M01!$G:$G, Captura_Marimba_M01!$A:$A, Captura_Obra!A165, Captura_Marimba_M01!$C:$C, Captura_Obra!B165, Captura_Marimba_M01!$D:$D, Captura_Obra!D165))&gt;0), "", 0)</f>
        <v/>
      </c>
      <c r="I461" s="11098">
        <f>IF(OR(Captura_Obra!A165="", (SUMIFS(Captura_Pegaso!$H:$H, Captura_Pegaso!$A:$A, Captura_Obra!A165, Captura_Pegaso!$D:$D, Captura_Obra!B165, Captura_Pegaso!$E:$E, Captura_Obra!D165) + SUMIFS(Captura_Marimba_M01!$G:$G, Captura_Marimba_M01!$A:$A, Captura_Obra!A165, Captura_Marimba_M01!$C:$C, Captura_Obra!B165, Captura_Marimba_M01!$D:$D, Captura_Obra!D165))&gt;0), "", Captura_Obra!F165)</f>
        <v/>
      </c>
      <c r="J461" s="11099">
        <f>IF(OR(Captura_Obra!A165="", (SUMIFS(Captura_Pegaso!$H:$H, Captura_Pegaso!$A:$A, Captura_Obra!A165, Captura_Pegaso!$D:$D, Captura_Obra!B165, Captura_Pegaso!$E:$E, Captura_Obra!D165) + SUMIFS(Captura_Marimba_M01!$G:$G, Captura_Marimba_M01!$A:$A, Captura_Obra!A165, Captura_Marimba_M01!$C:$C, Captura_Obra!B165, Captura_Marimba_M01!$D:$D, Captura_Obra!D165))&gt;0), "", H461 - I461)</f>
        <v/>
      </c>
      <c r="K461" s="4270" t="n"/>
    </row>
    <row r="462">
      <c r="A462" s="11100">
        <f>IF(OR(Captura_Obra!A166="", (SUMIFS(Captura_Pegaso!$H:$H, Captura_Pegaso!$A:$A, Captura_Obra!A166, Captura_Pegaso!$D:$D, Captura_Obra!B166, Captura_Pegaso!$E:$E, Captura_Obra!D166) + SUMIFS(Captura_Marimba_M01!$G:$G, Captura_Marimba_M01!$A:$A, Captura_Obra!A166, Captura_Marimba_M01!$C:$C, Captura_Obra!B166, Captura_Marimba_M01!$D:$D, Captura_Obra!D166))&gt;0), "", "Huérfano Obra")</f>
        <v/>
      </c>
      <c r="B462" s="11101">
        <f>IF(OR(Captura_Obra!A166="", (SUMIFS(Captura_Pegaso!$H:$H, Captura_Pegaso!$A:$A, Captura_Obra!A166, Captura_Pegaso!$D:$D, Captura_Obra!B166, Captura_Pegaso!$E:$E, Captura_Obra!D166) + SUMIFS(Captura_Marimba_M01!$G:$G, Captura_Marimba_M01!$A:$A, Captura_Obra!A166, Captura_Marimba_M01!$C:$C, Captura_Obra!B166, Captura_Marimba_M01!$D:$D, Captura_Obra!D166))&gt;0), "", "No Reportado")</f>
        <v/>
      </c>
      <c r="C462" s="11102">
        <f>IF(OR(Captura_Obra!A166="", (SUMIFS(Captura_Pegaso!$H:$H, Captura_Pegaso!$A:$A, Captura_Obra!A166, Captura_Pegaso!$D:$D, Captura_Obra!B166, Captura_Pegaso!$E:$E, Captura_Obra!D166) + SUMIFS(Captura_Marimba_M01!$G:$G, Captura_Marimba_M01!$A:$A, Captura_Obra!A166, Captura_Marimba_M01!$C:$C, Captura_Obra!B166, Captura_Marimba_M01!$D:$D, Captura_Obra!D166))&gt;0), "", Captura_Obra!N166)</f>
        <v/>
      </c>
      <c r="D462" s="11103">
        <f>IF(OR(Captura_Obra!A166="", (SUMIFS(Captura_Pegaso!$H:$H, Captura_Pegaso!$A:$A, Captura_Obra!A166, Captura_Pegaso!$D:$D, Captura_Obra!B166, Captura_Pegaso!$E:$E, Captura_Obra!D166) + SUMIFS(Captura_Marimba_M01!$G:$G, Captura_Marimba_M01!$A:$A, Captura_Obra!A166, Captura_Marimba_M01!$C:$C, Captura_Obra!B166, Captura_Marimba_M01!$D:$D, Captura_Obra!D166))&gt;0), "", "❌ Falta en Pipa")</f>
        <v/>
      </c>
      <c r="E462" s="11104">
        <f>IF(OR(Captura_Obra!A166="", (SUMIFS(Captura_Pegaso!$H:$H, Captura_Pegaso!$A:$A, Captura_Obra!A166, Captura_Pegaso!$D:$D, Captura_Obra!B166, Captura_Pegaso!$E:$E, Captura_Obra!D166) + SUMIFS(Captura_Marimba_M01!$G:$G, Captura_Marimba_M01!$A:$A, Captura_Obra!A166, Captura_Marimba_M01!$C:$C, Captura_Obra!B166, Captura_Marimba_M01!$D:$D, Captura_Obra!D166))&gt;0), "", Captura_Obra!A166)</f>
        <v/>
      </c>
      <c r="F462" s="11105">
        <f>IF(OR(Captura_Obra!A166="", (SUMIFS(Captura_Pegaso!$H:$H, Captura_Pegaso!$A:$A, Captura_Obra!A166, Captura_Pegaso!$D:$D, Captura_Obra!B166, Captura_Pegaso!$E:$E, Captura_Obra!D166) + SUMIFS(Captura_Marimba_M01!$G:$G, Captura_Marimba_M01!$A:$A, Captura_Obra!A166, Captura_Marimba_M01!$C:$C, Captura_Obra!B166, Captura_Marimba_M01!$D:$D, Captura_Obra!D166))&gt;0), "", Captura_Obra!B166)</f>
        <v/>
      </c>
      <c r="G462" s="11106">
        <f>IF(OR(Captura_Obra!A166="", (SUMIFS(Captura_Pegaso!$H:$H, Captura_Pegaso!$A:$A, Captura_Obra!A166, Captura_Pegaso!$D:$D, Captura_Obra!B166, Captura_Pegaso!$E:$E, Captura_Obra!D166) + SUMIFS(Captura_Marimba_M01!$G:$G, Captura_Marimba_M01!$A:$A, Captura_Obra!A166, Captura_Marimba_M01!$C:$C, Captura_Obra!B166, Captura_Marimba_M01!$D:$D, Captura_Obra!D166))&gt;0), "", Captura_Obra!D166)</f>
        <v/>
      </c>
      <c r="H462" s="11107">
        <f>IF(OR(Captura_Obra!A166="", (SUMIFS(Captura_Pegaso!$H:$H, Captura_Pegaso!$A:$A, Captura_Obra!A166, Captura_Pegaso!$D:$D, Captura_Obra!B166, Captura_Pegaso!$E:$E, Captura_Obra!D166) + SUMIFS(Captura_Marimba_M01!$G:$G, Captura_Marimba_M01!$A:$A, Captura_Obra!A166, Captura_Marimba_M01!$C:$C, Captura_Obra!B166, Captura_Marimba_M01!$D:$D, Captura_Obra!D166))&gt;0), "", 0)</f>
        <v/>
      </c>
      <c r="I462" s="11108">
        <f>IF(OR(Captura_Obra!A166="", (SUMIFS(Captura_Pegaso!$H:$H, Captura_Pegaso!$A:$A, Captura_Obra!A166, Captura_Pegaso!$D:$D, Captura_Obra!B166, Captura_Pegaso!$E:$E, Captura_Obra!D166) + SUMIFS(Captura_Marimba_M01!$G:$G, Captura_Marimba_M01!$A:$A, Captura_Obra!A166, Captura_Marimba_M01!$C:$C, Captura_Obra!B166, Captura_Marimba_M01!$D:$D, Captura_Obra!D166))&gt;0), "", Captura_Obra!F166)</f>
        <v/>
      </c>
      <c r="J462" s="11109">
        <f>IF(OR(Captura_Obra!A166="", (SUMIFS(Captura_Pegaso!$H:$H, Captura_Pegaso!$A:$A, Captura_Obra!A166, Captura_Pegaso!$D:$D, Captura_Obra!B166, Captura_Pegaso!$E:$E, Captura_Obra!D166) + SUMIFS(Captura_Marimba_M01!$G:$G, Captura_Marimba_M01!$A:$A, Captura_Obra!A166, Captura_Marimba_M01!$C:$C, Captura_Obra!B166, Captura_Marimba_M01!$D:$D, Captura_Obra!D166))&gt;0), "", H462 - I462)</f>
        <v/>
      </c>
      <c r="K462" s="4271" t="n"/>
    </row>
    <row r="463">
      <c r="A463" s="11110">
        <f>IF(OR(Captura_Obra!A167="", (SUMIFS(Captura_Pegaso!$H:$H, Captura_Pegaso!$A:$A, Captura_Obra!A167, Captura_Pegaso!$D:$D, Captura_Obra!B167, Captura_Pegaso!$E:$E, Captura_Obra!D167) + SUMIFS(Captura_Marimba_M01!$G:$G, Captura_Marimba_M01!$A:$A, Captura_Obra!A167, Captura_Marimba_M01!$C:$C, Captura_Obra!B167, Captura_Marimba_M01!$D:$D, Captura_Obra!D167))&gt;0), "", "Huérfano Obra")</f>
        <v/>
      </c>
      <c r="B463" s="11111">
        <f>IF(OR(Captura_Obra!A167="", (SUMIFS(Captura_Pegaso!$H:$H, Captura_Pegaso!$A:$A, Captura_Obra!A167, Captura_Pegaso!$D:$D, Captura_Obra!B167, Captura_Pegaso!$E:$E, Captura_Obra!D167) + SUMIFS(Captura_Marimba_M01!$G:$G, Captura_Marimba_M01!$A:$A, Captura_Obra!A167, Captura_Marimba_M01!$C:$C, Captura_Obra!B167, Captura_Marimba_M01!$D:$D, Captura_Obra!D167))&gt;0), "", "No Reportado")</f>
        <v/>
      </c>
      <c r="C463" s="11112">
        <f>IF(OR(Captura_Obra!A167="", (SUMIFS(Captura_Pegaso!$H:$H, Captura_Pegaso!$A:$A, Captura_Obra!A167, Captura_Pegaso!$D:$D, Captura_Obra!B167, Captura_Pegaso!$E:$E, Captura_Obra!D167) + SUMIFS(Captura_Marimba_M01!$G:$G, Captura_Marimba_M01!$A:$A, Captura_Obra!A167, Captura_Marimba_M01!$C:$C, Captura_Obra!B167, Captura_Marimba_M01!$D:$D, Captura_Obra!D167))&gt;0), "", Captura_Obra!N167)</f>
        <v/>
      </c>
      <c r="D463" s="11113">
        <f>IF(OR(Captura_Obra!A167="", (SUMIFS(Captura_Pegaso!$H:$H, Captura_Pegaso!$A:$A, Captura_Obra!A167, Captura_Pegaso!$D:$D, Captura_Obra!B167, Captura_Pegaso!$E:$E, Captura_Obra!D167) + SUMIFS(Captura_Marimba_M01!$G:$G, Captura_Marimba_M01!$A:$A, Captura_Obra!A167, Captura_Marimba_M01!$C:$C, Captura_Obra!B167, Captura_Marimba_M01!$D:$D, Captura_Obra!D167))&gt;0), "", "❌ Falta en Pipa")</f>
        <v/>
      </c>
      <c r="E463" s="11114">
        <f>IF(OR(Captura_Obra!A167="", (SUMIFS(Captura_Pegaso!$H:$H, Captura_Pegaso!$A:$A, Captura_Obra!A167, Captura_Pegaso!$D:$D, Captura_Obra!B167, Captura_Pegaso!$E:$E, Captura_Obra!D167) + SUMIFS(Captura_Marimba_M01!$G:$G, Captura_Marimba_M01!$A:$A, Captura_Obra!A167, Captura_Marimba_M01!$C:$C, Captura_Obra!B167, Captura_Marimba_M01!$D:$D, Captura_Obra!D167))&gt;0), "", Captura_Obra!A167)</f>
        <v/>
      </c>
      <c r="F463" s="11115">
        <f>IF(OR(Captura_Obra!A167="", (SUMIFS(Captura_Pegaso!$H:$H, Captura_Pegaso!$A:$A, Captura_Obra!A167, Captura_Pegaso!$D:$D, Captura_Obra!B167, Captura_Pegaso!$E:$E, Captura_Obra!D167) + SUMIFS(Captura_Marimba_M01!$G:$G, Captura_Marimba_M01!$A:$A, Captura_Obra!A167, Captura_Marimba_M01!$C:$C, Captura_Obra!B167, Captura_Marimba_M01!$D:$D, Captura_Obra!D167))&gt;0), "", Captura_Obra!B167)</f>
        <v/>
      </c>
      <c r="G463" s="11116">
        <f>IF(OR(Captura_Obra!A167="", (SUMIFS(Captura_Pegaso!$H:$H, Captura_Pegaso!$A:$A, Captura_Obra!A167, Captura_Pegaso!$D:$D, Captura_Obra!B167, Captura_Pegaso!$E:$E, Captura_Obra!D167) + SUMIFS(Captura_Marimba_M01!$G:$G, Captura_Marimba_M01!$A:$A, Captura_Obra!A167, Captura_Marimba_M01!$C:$C, Captura_Obra!B167, Captura_Marimba_M01!$D:$D, Captura_Obra!D167))&gt;0), "", Captura_Obra!D167)</f>
        <v/>
      </c>
      <c r="H463" s="11117">
        <f>IF(OR(Captura_Obra!A167="", (SUMIFS(Captura_Pegaso!$H:$H, Captura_Pegaso!$A:$A, Captura_Obra!A167, Captura_Pegaso!$D:$D, Captura_Obra!B167, Captura_Pegaso!$E:$E, Captura_Obra!D167) + SUMIFS(Captura_Marimba_M01!$G:$G, Captura_Marimba_M01!$A:$A, Captura_Obra!A167, Captura_Marimba_M01!$C:$C, Captura_Obra!B167, Captura_Marimba_M01!$D:$D, Captura_Obra!D167))&gt;0), "", 0)</f>
        <v/>
      </c>
      <c r="I463" s="11118">
        <f>IF(OR(Captura_Obra!A167="", (SUMIFS(Captura_Pegaso!$H:$H, Captura_Pegaso!$A:$A, Captura_Obra!A167, Captura_Pegaso!$D:$D, Captura_Obra!B167, Captura_Pegaso!$E:$E, Captura_Obra!D167) + SUMIFS(Captura_Marimba_M01!$G:$G, Captura_Marimba_M01!$A:$A, Captura_Obra!A167, Captura_Marimba_M01!$C:$C, Captura_Obra!B167, Captura_Marimba_M01!$D:$D, Captura_Obra!D167))&gt;0), "", Captura_Obra!F167)</f>
        <v/>
      </c>
      <c r="J463" s="11119">
        <f>IF(OR(Captura_Obra!A167="", (SUMIFS(Captura_Pegaso!$H:$H, Captura_Pegaso!$A:$A, Captura_Obra!A167, Captura_Pegaso!$D:$D, Captura_Obra!B167, Captura_Pegaso!$E:$E, Captura_Obra!D167) + SUMIFS(Captura_Marimba_M01!$G:$G, Captura_Marimba_M01!$A:$A, Captura_Obra!A167, Captura_Marimba_M01!$C:$C, Captura_Obra!B167, Captura_Marimba_M01!$D:$D, Captura_Obra!D167))&gt;0), "", H463 - I463)</f>
        <v/>
      </c>
      <c r="K463" s="4272" t="n"/>
    </row>
    <row r="464">
      <c r="A464" s="11120">
        <f>IF(OR(Captura_Obra!A168="", (SUMIFS(Captura_Pegaso!$H:$H, Captura_Pegaso!$A:$A, Captura_Obra!A168, Captura_Pegaso!$D:$D, Captura_Obra!B168, Captura_Pegaso!$E:$E, Captura_Obra!D168) + SUMIFS(Captura_Marimba_M01!$G:$G, Captura_Marimba_M01!$A:$A, Captura_Obra!A168, Captura_Marimba_M01!$C:$C, Captura_Obra!B168, Captura_Marimba_M01!$D:$D, Captura_Obra!D168))&gt;0), "", "Huérfano Obra")</f>
        <v/>
      </c>
      <c r="B464" s="11121">
        <f>IF(OR(Captura_Obra!A168="", (SUMIFS(Captura_Pegaso!$H:$H, Captura_Pegaso!$A:$A, Captura_Obra!A168, Captura_Pegaso!$D:$D, Captura_Obra!B168, Captura_Pegaso!$E:$E, Captura_Obra!D168) + SUMIFS(Captura_Marimba_M01!$G:$G, Captura_Marimba_M01!$A:$A, Captura_Obra!A168, Captura_Marimba_M01!$C:$C, Captura_Obra!B168, Captura_Marimba_M01!$D:$D, Captura_Obra!D168))&gt;0), "", "No Reportado")</f>
        <v/>
      </c>
      <c r="C464" s="11122">
        <f>IF(OR(Captura_Obra!A168="", (SUMIFS(Captura_Pegaso!$H:$H, Captura_Pegaso!$A:$A, Captura_Obra!A168, Captura_Pegaso!$D:$D, Captura_Obra!B168, Captura_Pegaso!$E:$E, Captura_Obra!D168) + SUMIFS(Captura_Marimba_M01!$G:$G, Captura_Marimba_M01!$A:$A, Captura_Obra!A168, Captura_Marimba_M01!$C:$C, Captura_Obra!B168, Captura_Marimba_M01!$D:$D, Captura_Obra!D168))&gt;0), "", Captura_Obra!N168)</f>
        <v/>
      </c>
      <c r="D464" s="11123">
        <f>IF(OR(Captura_Obra!A168="", (SUMIFS(Captura_Pegaso!$H:$H, Captura_Pegaso!$A:$A, Captura_Obra!A168, Captura_Pegaso!$D:$D, Captura_Obra!B168, Captura_Pegaso!$E:$E, Captura_Obra!D168) + SUMIFS(Captura_Marimba_M01!$G:$G, Captura_Marimba_M01!$A:$A, Captura_Obra!A168, Captura_Marimba_M01!$C:$C, Captura_Obra!B168, Captura_Marimba_M01!$D:$D, Captura_Obra!D168))&gt;0), "", "❌ Falta en Pipa")</f>
        <v/>
      </c>
      <c r="E464" s="11124">
        <f>IF(OR(Captura_Obra!A168="", (SUMIFS(Captura_Pegaso!$H:$H, Captura_Pegaso!$A:$A, Captura_Obra!A168, Captura_Pegaso!$D:$D, Captura_Obra!B168, Captura_Pegaso!$E:$E, Captura_Obra!D168) + SUMIFS(Captura_Marimba_M01!$G:$G, Captura_Marimba_M01!$A:$A, Captura_Obra!A168, Captura_Marimba_M01!$C:$C, Captura_Obra!B168, Captura_Marimba_M01!$D:$D, Captura_Obra!D168))&gt;0), "", Captura_Obra!A168)</f>
        <v/>
      </c>
      <c r="F464" s="11125">
        <f>IF(OR(Captura_Obra!A168="", (SUMIFS(Captura_Pegaso!$H:$H, Captura_Pegaso!$A:$A, Captura_Obra!A168, Captura_Pegaso!$D:$D, Captura_Obra!B168, Captura_Pegaso!$E:$E, Captura_Obra!D168) + SUMIFS(Captura_Marimba_M01!$G:$G, Captura_Marimba_M01!$A:$A, Captura_Obra!A168, Captura_Marimba_M01!$C:$C, Captura_Obra!B168, Captura_Marimba_M01!$D:$D, Captura_Obra!D168))&gt;0), "", Captura_Obra!B168)</f>
        <v/>
      </c>
      <c r="G464" s="11126">
        <f>IF(OR(Captura_Obra!A168="", (SUMIFS(Captura_Pegaso!$H:$H, Captura_Pegaso!$A:$A, Captura_Obra!A168, Captura_Pegaso!$D:$D, Captura_Obra!B168, Captura_Pegaso!$E:$E, Captura_Obra!D168) + SUMIFS(Captura_Marimba_M01!$G:$G, Captura_Marimba_M01!$A:$A, Captura_Obra!A168, Captura_Marimba_M01!$C:$C, Captura_Obra!B168, Captura_Marimba_M01!$D:$D, Captura_Obra!D168))&gt;0), "", Captura_Obra!D168)</f>
        <v/>
      </c>
      <c r="H464" s="11127">
        <f>IF(OR(Captura_Obra!A168="", (SUMIFS(Captura_Pegaso!$H:$H, Captura_Pegaso!$A:$A, Captura_Obra!A168, Captura_Pegaso!$D:$D, Captura_Obra!B168, Captura_Pegaso!$E:$E, Captura_Obra!D168) + SUMIFS(Captura_Marimba_M01!$G:$G, Captura_Marimba_M01!$A:$A, Captura_Obra!A168, Captura_Marimba_M01!$C:$C, Captura_Obra!B168, Captura_Marimba_M01!$D:$D, Captura_Obra!D168))&gt;0), "", 0)</f>
        <v/>
      </c>
      <c r="I464" s="11128">
        <f>IF(OR(Captura_Obra!A168="", (SUMIFS(Captura_Pegaso!$H:$H, Captura_Pegaso!$A:$A, Captura_Obra!A168, Captura_Pegaso!$D:$D, Captura_Obra!B168, Captura_Pegaso!$E:$E, Captura_Obra!D168) + SUMIFS(Captura_Marimba_M01!$G:$G, Captura_Marimba_M01!$A:$A, Captura_Obra!A168, Captura_Marimba_M01!$C:$C, Captura_Obra!B168, Captura_Marimba_M01!$D:$D, Captura_Obra!D168))&gt;0), "", Captura_Obra!F168)</f>
        <v/>
      </c>
      <c r="J464" s="11129">
        <f>IF(OR(Captura_Obra!A168="", (SUMIFS(Captura_Pegaso!$H:$H, Captura_Pegaso!$A:$A, Captura_Obra!A168, Captura_Pegaso!$D:$D, Captura_Obra!B168, Captura_Pegaso!$E:$E, Captura_Obra!D168) + SUMIFS(Captura_Marimba_M01!$G:$G, Captura_Marimba_M01!$A:$A, Captura_Obra!A168, Captura_Marimba_M01!$C:$C, Captura_Obra!B168, Captura_Marimba_M01!$D:$D, Captura_Obra!D168))&gt;0), "", H464 - I464)</f>
        <v/>
      </c>
      <c r="K464" s="4273" t="n"/>
    </row>
    <row r="465">
      <c r="A465" s="11130">
        <f>IF(OR(Captura_Obra!A169="", (SUMIFS(Captura_Pegaso!$H:$H, Captura_Pegaso!$A:$A, Captura_Obra!A169, Captura_Pegaso!$D:$D, Captura_Obra!B169, Captura_Pegaso!$E:$E, Captura_Obra!D169) + SUMIFS(Captura_Marimba_M01!$G:$G, Captura_Marimba_M01!$A:$A, Captura_Obra!A169, Captura_Marimba_M01!$C:$C, Captura_Obra!B169, Captura_Marimba_M01!$D:$D, Captura_Obra!D169))&gt;0), "", "Huérfano Obra")</f>
        <v/>
      </c>
      <c r="B465" s="11131">
        <f>IF(OR(Captura_Obra!A169="", (SUMIFS(Captura_Pegaso!$H:$H, Captura_Pegaso!$A:$A, Captura_Obra!A169, Captura_Pegaso!$D:$D, Captura_Obra!B169, Captura_Pegaso!$E:$E, Captura_Obra!D169) + SUMIFS(Captura_Marimba_M01!$G:$G, Captura_Marimba_M01!$A:$A, Captura_Obra!A169, Captura_Marimba_M01!$C:$C, Captura_Obra!B169, Captura_Marimba_M01!$D:$D, Captura_Obra!D169))&gt;0), "", "No Reportado")</f>
        <v/>
      </c>
      <c r="C465" s="11132">
        <f>IF(OR(Captura_Obra!A169="", (SUMIFS(Captura_Pegaso!$H:$H, Captura_Pegaso!$A:$A, Captura_Obra!A169, Captura_Pegaso!$D:$D, Captura_Obra!B169, Captura_Pegaso!$E:$E, Captura_Obra!D169) + SUMIFS(Captura_Marimba_M01!$G:$G, Captura_Marimba_M01!$A:$A, Captura_Obra!A169, Captura_Marimba_M01!$C:$C, Captura_Obra!B169, Captura_Marimba_M01!$D:$D, Captura_Obra!D169))&gt;0), "", Captura_Obra!N169)</f>
        <v/>
      </c>
      <c r="D465" s="11133">
        <f>IF(OR(Captura_Obra!A169="", (SUMIFS(Captura_Pegaso!$H:$H, Captura_Pegaso!$A:$A, Captura_Obra!A169, Captura_Pegaso!$D:$D, Captura_Obra!B169, Captura_Pegaso!$E:$E, Captura_Obra!D169) + SUMIFS(Captura_Marimba_M01!$G:$G, Captura_Marimba_M01!$A:$A, Captura_Obra!A169, Captura_Marimba_M01!$C:$C, Captura_Obra!B169, Captura_Marimba_M01!$D:$D, Captura_Obra!D169))&gt;0), "", "❌ Falta en Pipa")</f>
        <v/>
      </c>
      <c r="E465" s="11134">
        <f>IF(OR(Captura_Obra!A169="", (SUMIFS(Captura_Pegaso!$H:$H, Captura_Pegaso!$A:$A, Captura_Obra!A169, Captura_Pegaso!$D:$D, Captura_Obra!B169, Captura_Pegaso!$E:$E, Captura_Obra!D169) + SUMIFS(Captura_Marimba_M01!$G:$G, Captura_Marimba_M01!$A:$A, Captura_Obra!A169, Captura_Marimba_M01!$C:$C, Captura_Obra!B169, Captura_Marimba_M01!$D:$D, Captura_Obra!D169))&gt;0), "", Captura_Obra!A169)</f>
        <v/>
      </c>
      <c r="F465" s="11135">
        <f>IF(OR(Captura_Obra!A169="", (SUMIFS(Captura_Pegaso!$H:$H, Captura_Pegaso!$A:$A, Captura_Obra!A169, Captura_Pegaso!$D:$D, Captura_Obra!B169, Captura_Pegaso!$E:$E, Captura_Obra!D169) + SUMIFS(Captura_Marimba_M01!$G:$G, Captura_Marimba_M01!$A:$A, Captura_Obra!A169, Captura_Marimba_M01!$C:$C, Captura_Obra!B169, Captura_Marimba_M01!$D:$D, Captura_Obra!D169))&gt;0), "", Captura_Obra!B169)</f>
        <v/>
      </c>
      <c r="G465" s="11136">
        <f>IF(OR(Captura_Obra!A169="", (SUMIFS(Captura_Pegaso!$H:$H, Captura_Pegaso!$A:$A, Captura_Obra!A169, Captura_Pegaso!$D:$D, Captura_Obra!B169, Captura_Pegaso!$E:$E, Captura_Obra!D169) + SUMIFS(Captura_Marimba_M01!$G:$G, Captura_Marimba_M01!$A:$A, Captura_Obra!A169, Captura_Marimba_M01!$C:$C, Captura_Obra!B169, Captura_Marimba_M01!$D:$D, Captura_Obra!D169))&gt;0), "", Captura_Obra!D169)</f>
        <v/>
      </c>
      <c r="H465" s="11137">
        <f>IF(OR(Captura_Obra!A169="", (SUMIFS(Captura_Pegaso!$H:$H, Captura_Pegaso!$A:$A, Captura_Obra!A169, Captura_Pegaso!$D:$D, Captura_Obra!B169, Captura_Pegaso!$E:$E, Captura_Obra!D169) + SUMIFS(Captura_Marimba_M01!$G:$G, Captura_Marimba_M01!$A:$A, Captura_Obra!A169, Captura_Marimba_M01!$C:$C, Captura_Obra!B169, Captura_Marimba_M01!$D:$D, Captura_Obra!D169))&gt;0), "", 0)</f>
        <v/>
      </c>
      <c r="I465" s="11138">
        <f>IF(OR(Captura_Obra!A169="", (SUMIFS(Captura_Pegaso!$H:$H, Captura_Pegaso!$A:$A, Captura_Obra!A169, Captura_Pegaso!$D:$D, Captura_Obra!B169, Captura_Pegaso!$E:$E, Captura_Obra!D169) + SUMIFS(Captura_Marimba_M01!$G:$G, Captura_Marimba_M01!$A:$A, Captura_Obra!A169, Captura_Marimba_M01!$C:$C, Captura_Obra!B169, Captura_Marimba_M01!$D:$D, Captura_Obra!D169))&gt;0), "", Captura_Obra!F169)</f>
        <v/>
      </c>
      <c r="J465" s="11139">
        <f>IF(OR(Captura_Obra!A169="", (SUMIFS(Captura_Pegaso!$H:$H, Captura_Pegaso!$A:$A, Captura_Obra!A169, Captura_Pegaso!$D:$D, Captura_Obra!B169, Captura_Pegaso!$E:$E, Captura_Obra!D169) + SUMIFS(Captura_Marimba_M01!$G:$G, Captura_Marimba_M01!$A:$A, Captura_Obra!A169, Captura_Marimba_M01!$C:$C, Captura_Obra!B169, Captura_Marimba_M01!$D:$D, Captura_Obra!D169))&gt;0), "", H465 - I465)</f>
        <v/>
      </c>
      <c r="K465" s="4274" t="n"/>
    </row>
    <row r="466">
      <c r="A466" s="11140">
        <f>IF(OR(Captura_Obra!A170="", (SUMIFS(Captura_Pegaso!$H:$H, Captura_Pegaso!$A:$A, Captura_Obra!A170, Captura_Pegaso!$D:$D, Captura_Obra!B170, Captura_Pegaso!$E:$E, Captura_Obra!D170) + SUMIFS(Captura_Marimba_M01!$G:$G, Captura_Marimba_M01!$A:$A, Captura_Obra!A170, Captura_Marimba_M01!$C:$C, Captura_Obra!B170, Captura_Marimba_M01!$D:$D, Captura_Obra!D170))&gt;0), "", "Huérfano Obra")</f>
        <v/>
      </c>
      <c r="B466" s="11141">
        <f>IF(OR(Captura_Obra!A170="", (SUMIFS(Captura_Pegaso!$H:$H, Captura_Pegaso!$A:$A, Captura_Obra!A170, Captura_Pegaso!$D:$D, Captura_Obra!B170, Captura_Pegaso!$E:$E, Captura_Obra!D170) + SUMIFS(Captura_Marimba_M01!$G:$G, Captura_Marimba_M01!$A:$A, Captura_Obra!A170, Captura_Marimba_M01!$C:$C, Captura_Obra!B170, Captura_Marimba_M01!$D:$D, Captura_Obra!D170))&gt;0), "", "No Reportado")</f>
        <v/>
      </c>
      <c r="C466" s="11142">
        <f>IF(OR(Captura_Obra!A170="", (SUMIFS(Captura_Pegaso!$H:$H, Captura_Pegaso!$A:$A, Captura_Obra!A170, Captura_Pegaso!$D:$D, Captura_Obra!B170, Captura_Pegaso!$E:$E, Captura_Obra!D170) + SUMIFS(Captura_Marimba_M01!$G:$G, Captura_Marimba_M01!$A:$A, Captura_Obra!A170, Captura_Marimba_M01!$C:$C, Captura_Obra!B170, Captura_Marimba_M01!$D:$D, Captura_Obra!D170))&gt;0), "", Captura_Obra!N170)</f>
        <v/>
      </c>
      <c r="D466" s="11143">
        <f>IF(OR(Captura_Obra!A170="", (SUMIFS(Captura_Pegaso!$H:$H, Captura_Pegaso!$A:$A, Captura_Obra!A170, Captura_Pegaso!$D:$D, Captura_Obra!B170, Captura_Pegaso!$E:$E, Captura_Obra!D170) + SUMIFS(Captura_Marimba_M01!$G:$G, Captura_Marimba_M01!$A:$A, Captura_Obra!A170, Captura_Marimba_M01!$C:$C, Captura_Obra!B170, Captura_Marimba_M01!$D:$D, Captura_Obra!D170))&gt;0), "", "❌ Falta en Pipa")</f>
        <v/>
      </c>
      <c r="E466" s="11144">
        <f>IF(OR(Captura_Obra!A170="", (SUMIFS(Captura_Pegaso!$H:$H, Captura_Pegaso!$A:$A, Captura_Obra!A170, Captura_Pegaso!$D:$D, Captura_Obra!B170, Captura_Pegaso!$E:$E, Captura_Obra!D170) + SUMIFS(Captura_Marimba_M01!$G:$G, Captura_Marimba_M01!$A:$A, Captura_Obra!A170, Captura_Marimba_M01!$C:$C, Captura_Obra!B170, Captura_Marimba_M01!$D:$D, Captura_Obra!D170))&gt;0), "", Captura_Obra!A170)</f>
        <v/>
      </c>
      <c r="F466" s="11145">
        <f>IF(OR(Captura_Obra!A170="", (SUMIFS(Captura_Pegaso!$H:$H, Captura_Pegaso!$A:$A, Captura_Obra!A170, Captura_Pegaso!$D:$D, Captura_Obra!B170, Captura_Pegaso!$E:$E, Captura_Obra!D170) + SUMIFS(Captura_Marimba_M01!$G:$G, Captura_Marimba_M01!$A:$A, Captura_Obra!A170, Captura_Marimba_M01!$C:$C, Captura_Obra!B170, Captura_Marimba_M01!$D:$D, Captura_Obra!D170))&gt;0), "", Captura_Obra!B170)</f>
        <v/>
      </c>
      <c r="G466" s="11146">
        <f>IF(OR(Captura_Obra!A170="", (SUMIFS(Captura_Pegaso!$H:$H, Captura_Pegaso!$A:$A, Captura_Obra!A170, Captura_Pegaso!$D:$D, Captura_Obra!B170, Captura_Pegaso!$E:$E, Captura_Obra!D170) + SUMIFS(Captura_Marimba_M01!$G:$G, Captura_Marimba_M01!$A:$A, Captura_Obra!A170, Captura_Marimba_M01!$C:$C, Captura_Obra!B170, Captura_Marimba_M01!$D:$D, Captura_Obra!D170))&gt;0), "", Captura_Obra!D170)</f>
        <v/>
      </c>
      <c r="H466" s="11147">
        <f>IF(OR(Captura_Obra!A170="", (SUMIFS(Captura_Pegaso!$H:$H, Captura_Pegaso!$A:$A, Captura_Obra!A170, Captura_Pegaso!$D:$D, Captura_Obra!B170, Captura_Pegaso!$E:$E, Captura_Obra!D170) + SUMIFS(Captura_Marimba_M01!$G:$G, Captura_Marimba_M01!$A:$A, Captura_Obra!A170, Captura_Marimba_M01!$C:$C, Captura_Obra!B170, Captura_Marimba_M01!$D:$D, Captura_Obra!D170))&gt;0), "", 0)</f>
        <v/>
      </c>
      <c r="I466" s="11148">
        <f>IF(OR(Captura_Obra!A170="", (SUMIFS(Captura_Pegaso!$H:$H, Captura_Pegaso!$A:$A, Captura_Obra!A170, Captura_Pegaso!$D:$D, Captura_Obra!B170, Captura_Pegaso!$E:$E, Captura_Obra!D170) + SUMIFS(Captura_Marimba_M01!$G:$G, Captura_Marimba_M01!$A:$A, Captura_Obra!A170, Captura_Marimba_M01!$C:$C, Captura_Obra!B170, Captura_Marimba_M01!$D:$D, Captura_Obra!D170))&gt;0), "", Captura_Obra!F170)</f>
        <v/>
      </c>
      <c r="J466" s="11149">
        <f>IF(OR(Captura_Obra!A170="", (SUMIFS(Captura_Pegaso!$H:$H, Captura_Pegaso!$A:$A, Captura_Obra!A170, Captura_Pegaso!$D:$D, Captura_Obra!B170, Captura_Pegaso!$E:$E, Captura_Obra!D170) + SUMIFS(Captura_Marimba_M01!$G:$G, Captura_Marimba_M01!$A:$A, Captura_Obra!A170, Captura_Marimba_M01!$C:$C, Captura_Obra!B170, Captura_Marimba_M01!$D:$D, Captura_Obra!D170))&gt;0), "", H466 - I466)</f>
        <v/>
      </c>
      <c r="K466" s="4275" t="n"/>
    </row>
    <row r="467">
      <c r="A467" s="11150">
        <f>IF(OR(Captura_Obra!A171="", (SUMIFS(Captura_Pegaso!$H:$H, Captura_Pegaso!$A:$A, Captura_Obra!A171, Captura_Pegaso!$D:$D, Captura_Obra!B171, Captura_Pegaso!$E:$E, Captura_Obra!D171) + SUMIFS(Captura_Marimba_M01!$G:$G, Captura_Marimba_M01!$A:$A, Captura_Obra!A171, Captura_Marimba_M01!$C:$C, Captura_Obra!B171, Captura_Marimba_M01!$D:$D, Captura_Obra!D171))&gt;0), "", "Huérfano Obra")</f>
        <v/>
      </c>
      <c r="B467" s="11151">
        <f>IF(OR(Captura_Obra!A171="", (SUMIFS(Captura_Pegaso!$H:$H, Captura_Pegaso!$A:$A, Captura_Obra!A171, Captura_Pegaso!$D:$D, Captura_Obra!B171, Captura_Pegaso!$E:$E, Captura_Obra!D171) + SUMIFS(Captura_Marimba_M01!$G:$G, Captura_Marimba_M01!$A:$A, Captura_Obra!A171, Captura_Marimba_M01!$C:$C, Captura_Obra!B171, Captura_Marimba_M01!$D:$D, Captura_Obra!D171))&gt;0), "", "No Reportado")</f>
        <v/>
      </c>
      <c r="C467" s="11152">
        <f>IF(OR(Captura_Obra!A171="", (SUMIFS(Captura_Pegaso!$H:$H, Captura_Pegaso!$A:$A, Captura_Obra!A171, Captura_Pegaso!$D:$D, Captura_Obra!B171, Captura_Pegaso!$E:$E, Captura_Obra!D171) + SUMIFS(Captura_Marimba_M01!$G:$G, Captura_Marimba_M01!$A:$A, Captura_Obra!A171, Captura_Marimba_M01!$C:$C, Captura_Obra!B171, Captura_Marimba_M01!$D:$D, Captura_Obra!D171))&gt;0), "", Captura_Obra!N171)</f>
        <v/>
      </c>
      <c r="D467" s="11153">
        <f>IF(OR(Captura_Obra!A171="", (SUMIFS(Captura_Pegaso!$H:$H, Captura_Pegaso!$A:$A, Captura_Obra!A171, Captura_Pegaso!$D:$D, Captura_Obra!B171, Captura_Pegaso!$E:$E, Captura_Obra!D171) + SUMIFS(Captura_Marimba_M01!$G:$G, Captura_Marimba_M01!$A:$A, Captura_Obra!A171, Captura_Marimba_M01!$C:$C, Captura_Obra!B171, Captura_Marimba_M01!$D:$D, Captura_Obra!D171))&gt;0), "", "❌ Falta en Pipa")</f>
        <v/>
      </c>
      <c r="E467" s="11154">
        <f>IF(OR(Captura_Obra!A171="", (SUMIFS(Captura_Pegaso!$H:$H, Captura_Pegaso!$A:$A, Captura_Obra!A171, Captura_Pegaso!$D:$D, Captura_Obra!B171, Captura_Pegaso!$E:$E, Captura_Obra!D171) + SUMIFS(Captura_Marimba_M01!$G:$G, Captura_Marimba_M01!$A:$A, Captura_Obra!A171, Captura_Marimba_M01!$C:$C, Captura_Obra!B171, Captura_Marimba_M01!$D:$D, Captura_Obra!D171))&gt;0), "", Captura_Obra!A171)</f>
        <v/>
      </c>
      <c r="F467" s="11155">
        <f>IF(OR(Captura_Obra!A171="", (SUMIFS(Captura_Pegaso!$H:$H, Captura_Pegaso!$A:$A, Captura_Obra!A171, Captura_Pegaso!$D:$D, Captura_Obra!B171, Captura_Pegaso!$E:$E, Captura_Obra!D171) + SUMIFS(Captura_Marimba_M01!$G:$G, Captura_Marimba_M01!$A:$A, Captura_Obra!A171, Captura_Marimba_M01!$C:$C, Captura_Obra!B171, Captura_Marimba_M01!$D:$D, Captura_Obra!D171))&gt;0), "", Captura_Obra!B171)</f>
        <v/>
      </c>
      <c r="G467" s="11156">
        <f>IF(OR(Captura_Obra!A171="", (SUMIFS(Captura_Pegaso!$H:$H, Captura_Pegaso!$A:$A, Captura_Obra!A171, Captura_Pegaso!$D:$D, Captura_Obra!B171, Captura_Pegaso!$E:$E, Captura_Obra!D171) + SUMIFS(Captura_Marimba_M01!$G:$G, Captura_Marimba_M01!$A:$A, Captura_Obra!A171, Captura_Marimba_M01!$C:$C, Captura_Obra!B171, Captura_Marimba_M01!$D:$D, Captura_Obra!D171))&gt;0), "", Captura_Obra!D171)</f>
        <v/>
      </c>
      <c r="H467" s="11157">
        <f>IF(OR(Captura_Obra!A171="", (SUMIFS(Captura_Pegaso!$H:$H, Captura_Pegaso!$A:$A, Captura_Obra!A171, Captura_Pegaso!$D:$D, Captura_Obra!B171, Captura_Pegaso!$E:$E, Captura_Obra!D171) + SUMIFS(Captura_Marimba_M01!$G:$G, Captura_Marimba_M01!$A:$A, Captura_Obra!A171, Captura_Marimba_M01!$C:$C, Captura_Obra!B171, Captura_Marimba_M01!$D:$D, Captura_Obra!D171))&gt;0), "", 0)</f>
        <v/>
      </c>
      <c r="I467" s="11158">
        <f>IF(OR(Captura_Obra!A171="", (SUMIFS(Captura_Pegaso!$H:$H, Captura_Pegaso!$A:$A, Captura_Obra!A171, Captura_Pegaso!$D:$D, Captura_Obra!B171, Captura_Pegaso!$E:$E, Captura_Obra!D171) + SUMIFS(Captura_Marimba_M01!$G:$G, Captura_Marimba_M01!$A:$A, Captura_Obra!A171, Captura_Marimba_M01!$C:$C, Captura_Obra!B171, Captura_Marimba_M01!$D:$D, Captura_Obra!D171))&gt;0), "", Captura_Obra!F171)</f>
        <v/>
      </c>
      <c r="J467" s="11159">
        <f>IF(OR(Captura_Obra!A171="", (SUMIFS(Captura_Pegaso!$H:$H, Captura_Pegaso!$A:$A, Captura_Obra!A171, Captura_Pegaso!$D:$D, Captura_Obra!B171, Captura_Pegaso!$E:$E, Captura_Obra!D171) + SUMIFS(Captura_Marimba_M01!$G:$G, Captura_Marimba_M01!$A:$A, Captura_Obra!A171, Captura_Marimba_M01!$C:$C, Captura_Obra!B171, Captura_Marimba_M01!$D:$D, Captura_Obra!D171))&gt;0), "", H467 - I467)</f>
        <v/>
      </c>
      <c r="K467" s="4276" t="n"/>
    </row>
    <row r="468">
      <c r="A468" s="11160">
        <f>IF(OR(Captura_Obra!A172="", (SUMIFS(Captura_Pegaso!$H:$H, Captura_Pegaso!$A:$A, Captura_Obra!A172, Captura_Pegaso!$D:$D, Captura_Obra!B172, Captura_Pegaso!$E:$E, Captura_Obra!D172) + SUMIFS(Captura_Marimba_M01!$G:$G, Captura_Marimba_M01!$A:$A, Captura_Obra!A172, Captura_Marimba_M01!$C:$C, Captura_Obra!B172, Captura_Marimba_M01!$D:$D, Captura_Obra!D172))&gt;0), "", "Huérfano Obra")</f>
        <v/>
      </c>
      <c r="B468" s="11161">
        <f>IF(OR(Captura_Obra!A172="", (SUMIFS(Captura_Pegaso!$H:$H, Captura_Pegaso!$A:$A, Captura_Obra!A172, Captura_Pegaso!$D:$D, Captura_Obra!B172, Captura_Pegaso!$E:$E, Captura_Obra!D172) + SUMIFS(Captura_Marimba_M01!$G:$G, Captura_Marimba_M01!$A:$A, Captura_Obra!A172, Captura_Marimba_M01!$C:$C, Captura_Obra!B172, Captura_Marimba_M01!$D:$D, Captura_Obra!D172))&gt;0), "", "No Reportado")</f>
        <v/>
      </c>
      <c r="C468" s="11162">
        <f>IF(OR(Captura_Obra!A172="", (SUMIFS(Captura_Pegaso!$H:$H, Captura_Pegaso!$A:$A, Captura_Obra!A172, Captura_Pegaso!$D:$D, Captura_Obra!B172, Captura_Pegaso!$E:$E, Captura_Obra!D172) + SUMIFS(Captura_Marimba_M01!$G:$G, Captura_Marimba_M01!$A:$A, Captura_Obra!A172, Captura_Marimba_M01!$C:$C, Captura_Obra!B172, Captura_Marimba_M01!$D:$D, Captura_Obra!D172))&gt;0), "", Captura_Obra!N172)</f>
        <v/>
      </c>
      <c r="D468" s="11163">
        <f>IF(OR(Captura_Obra!A172="", (SUMIFS(Captura_Pegaso!$H:$H, Captura_Pegaso!$A:$A, Captura_Obra!A172, Captura_Pegaso!$D:$D, Captura_Obra!B172, Captura_Pegaso!$E:$E, Captura_Obra!D172) + SUMIFS(Captura_Marimba_M01!$G:$G, Captura_Marimba_M01!$A:$A, Captura_Obra!A172, Captura_Marimba_M01!$C:$C, Captura_Obra!B172, Captura_Marimba_M01!$D:$D, Captura_Obra!D172))&gt;0), "", "❌ Falta en Pipa")</f>
        <v/>
      </c>
      <c r="E468" s="11164">
        <f>IF(OR(Captura_Obra!A172="", (SUMIFS(Captura_Pegaso!$H:$H, Captura_Pegaso!$A:$A, Captura_Obra!A172, Captura_Pegaso!$D:$D, Captura_Obra!B172, Captura_Pegaso!$E:$E, Captura_Obra!D172) + SUMIFS(Captura_Marimba_M01!$G:$G, Captura_Marimba_M01!$A:$A, Captura_Obra!A172, Captura_Marimba_M01!$C:$C, Captura_Obra!B172, Captura_Marimba_M01!$D:$D, Captura_Obra!D172))&gt;0), "", Captura_Obra!A172)</f>
        <v/>
      </c>
      <c r="F468" s="11165">
        <f>IF(OR(Captura_Obra!A172="", (SUMIFS(Captura_Pegaso!$H:$H, Captura_Pegaso!$A:$A, Captura_Obra!A172, Captura_Pegaso!$D:$D, Captura_Obra!B172, Captura_Pegaso!$E:$E, Captura_Obra!D172) + SUMIFS(Captura_Marimba_M01!$G:$G, Captura_Marimba_M01!$A:$A, Captura_Obra!A172, Captura_Marimba_M01!$C:$C, Captura_Obra!B172, Captura_Marimba_M01!$D:$D, Captura_Obra!D172))&gt;0), "", Captura_Obra!B172)</f>
        <v/>
      </c>
      <c r="G468" s="11166">
        <f>IF(OR(Captura_Obra!A172="", (SUMIFS(Captura_Pegaso!$H:$H, Captura_Pegaso!$A:$A, Captura_Obra!A172, Captura_Pegaso!$D:$D, Captura_Obra!B172, Captura_Pegaso!$E:$E, Captura_Obra!D172) + SUMIFS(Captura_Marimba_M01!$G:$G, Captura_Marimba_M01!$A:$A, Captura_Obra!A172, Captura_Marimba_M01!$C:$C, Captura_Obra!B172, Captura_Marimba_M01!$D:$D, Captura_Obra!D172))&gt;0), "", Captura_Obra!D172)</f>
        <v/>
      </c>
      <c r="H468" s="11167">
        <f>IF(OR(Captura_Obra!A172="", (SUMIFS(Captura_Pegaso!$H:$H, Captura_Pegaso!$A:$A, Captura_Obra!A172, Captura_Pegaso!$D:$D, Captura_Obra!B172, Captura_Pegaso!$E:$E, Captura_Obra!D172) + SUMIFS(Captura_Marimba_M01!$G:$G, Captura_Marimba_M01!$A:$A, Captura_Obra!A172, Captura_Marimba_M01!$C:$C, Captura_Obra!B172, Captura_Marimba_M01!$D:$D, Captura_Obra!D172))&gt;0), "", 0)</f>
        <v/>
      </c>
      <c r="I468" s="11168">
        <f>IF(OR(Captura_Obra!A172="", (SUMIFS(Captura_Pegaso!$H:$H, Captura_Pegaso!$A:$A, Captura_Obra!A172, Captura_Pegaso!$D:$D, Captura_Obra!B172, Captura_Pegaso!$E:$E, Captura_Obra!D172) + SUMIFS(Captura_Marimba_M01!$G:$G, Captura_Marimba_M01!$A:$A, Captura_Obra!A172, Captura_Marimba_M01!$C:$C, Captura_Obra!B172, Captura_Marimba_M01!$D:$D, Captura_Obra!D172))&gt;0), "", Captura_Obra!F172)</f>
        <v/>
      </c>
      <c r="J468" s="11169">
        <f>IF(OR(Captura_Obra!A172="", (SUMIFS(Captura_Pegaso!$H:$H, Captura_Pegaso!$A:$A, Captura_Obra!A172, Captura_Pegaso!$D:$D, Captura_Obra!B172, Captura_Pegaso!$E:$E, Captura_Obra!D172) + SUMIFS(Captura_Marimba_M01!$G:$G, Captura_Marimba_M01!$A:$A, Captura_Obra!A172, Captura_Marimba_M01!$C:$C, Captura_Obra!B172, Captura_Marimba_M01!$D:$D, Captura_Obra!D172))&gt;0), "", H468 - I468)</f>
        <v/>
      </c>
      <c r="K468" s="4277" t="n"/>
    </row>
    <row r="469">
      <c r="A469" s="11170">
        <f>IF(OR(Captura_Obra!A173="", (SUMIFS(Captura_Pegaso!$H:$H, Captura_Pegaso!$A:$A, Captura_Obra!A173, Captura_Pegaso!$D:$D, Captura_Obra!B173, Captura_Pegaso!$E:$E, Captura_Obra!D173) + SUMIFS(Captura_Marimba_M01!$G:$G, Captura_Marimba_M01!$A:$A, Captura_Obra!A173, Captura_Marimba_M01!$C:$C, Captura_Obra!B173, Captura_Marimba_M01!$D:$D, Captura_Obra!D173))&gt;0), "", "Huérfano Obra")</f>
        <v/>
      </c>
      <c r="B469" s="11171">
        <f>IF(OR(Captura_Obra!A173="", (SUMIFS(Captura_Pegaso!$H:$H, Captura_Pegaso!$A:$A, Captura_Obra!A173, Captura_Pegaso!$D:$D, Captura_Obra!B173, Captura_Pegaso!$E:$E, Captura_Obra!D173) + SUMIFS(Captura_Marimba_M01!$G:$G, Captura_Marimba_M01!$A:$A, Captura_Obra!A173, Captura_Marimba_M01!$C:$C, Captura_Obra!B173, Captura_Marimba_M01!$D:$D, Captura_Obra!D173))&gt;0), "", "No Reportado")</f>
        <v/>
      </c>
      <c r="C469" s="11172">
        <f>IF(OR(Captura_Obra!A173="", (SUMIFS(Captura_Pegaso!$H:$H, Captura_Pegaso!$A:$A, Captura_Obra!A173, Captura_Pegaso!$D:$D, Captura_Obra!B173, Captura_Pegaso!$E:$E, Captura_Obra!D173) + SUMIFS(Captura_Marimba_M01!$G:$G, Captura_Marimba_M01!$A:$A, Captura_Obra!A173, Captura_Marimba_M01!$C:$C, Captura_Obra!B173, Captura_Marimba_M01!$D:$D, Captura_Obra!D173))&gt;0), "", Captura_Obra!N173)</f>
        <v/>
      </c>
      <c r="D469" s="11173">
        <f>IF(OR(Captura_Obra!A173="", (SUMIFS(Captura_Pegaso!$H:$H, Captura_Pegaso!$A:$A, Captura_Obra!A173, Captura_Pegaso!$D:$D, Captura_Obra!B173, Captura_Pegaso!$E:$E, Captura_Obra!D173) + SUMIFS(Captura_Marimba_M01!$G:$G, Captura_Marimba_M01!$A:$A, Captura_Obra!A173, Captura_Marimba_M01!$C:$C, Captura_Obra!B173, Captura_Marimba_M01!$D:$D, Captura_Obra!D173))&gt;0), "", "❌ Falta en Pipa")</f>
        <v/>
      </c>
      <c r="E469" s="11174">
        <f>IF(OR(Captura_Obra!A173="", (SUMIFS(Captura_Pegaso!$H:$H, Captura_Pegaso!$A:$A, Captura_Obra!A173, Captura_Pegaso!$D:$D, Captura_Obra!B173, Captura_Pegaso!$E:$E, Captura_Obra!D173) + SUMIFS(Captura_Marimba_M01!$G:$G, Captura_Marimba_M01!$A:$A, Captura_Obra!A173, Captura_Marimba_M01!$C:$C, Captura_Obra!B173, Captura_Marimba_M01!$D:$D, Captura_Obra!D173))&gt;0), "", Captura_Obra!A173)</f>
        <v/>
      </c>
      <c r="F469" s="11175">
        <f>IF(OR(Captura_Obra!A173="", (SUMIFS(Captura_Pegaso!$H:$H, Captura_Pegaso!$A:$A, Captura_Obra!A173, Captura_Pegaso!$D:$D, Captura_Obra!B173, Captura_Pegaso!$E:$E, Captura_Obra!D173) + SUMIFS(Captura_Marimba_M01!$G:$G, Captura_Marimba_M01!$A:$A, Captura_Obra!A173, Captura_Marimba_M01!$C:$C, Captura_Obra!B173, Captura_Marimba_M01!$D:$D, Captura_Obra!D173))&gt;0), "", Captura_Obra!B173)</f>
        <v/>
      </c>
      <c r="G469" s="11176">
        <f>IF(OR(Captura_Obra!A173="", (SUMIFS(Captura_Pegaso!$H:$H, Captura_Pegaso!$A:$A, Captura_Obra!A173, Captura_Pegaso!$D:$D, Captura_Obra!B173, Captura_Pegaso!$E:$E, Captura_Obra!D173) + SUMIFS(Captura_Marimba_M01!$G:$G, Captura_Marimba_M01!$A:$A, Captura_Obra!A173, Captura_Marimba_M01!$C:$C, Captura_Obra!B173, Captura_Marimba_M01!$D:$D, Captura_Obra!D173))&gt;0), "", Captura_Obra!D173)</f>
        <v/>
      </c>
      <c r="H469" s="11177">
        <f>IF(OR(Captura_Obra!A173="", (SUMIFS(Captura_Pegaso!$H:$H, Captura_Pegaso!$A:$A, Captura_Obra!A173, Captura_Pegaso!$D:$D, Captura_Obra!B173, Captura_Pegaso!$E:$E, Captura_Obra!D173) + SUMIFS(Captura_Marimba_M01!$G:$G, Captura_Marimba_M01!$A:$A, Captura_Obra!A173, Captura_Marimba_M01!$C:$C, Captura_Obra!B173, Captura_Marimba_M01!$D:$D, Captura_Obra!D173))&gt;0), "", 0)</f>
        <v/>
      </c>
      <c r="I469" s="11178">
        <f>IF(OR(Captura_Obra!A173="", (SUMIFS(Captura_Pegaso!$H:$H, Captura_Pegaso!$A:$A, Captura_Obra!A173, Captura_Pegaso!$D:$D, Captura_Obra!B173, Captura_Pegaso!$E:$E, Captura_Obra!D173) + SUMIFS(Captura_Marimba_M01!$G:$G, Captura_Marimba_M01!$A:$A, Captura_Obra!A173, Captura_Marimba_M01!$C:$C, Captura_Obra!B173, Captura_Marimba_M01!$D:$D, Captura_Obra!D173))&gt;0), "", Captura_Obra!F173)</f>
        <v/>
      </c>
      <c r="J469" s="11179">
        <f>IF(OR(Captura_Obra!A173="", (SUMIFS(Captura_Pegaso!$H:$H, Captura_Pegaso!$A:$A, Captura_Obra!A173, Captura_Pegaso!$D:$D, Captura_Obra!B173, Captura_Pegaso!$E:$E, Captura_Obra!D173) + SUMIFS(Captura_Marimba_M01!$G:$G, Captura_Marimba_M01!$A:$A, Captura_Obra!A173, Captura_Marimba_M01!$C:$C, Captura_Obra!B173, Captura_Marimba_M01!$D:$D, Captura_Obra!D173))&gt;0), "", H469 - I469)</f>
        <v/>
      </c>
      <c r="K469" s="4278" t="n"/>
    </row>
    <row r="470">
      <c r="A470" s="11180">
        <f>IF(OR(Captura_Obra!A174="", (SUMIFS(Captura_Pegaso!$H:$H, Captura_Pegaso!$A:$A, Captura_Obra!A174, Captura_Pegaso!$D:$D, Captura_Obra!B174, Captura_Pegaso!$E:$E, Captura_Obra!D174) + SUMIFS(Captura_Marimba_M01!$G:$G, Captura_Marimba_M01!$A:$A, Captura_Obra!A174, Captura_Marimba_M01!$C:$C, Captura_Obra!B174, Captura_Marimba_M01!$D:$D, Captura_Obra!D174))&gt;0), "", "Huérfano Obra")</f>
        <v/>
      </c>
      <c r="B470" s="11181">
        <f>IF(OR(Captura_Obra!A174="", (SUMIFS(Captura_Pegaso!$H:$H, Captura_Pegaso!$A:$A, Captura_Obra!A174, Captura_Pegaso!$D:$D, Captura_Obra!B174, Captura_Pegaso!$E:$E, Captura_Obra!D174) + SUMIFS(Captura_Marimba_M01!$G:$G, Captura_Marimba_M01!$A:$A, Captura_Obra!A174, Captura_Marimba_M01!$C:$C, Captura_Obra!B174, Captura_Marimba_M01!$D:$D, Captura_Obra!D174))&gt;0), "", "No Reportado")</f>
        <v/>
      </c>
      <c r="C470" s="11182">
        <f>IF(OR(Captura_Obra!A174="", (SUMIFS(Captura_Pegaso!$H:$H, Captura_Pegaso!$A:$A, Captura_Obra!A174, Captura_Pegaso!$D:$D, Captura_Obra!B174, Captura_Pegaso!$E:$E, Captura_Obra!D174) + SUMIFS(Captura_Marimba_M01!$G:$G, Captura_Marimba_M01!$A:$A, Captura_Obra!A174, Captura_Marimba_M01!$C:$C, Captura_Obra!B174, Captura_Marimba_M01!$D:$D, Captura_Obra!D174))&gt;0), "", Captura_Obra!N174)</f>
        <v/>
      </c>
      <c r="D470" s="11183">
        <f>IF(OR(Captura_Obra!A174="", (SUMIFS(Captura_Pegaso!$H:$H, Captura_Pegaso!$A:$A, Captura_Obra!A174, Captura_Pegaso!$D:$D, Captura_Obra!B174, Captura_Pegaso!$E:$E, Captura_Obra!D174) + SUMIFS(Captura_Marimba_M01!$G:$G, Captura_Marimba_M01!$A:$A, Captura_Obra!A174, Captura_Marimba_M01!$C:$C, Captura_Obra!B174, Captura_Marimba_M01!$D:$D, Captura_Obra!D174))&gt;0), "", "❌ Falta en Pipa")</f>
        <v/>
      </c>
      <c r="E470" s="11184">
        <f>IF(OR(Captura_Obra!A174="", (SUMIFS(Captura_Pegaso!$H:$H, Captura_Pegaso!$A:$A, Captura_Obra!A174, Captura_Pegaso!$D:$D, Captura_Obra!B174, Captura_Pegaso!$E:$E, Captura_Obra!D174) + SUMIFS(Captura_Marimba_M01!$G:$G, Captura_Marimba_M01!$A:$A, Captura_Obra!A174, Captura_Marimba_M01!$C:$C, Captura_Obra!B174, Captura_Marimba_M01!$D:$D, Captura_Obra!D174))&gt;0), "", Captura_Obra!A174)</f>
        <v/>
      </c>
      <c r="F470" s="11185">
        <f>IF(OR(Captura_Obra!A174="", (SUMIFS(Captura_Pegaso!$H:$H, Captura_Pegaso!$A:$A, Captura_Obra!A174, Captura_Pegaso!$D:$D, Captura_Obra!B174, Captura_Pegaso!$E:$E, Captura_Obra!D174) + SUMIFS(Captura_Marimba_M01!$G:$G, Captura_Marimba_M01!$A:$A, Captura_Obra!A174, Captura_Marimba_M01!$C:$C, Captura_Obra!B174, Captura_Marimba_M01!$D:$D, Captura_Obra!D174))&gt;0), "", Captura_Obra!B174)</f>
        <v/>
      </c>
      <c r="G470" s="11186">
        <f>IF(OR(Captura_Obra!A174="", (SUMIFS(Captura_Pegaso!$H:$H, Captura_Pegaso!$A:$A, Captura_Obra!A174, Captura_Pegaso!$D:$D, Captura_Obra!B174, Captura_Pegaso!$E:$E, Captura_Obra!D174) + SUMIFS(Captura_Marimba_M01!$G:$G, Captura_Marimba_M01!$A:$A, Captura_Obra!A174, Captura_Marimba_M01!$C:$C, Captura_Obra!B174, Captura_Marimba_M01!$D:$D, Captura_Obra!D174))&gt;0), "", Captura_Obra!D174)</f>
        <v/>
      </c>
      <c r="H470" s="11187">
        <f>IF(OR(Captura_Obra!A174="", (SUMIFS(Captura_Pegaso!$H:$H, Captura_Pegaso!$A:$A, Captura_Obra!A174, Captura_Pegaso!$D:$D, Captura_Obra!B174, Captura_Pegaso!$E:$E, Captura_Obra!D174) + SUMIFS(Captura_Marimba_M01!$G:$G, Captura_Marimba_M01!$A:$A, Captura_Obra!A174, Captura_Marimba_M01!$C:$C, Captura_Obra!B174, Captura_Marimba_M01!$D:$D, Captura_Obra!D174))&gt;0), "", 0)</f>
        <v/>
      </c>
      <c r="I470" s="11188">
        <f>IF(OR(Captura_Obra!A174="", (SUMIFS(Captura_Pegaso!$H:$H, Captura_Pegaso!$A:$A, Captura_Obra!A174, Captura_Pegaso!$D:$D, Captura_Obra!B174, Captura_Pegaso!$E:$E, Captura_Obra!D174) + SUMIFS(Captura_Marimba_M01!$G:$G, Captura_Marimba_M01!$A:$A, Captura_Obra!A174, Captura_Marimba_M01!$C:$C, Captura_Obra!B174, Captura_Marimba_M01!$D:$D, Captura_Obra!D174))&gt;0), "", Captura_Obra!F174)</f>
        <v/>
      </c>
      <c r="J470" s="11189">
        <f>IF(OR(Captura_Obra!A174="", (SUMIFS(Captura_Pegaso!$H:$H, Captura_Pegaso!$A:$A, Captura_Obra!A174, Captura_Pegaso!$D:$D, Captura_Obra!B174, Captura_Pegaso!$E:$E, Captura_Obra!D174) + SUMIFS(Captura_Marimba_M01!$G:$G, Captura_Marimba_M01!$A:$A, Captura_Obra!A174, Captura_Marimba_M01!$C:$C, Captura_Obra!B174, Captura_Marimba_M01!$D:$D, Captura_Obra!D174))&gt;0), "", H470 - I470)</f>
        <v/>
      </c>
      <c r="K470" s="4279" t="n"/>
    </row>
    <row r="471">
      <c r="A471" s="11190">
        <f>IF(OR(Captura_Obra!A175="", (SUMIFS(Captura_Pegaso!$H:$H, Captura_Pegaso!$A:$A, Captura_Obra!A175, Captura_Pegaso!$D:$D, Captura_Obra!B175, Captura_Pegaso!$E:$E, Captura_Obra!D175) + SUMIFS(Captura_Marimba_M01!$G:$G, Captura_Marimba_M01!$A:$A, Captura_Obra!A175, Captura_Marimba_M01!$C:$C, Captura_Obra!B175, Captura_Marimba_M01!$D:$D, Captura_Obra!D175))&gt;0), "", "Huérfano Obra")</f>
        <v/>
      </c>
      <c r="B471" s="11191">
        <f>IF(OR(Captura_Obra!A175="", (SUMIFS(Captura_Pegaso!$H:$H, Captura_Pegaso!$A:$A, Captura_Obra!A175, Captura_Pegaso!$D:$D, Captura_Obra!B175, Captura_Pegaso!$E:$E, Captura_Obra!D175) + SUMIFS(Captura_Marimba_M01!$G:$G, Captura_Marimba_M01!$A:$A, Captura_Obra!A175, Captura_Marimba_M01!$C:$C, Captura_Obra!B175, Captura_Marimba_M01!$D:$D, Captura_Obra!D175))&gt;0), "", "No Reportado")</f>
        <v/>
      </c>
      <c r="C471" s="11192">
        <f>IF(OR(Captura_Obra!A175="", (SUMIFS(Captura_Pegaso!$H:$H, Captura_Pegaso!$A:$A, Captura_Obra!A175, Captura_Pegaso!$D:$D, Captura_Obra!B175, Captura_Pegaso!$E:$E, Captura_Obra!D175) + SUMIFS(Captura_Marimba_M01!$G:$G, Captura_Marimba_M01!$A:$A, Captura_Obra!A175, Captura_Marimba_M01!$C:$C, Captura_Obra!B175, Captura_Marimba_M01!$D:$D, Captura_Obra!D175))&gt;0), "", Captura_Obra!N175)</f>
        <v/>
      </c>
      <c r="D471" s="11193">
        <f>IF(OR(Captura_Obra!A175="", (SUMIFS(Captura_Pegaso!$H:$H, Captura_Pegaso!$A:$A, Captura_Obra!A175, Captura_Pegaso!$D:$D, Captura_Obra!B175, Captura_Pegaso!$E:$E, Captura_Obra!D175) + SUMIFS(Captura_Marimba_M01!$G:$G, Captura_Marimba_M01!$A:$A, Captura_Obra!A175, Captura_Marimba_M01!$C:$C, Captura_Obra!B175, Captura_Marimba_M01!$D:$D, Captura_Obra!D175))&gt;0), "", "❌ Falta en Pipa")</f>
        <v/>
      </c>
      <c r="E471" s="11194">
        <f>IF(OR(Captura_Obra!A175="", (SUMIFS(Captura_Pegaso!$H:$H, Captura_Pegaso!$A:$A, Captura_Obra!A175, Captura_Pegaso!$D:$D, Captura_Obra!B175, Captura_Pegaso!$E:$E, Captura_Obra!D175) + SUMIFS(Captura_Marimba_M01!$G:$G, Captura_Marimba_M01!$A:$A, Captura_Obra!A175, Captura_Marimba_M01!$C:$C, Captura_Obra!B175, Captura_Marimba_M01!$D:$D, Captura_Obra!D175))&gt;0), "", Captura_Obra!A175)</f>
        <v/>
      </c>
      <c r="F471" s="11195">
        <f>IF(OR(Captura_Obra!A175="", (SUMIFS(Captura_Pegaso!$H:$H, Captura_Pegaso!$A:$A, Captura_Obra!A175, Captura_Pegaso!$D:$D, Captura_Obra!B175, Captura_Pegaso!$E:$E, Captura_Obra!D175) + SUMIFS(Captura_Marimba_M01!$G:$G, Captura_Marimba_M01!$A:$A, Captura_Obra!A175, Captura_Marimba_M01!$C:$C, Captura_Obra!B175, Captura_Marimba_M01!$D:$D, Captura_Obra!D175))&gt;0), "", Captura_Obra!B175)</f>
        <v/>
      </c>
      <c r="G471" s="11196">
        <f>IF(OR(Captura_Obra!A175="", (SUMIFS(Captura_Pegaso!$H:$H, Captura_Pegaso!$A:$A, Captura_Obra!A175, Captura_Pegaso!$D:$D, Captura_Obra!B175, Captura_Pegaso!$E:$E, Captura_Obra!D175) + SUMIFS(Captura_Marimba_M01!$G:$G, Captura_Marimba_M01!$A:$A, Captura_Obra!A175, Captura_Marimba_M01!$C:$C, Captura_Obra!B175, Captura_Marimba_M01!$D:$D, Captura_Obra!D175))&gt;0), "", Captura_Obra!D175)</f>
        <v/>
      </c>
      <c r="H471" s="11197">
        <f>IF(OR(Captura_Obra!A175="", (SUMIFS(Captura_Pegaso!$H:$H, Captura_Pegaso!$A:$A, Captura_Obra!A175, Captura_Pegaso!$D:$D, Captura_Obra!B175, Captura_Pegaso!$E:$E, Captura_Obra!D175) + SUMIFS(Captura_Marimba_M01!$G:$G, Captura_Marimba_M01!$A:$A, Captura_Obra!A175, Captura_Marimba_M01!$C:$C, Captura_Obra!B175, Captura_Marimba_M01!$D:$D, Captura_Obra!D175))&gt;0), "", 0)</f>
        <v/>
      </c>
      <c r="I471" s="11198">
        <f>IF(OR(Captura_Obra!A175="", (SUMIFS(Captura_Pegaso!$H:$H, Captura_Pegaso!$A:$A, Captura_Obra!A175, Captura_Pegaso!$D:$D, Captura_Obra!B175, Captura_Pegaso!$E:$E, Captura_Obra!D175) + SUMIFS(Captura_Marimba_M01!$G:$G, Captura_Marimba_M01!$A:$A, Captura_Obra!A175, Captura_Marimba_M01!$C:$C, Captura_Obra!B175, Captura_Marimba_M01!$D:$D, Captura_Obra!D175))&gt;0), "", Captura_Obra!F175)</f>
        <v/>
      </c>
      <c r="J471" s="11199">
        <f>IF(OR(Captura_Obra!A175="", (SUMIFS(Captura_Pegaso!$H:$H, Captura_Pegaso!$A:$A, Captura_Obra!A175, Captura_Pegaso!$D:$D, Captura_Obra!B175, Captura_Pegaso!$E:$E, Captura_Obra!D175) + SUMIFS(Captura_Marimba_M01!$G:$G, Captura_Marimba_M01!$A:$A, Captura_Obra!A175, Captura_Marimba_M01!$C:$C, Captura_Obra!B175, Captura_Marimba_M01!$D:$D, Captura_Obra!D175))&gt;0), "", H471 - I471)</f>
        <v/>
      </c>
      <c r="K471" s="4280" t="n"/>
    </row>
    <row r="472">
      <c r="A472" s="11200">
        <f>IF(OR(Captura_Obra!A176="", (SUMIFS(Captura_Pegaso!$H:$H, Captura_Pegaso!$A:$A, Captura_Obra!A176, Captura_Pegaso!$D:$D, Captura_Obra!B176, Captura_Pegaso!$E:$E, Captura_Obra!D176) + SUMIFS(Captura_Marimba_M01!$G:$G, Captura_Marimba_M01!$A:$A, Captura_Obra!A176, Captura_Marimba_M01!$C:$C, Captura_Obra!B176, Captura_Marimba_M01!$D:$D, Captura_Obra!D176))&gt;0), "", "Huérfano Obra")</f>
        <v/>
      </c>
      <c r="B472" s="11201">
        <f>IF(OR(Captura_Obra!A176="", (SUMIFS(Captura_Pegaso!$H:$H, Captura_Pegaso!$A:$A, Captura_Obra!A176, Captura_Pegaso!$D:$D, Captura_Obra!B176, Captura_Pegaso!$E:$E, Captura_Obra!D176) + SUMIFS(Captura_Marimba_M01!$G:$G, Captura_Marimba_M01!$A:$A, Captura_Obra!A176, Captura_Marimba_M01!$C:$C, Captura_Obra!B176, Captura_Marimba_M01!$D:$D, Captura_Obra!D176))&gt;0), "", "No Reportado")</f>
        <v/>
      </c>
      <c r="C472" s="11202">
        <f>IF(OR(Captura_Obra!A176="", (SUMIFS(Captura_Pegaso!$H:$H, Captura_Pegaso!$A:$A, Captura_Obra!A176, Captura_Pegaso!$D:$D, Captura_Obra!B176, Captura_Pegaso!$E:$E, Captura_Obra!D176) + SUMIFS(Captura_Marimba_M01!$G:$G, Captura_Marimba_M01!$A:$A, Captura_Obra!A176, Captura_Marimba_M01!$C:$C, Captura_Obra!B176, Captura_Marimba_M01!$D:$D, Captura_Obra!D176))&gt;0), "", Captura_Obra!N176)</f>
        <v/>
      </c>
      <c r="D472" s="11203">
        <f>IF(OR(Captura_Obra!A176="", (SUMIFS(Captura_Pegaso!$H:$H, Captura_Pegaso!$A:$A, Captura_Obra!A176, Captura_Pegaso!$D:$D, Captura_Obra!B176, Captura_Pegaso!$E:$E, Captura_Obra!D176) + SUMIFS(Captura_Marimba_M01!$G:$G, Captura_Marimba_M01!$A:$A, Captura_Obra!A176, Captura_Marimba_M01!$C:$C, Captura_Obra!B176, Captura_Marimba_M01!$D:$D, Captura_Obra!D176))&gt;0), "", "❌ Falta en Pipa")</f>
        <v/>
      </c>
      <c r="E472" s="11204">
        <f>IF(OR(Captura_Obra!A176="", (SUMIFS(Captura_Pegaso!$H:$H, Captura_Pegaso!$A:$A, Captura_Obra!A176, Captura_Pegaso!$D:$D, Captura_Obra!B176, Captura_Pegaso!$E:$E, Captura_Obra!D176) + SUMIFS(Captura_Marimba_M01!$G:$G, Captura_Marimba_M01!$A:$A, Captura_Obra!A176, Captura_Marimba_M01!$C:$C, Captura_Obra!B176, Captura_Marimba_M01!$D:$D, Captura_Obra!D176))&gt;0), "", Captura_Obra!A176)</f>
        <v/>
      </c>
      <c r="F472" s="11205">
        <f>IF(OR(Captura_Obra!A176="", (SUMIFS(Captura_Pegaso!$H:$H, Captura_Pegaso!$A:$A, Captura_Obra!A176, Captura_Pegaso!$D:$D, Captura_Obra!B176, Captura_Pegaso!$E:$E, Captura_Obra!D176) + SUMIFS(Captura_Marimba_M01!$G:$G, Captura_Marimba_M01!$A:$A, Captura_Obra!A176, Captura_Marimba_M01!$C:$C, Captura_Obra!B176, Captura_Marimba_M01!$D:$D, Captura_Obra!D176))&gt;0), "", Captura_Obra!B176)</f>
        <v/>
      </c>
      <c r="G472" s="11206">
        <f>IF(OR(Captura_Obra!A176="", (SUMIFS(Captura_Pegaso!$H:$H, Captura_Pegaso!$A:$A, Captura_Obra!A176, Captura_Pegaso!$D:$D, Captura_Obra!B176, Captura_Pegaso!$E:$E, Captura_Obra!D176) + SUMIFS(Captura_Marimba_M01!$G:$G, Captura_Marimba_M01!$A:$A, Captura_Obra!A176, Captura_Marimba_M01!$C:$C, Captura_Obra!B176, Captura_Marimba_M01!$D:$D, Captura_Obra!D176))&gt;0), "", Captura_Obra!D176)</f>
        <v/>
      </c>
      <c r="H472" s="11207">
        <f>IF(OR(Captura_Obra!A176="", (SUMIFS(Captura_Pegaso!$H:$H, Captura_Pegaso!$A:$A, Captura_Obra!A176, Captura_Pegaso!$D:$D, Captura_Obra!B176, Captura_Pegaso!$E:$E, Captura_Obra!D176) + SUMIFS(Captura_Marimba_M01!$G:$G, Captura_Marimba_M01!$A:$A, Captura_Obra!A176, Captura_Marimba_M01!$C:$C, Captura_Obra!B176, Captura_Marimba_M01!$D:$D, Captura_Obra!D176))&gt;0), "", 0)</f>
        <v/>
      </c>
      <c r="I472" s="11208">
        <f>IF(OR(Captura_Obra!A176="", (SUMIFS(Captura_Pegaso!$H:$H, Captura_Pegaso!$A:$A, Captura_Obra!A176, Captura_Pegaso!$D:$D, Captura_Obra!B176, Captura_Pegaso!$E:$E, Captura_Obra!D176) + SUMIFS(Captura_Marimba_M01!$G:$G, Captura_Marimba_M01!$A:$A, Captura_Obra!A176, Captura_Marimba_M01!$C:$C, Captura_Obra!B176, Captura_Marimba_M01!$D:$D, Captura_Obra!D176))&gt;0), "", Captura_Obra!F176)</f>
        <v/>
      </c>
      <c r="J472" s="11209">
        <f>IF(OR(Captura_Obra!A176="", (SUMIFS(Captura_Pegaso!$H:$H, Captura_Pegaso!$A:$A, Captura_Obra!A176, Captura_Pegaso!$D:$D, Captura_Obra!B176, Captura_Pegaso!$E:$E, Captura_Obra!D176) + SUMIFS(Captura_Marimba_M01!$G:$G, Captura_Marimba_M01!$A:$A, Captura_Obra!A176, Captura_Marimba_M01!$C:$C, Captura_Obra!B176, Captura_Marimba_M01!$D:$D, Captura_Obra!D176))&gt;0), "", H472 - I472)</f>
        <v/>
      </c>
      <c r="K472" s="4281" t="n"/>
    </row>
    <row r="473">
      <c r="A473" s="11210">
        <f>IF(OR(Captura_Obra!A177="", (SUMIFS(Captura_Pegaso!$H:$H, Captura_Pegaso!$A:$A, Captura_Obra!A177, Captura_Pegaso!$D:$D, Captura_Obra!B177, Captura_Pegaso!$E:$E, Captura_Obra!D177) + SUMIFS(Captura_Marimba_M01!$G:$G, Captura_Marimba_M01!$A:$A, Captura_Obra!A177, Captura_Marimba_M01!$C:$C, Captura_Obra!B177, Captura_Marimba_M01!$D:$D, Captura_Obra!D177))&gt;0), "", "Huérfano Obra")</f>
        <v/>
      </c>
      <c r="B473" s="11211">
        <f>IF(OR(Captura_Obra!A177="", (SUMIFS(Captura_Pegaso!$H:$H, Captura_Pegaso!$A:$A, Captura_Obra!A177, Captura_Pegaso!$D:$D, Captura_Obra!B177, Captura_Pegaso!$E:$E, Captura_Obra!D177) + SUMIFS(Captura_Marimba_M01!$G:$G, Captura_Marimba_M01!$A:$A, Captura_Obra!A177, Captura_Marimba_M01!$C:$C, Captura_Obra!B177, Captura_Marimba_M01!$D:$D, Captura_Obra!D177))&gt;0), "", "No Reportado")</f>
        <v/>
      </c>
      <c r="C473" s="11212">
        <f>IF(OR(Captura_Obra!A177="", (SUMIFS(Captura_Pegaso!$H:$H, Captura_Pegaso!$A:$A, Captura_Obra!A177, Captura_Pegaso!$D:$D, Captura_Obra!B177, Captura_Pegaso!$E:$E, Captura_Obra!D177) + SUMIFS(Captura_Marimba_M01!$G:$G, Captura_Marimba_M01!$A:$A, Captura_Obra!A177, Captura_Marimba_M01!$C:$C, Captura_Obra!B177, Captura_Marimba_M01!$D:$D, Captura_Obra!D177))&gt;0), "", Captura_Obra!N177)</f>
        <v/>
      </c>
      <c r="D473" s="11213">
        <f>IF(OR(Captura_Obra!A177="", (SUMIFS(Captura_Pegaso!$H:$H, Captura_Pegaso!$A:$A, Captura_Obra!A177, Captura_Pegaso!$D:$D, Captura_Obra!B177, Captura_Pegaso!$E:$E, Captura_Obra!D177) + SUMIFS(Captura_Marimba_M01!$G:$G, Captura_Marimba_M01!$A:$A, Captura_Obra!A177, Captura_Marimba_M01!$C:$C, Captura_Obra!B177, Captura_Marimba_M01!$D:$D, Captura_Obra!D177))&gt;0), "", "❌ Falta en Pipa")</f>
        <v/>
      </c>
      <c r="E473" s="11214">
        <f>IF(OR(Captura_Obra!A177="", (SUMIFS(Captura_Pegaso!$H:$H, Captura_Pegaso!$A:$A, Captura_Obra!A177, Captura_Pegaso!$D:$D, Captura_Obra!B177, Captura_Pegaso!$E:$E, Captura_Obra!D177) + SUMIFS(Captura_Marimba_M01!$G:$G, Captura_Marimba_M01!$A:$A, Captura_Obra!A177, Captura_Marimba_M01!$C:$C, Captura_Obra!B177, Captura_Marimba_M01!$D:$D, Captura_Obra!D177))&gt;0), "", Captura_Obra!A177)</f>
        <v/>
      </c>
      <c r="F473" s="11215">
        <f>IF(OR(Captura_Obra!A177="", (SUMIFS(Captura_Pegaso!$H:$H, Captura_Pegaso!$A:$A, Captura_Obra!A177, Captura_Pegaso!$D:$D, Captura_Obra!B177, Captura_Pegaso!$E:$E, Captura_Obra!D177) + SUMIFS(Captura_Marimba_M01!$G:$G, Captura_Marimba_M01!$A:$A, Captura_Obra!A177, Captura_Marimba_M01!$C:$C, Captura_Obra!B177, Captura_Marimba_M01!$D:$D, Captura_Obra!D177))&gt;0), "", Captura_Obra!B177)</f>
        <v/>
      </c>
      <c r="G473" s="11216">
        <f>IF(OR(Captura_Obra!A177="", (SUMIFS(Captura_Pegaso!$H:$H, Captura_Pegaso!$A:$A, Captura_Obra!A177, Captura_Pegaso!$D:$D, Captura_Obra!B177, Captura_Pegaso!$E:$E, Captura_Obra!D177) + SUMIFS(Captura_Marimba_M01!$G:$G, Captura_Marimba_M01!$A:$A, Captura_Obra!A177, Captura_Marimba_M01!$C:$C, Captura_Obra!B177, Captura_Marimba_M01!$D:$D, Captura_Obra!D177))&gt;0), "", Captura_Obra!D177)</f>
        <v/>
      </c>
      <c r="H473" s="11217">
        <f>IF(OR(Captura_Obra!A177="", (SUMIFS(Captura_Pegaso!$H:$H, Captura_Pegaso!$A:$A, Captura_Obra!A177, Captura_Pegaso!$D:$D, Captura_Obra!B177, Captura_Pegaso!$E:$E, Captura_Obra!D177) + SUMIFS(Captura_Marimba_M01!$G:$G, Captura_Marimba_M01!$A:$A, Captura_Obra!A177, Captura_Marimba_M01!$C:$C, Captura_Obra!B177, Captura_Marimba_M01!$D:$D, Captura_Obra!D177))&gt;0), "", 0)</f>
        <v/>
      </c>
      <c r="I473" s="11218">
        <f>IF(OR(Captura_Obra!A177="", (SUMIFS(Captura_Pegaso!$H:$H, Captura_Pegaso!$A:$A, Captura_Obra!A177, Captura_Pegaso!$D:$D, Captura_Obra!B177, Captura_Pegaso!$E:$E, Captura_Obra!D177) + SUMIFS(Captura_Marimba_M01!$G:$G, Captura_Marimba_M01!$A:$A, Captura_Obra!A177, Captura_Marimba_M01!$C:$C, Captura_Obra!B177, Captura_Marimba_M01!$D:$D, Captura_Obra!D177))&gt;0), "", Captura_Obra!F177)</f>
        <v/>
      </c>
      <c r="J473" s="11219">
        <f>IF(OR(Captura_Obra!A177="", (SUMIFS(Captura_Pegaso!$H:$H, Captura_Pegaso!$A:$A, Captura_Obra!A177, Captura_Pegaso!$D:$D, Captura_Obra!B177, Captura_Pegaso!$E:$E, Captura_Obra!D177) + SUMIFS(Captura_Marimba_M01!$G:$G, Captura_Marimba_M01!$A:$A, Captura_Obra!A177, Captura_Marimba_M01!$C:$C, Captura_Obra!B177, Captura_Marimba_M01!$D:$D, Captura_Obra!D177))&gt;0), "", H473 - I473)</f>
        <v/>
      </c>
      <c r="K473" s="4282" t="n"/>
    </row>
    <row r="474">
      <c r="A474" s="11220">
        <f>IF(OR(Captura_Obra!A178="", (SUMIFS(Captura_Pegaso!$H:$H, Captura_Pegaso!$A:$A, Captura_Obra!A178, Captura_Pegaso!$D:$D, Captura_Obra!B178, Captura_Pegaso!$E:$E, Captura_Obra!D178) + SUMIFS(Captura_Marimba_M01!$G:$G, Captura_Marimba_M01!$A:$A, Captura_Obra!A178, Captura_Marimba_M01!$C:$C, Captura_Obra!B178, Captura_Marimba_M01!$D:$D, Captura_Obra!D178))&gt;0), "", "Huérfano Obra")</f>
        <v/>
      </c>
      <c r="B474" s="11221">
        <f>IF(OR(Captura_Obra!A178="", (SUMIFS(Captura_Pegaso!$H:$H, Captura_Pegaso!$A:$A, Captura_Obra!A178, Captura_Pegaso!$D:$D, Captura_Obra!B178, Captura_Pegaso!$E:$E, Captura_Obra!D178) + SUMIFS(Captura_Marimba_M01!$G:$G, Captura_Marimba_M01!$A:$A, Captura_Obra!A178, Captura_Marimba_M01!$C:$C, Captura_Obra!B178, Captura_Marimba_M01!$D:$D, Captura_Obra!D178))&gt;0), "", "No Reportado")</f>
        <v/>
      </c>
      <c r="C474" s="11222">
        <f>IF(OR(Captura_Obra!A178="", (SUMIFS(Captura_Pegaso!$H:$H, Captura_Pegaso!$A:$A, Captura_Obra!A178, Captura_Pegaso!$D:$D, Captura_Obra!B178, Captura_Pegaso!$E:$E, Captura_Obra!D178) + SUMIFS(Captura_Marimba_M01!$G:$G, Captura_Marimba_M01!$A:$A, Captura_Obra!A178, Captura_Marimba_M01!$C:$C, Captura_Obra!B178, Captura_Marimba_M01!$D:$D, Captura_Obra!D178))&gt;0), "", Captura_Obra!N178)</f>
        <v/>
      </c>
      <c r="D474" s="11223">
        <f>IF(OR(Captura_Obra!A178="", (SUMIFS(Captura_Pegaso!$H:$H, Captura_Pegaso!$A:$A, Captura_Obra!A178, Captura_Pegaso!$D:$D, Captura_Obra!B178, Captura_Pegaso!$E:$E, Captura_Obra!D178) + SUMIFS(Captura_Marimba_M01!$G:$G, Captura_Marimba_M01!$A:$A, Captura_Obra!A178, Captura_Marimba_M01!$C:$C, Captura_Obra!B178, Captura_Marimba_M01!$D:$D, Captura_Obra!D178))&gt;0), "", "❌ Falta en Pipa")</f>
        <v/>
      </c>
      <c r="E474" s="11224">
        <f>IF(OR(Captura_Obra!A178="", (SUMIFS(Captura_Pegaso!$H:$H, Captura_Pegaso!$A:$A, Captura_Obra!A178, Captura_Pegaso!$D:$D, Captura_Obra!B178, Captura_Pegaso!$E:$E, Captura_Obra!D178) + SUMIFS(Captura_Marimba_M01!$G:$G, Captura_Marimba_M01!$A:$A, Captura_Obra!A178, Captura_Marimba_M01!$C:$C, Captura_Obra!B178, Captura_Marimba_M01!$D:$D, Captura_Obra!D178))&gt;0), "", Captura_Obra!A178)</f>
        <v/>
      </c>
      <c r="F474" s="11225">
        <f>IF(OR(Captura_Obra!A178="", (SUMIFS(Captura_Pegaso!$H:$H, Captura_Pegaso!$A:$A, Captura_Obra!A178, Captura_Pegaso!$D:$D, Captura_Obra!B178, Captura_Pegaso!$E:$E, Captura_Obra!D178) + SUMIFS(Captura_Marimba_M01!$G:$G, Captura_Marimba_M01!$A:$A, Captura_Obra!A178, Captura_Marimba_M01!$C:$C, Captura_Obra!B178, Captura_Marimba_M01!$D:$D, Captura_Obra!D178))&gt;0), "", Captura_Obra!B178)</f>
        <v/>
      </c>
      <c r="G474" s="11226">
        <f>IF(OR(Captura_Obra!A178="", (SUMIFS(Captura_Pegaso!$H:$H, Captura_Pegaso!$A:$A, Captura_Obra!A178, Captura_Pegaso!$D:$D, Captura_Obra!B178, Captura_Pegaso!$E:$E, Captura_Obra!D178) + SUMIFS(Captura_Marimba_M01!$G:$G, Captura_Marimba_M01!$A:$A, Captura_Obra!A178, Captura_Marimba_M01!$C:$C, Captura_Obra!B178, Captura_Marimba_M01!$D:$D, Captura_Obra!D178))&gt;0), "", Captura_Obra!D178)</f>
        <v/>
      </c>
      <c r="H474" s="11227">
        <f>IF(OR(Captura_Obra!A178="", (SUMIFS(Captura_Pegaso!$H:$H, Captura_Pegaso!$A:$A, Captura_Obra!A178, Captura_Pegaso!$D:$D, Captura_Obra!B178, Captura_Pegaso!$E:$E, Captura_Obra!D178) + SUMIFS(Captura_Marimba_M01!$G:$G, Captura_Marimba_M01!$A:$A, Captura_Obra!A178, Captura_Marimba_M01!$C:$C, Captura_Obra!B178, Captura_Marimba_M01!$D:$D, Captura_Obra!D178))&gt;0), "", 0)</f>
        <v/>
      </c>
      <c r="I474" s="11228">
        <f>IF(OR(Captura_Obra!A178="", (SUMIFS(Captura_Pegaso!$H:$H, Captura_Pegaso!$A:$A, Captura_Obra!A178, Captura_Pegaso!$D:$D, Captura_Obra!B178, Captura_Pegaso!$E:$E, Captura_Obra!D178) + SUMIFS(Captura_Marimba_M01!$G:$G, Captura_Marimba_M01!$A:$A, Captura_Obra!A178, Captura_Marimba_M01!$C:$C, Captura_Obra!B178, Captura_Marimba_M01!$D:$D, Captura_Obra!D178))&gt;0), "", Captura_Obra!F178)</f>
        <v/>
      </c>
      <c r="J474" s="11229">
        <f>IF(OR(Captura_Obra!A178="", (SUMIFS(Captura_Pegaso!$H:$H, Captura_Pegaso!$A:$A, Captura_Obra!A178, Captura_Pegaso!$D:$D, Captura_Obra!B178, Captura_Pegaso!$E:$E, Captura_Obra!D178) + SUMIFS(Captura_Marimba_M01!$G:$G, Captura_Marimba_M01!$A:$A, Captura_Obra!A178, Captura_Marimba_M01!$C:$C, Captura_Obra!B178, Captura_Marimba_M01!$D:$D, Captura_Obra!D178))&gt;0), "", H474 - I474)</f>
        <v/>
      </c>
      <c r="K474" s="4283" t="n"/>
    </row>
    <row r="475">
      <c r="A475" s="11230">
        <f>IF(OR(Captura_Obra!A179="", (SUMIFS(Captura_Pegaso!$H:$H, Captura_Pegaso!$A:$A, Captura_Obra!A179, Captura_Pegaso!$D:$D, Captura_Obra!B179, Captura_Pegaso!$E:$E, Captura_Obra!D179) + SUMIFS(Captura_Marimba_M01!$G:$G, Captura_Marimba_M01!$A:$A, Captura_Obra!A179, Captura_Marimba_M01!$C:$C, Captura_Obra!B179, Captura_Marimba_M01!$D:$D, Captura_Obra!D179))&gt;0), "", "Huérfano Obra")</f>
        <v/>
      </c>
      <c r="B475" s="11231">
        <f>IF(OR(Captura_Obra!A179="", (SUMIFS(Captura_Pegaso!$H:$H, Captura_Pegaso!$A:$A, Captura_Obra!A179, Captura_Pegaso!$D:$D, Captura_Obra!B179, Captura_Pegaso!$E:$E, Captura_Obra!D179) + SUMIFS(Captura_Marimba_M01!$G:$G, Captura_Marimba_M01!$A:$A, Captura_Obra!A179, Captura_Marimba_M01!$C:$C, Captura_Obra!B179, Captura_Marimba_M01!$D:$D, Captura_Obra!D179))&gt;0), "", "No Reportado")</f>
        <v/>
      </c>
      <c r="C475" s="11232">
        <f>IF(OR(Captura_Obra!A179="", (SUMIFS(Captura_Pegaso!$H:$H, Captura_Pegaso!$A:$A, Captura_Obra!A179, Captura_Pegaso!$D:$D, Captura_Obra!B179, Captura_Pegaso!$E:$E, Captura_Obra!D179) + SUMIFS(Captura_Marimba_M01!$G:$G, Captura_Marimba_M01!$A:$A, Captura_Obra!A179, Captura_Marimba_M01!$C:$C, Captura_Obra!B179, Captura_Marimba_M01!$D:$D, Captura_Obra!D179))&gt;0), "", Captura_Obra!N179)</f>
        <v/>
      </c>
      <c r="D475" s="11233">
        <f>IF(OR(Captura_Obra!A179="", (SUMIFS(Captura_Pegaso!$H:$H, Captura_Pegaso!$A:$A, Captura_Obra!A179, Captura_Pegaso!$D:$D, Captura_Obra!B179, Captura_Pegaso!$E:$E, Captura_Obra!D179) + SUMIFS(Captura_Marimba_M01!$G:$G, Captura_Marimba_M01!$A:$A, Captura_Obra!A179, Captura_Marimba_M01!$C:$C, Captura_Obra!B179, Captura_Marimba_M01!$D:$D, Captura_Obra!D179))&gt;0), "", "❌ Falta en Pipa")</f>
        <v/>
      </c>
      <c r="E475" s="11234">
        <f>IF(OR(Captura_Obra!A179="", (SUMIFS(Captura_Pegaso!$H:$H, Captura_Pegaso!$A:$A, Captura_Obra!A179, Captura_Pegaso!$D:$D, Captura_Obra!B179, Captura_Pegaso!$E:$E, Captura_Obra!D179) + SUMIFS(Captura_Marimba_M01!$G:$G, Captura_Marimba_M01!$A:$A, Captura_Obra!A179, Captura_Marimba_M01!$C:$C, Captura_Obra!B179, Captura_Marimba_M01!$D:$D, Captura_Obra!D179))&gt;0), "", Captura_Obra!A179)</f>
        <v/>
      </c>
      <c r="F475" s="11235">
        <f>IF(OR(Captura_Obra!A179="", (SUMIFS(Captura_Pegaso!$H:$H, Captura_Pegaso!$A:$A, Captura_Obra!A179, Captura_Pegaso!$D:$D, Captura_Obra!B179, Captura_Pegaso!$E:$E, Captura_Obra!D179) + SUMIFS(Captura_Marimba_M01!$G:$G, Captura_Marimba_M01!$A:$A, Captura_Obra!A179, Captura_Marimba_M01!$C:$C, Captura_Obra!B179, Captura_Marimba_M01!$D:$D, Captura_Obra!D179))&gt;0), "", Captura_Obra!B179)</f>
        <v/>
      </c>
      <c r="G475" s="11236">
        <f>IF(OR(Captura_Obra!A179="", (SUMIFS(Captura_Pegaso!$H:$H, Captura_Pegaso!$A:$A, Captura_Obra!A179, Captura_Pegaso!$D:$D, Captura_Obra!B179, Captura_Pegaso!$E:$E, Captura_Obra!D179) + SUMIFS(Captura_Marimba_M01!$G:$G, Captura_Marimba_M01!$A:$A, Captura_Obra!A179, Captura_Marimba_M01!$C:$C, Captura_Obra!B179, Captura_Marimba_M01!$D:$D, Captura_Obra!D179))&gt;0), "", Captura_Obra!D179)</f>
        <v/>
      </c>
      <c r="H475" s="11237">
        <f>IF(OR(Captura_Obra!A179="", (SUMIFS(Captura_Pegaso!$H:$H, Captura_Pegaso!$A:$A, Captura_Obra!A179, Captura_Pegaso!$D:$D, Captura_Obra!B179, Captura_Pegaso!$E:$E, Captura_Obra!D179) + SUMIFS(Captura_Marimba_M01!$G:$G, Captura_Marimba_M01!$A:$A, Captura_Obra!A179, Captura_Marimba_M01!$C:$C, Captura_Obra!B179, Captura_Marimba_M01!$D:$D, Captura_Obra!D179))&gt;0), "", 0)</f>
        <v/>
      </c>
      <c r="I475" s="11238">
        <f>IF(OR(Captura_Obra!A179="", (SUMIFS(Captura_Pegaso!$H:$H, Captura_Pegaso!$A:$A, Captura_Obra!A179, Captura_Pegaso!$D:$D, Captura_Obra!B179, Captura_Pegaso!$E:$E, Captura_Obra!D179) + SUMIFS(Captura_Marimba_M01!$G:$G, Captura_Marimba_M01!$A:$A, Captura_Obra!A179, Captura_Marimba_M01!$C:$C, Captura_Obra!B179, Captura_Marimba_M01!$D:$D, Captura_Obra!D179))&gt;0), "", Captura_Obra!F179)</f>
        <v/>
      </c>
      <c r="J475" s="11239">
        <f>IF(OR(Captura_Obra!A179="", (SUMIFS(Captura_Pegaso!$H:$H, Captura_Pegaso!$A:$A, Captura_Obra!A179, Captura_Pegaso!$D:$D, Captura_Obra!B179, Captura_Pegaso!$E:$E, Captura_Obra!D179) + SUMIFS(Captura_Marimba_M01!$G:$G, Captura_Marimba_M01!$A:$A, Captura_Obra!A179, Captura_Marimba_M01!$C:$C, Captura_Obra!B179, Captura_Marimba_M01!$D:$D, Captura_Obra!D179))&gt;0), "", H475 - I475)</f>
        <v/>
      </c>
      <c r="K475" s="4284" t="n"/>
    </row>
    <row r="476">
      <c r="A476" s="11240">
        <f>IF(OR(Captura_Obra!A180="", (SUMIFS(Captura_Pegaso!$H:$H, Captura_Pegaso!$A:$A, Captura_Obra!A180, Captura_Pegaso!$D:$D, Captura_Obra!B180, Captura_Pegaso!$E:$E, Captura_Obra!D180) + SUMIFS(Captura_Marimba_M01!$G:$G, Captura_Marimba_M01!$A:$A, Captura_Obra!A180, Captura_Marimba_M01!$C:$C, Captura_Obra!B180, Captura_Marimba_M01!$D:$D, Captura_Obra!D180))&gt;0), "", "Huérfano Obra")</f>
        <v/>
      </c>
      <c r="B476" s="11241">
        <f>IF(OR(Captura_Obra!A180="", (SUMIFS(Captura_Pegaso!$H:$H, Captura_Pegaso!$A:$A, Captura_Obra!A180, Captura_Pegaso!$D:$D, Captura_Obra!B180, Captura_Pegaso!$E:$E, Captura_Obra!D180) + SUMIFS(Captura_Marimba_M01!$G:$G, Captura_Marimba_M01!$A:$A, Captura_Obra!A180, Captura_Marimba_M01!$C:$C, Captura_Obra!B180, Captura_Marimba_M01!$D:$D, Captura_Obra!D180))&gt;0), "", "No Reportado")</f>
        <v/>
      </c>
      <c r="C476" s="11242">
        <f>IF(OR(Captura_Obra!A180="", (SUMIFS(Captura_Pegaso!$H:$H, Captura_Pegaso!$A:$A, Captura_Obra!A180, Captura_Pegaso!$D:$D, Captura_Obra!B180, Captura_Pegaso!$E:$E, Captura_Obra!D180) + SUMIFS(Captura_Marimba_M01!$G:$G, Captura_Marimba_M01!$A:$A, Captura_Obra!A180, Captura_Marimba_M01!$C:$C, Captura_Obra!B180, Captura_Marimba_M01!$D:$D, Captura_Obra!D180))&gt;0), "", Captura_Obra!N180)</f>
        <v/>
      </c>
      <c r="D476" s="11243">
        <f>IF(OR(Captura_Obra!A180="", (SUMIFS(Captura_Pegaso!$H:$H, Captura_Pegaso!$A:$A, Captura_Obra!A180, Captura_Pegaso!$D:$D, Captura_Obra!B180, Captura_Pegaso!$E:$E, Captura_Obra!D180) + SUMIFS(Captura_Marimba_M01!$G:$G, Captura_Marimba_M01!$A:$A, Captura_Obra!A180, Captura_Marimba_M01!$C:$C, Captura_Obra!B180, Captura_Marimba_M01!$D:$D, Captura_Obra!D180))&gt;0), "", "❌ Falta en Pipa")</f>
        <v/>
      </c>
      <c r="E476" s="11244">
        <f>IF(OR(Captura_Obra!A180="", (SUMIFS(Captura_Pegaso!$H:$H, Captura_Pegaso!$A:$A, Captura_Obra!A180, Captura_Pegaso!$D:$D, Captura_Obra!B180, Captura_Pegaso!$E:$E, Captura_Obra!D180) + SUMIFS(Captura_Marimba_M01!$G:$G, Captura_Marimba_M01!$A:$A, Captura_Obra!A180, Captura_Marimba_M01!$C:$C, Captura_Obra!B180, Captura_Marimba_M01!$D:$D, Captura_Obra!D180))&gt;0), "", Captura_Obra!A180)</f>
        <v/>
      </c>
      <c r="F476" s="11245">
        <f>IF(OR(Captura_Obra!A180="", (SUMIFS(Captura_Pegaso!$H:$H, Captura_Pegaso!$A:$A, Captura_Obra!A180, Captura_Pegaso!$D:$D, Captura_Obra!B180, Captura_Pegaso!$E:$E, Captura_Obra!D180) + SUMIFS(Captura_Marimba_M01!$G:$G, Captura_Marimba_M01!$A:$A, Captura_Obra!A180, Captura_Marimba_M01!$C:$C, Captura_Obra!B180, Captura_Marimba_M01!$D:$D, Captura_Obra!D180))&gt;0), "", Captura_Obra!B180)</f>
        <v/>
      </c>
      <c r="G476" s="11246">
        <f>IF(OR(Captura_Obra!A180="", (SUMIFS(Captura_Pegaso!$H:$H, Captura_Pegaso!$A:$A, Captura_Obra!A180, Captura_Pegaso!$D:$D, Captura_Obra!B180, Captura_Pegaso!$E:$E, Captura_Obra!D180) + SUMIFS(Captura_Marimba_M01!$G:$G, Captura_Marimba_M01!$A:$A, Captura_Obra!A180, Captura_Marimba_M01!$C:$C, Captura_Obra!B180, Captura_Marimba_M01!$D:$D, Captura_Obra!D180))&gt;0), "", Captura_Obra!D180)</f>
        <v/>
      </c>
      <c r="H476" s="11247">
        <f>IF(OR(Captura_Obra!A180="", (SUMIFS(Captura_Pegaso!$H:$H, Captura_Pegaso!$A:$A, Captura_Obra!A180, Captura_Pegaso!$D:$D, Captura_Obra!B180, Captura_Pegaso!$E:$E, Captura_Obra!D180) + SUMIFS(Captura_Marimba_M01!$G:$G, Captura_Marimba_M01!$A:$A, Captura_Obra!A180, Captura_Marimba_M01!$C:$C, Captura_Obra!B180, Captura_Marimba_M01!$D:$D, Captura_Obra!D180))&gt;0), "", 0)</f>
        <v/>
      </c>
      <c r="I476" s="11248">
        <f>IF(OR(Captura_Obra!A180="", (SUMIFS(Captura_Pegaso!$H:$H, Captura_Pegaso!$A:$A, Captura_Obra!A180, Captura_Pegaso!$D:$D, Captura_Obra!B180, Captura_Pegaso!$E:$E, Captura_Obra!D180) + SUMIFS(Captura_Marimba_M01!$G:$G, Captura_Marimba_M01!$A:$A, Captura_Obra!A180, Captura_Marimba_M01!$C:$C, Captura_Obra!B180, Captura_Marimba_M01!$D:$D, Captura_Obra!D180))&gt;0), "", Captura_Obra!F180)</f>
        <v/>
      </c>
      <c r="J476" s="11249">
        <f>IF(OR(Captura_Obra!A180="", (SUMIFS(Captura_Pegaso!$H:$H, Captura_Pegaso!$A:$A, Captura_Obra!A180, Captura_Pegaso!$D:$D, Captura_Obra!B180, Captura_Pegaso!$E:$E, Captura_Obra!D180) + SUMIFS(Captura_Marimba_M01!$G:$G, Captura_Marimba_M01!$A:$A, Captura_Obra!A180, Captura_Marimba_M01!$C:$C, Captura_Obra!B180, Captura_Marimba_M01!$D:$D, Captura_Obra!D180))&gt;0), "", H476 - I476)</f>
        <v/>
      </c>
      <c r="K476" s="4285" t="n"/>
    </row>
    <row r="477">
      <c r="A477" s="11250">
        <f>IF(OR(Captura_Obra!A181="", (SUMIFS(Captura_Pegaso!$H:$H, Captura_Pegaso!$A:$A, Captura_Obra!A181, Captura_Pegaso!$D:$D, Captura_Obra!B181, Captura_Pegaso!$E:$E, Captura_Obra!D181) + SUMIFS(Captura_Marimba_M01!$G:$G, Captura_Marimba_M01!$A:$A, Captura_Obra!A181, Captura_Marimba_M01!$C:$C, Captura_Obra!B181, Captura_Marimba_M01!$D:$D, Captura_Obra!D181))&gt;0), "", "Huérfano Obra")</f>
        <v/>
      </c>
      <c r="B477" s="11251">
        <f>IF(OR(Captura_Obra!A181="", (SUMIFS(Captura_Pegaso!$H:$H, Captura_Pegaso!$A:$A, Captura_Obra!A181, Captura_Pegaso!$D:$D, Captura_Obra!B181, Captura_Pegaso!$E:$E, Captura_Obra!D181) + SUMIFS(Captura_Marimba_M01!$G:$G, Captura_Marimba_M01!$A:$A, Captura_Obra!A181, Captura_Marimba_M01!$C:$C, Captura_Obra!B181, Captura_Marimba_M01!$D:$D, Captura_Obra!D181))&gt;0), "", "No Reportado")</f>
        <v/>
      </c>
      <c r="C477" s="11252">
        <f>IF(OR(Captura_Obra!A181="", (SUMIFS(Captura_Pegaso!$H:$H, Captura_Pegaso!$A:$A, Captura_Obra!A181, Captura_Pegaso!$D:$D, Captura_Obra!B181, Captura_Pegaso!$E:$E, Captura_Obra!D181) + SUMIFS(Captura_Marimba_M01!$G:$G, Captura_Marimba_M01!$A:$A, Captura_Obra!A181, Captura_Marimba_M01!$C:$C, Captura_Obra!B181, Captura_Marimba_M01!$D:$D, Captura_Obra!D181))&gt;0), "", Captura_Obra!N181)</f>
        <v/>
      </c>
      <c r="D477" s="11253">
        <f>IF(OR(Captura_Obra!A181="", (SUMIFS(Captura_Pegaso!$H:$H, Captura_Pegaso!$A:$A, Captura_Obra!A181, Captura_Pegaso!$D:$D, Captura_Obra!B181, Captura_Pegaso!$E:$E, Captura_Obra!D181) + SUMIFS(Captura_Marimba_M01!$G:$G, Captura_Marimba_M01!$A:$A, Captura_Obra!A181, Captura_Marimba_M01!$C:$C, Captura_Obra!B181, Captura_Marimba_M01!$D:$D, Captura_Obra!D181))&gt;0), "", "❌ Falta en Pipa")</f>
        <v/>
      </c>
      <c r="E477" s="11254">
        <f>IF(OR(Captura_Obra!A181="", (SUMIFS(Captura_Pegaso!$H:$H, Captura_Pegaso!$A:$A, Captura_Obra!A181, Captura_Pegaso!$D:$D, Captura_Obra!B181, Captura_Pegaso!$E:$E, Captura_Obra!D181) + SUMIFS(Captura_Marimba_M01!$G:$G, Captura_Marimba_M01!$A:$A, Captura_Obra!A181, Captura_Marimba_M01!$C:$C, Captura_Obra!B181, Captura_Marimba_M01!$D:$D, Captura_Obra!D181))&gt;0), "", Captura_Obra!A181)</f>
        <v/>
      </c>
      <c r="F477" s="11255">
        <f>IF(OR(Captura_Obra!A181="", (SUMIFS(Captura_Pegaso!$H:$H, Captura_Pegaso!$A:$A, Captura_Obra!A181, Captura_Pegaso!$D:$D, Captura_Obra!B181, Captura_Pegaso!$E:$E, Captura_Obra!D181) + SUMIFS(Captura_Marimba_M01!$G:$G, Captura_Marimba_M01!$A:$A, Captura_Obra!A181, Captura_Marimba_M01!$C:$C, Captura_Obra!B181, Captura_Marimba_M01!$D:$D, Captura_Obra!D181))&gt;0), "", Captura_Obra!B181)</f>
        <v/>
      </c>
      <c r="G477" s="11256">
        <f>IF(OR(Captura_Obra!A181="", (SUMIFS(Captura_Pegaso!$H:$H, Captura_Pegaso!$A:$A, Captura_Obra!A181, Captura_Pegaso!$D:$D, Captura_Obra!B181, Captura_Pegaso!$E:$E, Captura_Obra!D181) + SUMIFS(Captura_Marimba_M01!$G:$G, Captura_Marimba_M01!$A:$A, Captura_Obra!A181, Captura_Marimba_M01!$C:$C, Captura_Obra!B181, Captura_Marimba_M01!$D:$D, Captura_Obra!D181))&gt;0), "", Captura_Obra!D181)</f>
        <v/>
      </c>
      <c r="H477" s="11257">
        <f>IF(OR(Captura_Obra!A181="", (SUMIFS(Captura_Pegaso!$H:$H, Captura_Pegaso!$A:$A, Captura_Obra!A181, Captura_Pegaso!$D:$D, Captura_Obra!B181, Captura_Pegaso!$E:$E, Captura_Obra!D181) + SUMIFS(Captura_Marimba_M01!$G:$G, Captura_Marimba_M01!$A:$A, Captura_Obra!A181, Captura_Marimba_M01!$C:$C, Captura_Obra!B181, Captura_Marimba_M01!$D:$D, Captura_Obra!D181))&gt;0), "", 0)</f>
        <v/>
      </c>
      <c r="I477" s="11258">
        <f>IF(OR(Captura_Obra!A181="", (SUMIFS(Captura_Pegaso!$H:$H, Captura_Pegaso!$A:$A, Captura_Obra!A181, Captura_Pegaso!$D:$D, Captura_Obra!B181, Captura_Pegaso!$E:$E, Captura_Obra!D181) + SUMIFS(Captura_Marimba_M01!$G:$G, Captura_Marimba_M01!$A:$A, Captura_Obra!A181, Captura_Marimba_M01!$C:$C, Captura_Obra!B181, Captura_Marimba_M01!$D:$D, Captura_Obra!D181))&gt;0), "", Captura_Obra!F181)</f>
        <v/>
      </c>
      <c r="J477" s="11259">
        <f>IF(OR(Captura_Obra!A181="", (SUMIFS(Captura_Pegaso!$H:$H, Captura_Pegaso!$A:$A, Captura_Obra!A181, Captura_Pegaso!$D:$D, Captura_Obra!B181, Captura_Pegaso!$E:$E, Captura_Obra!D181) + SUMIFS(Captura_Marimba_M01!$G:$G, Captura_Marimba_M01!$A:$A, Captura_Obra!A181, Captura_Marimba_M01!$C:$C, Captura_Obra!B181, Captura_Marimba_M01!$D:$D, Captura_Obra!D181))&gt;0), "", H477 - I477)</f>
        <v/>
      </c>
      <c r="K477" s="4286" t="n"/>
    </row>
    <row r="478">
      <c r="A478" s="11260">
        <f>IF(OR(Captura_Obra!A182="", (SUMIFS(Captura_Pegaso!$H:$H, Captura_Pegaso!$A:$A, Captura_Obra!A182, Captura_Pegaso!$D:$D, Captura_Obra!B182, Captura_Pegaso!$E:$E, Captura_Obra!D182) + SUMIFS(Captura_Marimba_M01!$G:$G, Captura_Marimba_M01!$A:$A, Captura_Obra!A182, Captura_Marimba_M01!$C:$C, Captura_Obra!B182, Captura_Marimba_M01!$D:$D, Captura_Obra!D182))&gt;0), "", "Huérfano Obra")</f>
        <v/>
      </c>
      <c r="B478" s="11261">
        <f>IF(OR(Captura_Obra!A182="", (SUMIFS(Captura_Pegaso!$H:$H, Captura_Pegaso!$A:$A, Captura_Obra!A182, Captura_Pegaso!$D:$D, Captura_Obra!B182, Captura_Pegaso!$E:$E, Captura_Obra!D182) + SUMIFS(Captura_Marimba_M01!$G:$G, Captura_Marimba_M01!$A:$A, Captura_Obra!A182, Captura_Marimba_M01!$C:$C, Captura_Obra!B182, Captura_Marimba_M01!$D:$D, Captura_Obra!D182))&gt;0), "", "No Reportado")</f>
        <v/>
      </c>
      <c r="C478" s="11262">
        <f>IF(OR(Captura_Obra!A182="", (SUMIFS(Captura_Pegaso!$H:$H, Captura_Pegaso!$A:$A, Captura_Obra!A182, Captura_Pegaso!$D:$D, Captura_Obra!B182, Captura_Pegaso!$E:$E, Captura_Obra!D182) + SUMIFS(Captura_Marimba_M01!$G:$G, Captura_Marimba_M01!$A:$A, Captura_Obra!A182, Captura_Marimba_M01!$C:$C, Captura_Obra!B182, Captura_Marimba_M01!$D:$D, Captura_Obra!D182))&gt;0), "", Captura_Obra!N182)</f>
        <v/>
      </c>
      <c r="D478" s="11263">
        <f>IF(OR(Captura_Obra!A182="", (SUMIFS(Captura_Pegaso!$H:$H, Captura_Pegaso!$A:$A, Captura_Obra!A182, Captura_Pegaso!$D:$D, Captura_Obra!B182, Captura_Pegaso!$E:$E, Captura_Obra!D182) + SUMIFS(Captura_Marimba_M01!$G:$G, Captura_Marimba_M01!$A:$A, Captura_Obra!A182, Captura_Marimba_M01!$C:$C, Captura_Obra!B182, Captura_Marimba_M01!$D:$D, Captura_Obra!D182))&gt;0), "", "❌ Falta en Pipa")</f>
        <v/>
      </c>
      <c r="E478" s="11264">
        <f>IF(OR(Captura_Obra!A182="", (SUMIFS(Captura_Pegaso!$H:$H, Captura_Pegaso!$A:$A, Captura_Obra!A182, Captura_Pegaso!$D:$D, Captura_Obra!B182, Captura_Pegaso!$E:$E, Captura_Obra!D182) + SUMIFS(Captura_Marimba_M01!$G:$G, Captura_Marimba_M01!$A:$A, Captura_Obra!A182, Captura_Marimba_M01!$C:$C, Captura_Obra!B182, Captura_Marimba_M01!$D:$D, Captura_Obra!D182))&gt;0), "", Captura_Obra!A182)</f>
        <v/>
      </c>
      <c r="F478" s="11265">
        <f>IF(OR(Captura_Obra!A182="", (SUMIFS(Captura_Pegaso!$H:$H, Captura_Pegaso!$A:$A, Captura_Obra!A182, Captura_Pegaso!$D:$D, Captura_Obra!B182, Captura_Pegaso!$E:$E, Captura_Obra!D182) + SUMIFS(Captura_Marimba_M01!$G:$G, Captura_Marimba_M01!$A:$A, Captura_Obra!A182, Captura_Marimba_M01!$C:$C, Captura_Obra!B182, Captura_Marimba_M01!$D:$D, Captura_Obra!D182))&gt;0), "", Captura_Obra!B182)</f>
        <v/>
      </c>
      <c r="G478" s="11266">
        <f>IF(OR(Captura_Obra!A182="", (SUMIFS(Captura_Pegaso!$H:$H, Captura_Pegaso!$A:$A, Captura_Obra!A182, Captura_Pegaso!$D:$D, Captura_Obra!B182, Captura_Pegaso!$E:$E, Captura_Obra!D182) + SUMIFS(Captura_Marimba_M01!$G:$G, Captura_Marimba_M01!$A:$A, Captura_Obra!A182, Captura_Marimba_M01!$C:$C, Captura_Obra!B182, Captura_Marimba_M01!$D:$D, Captura_Obra!D182))&gt;0), "", Captura_Obra!D182)</f>
        <v/>
      </c>
      <c r="H478" s="11267">
        <f>IF(OR(Captura_Obra!A182="", (SUMIFS(Captura_Pegaso!$H:$H, Captura_Pegaso!$A:$A, Captura_Obra!A182, Captura_Pegaso!$D:$D, Captura_Obra!B182, Captura_Pegaso!$E:$E, Captura_Obra!D182) + SUMIFS(Captura_Marimba_M01!$G:$G, Captura_Marimba_M01!$A:$A, Captura_Obra!A182, Captura_Marimba_M01!$C:$C, Captura_Obra!B182, Captura_Marimba_M01!$D:$D, Captura_Obra!D182))&gt;0), "", 0)</f>
        <v/>
      </c>
      <c r="I478" s="11268">
        <f>IF(OR(Captura_Obra!A182="", (SUMIFS(Captura_Pegaso!$H:$H, Captura_Pegaso!$A:$A, Captura_Obra!A182, Captura_Pegaso!$D:$D, Captura_Obra!B182, Captura_Pegaso!$E:$E, Captura_Obra!D182) + SUMIFS(Captura_Marimba_M01!$G:$G, Captura_Marimba_M01!$A:$A, Captura_Obra!A182, Captura_Marimba_M01!$C:$C, Captura_Obra!B182, Captura_Marimba_M01!$D:$D, Captura_Obra!D182))&gt;0), "", Captura_Obra!F182)</f>
        <v/>
      </c>
      <c r="J478" s="11269">
        <f>IF(OR(Captura_Obra!A182="", (SUMIFS(Captura_Pegaso!$H:$H, Captura_Pegaso!$A:$A, Captura_Obra!A182, Captura_Pegaso!$D:$D, Captura_Obra!B182, Captura_Pegaso!$E:$E, Captura_Obra!D182) + SUMIFS(Captura_Marimba_M01!$G:$G, Captura_Marimba_M01!$A:$A, Captura_Obra!A182, Captura_Marimba_M01!$C:$C, Captura_Obra!B182, Captura_Marimba_M01!$D:$D, Captura_Obra!D182))&gt;0), "", H478 - I478)</f>
        <v/>
      </c>
      <c r="K478" s="4287" t="n"/>
    </row>
    <row r="479">
      <c r="A479" s="11270">
        <f>IF(OR(Captura_Obra!A183="", (SUMIFS(Captura_Pegaso!$H:$H, Captura_Pegaso!$A:$A, Captura_Obra!A183, Captura_Pegaso!$D:$D, Captura_Obra!B183, Captura_Pegaso!$E:$E, Captura_Obra!D183) + SUMIFS(Captura_Marimba_M01!$G:$G, Captura_Marimba_M01!$A:$A, Captura_Obra!A183, Captura_Marimba_M01!$C:$C, Captura_Obra!B183, Captura_Marimba_M01!$D:$D, Captura_Obra!D183))&gt;0), "", "Huérfano Obra")</f>
        <v/>
      </c>
      <c r="B479" s="11271">
        <f>IF(OR(Captura_Obra!A183="", (SUMIFS(Captura_Pegaso!$H:$H, Captura_Pegaso!$A:$A, Captura_Obra!A183, Captura_Pegaso!$D:$D, Captura_Obra!B183, Captura_Pegaso!$E:$E, Captura_Obra!D183) + SUMIFS(Captura_Marimba_M01!$G:$G, Captura_Marimba_M01!$A:$A, Captura_Obra!A183, Captura_Marimba_M01!$C:$C, Captura_Obra!B183, Captura_Marimba_M01!$D:$D, Captura_Obra!D183))&gt;0), "", "No Reportado")</f>
        <v/>
      </c>
      <c r="C479" s="11272">
        <f>IF(OR(Captura_Obra!A183="", (SUMIFS(Captura_Pegaso!$H:$H, Captura_Pegaso!$A:$A, Captura_Obra!A183, Captura_Pegaso!$D:$D, Captura_Obra!B183, Captura_Pegaso!$E:$E, Captura_Obra!D183) + SUMIFS(Captura_Marimba_M01!$G:$G, Captura_Marimba_M01!$A:$A, Captura_Obra!A183, Captura_Marimba_M01!$C:$C, Captura_Obra!B183, Captura_Marimba_M01!$D:$D, Captura_Obra!D183))&gt;0), "", Captura_Obra!N183)</f>
        <v/>
      </c>
      <c r="D479" s="11273">
        <f>IF(OR(Captura_Obra!A183="", (SUMIFS(Captura_Pegaso!$H:$H, Captura_Pegaso!$A:$A, Captura_Obra!A183, Captura_Pegaso!$D:$D, Captura_Obra!B183, Captura_Pegaso!$E:$E, Captura_Obra!D183) + SUMIFS(Captura_Marimba_M01!$G:$G, Captura_Marimba_M01!$A:$A, Captura_Obra!A183, Captura_Marimba_M01!$C:$C, Captura_Obra!B183, Captura_Marimba_M01!$D:$D, Captura_Obra!D183))&gt;0), "", "❌ Falta en Pipa")</f>
        <v/>
      </c>
      <c r="E479" s="11274">
        <f>IF(OR(Captura_Obra!A183="", (SUMIFS(Captura_Pegaso!$H:$H, Captura_Pegaso!$A:$A, Captura_Obra!A183, Captura_Pegaso!$D:$D, Captura_Obra!B183, Captura_Pegaso!$E:$E, Captura_Obra!D183) + SUMIFS(Captura_Marimba_M01!$G:$G, Captura_Marimba_M01!$A:$A, Captura_Obra!A183, Captura_Marimba_M01!$C:$C, Captura_Obra!B183, Captura_Marimba_M01!$D:$D, Captura_Obra!D183))&gt;0), "", Captura_Obra!A183)</f>
        <v/>
      </c>
      <c r="F479" s="11275">
        <f>IF(OR(Captura_Obra!A183="", (SUMIFS(Captura_Pegaso!$H:$H, Captura_Pegaso!$A:$A, Captura_Obra!A183, Captura_Pegaso!$D:$D, Captura_Obra!B183, Captura_Pegaso!$E:$E, Captura_Obra!D183) + SUMIFS(Captura_Marimba_M01!$G:$G, Captura_Marimba_M01!$A:$A, Captura_Obra!A183, Captura_Marimba_M01!$C:$C, Captura_Obra!B183, Captura_Marimba_M01!$D:$D, Captura_Obra!D183))&gt;0), "", Captura_Obra!B183)</f>
        <v/>
      </c>
      <c r="G479" s="11276">
        <f>IF(OR(Captura_Obra!A183="", (SUMIFS(Captura_Pegaso!$H:$H, Captura_Pegaso!$A:$A, Captura_Obra!A183, Captura_Pegaso!$D:$D, Captura_Obra!B183, Captura_Pegaso!$E:$E, Captura_Obra!D183) + SUMIFS(Captura_Marimba_M01!$G:$G, Captura_Marimba_M01!$A:$A, Captura_Obra!A183, Captura_Marimba_M01!$C:$C, Captura_Obra!B183, Captura_Marimba_M01!$D:$D, Captura_Obra!D183))&gt;0), "", Captura_Obra!D183)</f>
        <v/>
      </c>
      <c r="H479" s="11277">
        <f>IF(OR(Captura_Obra!A183="", (SUMIFS(Captura_Pegaso!$H:$H, Captura_Pegaso!$A:$A, Captura_Obra!A183, Captura_Pegaso!$D:$D, Captura_Obra!B183, Captura_Pegaso!$E:$E, Captura_Obra!D183) + SUMIFS(Captura_Marimba_M01!$G:$G, Captura_Marimba_M01!$A:$A, Captura_Obra!A183, Captura_Marimba_M01!$C:$C, Captura_Obra!B183, Captura_Marimba_M01!$D:$D, Captura_Obra!D183))&gt;0), "", 0)</f>
        <v/>
      </c>
      <c r="I479" s="11278">
        <f>IF(OR(Captura_Obra!A183="", (SUMIFS(Captura_Pegaso!$H:$H, Captura_Pegaso!$A:$A, Captura_Obra!A183, Captura_Pegaso!$D:$D, Captura_Obra!B183, Captura_Pegaso!$E:$E, Captura_Obra!D183) + SUMIFS(Captura_Marimba_M01!$G:$G, Captura_Marimba_M01!$A:$A, Captura_Obra!A183, Captura_Marimba_M01!$C:$C, Captura_Obra!B183, Captura_Marimba_M01!$D:$D, Captura_Obra!D183))&gt;0), "", Captura_Obra!F183)</f>
        <v/>
      </c>
      <c r="J479" s="11279">
        <f>IF(OR(Captura_Obra!A183="", (SUMIFS(Captura_Pegaso!$H:$H, Captura_Pegaso!$A:$A, Captura_Obra!A183, Captura_Pegaso!$D:$D, Captura_Obra!B183, Captura_Pegaso!$E:$E, Captura_Obra!D183) + SUMIFS(Captura_Marimba_M01!$G:$G, Captura_Marimba_M01!$A:$A, Captura_Obra!A183, Captura_Marimba_M01!$C:$C, Captura_Obra!B183, Captura_Marimba_M01!$D:$D, Captura_Obra!D183))&gt;0), "", H479 - I479)</f>
        <v/>
      </c>
      <c r="K479" s="4288" t="n"/>
    </row>
    <row r="480">
      <c r="A480" s="11280">
        <f>IF(OR(Captura_Obra!A184="", (SUMIFS(Captura_Pegaso!$H:$H, Captura_Pegaso!$A:$A, Captura_Obra!A184, Captura_Pegaso!$D:$D, Captura_Obra!B184, Captura_Pegaso!$E:$E, Captura_Obra!D184) + SUMIFS(Captura_Marimba_M01!$G:$G, Captura_Marimba_M01!$A:$A, Captura_Obra!A184, Captura_Marimba_M01!$C:$C, Captura_Obra!B184, Captura_Marimba_M01!$D:$D, Captura_Obra!D184))&gt;0), "", "Huérfano Obra")</f>
        <v/>
      </c>
      <c r="B480" s="11281">
        <f>IF(OR(Captura_Obra!A184="", (SUMIFS(Captura_Pegaso!$H:$H, Captura_Pegaso!$A:$A, Captura_Obra!A184, Captura_Pegaso!$D:$D, Captura_Obra!B184, Captura_Pegaso!$E:$E, Captura_Obra!D184) + SUMIFS(Captura_Marimba_M01!$G:$G, Captura_Marimba_M01!$A:$A, Captura_Obra!A184, Captura_Marimba_M01!$C:$C, Captura_Obra!B184, Captura_Marimba_M01!$D:$D, Captura_Obra!D184))&gt;0), "", "No Reportado")</f>
        <v/>
      </c>
      <c r="C480" s="11282">
        <f>IF(OR(Captura_Obra!A184="", (SUMIFS(Captura_Pegaso!$H:$H, Captura_Pegaso!$A:$A, Captura_Obra!A184, Captura_Pegaso!$D:$D, Captura_Obra!B184, Captura_Pegaso!$E:$E, Captura_Obra!D184) + SUMIFS(Captura_Marimba_M01!$G:$G, Captura_Marimba_M01!$A:$A, Captura_Obra!A184, Captura_Marimba_M01!$C:$C, Captura_Obra!B184, Captura_Marimba_M01!$D:$D, Captura_Obra!D184))&gt;0), "", Captura_Obra!N184)</f>
        <v/>
      </c>
      <c r="D480" s="11283">
        <f>IF(OR(Captura_Obra!A184="", (SUMIFS(Captura_Pegaso!$H:$H, Captura_Pegaso!$A:$A, Captura_Obra!A184, Captura_Pegaso!$D:$D, Captura_Obra!B184, Captura_Pegaso!$E:$E, Captura_Obra!D184) + SUMIFS(Captura_Marimba_M01!$G:$G, Captura_Marimba_M01!$A:$A, Captura_Obra!A184, Captura_Marimba_M01!$C:$C, Captura_Obra!B184, Captura_Marimba_M01!$D:$D, Captura_Obra!D184))&gt;0), "", "❌ Falta en Pipa")</f>
        <v/>
      </c>
      <c r="E480" s="11284">
        <f>IF(OR(Captura_Obra!A184="", (SUMIFS(Captura_Pegaso!$H:$H, Captura_Pegaso!$A:$A, Captura_Obra!A184, Captura_Pegaso!$D:$D, Captura_Obra!B184, Captura_Pegaso!$E:$E, Captura_Obra!D184) + SUMIFS(Captura_Marimba_M01!$G:$G, Captura_Marimba_M01!$A:$A, Captura_Obra!A184, Captura_Marimba_M01!$C:$C, Captura_Obra!B184, Captura_Marimba_M01!$D:$D, Captura_Obra!D184))&gt;0), "", Captura_Obra!A184)</f>
        <v/>
      </c>
      <c r="F480" s="11285">
        <f>IF(OR(Captura_Obra!A184="", (SUMIFS(Captura_Pegaso!$H:$H, Captura_Pegaso!$A:$A, Captura_Obra!A184, Captura_Pegaso!$D:$D, Captura_Obra!B184, Captura_Pegaso!$E:$E, Captura_Obra!D184) + SUMIFS(Captura_Marimba_M01!$G:$G, Captura_Marimba_M01!$A:$A, Captura_Obra!A184, Captura_Marimba_M01!$C:$C, Captura_Obra!B184, Captura_Marimba_M01!$D:$D, Captura_Obra!D184))&gt;0), "", Captura_Obra!B184)</f>
        <v/>
      </c>
      <c r="G480" s="11286">
        <f>IF(OR(Captura_Obra!A184="", (SUMIFS(Captura_Pegaso!$H:$H, Captura_Pegaso!$A:$A, Captura_Obra!A184, Captura_Pegaso!$D:$D, Captura_Obra!B184, Captura_Pegaso!$E:$E, Captura_Obra!D184) + SUMIFS(Captura_Marimba_M01!$G:$G, Captura_Marimba_M01!$A:$A, Captura_Obra!A184, Captura_Marimba_M01!$C:$C, Captura_Obra!B184, Captura_Marimba_M01!$D:$D, Captura_Obra!D184))&gt;0), "", Captura_Obra!D184)</f>
        <v/>
      </c>
      <c r="H480" s="11287">
        <f>IF(OR(Captura_Obra!A184="", (SUMIFS(Captura_Pegaso!$H:$H, Captura_Pegaso!$A:$A, Captura_Obra!A184, Captura_Pegaso!$D:$D, Captura_Obra!B184, Captura_Pegaso!$E:$E, Captura_Obra!D184) + SUMIFS(Captura_Marimba_M01!$G:$G, Captura_Marimba_M01!$A:$A, Captura_Obra!A184, Captura_Marimba_M01!$C:$C, Captura_Obra!B184, Captura_Marimba_M01!$D:$D, Captura_Obra!D184))&gt;0), "", 0)</f>
        <v/>
      </c>
      <c r="I480" s="11288">
        <f>IF(OR(Captura_Obra!A184="", (SUMIFS(Captura_Pegaso!$H:$H, Captura_Pegaso!$A:$A, Captura_Obra!A184, Captura_Pegaso!$D:$D, Captura_Obra!B184, Captura_Pegaso!$E:$E, Captura_Obra!D184) + SUMIFS(Captura_Marimba_M01!$G:$G, Captura_Marimba_M01!$A:$A, Captura_Obra!A184, Captura_Marimba_M01!$C:$C, Captura_Obra!B184, Captura_Marimba_M01!$D:$D, Captura_Obra!D184))&gt;0), "", Captura_Obra!F184)</f>
        <v/>
      </c>
      <c r="J480" s="11289">
        <f>IF(OR(Captura_Obra!A184="", (SUMIFS(Captura_Pegaso!$H:$H, Captura_Pegaso!$A:$A, Captura_Obra!A184, Captura_Pegaso!$D:$D, Captura_Obra!B184, Captura_Pegaso!$E:$E, Captura_Obra!D184) + SUMIFS(Captura_Marimba_M01!$G:$G, Captura_Marimba_M01!$A:$A, Captura_Obra!A184, Captura_Marimba_M01!$C:$C, Captura_Obra!B184, Captura_Marimba_M01!$D:$D, Captura_Obra!D184))&gt;0), "", H480 - I480)</f>
        <v/>
      </c>
      <c r="K480" s="4289" t="n"/>
    </row>
    <row r="481">
      <c r="A481" s="11290">
        <f>IF(OR(Captura_Obra!A185="", (SUMIFS(Captura_Pegaso!$H:$H, Captura_Pegaso!$A:$A, Captura_Obra!A185, Captura_Pegaso!$D:$D, Captura_Obra!B185, Captura_Pegaso!$E:$E, Captura_Obra!D185) + SUMIFS(Captura_Marimba_M01!$G:$G, Captura_Marimba_M01!$A:$A, Captura_Obra!A185, Captura_Marimba_M01!$C:$C, Captura_Obra!B185, Captura_Marimba_M01!$D:$D, Captura_Obra!D185))&gt;0), "", "Huérfano Obra")</f>
        <v/>
      </c>
      <c r="B481" s="11291">
        <f>IF(OR(Captura_Obra!A185="", (SUMIFS(Captura_Pegaso!$H:$H, Captura_Pegaso!$A:$A, Captura_Obra!A185, Captura_Pegaso!$D:$D, Captura_Obra!B185, Captura_Pegaso!$E:$E, Captura_Obra!D185) + SUMIFS(Captura_Marimba_M01!$G:$G, Captura_Marimba_M01!$A:$A, Captura_Obra!A185, Captura_Marimba_M01!$C:$C, Captura_Obra!B185, Captura_Marimba_M01!$D:$D, Captura_Obra!D185))&gt;0), "", "No Reportado")</f>
        <v/>
      </c>
      <c r="C481" s="11292">
        <f>IF(OR(Captura_Obra!A185="", (SUMIFS(Captura_Pegaso!$H:$H, Captura_Pegaso!$A:$A, Captura_Obra!A185, Captura_Pegaso!$D:$D, Captura_Obra!B185, Captura_Pegaso!$E:$E, Captura_Obra!D185) + SUMIFS(Captura_Marimba_M01!$G:$G, Captura_Marimba_M01!$A:$A, Captura_Obra!A185, Captura_Marimba_M01!$C:$C, Captura_Obra!B185, Captura_Marimba_M01!$D:$D, Captura_Obra!D185))&gt;0), "", Captura_Obra!N185)</f>
        <v/>
      </c>
      <c r="D481" s="11293">
        <f>IF(OR(Captura_Obra!A185="", (SUMIFS(Captura_Pegaso!$H:$H, Captura_Pegaso!$A:$A, Captura_Obra!A185, Captura_Pegaso!$D:$D, Captura_Obra!B185, Captura_Pegaso!$E:$E, Captura_Obra!D185) + SUMIFS(Captura_Marimba_M01!$G:$G, Captura_Marimba_M01!$A:$A, Captura_Obra!A185, Captura_Marimba_M01!$C:$C, Captura_Obra!B185, Captura_Marimba_M01!$D:$D, Captura_Obra!D185))&gt;0), "", "❌ Falta en Pipa")</f>
        <v/>
      </c>
      <c r="E481" s="11294">
        <f>IF(OR(Captura_Obra!A185="", (SUMIFS(Captura_Pegaso!$H:$H, Captura_Pegaso!$A:$A, Captura_Obra!A185, Captura_Pegaso!$D:$D, Captura_Obra!B185, Captura_Pegaso!$E:$E, Captura_Obra!D185) + SUMIFS(Captura_Marimba_M01!$G:$G, Captura_Marimba_M01!$A:$A, Captura_Obra!A185, Captura_Marimba_M01!$C:$C, Captura_Obra!B185, Captura_Marimba_M01!$D:$D, Captura_Obra!D185))&gt;0), "", Captura_Obra!A185)</f>
        <v/>
      </c>
      <c r="F481" s="11295">
        <f>IF(OR(Captura_Obra!A185="", (SUMIFS(Captura_Pegaso!$H:$H, Captura_Pegaso!$A:$A, Captura_Obra!A185, Captura_Pegaso!$D:$D, Captura_Obra!B185, Captura_Pegaso!$E:$E, Captura_Obra!D185) + SUMIFS(Captura_Marimba_M01!$G:$G, Captura_Marimba_M01!$A:$A, Captura_Obra!A185, Captura_Marimba_M01!$C:$C, Captura_Obra!B185, Captura_Marimba_M01!$D:$D, Captura_Obra!D185))&gt;0), "", Captura_Obra!B185)</f>
        <v/>
      </c>
      <c r="G481" s="11296">
        <f>IF(OR(Captura_Obra!A185="", (SUMIFS(Captura_Pegaso!$H:$H, Captura_Pegaso!$A:$A, Captura_Obra!A185, Captura_Pegaso!$D:$D, Captura_Obra!B185, Captura_Pegaso!$E:$E, Captura_Obra!D185) + SUMIFS(Captura_Marimba_M01!$G:$G, Captura_Marimba_M01!$A:$A, Captura_Obra!A185, Captura_Marimba_M01!$C:$C, Captura_Obra!B185, Captura_Marimba_M01!$D:$D, Captura_Obra!D185))&gt;0), "", Captura_Obra!D185)</f>
        <v/>
      </c>
      <c r="H481" s="11297">
        <f>IF(OR(Captura_Obra!A185="", (SUMIFS(Captura_Pegaso!$H:$H, Captura_Pegaso!$A:$A, Captura_Obra!A185, Captura_Pegaso!$D:$D, Captura_Obra!B185, Captura_Pegaso!$E:$E, Captura_Obra!D185) + SUMIFS(Captura_Marimba_M01!$G:$G, Captura_Marimba_M01!$A:$A, Captura_Obra!A185, Captura_Marimba_M01!$C:$C, Captura_Obra!B185, Captura_Marimba_M01!$D:$D, Captura_Obra!D185))&gt;0), "", 0)</f>
        <v/>
      </c>
      <c r="I481" s="11298">
        <f>IF(OR(Captura_Obra!A185="", (SUMIFS(Captura_Pegaso!$H:$H, Captura_Pegaso!$A:$A, Captura_Obra!A185, Captura_Pegaso!$D:$D, Captura_Obra!B185, Captura_Pegaso!$E:$E, Captura_Obra!D185) + SUMIFS(Captura_Marimba_M01!$G:$G, Captura_Marimba_M01!$A:$A, Captura_Obra!A185, Captura_Marimba_M01!$C:$C, Captura_Obra!B185, Captura_Marimba_M01!$D:$D, Captura_Obra!D185))&gt;0), "", Captura_Obra!F185)</f>
        <v/>
      </c>
      <c r="J481" s="11299">
        <f>IF(OR(Captura_Obra!A185="", (SUMIFS(Captura_Pegaso!$H:$H, Captura_Pegaso!$A:$A, Captura_Obra!A185, Captura_Pegaso!$D:$D, Captura_Obra!B185, Captura_Pegaso!$E:$E, Captura_Obra!D185) + SUMIFS(Captura_Marimba_M01!$G:$G, Captura_Marimba_M01!$A:$A, Captura_Obra!A185, Captura_Marimba_M01!$C:$C, Captura_Obra!B185, Captura_Marimba_M01!$D:$D, Captura_Obra!D185))&gt;0), "", H481 - I481)</f>
        <v/>
      </c>
      <c r="K481" s="4290" t="n"/>
    </row>
    <row r="482">
      <c r="A482" s="11300">
        <f>IF(OR(Captura_Obra!A186="", (SUMIFS(Captura_Pegaso!$H:$H, Captura_Pegaso!$A:$A, Captura_Obra!A186, Captura_Pegaso!$D:$D, Captura_Obra!B186, Captura_Pegaso!$E:$E, Captura_Obra!D186) + SUMIFS(Captura_Marimba_M01!$G:$G, Captura_Marimba_M01!$A:$A, Captura_Obra!A186, Captura_Marimba_M01!$C:$C, Captura_Obra!B186, Captura_Marimba_M01!$D:$D, Captura_Obra!D186))&gt;0), "", "Huérfano Obra")</f>
        <v/>
      </c>
      <c r="B482" s="11301">
        <f>IF(OR(Captura_Obra!A186="", (SUMIFS(Captura_Pegaso!$H:$H, Captura_Pegaso!$A:$A, Captura_Obra!A186, Captura_Pegaso!$D:$D, Captura_Obra!B186, Captura_Pegaso!$E:$E, Captura_Obra!D186) + SUMIFS(Captura_Marimba_M01!$G:$G, Captura_Marimba_M01!$A:$A, Captura_Obra!A186, Captura_Marimba_M01!$C:$C, Captura_Obra!B186, Captura_Marimba_M01!$D:$D, Captura_Obra!D186))&gt;0), "", "No Reportado")</f>
        <v/>
      </c>
      <c r="C482" s="11302">
        <f>IF(OR(Captura_Obra!A186="", (SUMIFS(Captura_Pegaso!$H:$H, Captura_Pegaso!$A:$A, Captura_Obra!A186, Captura_Pegaso!$D:$D, Captura_Obra!B186, Captura_Pegaso!$E:$E, Captura_Obra!D186) + SUMIFS(Captura_Marimba_M01!$G:$G, Captura_Marimba_M01!$A:$A, Captura_Obra!A186, Captura_Marimba_M01!$C:$C, Captura_Obra!B186, Captura_Marimba_M01!$D:$D, Captura_Obra!D186))&gt;0), "", Captura_Obra!N186)</f>
        <v/>
      </c>
      <c r="D482" s="11303">
        <f>IF(OR(Captura_Obra!A186="", (SUMIFS(Captura_Pegaso!$H:$H, Captura_Pegaso!$A:$A, Captura_Obra!A186, Captura_Pegaso!$D:$D, Captura_Obra!B186, Captura_Pegaso!$E:$E, Captura_Obra!D186) + SUMIFS(Captura_Marimba_M01!$G:$G, Captura_Marimba_M01!$A:$A, Captura_Obra!A186, Captura_Marimba_M01!$C:$C, Captura_Obra!B186, Captura_Marimba_M01!$D:$D, Captura_Obra!D186))&gt;0), "", "❌ Falta en Pipa")</f>
        <v/>
      </c>
      <c r="E482" s="11304">
        <f>IF(OR(Captura_Obra!A186="", (SUMIFS(Captura_Pegaso!$H:$H, Captura_Pegaso!$A:$A, Captura_Obra!A186, Captura_Pegaso!$D:$D, Captura_Obra!B186, Captura_Pegaso!$E:$E, Captura_Obra!D186) + SUMIFS(Captura_Marimba_M01!$G:$G, Captura_Marimba_M01!$A:$A, Captura_Obra!A186, Captura_Marimba_M01!$C:$C, Captura_Obra!B186, Captura_Marimba_M01!$D:$D, Captura_Obra!D186))&gt;0), "", Captura_Obra!A186)</f>
        <v/>
      </c>
      <c r="F482" s="11305">
        <f>IF(OR(Captura_Obra!A186="", (SUMIFS(Captura_Pegaso!$H:$H, Captura_Pegaso!$A:$A, Captura_Obra!A186, Captura_Pegaso!$D:$D, Captura_Obra!B186, Captura_Pegaso!$E:$E, Captura_Obra!D186) + SUMIFS(Captura_Marimba_M01!$G:$G, Captura_Marimba_M01!$A:$A, Captura_Obra!A186, Captura_Marimba_M01!$C:$C, Captura_Obra!B186, Captura_Marimba_M01!$D:$D, Captura_Obra!D186))&gt;0), "", Captura_Obra!B186)</f>
        <v/>
      </c>
      <c r="G482" s="11306">
        <f>IF(OR(Captura_Obra!A186="", (SUMIFS(Captura_Pegaso!$H:$H, Captura_Pegaso!$A:$A, Captura_Obra!A186, Captura_Pegaso!$D:$D, Captura_Obra!B186, Captura_Pegaso!$E:$E, Captura_Obra!D186) + SUMIFS(Captura_Marimba_M01!$G:$G, Captura_Marimba_M01!$A:$A, Captura_Obra!A186, Captura_Marimba_M01!$C:$C, Captura_Obra!B186, Captura_Marimba_M01!$D:$D, Captura_Obra!D186))&gt;0), "", Captura_Obra!D186)</f>
        <v/>
      </c>
      <c r="H482" s="11307">
        <f>IF(OR(Captura_Obra!A186="", (SUMIFS(Captura_Pegaso!$H:$H, Captura_Pegaso!$A:$A, Captura_Obra!A186, Captura_Pegaso!$D:$D, Captura_Obra!B186, Captura_Pegaso!$E:$E, Captura_Obra!D186) + SUMIFS(Captura_Marimba_M01!$G:$G, Captura_Marimba_M01!$A:$A, Captura_Obra!A186, Captura_Marimba_M01!$C:$C, Captura_Obra!B186, Captura_Marimba_M01!$D:$D, Captura_Obra!D186))&gt;0), "", 0)</f>
        <v/>
      </c>
      <c r="I482" s="11308">
        <f>IF(OR(Captura_Obra!A186="", (SUMIFS(Captura_Pegaso!$H:$H, Captura_Pegaso!$A:$A, Captura_Obra!A186, Captura_Pegaso!$D:$D, Captura_Obra!B186, Captura_Pegaso!$E:$E, Captura_Obra!D186) + SUMIFS(Captura_Marimba_M01!$G:$G, Captura_Marimba_M01!$A:$A, Captura_Obra!A186, Captura_Marimba_M01!$C:$C, Captura_Obra!B186, Captura_Marimba_M01!$D:$D, Captura_Obra!D186))&gt;0), "", Captura_Obra!F186)</f>
        <v/>
      </c>
      <c r="J482" s="11309">
        <f>IF(OR(Captura_Obra!A186="", (SUMIFS(Captura_Pegaso!$H:$H, Captura_Pegaso!$A:$A, Captura_Obra!A186, Captura_Pegaso!$D:$D, Captura_Obra!B186, Captura_Pegaso!$E:$E, Captura_Obra!D186) + SUMIFS(Captura_Marimba_M01!$G:$G, Captura_Marimba_M01!$A:$A, Captura_Obra!A186, Captura_Marimba_M01!$C:$C, Captura_Obra!B186, Captura_Marimba_M01!$D:$D, Captura_Obra!D186))&gt;0), "", H482 - I482)</f>
        <v/>
      </c>
      <c r="K482" s="4291" t="n"/>
    </row>
    <row r="483">
      <c r="A483" s="11310">
        <f>IF(OR(Captura_Obra!#REF!="", (SUMIFS(Captura_Pegaso!$H:$H, Captura_Pegaso!$A:$A, Captura_Obra!#REF!, Captura_Pegaso!$D:$D, Captura_Obra!#REF!, Captura_Pegaso!$E:$E, Captura_Obra!#REF!) + SUMIFS(Captura_Marimba_M01!$G:$G, Captura_Marimba_M01!$A:$A, Captura_Obra!#REF!, Captura_Marimba_M01!$C:$C, Captura_Obra!#REF!, Captura_Marimba_M01!$D:$D, Captura_Obra!#REF!))&gt;0), "", "Huérfano Obra")</f>
        <v/>
      </c>
      <c r="B483" s="11311">
        <f>IF(OR(Captura_Obra!#REF!="", (SUMIFS(Captura_Pegaso!$H:$H, Captura_Pegaso!$A:$A, Captura_Obra!#REF!, Captura_Pegaso!$D:$D, Captura_Obra!#REF!, Captura_Pegaso!$E:$E, Captura_Obra!#REF!) + SUMIFS(Captura_Marimba_M01!$G:$G, Captura_Marimba_M01!$A:$A, Captura_Obra!#REF!, Captura_Marimba_M01!$C:$C, Captura_Obra!#REF!, Captura_Marimba_M01!$D:$D, Captura_Obra!#REF!))&gt;0), "", "No Reportado")</f>
        <v/>
      </c>
      <c r="C483" s="11312">
        <f>IF(OR(Captura_Obra!#REF!="", (SUMIFS(Captura_Pegaso!$H:$H, Captura_Pegaso!$A:$A, Captura_Obra!#REF!, Captura_Pegaso!$D:$D, Captura_Obra!#REF!, Captura_Pegaso!$E:$E, Captura_Obra!#REF!) + SUMIFS(Captura_Marimba_M01!$G:$G, Captura_Marimba_M01!$A:$A, Captura_Obra!#REF!, Captura_Marimba_M01!$C:$C, Captura_Obra!#REF!, Captura_Marimba_M01!$D:$D, Captura_Obra!#REF!))&gt;0), "", Captura_Obra!N187)</f>
        <v/>
      </c>
      <c r="D483" s="11313">
        <f>IF(OR(Captura_Obra!#REF!="", (SUMIFS(Captura_Pegaso!$H:$H, Captura_Pegaso!$A:$A, Captura_Obra!#REF!, Captura_Pegaso!$D:$D, Captura_Obra!#REF!, Captura_Pegaso!$E:$E, Captura_Obra!#REF!) + SUMIFS(Captura_Marimba_M01!$G:$G, Captura_Marimba_M01!$A:$A, Captura_Obra!#REF!, Captura_Marimba_M01!$C:$C, Captura_Obra!#REF!, Captura_Marimba_M01!$D:$D, Captura_Obra!#REF!))&gt;0), "", "❌ Falta en Pipa")</f>
        <v/>
      </c>
      <c r="E483" s="11314">
        <f>IF(OR(Captura_Obra!#REF!="", (SUMIFS(Captura_Pegaso!$H:$H, Captura_Pegaso!$A:$A, Captura_Obra!#REF!, Captura_Pegaso!$D:$D, Captura_Obra!#REF!, Captura_Pegaso!$E:$E, Captura_Obra!#REF!) + SUMIFS(Captura_Marimba_M01!$G:$G, Captura_Marimba_M01!$A:$A, Captura_Obra!#REF!, Captura_Marimba_M01!$C:$C, Captura_Obra!#REF!, Captura_Marimba_M01!$D:$D, Captura_Obra!#REF!))&gt;0), "", Captura_Obra!#REF!)</f>
        <v/>
      </c>
      <c r="F483" s="11315">
        <f>IF(OR(Captura_Obra!#REF!="", (SUMIFS(Captura_Pegaso!$H:$H, Captura_Pegaso!$A:$A, Captura_Obra!#REF!, Captura_Pegaso!$D:$D, Captura_Obra!#REF!, Captura_Pegaso!$E:$E, Captura_Obra!#REF!) + SUMIFS(Captura_Marimba_M01!$G:$G, Captura_Marimba_M01!$A:$A, Captura_Obra!#REF!, Captura_Marimba_M01!$C:$C, Captura_Obra!#REF!, Captura_Marimba_M01!$D:$D, Captura_Obra!#REF!))&gt;0), "", Captura_Obra!#REF!)</f>
        <v/>
      </c>
      <c r="G483" s="11316">
        <f>IF(OR(Captura_Obra!#REF!="", (SUMIFS(Captura_Pegaso!$H:$H, Captura_Pegaso!$A:$A, Captura_Obra!#REF!, Captura_Pegaso!$D:$D, Captura_Obra!#REF!, Captura_Pegaso!$E:$E, Captura_Obra!#REF!) + SUMIFS(Captura_Marimba_M01!$G:$G, Captura_Marimba_M01!$A:$A, Captura_Obra!#REF!, Captura_Marimba_M01!$C:$C, Captura_Obra!#REF!, Captura_Marimba_M01!$D:$D, Captura_Obra!#REF!))&gt;0), "", Captura_Obra!#REF!)</f>
        <v/>
      </c>
      <c r="H483" s="11317">
        <f>IF(OR(Captura_Obra!#REF!="", (SUMIFS(Captura_Pegaso!$H:$H, Captura_Pegaso!$A:$A, Captura_Obra!#REF!, Captura_Pegaso!$D:$D, Captura_Obra!#REF!, Captura_Pegaso!$E:$E, Captura_Obra!#REF!) + SUMIFS(Captura_Marimba_M01!$G:$G, Captura_Marimba_M01!$A:$A, Captura_Obra!#REF!, Captura_Marimba_M01!$C:$C, Captura_Obra!#REF!, Captura_Marimba_M01!$D:$D, Captura_Obra!#REF!))&gt;0), "", 0)</f>
        <v/>
      </c>
      <c r="I483" s="11318">
        <f>IF(OR(Captura_Obra!#REF!="", (SUMIFS(Captura_Pegaso!$H:$H, Captura_Pegaso!$A:$A, Captura_Obra!#REF!, Captura_Pegaso!$D:$D, Captura_Obra!#REF!, Captura_Pegaso!$E:$E, Captura_Obra!#REF!) + SUMIFS(Captura_Marimba_M01!$G:$G, Captura_Marimba_M01!$A:$A, Captura_Obra!#REF!, Captura_Marimba_M01!$C:$C, Captura_Obra!#REF!, Captura_Marimba_M01!$D:$D, Captura_Obra!#REF!))&gt;0), "", Captura_Obra!#REF!)</f>
        <v/>
      </c>
      <c r="J483" s="11319">
        <f>IF(OR(Captura_Obra!#REF!="", (SUMIFS(Captura_Pegaso!$H:$H, Captura_Pegaso!$A:$A, Captura_Obra!#REF!, Captura_Pegaso!$D:$D, Captura_Obra!#REF!, Captura_Pegaso!$E:$E, Captura_Obra!#REF!) + SUMIFS(Captura_Marimba_M01!$G:$G, Captura_Marimba_M01!$A:$A, Captura_Obra!#REF!, Captura_Marimba_M01!$C:$C, Captura_Obra!#REF!, Captura_Marimba_M01!$D:$D, Captura_Obra!#REF!))&gt;0), "", H483 - I483)</f>
        <v/>
      </c>
      <c r="K483" s="4292" t="n"/>
    </row>
    <row r="484">
      <c r="A484" s="11320">
        <f>IF(OR(Captura_Obra!#REF!="", (SUMIFS(Captura_Pegaso!$H:$H, Captura_Pegaso!$A:$A, Captura_Obra!#REF!, Captura_Pegaso!$D:$D, Captura_Obra!#REF!, Captura_Pegaso!$E:$E, Captura_Obra!#REF!) + SUMIFS(Captura_Marimba_M01!$G:$G, Captura_Marimba_M01!$A:$A, Captura_Obra!#REF!, Captura_Marimba_M01!$C:$C, Captura_Obra!#REF!, Captura_Marimba_M01!$D:$D, Captura_Obra!#REF!))&gt;0), "", "Huérfano Obra")</f>
        <v/>
      </c>
      <c r="B484" s="11321">
        <f>IF(OR(Captura_Obra!#REF!="", (SUMIFS(Captura_Pegaso!$H:$H, Captura_Pegaso!$A:$A, Captura_Obra!#REF!, Captura_Pegaso!$D:$D, Captura_Obra!#REF!, Captura_Pegaso!$E:$E, Captura_Obra!#REF!) + SUMIFS(Captura_Marimba_M01!$G:$G, Captura_Marimba_M01!$A:$A, Captura_Obra!#REF!, Captura_Marimba_M01!$C:$C, Captura_Obra!#REF!, Captura_Marimba_M01!$D:$D, Captura_Obra!#REF!))&gt;0), "", "No Reportado")</f>
        <v/>
      </c>
      <c r="C484" s="11322">
        <f>IF(OR(Captura_Obra!#REF!="", (SUMIFS(Captura_Pegaso!$H:$H, Captura_Pegaso!$A:$A, Captura_Obra!#REF!, Captura_Pegaso!$D:$D, Captura_Obra!#REF!, Captura_Pegaso!$E:$E, Captura_Obra!#REF!) + SUMIFS(Captura_Marimba_M01!$G:$G, Captura_Marimba_M01!$A:$A, Captura_Obra!#REF!, Captura_Marimba_M01!$C:$C, Captura_Obra!#REF!, Captura_Marimba_M01!$D:$D, Captura_Obra!#REF!))&gt;0), "", Captura_Obra!N188)</f>
        <v/>
      </c>
      <c r="D484" s="11323">
        <f>IF(OR(Captura_Obra!#REF!="", (SUMIFS(Captura_Pegaso!$H:$H, Captura_Pegaso!$A:$A, Captura_Obra!#REF!, Captura_Pegaso!$D:$D, Captura_Obra!#REF!, Captura_Pegaso!$E:$E, Captura_Obra!#REF!) + SUMIFS(Captura_Marimba_M01!$G:$G, Captura_Marimba_M01!$A:$A, Captura_Obra!#REF!, Captura_Marimba_M01!$C:$C, Captura_Obra!#REF!, Captura_Marimba_M01!$D:$D, Captura_Obra!#REF!))&gt;0), "", "❌ Falta en Pipa")</f>
        <v/>
      </c>
      <c r="E484" s="11324">
        <f>IF(OR(Captura_Obra!#REF!="", (SUMIFS(Captura_Pegaso!$H:$H, Captura_Pegaso!$A:$A, Captura_Obra!#REF!, Captura_Pegaso!$D:$D, Captura_Obra!#REF!, Captura_Pegaso!$E:$E, Captura_Obra!#REF!) + SUMIFS(Captura_Marimba_M01!$G:$G, Captura_Marimba_M01!$A:$A, Captura_Obra!#REF!, Captura_Marimba_M01!$C:$C, Captura_Obra!#REF!, Captura_Marimba_M01!$D:$D, Captura_Obra!#REF!))&gt;0), "", Captura_Obra!#REF!)</f>
        <v/>
      </c>
      <c r="F484" s="11325">
        <f>IF(OR(Captura_Obra!#REF!="", (SUMIFS(Captura_Pegaso!$H:$H, Captura_Pegaso!$A:$A, Captura_Obra!#REF!, Captura_Pegaso!$D:$D, Captura_Obra!#REF!, Captura_Pegaso!$E:$E, Captura_Obra!#REF!) + SUMIFS(Captura_Marimba_M01!$G:$G, Captura_Marimba_M01!$A:$A, Captura_Obra!#REF!, Captura_Marimba_M01!$C:$C, Captura_Obra!#REF!, Captura_Marimba_M01!$D:$D, Captura_Obra!#REF!))&gt;0), "", Captura_Obra!#REF!)</f>
        <v/>
      </c>
      <c r="G484" s="11326">
        <f>IF(OR(Captura_Obra!#REF!="", (SUMIFS(Captura_Pegaso!$H:$H, Captura_Pegaso!$A:$A, Captura_Obra!#REF!, Captura_Pegaso!$D:$D, Captura_Obra!#REF!, Captura_Pegaso!$E:$E, Captura_Obra!#REF!) + SUMIFS(Captura_Marimba_M01!$G:$G, Captura_Marimba_M01!$A:$A, Captura_Obra!#REF!, Captura_Marimba_M01!$C:$C, Captura_Obra!#REF!, Captura_Marimba_M01!$D:$D, Captura_Obra!#REF!))&gt;0), "", Captura_Obra!#REF!)</f>
        <v/>
      </c>
      <c r="H484" s="11327">
        <f>IF(OR(Captura_Obra!#REF!="", (SUMIFS(Captura_Pegaso!$H:$H, Captura_Pegaso!$A:$A, Captura_Obra!#REF!, Captura_Pegaso!$D:$D, Captura_Obra!#REF!, Captura_Pegaso!$E:$E, Captura_Obra!#REF!) + SUMIFS(Captura_Marimba_M01!$G:$G, Captura_Marimba_M01!$A:$A, Captura_Obra!#REF!, Captura_Marimba_M01!$C:$C, Captura_Obra!#REF!, Captura_Marimba_M01!$D:$D, Captura_Obra!#REF!))&gt;0), "", 0)</f>
        <v/>
      </c>
      <c r="I484" s="11328">
        <f>IF(OR(Captura_Obra!#REF!="", (SUMIFS(Captura_Pegaso!$H:$H, Captura_Pegaso!$A:$A, Captura_Obra!#REF!, Captura_Pegaso!$D:$D, Captura_Obra!#REF!, Captura_Pegaso!$E:$E, Captura_Obra!#REF!) + SUMIFS(Captura_Marimba_M01!$G:$G, Captura_Marimba_M01!$A:$A, Captura_Obra!#REF!, Captura_Marimba_M01!$C:$C, Captura_Obra!#REF!, Captura_Marimba_M01!$D:$D, Captura_Obra!#REF!))&gt;0), "", Captura_Obra!#REF!)</f>
        <v/>
      </c>
      <c r="J484" s="11329">
        <f>IF(OR(Captura_Obra!#REF!="", (SUMIFS(Captura_Pegaso!$H:$H, Captura_Pegaso!$A:$A, Captura_Obra!#REF!, Captura_Pegaso!$D:$D, Captura_Obra!#REF!, Captura_Pegaso!$E:$E, Captura_Obra!#REF!) + SUMIFS(Captura_Marimba_M01!$G:$G, Captura_Marimba_M01!$A:$A, Captura_Obra!#REF!, Captura_Marimba_M01!$C:$C, Captura_Obra!#REF!, Captura_Marimba_M01!$D:$D, Captura_Obra!#REF!))&gt;0), "", H484 - I484)</f>
        <v/>
      </c>
      <c r="K484" s="4293" t="n"/>
    </row>
    <row r="485">
      <c r="A485" s="11330">
        <f>IF(OR(Captura_Obra!A189="", (SUMIFS(Captura_Pegaso!$H:$H, Captura_Pegaso!$A:$A, Captura_Obra!A189, Captura_Pegaso!$D:$D, Captura_Obra!B189, Captura_Pegaso!$E:$E, Captura_Obra!D189) + SUMIFS(Captura_Marimba_M01!$G:$G, Captura_Marimba_M01!$A:$A, Captura_Obra!A189, Captura_Marimba_M01!$C:$C, Captura_Obra!B189, Captura_Marimba_M01!$D:$D, Captura_Obra!D189))&gt;0), "", "Huérfano Obra")</f>
        <v/>
      </c>
      <c r="B485" s="11331">
        <f>IF(OR(Captura_Obra!A189="", (SUMIFS(Captura_Pegaso!$H:$H, Captura_Pegaso!$A:$A, Captura_Obra!A189, Captura_Pegaso!$D:$D, Captura_Obra!B189, Captura_Pegaso!$E:$E, Captura_Obra!D189) + SUMIFS(Captura_Marimba_M01!$G:$G, Captura_Marimba_M01!$A:$A, Captura_Obra!A189, Captura_Marimba_M01!$C:$C, Captura_Obra!B189, Captura_Marimba_M01!$D:$D, Captura_Obra!D189))&gt;0), "", "No Reportado")</f>
        <v/>
      </c>
      <c r="C485" s="11332">
        <f>IF(OR(Captura_Obra!A189="", (SUMIFS(Captura_Pegaso!$H:$H, Captura_Pegaso!$A:$A, Captura_Obra!A189, Captura_Pegaso!$D:$D, Captura_Obra!B189, Captura_Pegaso!$E:$E, Captura_Obra!D189) + SUMIFS(Captura_Marimba_M01!$G:$G, Captura_Marimba_M01!$A:$A, Captura_Obra!A189, Captura_Marimba_M01!$C:$C, Captura_Obra!B189, Captura_Marimba_M01!$D:$D, Captura_Obra!D189))&gt;0), "", Captura_Obra!N189)</f>
        <v/>
      </c>
      <c r="D485" s="11333">
        <f>IF(OR(Captura_Obra!A189="", (SUMIFS(Captura_Pegaso!$H:$H, Captura_Pegaso!$A:$A, Captura_Obra!A189, Captura_Pegaso!$D:$D, Captura_Obra!B189, Captura_Pegaso!$E:$E, Captura_Obra!D189) + SUMIFS(Captura_Marimba_M01!$G:$G, Captura_Marimba_M01!$A:$A, Captura_Obra!A189, Captura_Marimba_M01!$C:$C, Captura_Obra!B189, Captura_Marimba_M01!$D:$D, Captura_Obra!D189))&gt;0), "", "❌ Falta en Pipa")</f>
        <v/>
      </c>
      <c r="E485" s="11334">
        <f>IF(OR(Captura_Obra!A189="", (SUMIFS(Captura_Pegaso!$H:$H, Captura_Pegaso!$A:$A, Captura_Obra!A189, Captura_Pegaso!$D:$D, Captura_Obra!B189, Captura_Pegaso!$E:$E, Captura_Obra!D189) + SUMIFS(Captura_Marimba_M01!$G:$G, Captura_Marimba_M01!$A:$A, Captura_Obra!A189, Captura_Marimba_M01!$C:$C, Captura_Obra!B189, Captura_Marimba_M01!$D:$D, Captura_Obra!D189))&gt;0), "", Captura_Obra!A189)</f>
        <v/>
      </c>
      <c r="F485" s="11335">
        <f>IF(OR(Captura_Obra!A189="", (SUMIFS(Captura_Pegaso!$H:$H, Captura_Pegaso!$A:$A, Captura_Obra!A189, Captura_Pegaso!$D:$D, Captura_Obra!B189, Captura_Pegaso!$E:$E, Captura_Obra!D189) + SUMIFS(Captura_Marimba_M01!$G:$G, Captura_Marimba_M01!$A:$A, Captura_Obra!A189, Captura_Marimba_M01!$C:$C, Captura_Obra!B189, Captura_Marimba_M01!$D:$D, Captura_Obra!D189))&gt;0), "", Captura_Obra!B189)</f>
        <v/>
      </c>
      <c r="G485" s="11336">
        <f>IF(OR(Captura_Obra!A189="", (SUMIFS(Captura_Pegaso!$H:$H, Captura_Pegaso!$A:$A, Captura_Obra!A189, Captura_Pegaso!$D:$D, Captura_Obra!B189, Captura_Pegaso!$E:$E, Captura_Obra!D189) + SUMIFS(Captura_Marimba_M01!$G:$G, Captura_Marimba_M01!$A:$A, Captura_Obra!A189, Captura_Marimba_M01!$C:$C, Captura_Obra!B189, Captura_Marimba_M01!$D:$D, Captura_Obra!D189))&gt;0), "", Captura_Obra!D189)</f>
        <v/>
      </c>
      <c r="H485" s="11337">
        <f>IF(OR(Captura_Obra!A189="", (SUMIFS(Captura_Pegaso!$H:$H, Captura_Pegaso!$A:$A, Captura_Obra!A189, Captura_Pegaso!$D:$D, Captura_Obra!B189, Captura_Pegaso!$E:$E, Captura_Obra!D189) + SUMIFS(Captura_Marimba_M01!$G:$G, Captura_Marimba_M01!$A:$A, Captura_Obra!A189, Captura_Marimba_M01!$C:$C, Captura_Obra!B189, Captura_Marimba_M01!$D:$D, Captura_Obra!D189))&gt;0), "", 0)</f>
        <v/>
      </c>
      <c r="I485" s="11338">
        <f>IF(OR(Captura_Obra!A189="", (SUMIFS(Captura_Pegaso!$H:$H, Captura_Pegaso!$A:$A, Captura_Obra!A189, Captura_Pegaso!$D:$D, Captura_Obra!B189, Captura_Pegaso!$E:$E, Captura_Obra!D189) + SUMIFS(Captura_Marimba_M01!$G:$G, Captura_Marimba_M01!$A:$A, Captura_Obra!A189, Captura_Marimba_M01!$C:$C, Captura_Obra!B189, Captura_Marimba_M01!$D:$D, Captura_Obra!D189))&gt;0), "", Captura_Obra!F189)</f>
        <v/>
      </c>
      <c r="J485" s="11339">
        <f>IF(OR(Captura_Obra!A189="", (SUMIFS(Captura_Pegaso!$H:$H, Captura_Pegaso!$A:$A, Captura_Obra!A189, Captura_Pegaso!$D:$D, Captura_Obra!B189, Captura_Pegaso!$E:$E, Captura_Obra!D189) + SUMIFS(Captura_Marimba_M01!$G:$G, Captura_Marimba_M01!$A:$A, Captura_Obra!A189, Captura_Marimba_M01!$C:$C, Captura_Obra!B189, Captura_Marimba_M01!$D:$D, Captura_Obra!D189))&gt;0), "", H485 - I485)</f>
        <v/>
      </c>
      <c r="K485" s="4294" t="n"/>
    </row>
    <row r="486">
      <c r="A486" s="11340">
        <f>IF(OR(Captura_Obra!A190="", (SUMIFS(Captura_Pegaso!$H:$H, Captura_Pegaso!$A:$A, Captura_Obra!A190, Captura_Pegaso!$D:$D, Captura_Obra!B190, Captura_Pegaso!$E:$E, Captura_Obra!D190) + SUMIFS(Captura_Marimba_M01!$G:$G, Captura_Marimba_M01!$A:$A, Captura_Obra!A190, Captura_Marimba_M01!$C:$C, Captura_Obra!B190, Captura_Marimba_M01!$D:$D, Captura_Obra!D190))&gt;0), "", "Huérfano Obra")</f>
        <v/>
      </c>
      <c r="B486" s="11341">
        <f>IF(OR(Captura_Obra!A190="", (SUMIFS(Captura_Pegaso!$H:$H, Captura_Pegaso!$A:$A, Captura_Obra!A190, Captura_Pegaso!$D:$D, Captura_Obra!B190, Captura_Pegaso!$E:$E, Captura_Obra!D190) + SUMIFS(Captura_Marimba_M01!$G:$G, Captura_Marimba_M01!$A:$A, Captura_Obra!A190, Captura_Marimba_M01!$C:$C, Captura_Obra!B190, Captura_Marimba_M01!$D:$D, Captura_Obra!D190))&gt;0), "", "No Reportado")</f>
        <v/>
      </c>
      <c r="C486" s="11342">
        <f>IF(OR(Captura_Obra!A190="", (SUMIFS(Captura_Pegaso!$H:$H, Captura_Pegaso!$A:$A, Captura_Obra!A190, Captura_Pegaso!$D:$D, Captura_Obra!B190, Captura_Pegaso!$E:$E, Captura_Obra!D190) + SUMIFS(Captura_Marimba_M01!$G:$G, Captura_Marimba_M01!$A:$A, Captura_Obra!A190, Captura_Marimba_M01!$C:$C, Captura_Obra!B190, Captura_Marimba_M01!$D:$D, Captura_Obra!D190))&gt;0), "", Captura_Obra!N190)</f>
        <v/>
      </c>
      <c r="D486" s="11343">
        <f>IF(OR(Captura_Obra!A190="", (SUMIFS(Captura_Pegaso!$H:$H, Captura_Pegaso!$A:$A, Captura_Obra!A190, Captura_Pegaso!$D:$D, Captura_Obra!B190, Captura_Pegaso!$E:$E, Captura_Obra!D190) + SUMIFS(Captura_Marimba_M01!$G:$G, Captura_Marimba_M01!$A:$A, Captura_Obra!A190, Captura_Marimba_M01!$C:$C, Captura_Obra!B190, Captura_Marimba_M01!$D:$D, Captura_Obra!D190))&gt;0), "", "❌ Falta en Pipa")</f>
        <v/>
      </c>
      <c r="E486" s="11344">
        <f>IF(OR(Captura_Obra!A190="", (SUMIFS(Captura_Pegaso!$H:$H, Captura_Pegaso!$A:$A, Captura_Obra!A190, Captura_Pegaso!$D:$D, Captura_Obra!B190, Captura_Pegaso!$E:$E, Captura_Obra!D190) + SUMIFS(Captura_Marimba_M01!$G:$G, Captura_Marimba_M01!$A:$A, Captura_Obra!A190, Captura_Marimba_M01!$C:$C, Captura_Obra!B190, Captura_Marimba_M01!$D:$D, Captura_Obra!D190))&gt;0), "", Captura_Obra!A190)</f>
        <v/>
      </c>
      <c r="F486" s="11345">
        <f>IF(OR(Captura_Obra!A190="", (SUMIFS(Captura_Pegaso!$H:$H, Captura_Pegaso!$A:$A, Captura_Obra!A190, Captura_Pegaso!$D:$D, Captura_Obra!B190, Captura_Pegaso!$E:$E, Captura_Obra!D190) + SUMIFS(Captura_Marimba_M01!$G:$G, Captura_Marimba_M01!$A:$A, Captura_Obra!A190, Captura_Marimba_M01!$C:$C, Captura_Obra!B190, Captura_Marimba_M01!$D:$D, Captura_Obra!D190))&gt;0), "", Captura_Obra!B190)</f>
        <v/>
      </c>
      <c r="G486" s="11346">
        <f>IF(OR(Captura_Obra!A190="", (SUMIFS(Captura_Pegaso!$H:$H, Captura_Pegaso!$A:$A, Captura_Obra!A190, Captura_Pegaso!$D:$D, Captura_Obra!B190, Captura_Pegaso!$E:$E, Captura_Obra!D190) + SUMIFS(Captura_Marimba_M01!$G:$G, Captura_Marimba_M01!$A:$A, Captura_Obra!A190, Captura_Marimba_M01!$C:$C, Captura_Obra!B190, Captura_Marimba_M01!$D:$D, Captura_Obra!D190))&gt;0), "", Captura_Obra!D190)</f>
        <v/>
      </c>
      <c r="H486" s="11347">
        <f>IF(OR(Captura_Obra!A190="", (SUMIFS(Captura_Pegaso!$H:$H, Captura_Pegaso!$A:$A, Captura_Obra!A190, Captura_Pegaso!$D:$D, Captura_Obra!B190, Captura_Pegaso!$E:$E, Captura_Obra!D190) + SUMIFS(Captura_Marimba_M01!$G:$G, Captura_Marimba_M01!$A:$A, Captura_Obra!A190, Captura_Marimba_M01!$C:$C, Captura_Obra!B190, Captura_Marimba_M01!$D:$D, Captura_Obra!D190))&gt;0), "", 0)</f>
        <v/>
      </c>
      <c r="I486" s="11348">
        <f>IF(OR(Captura_Obra!A190="", (SUMIFS(Captura_Pegaso!$H:$H, Captura_Pegaso!$A:$A, Captura_Obra!A190, Captura_Pegaso!$D:$D, Captura_Obra!B190, Captura_Pegaso!$E:$E, Captura_Obra!D190) + SUMIFS(Captura_Marimba_M01!$G:$G, Captura_Marimba_M01!$A:$A, Captura_Obra!A190, Captura_Marimba_M01!$C:$C, Captura_Obra!B190, Captura_Marimba_M01!$D:$D, Captura_Obra!D190))&gt;0), "", Captura_Obra!F190)</f>
        <v/>
      </c>
      <c r="J486" s="11349">
        <f>IF(OR(Captura_Obra!A190="", (SUMIFS(Captura_Pegaso!$H:$H, Captura_Pegaso!$A:$A, Captura_Obra!A190, Captura_Pegaso!$D:$D, Captura_Obra!B190, Captura_Pegaso!$E:$E, Captura_Obra!D190) + SUMIFS(Captura_Marimba_M01!$G:$G, Captura_Marimba_M01!$A:$A, Captura_Obra!A190, Captura_Marimba_M01!$C:$C, Captura_Obra!B190, Captura_Marimba_M01!$D:$D, Captura_Obra!D190))&gt;0), "", H486 - I486)</f>
        <v/>
      </c>
      <c r="K486" s="4295" t="n"/>
    </row>
    <row r="487">
      <c r="A487" s="11350">
        <f>IF(OR(Captura_Obra!A191="", (SUMIFS(Captura_Pegaso!$H:$H, Captura_Pegaso!$A:$A, Captura_Obra!A191, Captura_Pegaso!$D:$D, Captura_Obra!B191, Captura_Pegaso!$E:$E, Captura_Obra!D191) + SUMIFS(Captura_Marimba_M01!$G:$G, Captura_Marimba_M01!$A:$A, Captura_Obra!A191, Captura_Marimba_M01!$C:$C, Captura_Obra!B191, Captura_Marimba_M01!$D:$D, Captura_Obra!D191))&gt;0), "", "Huérfano Obra")</f>
        <v/>
      </c>
      <c r="B487" s="11351">
        <f>IF(OR(Captura_Obra!A191="", (SUMIFS(Captura_Pegaso!$H:$H, Captura_Pegaso!$A:$A, Captura_Obra!A191, Captura_Pegaso!$D:$D, Captura_Obra!B191, Captura_Pegaso!$E:$E, Captura_Obra!D191) + SUMIFS(Captura_Marimba_M01!$G:$G, Captura_Marimba_M01!$A:$A, Captura_Obra!A191, Captura_Marimba_M01!$C:$C, Captura_Obra!B191, Captura_Marimba_M01!$D:$D, Captura_Obra!D191))&gt;0), "", "No Reportado")</f>
        <v/>
      </c>
      <c r="C487" s="11352">
        <f>IF(OR(Captura_Obra!A191="", (SUMIFS(Captura_Pegaso!$H:$H, Captura_Pegaso!$A:$A, Captura_Obra!A191, Captura_Pegaso!$D:$D, Captura_Obra!B191, Captura_Pegaso!$E:$E, Captura_Obra!D191) + SUMIFS(Captura_Marimba_M01!$G:$G, Captura_Marimba_M01!$A:$A, Captura_Obra!A191, Captura_Marimba_M01!$C:$C, Captura_Obra!B191, Captura_Marimba_M01!$D:$D, Captura_Obra!D191))&gt;0), "", Captura_Obra!N191)</f>
        <v/>
      </c>
      <c r="D487" s="11353">
        <f>IF(OR(Captura_Obra!A191="", (SUMIFS(Captura_Pegaso!$H:$H, Captura_Pegaso!$A:$A, Captura_Obra!A191, Captura_Pegaso!$D:$D, Captura_Obra!B191, Captura_Pegaso!$E:$E, Captura_Obra!D191) + SUMIFS(Captura_Marimba_M01!$G:$G, Captura_Marimba_M01!$A:$A, Captura_Obra!A191, Captura_Marimba_M01!$C:$C, Captura_Obra!B191, Captura_Marimba_M01!$D:$D, Captura_Obra!D191))&gt;0), "", "❌ Falta en Pipa")</f>
        <v/>
      </c>
      <c r="E487" s="11354">
        <f>IF(OR(Captura_Obra!A191="", (SUMIFS(Captura_Pegaso!$H:$H, Captura_Pegaso!$A:$A, Captura_Obra!A191, Captura_Pegaso!$D:$D, Captura_Obra!B191, Captura_Pegaso!$E:$E, Captura_Obra!D191) + SUMIFS(Captura_Marimba_M01!$G:$G, Captura_Marimba_M01!$A:$A, Captura_Obra!A191, Captura_Marimba_M01!$C:$C, Captura_Obra!B191, Captura_Marimba_M01!$D:$D, Captura_Obra!D191))&gt;0), "", Captura_Obra!A191)</f>
        <v/>
      </c>
      <c r="F487" s="11355">
        <f>IF(OR(Captura_Obra!A191="", (SUMIFS(Captura_Pegaso!$H:$H, Captura_Pegaso!$A:$A, Captura_Obra!A191, Captura_Pegaso!$D:$D, Captura_Obra!B191, Captura_Pegaso!$E:$E, Captura_Obra!D191) + SUMIFS(Captura_Marimba_M01!$G:$G, Captura_Marimba_M01!$A:$A, Captura_Obra!A191, Captura_Marimba_M01!$C:$C, Captura_Obra!B191, Captura_Marimba_M01!$D:$D, Captura_Obra!D191))&gt;0), "", Captura_Obra!B191)</f>
        <v/>
      </c>
      <c r="G487" s="11356">
        <f>IF(OR(Captura_Obra!A191="", (SUMIFS(Captura_Pegaso!$H:$H, Captura_Pegaso!$A:$A, Captura_Obra!A191, Captura_Pegaso!$D:$D, Captura_Obra!B191, Captura_Pegaso!$E:$E, Captura_Obra!D191) + SUMIFS(Captura_Marimba_M01!$G:$G, Captura_Marimba_M01!$A:$A, Captura_Obra!A191, Captura_Marimba_M01!$C:$C, Captura_Obra!B191, Captura_Marimba_M01!$D:$D, Captura_Obra!D191))&gt;0), "", Captura_Obra!D191)</f>
        <v/>
      </c>
      <c r="H487" s="11357">
        <f>IF(OR(Captura_Obra!A191="", (SUMIFS(Captura_Pegaso!$H:$H, Captura_Pegaso!$A:$A, Captura_Obra!A191, Captura_Pegaso!$D:$D, Captura_Obra!B191, Captura_Pegaso!$E:$E, Captura_Obra!D191) + SUMIFS(Captura_Marimba_M01!$G:$G, Captura_Marimba_M01!$A:$A, Captura_Obra!A191, Captura_Marimba_M01!$C:$C, Captura_Obra!B191, Captura_Marimba_M01!$D:$D, Captura_Obra!D191))&gt;0), "", 0)</f>
        <v/>
      </c>
      <c r="I487" s="11358">
        <f>IF(OR(Captura_Obra!A191="", (SUMIFS(Captura_Pegaso!$H:$H, Captura_Pegaso!$A:$A, Captura_Obra!A191, Captura_Pegaso!$D:$D, Captura_Obra!B191, Captura_Pegaso!$E:$E, Captura_Obra!D191) + SUMIFS(Captura_Marimba_M01!$G:$G, Captura_Marimba_M01!$A:$A, Captura_Obra!A191, Captura_Marimba_M01!$C:$C, Captura_Obra!B191, Captura_Marimba_M01!$D:$D, Captura_Obra!D191))&gt;0), "", Captura_Obra!F191)</f>
        <v/>
      </c>
      <c r="J487" s="11359">
        <f>IF(OR(Captura_Obra!A191="", (SUMIFS(Captura_Pegaso!$H:$H, Captura_Pegaso!$A:$A, Captura_Obra!A191, Captura_Pegaso!$D:$D, Captura_Obra!B191, Captura_Pegaso!$E:$E, Captura_Obra!D191) + SUMIFS(Captura_Marimba_M01!$G:$G, Captura_Marimba_M01!$A:$A, Captura_Obra!A191, Captura_Marimba_M01!$C:$C, Captura_Obra!B191, Captura_Marimba_M01!$D:$D, Captura_Obra!D191))&gt;0), "", H487 - I487)</f>
        <v/>
      </c>
      <c r="K487" s="4296" t="n"/>
    </row>
    <row r="488">
      <c r="A488" s="11360">
        <f>IF(OR(Captura_Obra!A192="", (SUMIFS(Captura_Pegaso!$H:$H, Captura_Pegaso!$A:$A, Captura_Obra!A192, Captura_Pegaso!$D:$D, Captura_Obra!B192, Captura_Pegaso!$E:$E, Captura_Obra!D192) + SUMIFS(Captura_Marimba_M01!$G:$G, Captura_Marimba_M01!$A:$A, Captura_Obra!A192, Captura_Marimba_M01!$C:$C, Captura_Obra!B192, Captura_Marimba_M01!$D:$D, Captura_Obra!D192))&gt;0), "", "Huérfano Obra")</f>
        <v/>
      </c>
      <c r="B488" s="11361">
        <f>IF(OR(Captura_Obra!A192="", (SUMIFS(Captura_Pegaso!$H:$H, Captura_Pegaso!$A:$A, Captura_Obra!A192, Captura_Pegaso!$D:$D, Captura_Obra!B192, Captura_Pegaso!$E:$E, Captura_Obra!D192) + SUMIFS(Captura_Marimba_M01!$G:$G, Captura_Marimba_M01!$A:$A, Captura_Obra!A192, Captura_Marimba_M01!$C:$C, Captura_Obra!B192, Captura_Marimba_M01!$D:$D, Captura_Obra!D192))&gt;0), "", "No Reportado")</f>
        <v/>
      </c>
      <c r="C488" s="11362">
        <f>IF(OR(Captura_Obra!A192="", (SUMIFS(Captura_Pegaso!$H:$H, Captura_Pegaso!$A:$A, Captura_Obra!A192, Captura_Pegaso!$D:$D, Captura_Obra!B192, Captura_Pegaso!$E:$E, Captura_Obra!D192) + SUMIFS(Captura_Marimba_M01!$G:$G, Captura_Marimba_M01!$A:$A, Captura_Obra!A192, Captura_Marimba_M01!$C:$C, Captura_Obra!B192, Captura_Marimba_M01!$D:$D, Captura_Obra!D192))&gt;0), "", Captura_Obra!N192)</f>
        <v/>
      </c>
      <c r="D488" s="11363">
        <f>IF(OR(Captura_Obra!A192="", (SUMIFS(Captura_Pegaso!$H:$H, Captura_Pegaso!$A:$A, Captura_Obra!A192, Captura_Pegaso!$D:$D, Captura_Obra!B192, Captura_Pegaso!$E:$E, Captura_Obra!D192) + SUMIFS(Captura_Marimba_M01!$G:$G, Captura_Marimba_M01!$A:$A, Captura_Obra!A192, Captura_Marimba_M01!$C:$C, Captura_Obra!B192, Captura_Marimba_M01!$D:$D, Captura_Obra!D192))&gt;0), "", "❌ Falta en Pipa")</f>
        <v/>
      </c>
      <c r="E488" s="11364">
        <f>IF(OR(Captura_Obra!A192="", (SUMIFS(Captura_Pegaso!$H:$H, Captura_Pegaso!$A:$A, Captura_Obra!A192, Captura_Pegaso!$D:$D, Captura_Obra!B192, Captura_Pegaso!$E:$E, Captura_Obra!D192) + SUMIFS(Captura_Marimba_M01!$G:$G, Captura_Marimba_M01!$A:$A, Captura_Obra!A192, Captura_Marimba_M01!$C:$C, Captura_Obra!B192, Captura_Marimba_M01!$D:$D, Captura_Obra!D192))&gt;0), "", Captura_Obra!A192)</f>
        <v/>
      </c>
      <c r="F488" s="11365">
        <f>IF(OR(Captura_Obra!A192="", (SUMIFS(Captura_Pegaso!$H:$H, Captura_Pegaso!$A:$A, Captura_Obra!A192, Captura_Pegaso!$D:$D, Captura_Obra!B192, Captura_Pegaso!$E:$E, Captura_Obra!D192) + SUMIFS(Captura_Marimba_M01!$G:$G, Captura_Marimba_M01!$A:$A, Captura_Obra!A192, Captura_Marimba_M01!$C:$C, Captura_Obra!B192, Captura_Marimba_M01!$D:$D, Captura_Obra!D192))&gt;0), "", Captura_Obra!B192)</f>
        <v/>
      </c>
      <c r="G488" s="11366">
        <f>IF(OR(Captura_Obra!A192="", (SUMIFS(Captura_Pegaso!$H:$H, Captura_Pegaso!$A:$A, Captura_Obra!A192, Captura_Pegaso!$D:$D, Captura_Obra!B192, Captura_Pegaso!$E:$E, Captura_Obra!D192) + SUMIFS(Captura_Marimba_M01!$G:$G, Captura_Marimba_M01!$A:$A, Captura_Obra!A192, Captura_Marimba_M01!$C:$C, Captura_Obra!B192, Captura_Marimba_M01!$D:$D, Captura_Obra!D192))&gt;0), "", Captura_Obra!D192)</f>
        <v/>
      </c>
      <c r="H488" s="11367">
        <f>IF(OR(Captura_Obra!A192="", (SUMIFS(Captura_Pegaso!$H:$H, Captura_Pegaso!$A:$A, Captura_Obra!A192, Captura_Pegaso!$D:$D, Captura_Obra!B192, Captura_Pegaso!$E:$E, Captura_Obra!D192) + SUMIFS(Captura_Marimba_M01!$G:$G, Captura_Marimba_M01!$A:$A, Captura_Obra!A192, Captura_Marimba_M01!$C:$C, Captura_Obra!B192, Captura_Marimba_M01!$D:$D, Captura_Obra!D192))&gt;0), "", 0)</f>
        <v/>
      </c>
      <c r="I488" s="11368">
        <f>IF(OR(Captura_Obra!A192="", (SUMIFS(Captura_Pegaso!$H:$H, Captura_Pegaso!$A:$A, Captura_Obra!A192, Captura_Pegaso!$D:$D, Captura_Obra!B192, Captura_Pegaso!$E:$E, Captura_Obra!D192) + SUMIFS(Captura_Marimba_M01!$G:$G, Captura_Marimba_M01!$A:$A, Captura_Obra!A192, Captura_Marimba_M01!$C:$C, Captura_Obra!B192, Captura_Marimba_M01!$D:$D, Captura_Obra!D192))&gt;0), "", Captura_Obra!F192)</f>
        <v/>
      </c>
      <c r="J488" s="11369">
        <f>IF(OR(Captura_Obra!A192="", (SUMIFS(Captura_Pegaso!$H:$H, Captura_Pegaso!$A:$A, Captura_Obra!A192, Captura_Pegaso!$D:$D, Captura_Obra!B192, Captura_Pegaso!$E:$E, Captura_Obra!D192) + SUMIFS(Captura_Marimba_M01!$G:$G, Captura_Marimba_M01!$A:$A, Captura_Obra!A192, Captura_Marimba_M01!$C:$C, Captura_Obra!B192, Captura_Marimba_M01!$D:$D, Captura_Obra!D192))&gt;0), "", H488 - I488)</f>
        <v/>
      </c>
      <c r="K488" s="4297" t="n"/>
    </row>
    <row r="489">
      <c r="A489" s="11370">
        <f>IF(OR(Captura_Obra!A193="", (SUMIFS(Captura_Pegaso!$H:$H, Captura_Pegaso!$A:$A, Captura_Obra!A193, Captura_Pegaso!$D:$D, Captura_Obra!B193, Captura_Pegaso!$E:$E, Captura_Obra!D193) + SUMIFS(Captura_Marimba_M01!$G:$G, Captura_Marimba_M01!$A:$A, Captura_Obra!A193, Captura_Marimba_M01!$C:$C, Captura_Obra!B193, Captura_Marimba_M01!$D:$D, Captura_Obra!D193))&gt;0), "", "Huérfano Obra")</f>
        <v/>
      </c>
      <c r="B489" s="11371">
        <f>IF(OR(Captura_Obra!A193="", (SUMIFS(Captura_Pegaso!$H:$H, Captura_Pegaso!$A:$A, Captura_Obra!A193, Captura_Pegaso!$D:$D, Captura_Obra!B193, Captura_Pegaso!$E:$E, Captura_Obra!D193) + SUMIFS(Captura_Marimba_M01!$G:$G, Captura_Marimba_M01!$A:$A, Captura_Obra!A193, Captura_Marimba_M01!$C:$C, Captura_Obra!B193, Captura_Marimba_M01!$D:$D, Captura_Obra!D193))&gt;0), "", "No Reportado")</f>
        <v/>
      </c>
      <c r="C489" s="11372">
        <f>IF(OR(Captura_Obra!A193="", (SUMIFS(Captura_Pegaso!$H:$H, Captura_Pegaso!$A:$A, Captura_Obra!A193, Captura_Pegaso!$D:$D, Captura_Obra!B193, Captura_Pegaso!$E:$E, Captura_Obra!D193) + SUMIFS(Captura_Marimba_M01!$G:$G, Captura_Marimba_M01!$A:$A, Captura_Obra!A193, Captura_Marimba_M01!$C:$C, Captura_Obra!B193, Captura_Marimba_M01!$D:$D, Captura_Obra!D193))&gt;0), "", Captura_Obra!N193)</f>
        <v/>
      </c>
      <c r="D489" s="11373">
        <f>IF(OR(Captura_Obra!A193="", (SUMIFS(Captura_Pegaso!$H:$H, Captura_Pegaso!$A:$A, Captura_Obra!A193, Captura_Pegaso!$D:$D, Captura_Obra!B193, Captura_Pegaso!$E:$E, Captura_Obra!D193) + SUMIFS(Captura_Marimba_M01!$G:$G, Captura_Marimba_M01!$A:$A, Captura_Obra!A193, Captura_Marimba_M01!$C:$C, Captura_Obra!B193, Captura_Marimba_M01!$D:$D, Captura_Obra!D193))&gt;0), "", "❌ Falta en Pipa")</f>
        <v/>
      </c>
      <c r="E489" s="11374">
        <f>IF(OR(Captura_Obra!A193="", (SUMIFS(Captura_Pegaso!$H:$H, Captura_Pegaso!$A:$A, Captura_Obra!A193, Captura_Pegaso!$D:$D, Captura_Obra!B193, Captura_Pegaso!$E:$E, Captura_Obra!D193) + SUMIFS(Captura_Marimba_M01!$G:$G, Captura_Marimba_M01!$A:$A, Captura_Obra!A193, Captura_Marimba_M01!$C:$C, Captura_Obra!B193, Captura_Marimba_M01!$D:$D, Captura_Obra!D193))&gt;0), "", Captura_Obra!A193)</f>
        <v/>
      </c>
      <c r="F489" s="11375">
        <f>IF(OR(Captura_Obra!A193="", (SUMIFS(Captura_Pegaso!$H:$H, Captura_Pegaso!$A:$A, Captura_Obra!A193, Captura_Pegaso!$D:$D, Captura_Obra!B193, Captura_Pegaso!$E:$E, Captura_Obra!D193) + SUMIFS(Captura_Marimba_M01!$G:$G, Captura_Marimba_M01!$A:$A, Captura_Obra!A193, Captura_Marimba_M01!$C:$C, Captura_Obra!B193, Captura_Marimba_M01!$D:$D, Captura_Obra!D193))&gt;0), "", Captura_Obra!B193)</f>
        <v/>
      </c>
      <c r="G489" s="11376">
        <f>IF(OR(Captura_Obra!A193="", (SUMIFS(Captura_Pegaso!$H:$H, Captura_Pegaso!$A:$A, Captura_Obra!A193, Captura_Pegaso!$D:$D, Captura_Obra!B193, Captura_Pegaso!$E:$E, Captura_Obra!D193) + SUMIFS(Captura_Marimba_M01!$G:$G, Captura_Marimba_M01!$A:$A, Captura_Obra!A193, Captura_Marimba_M01!$C:$C, Captura_Obra!B193, Captura_Marimba_M01!$D:$D, Captura_Obra!D193))&gt;0), "", Captura_Obra!D193)</f>
        <v/>
      </c>
      <c r="H489" s="11377">
        <f>IF(OR(Captura_Obra!A193="", (SUMIFS(Captura_Pegaso!$H:$H, Captura_Pegaso!$A:$A, Captura_Obra!A193, Captura_Pegaso!$D:$D, Captura_Obra!B193, Captura_Pegaso!$E:$E, Captura_Obra!D193) + SUMIFS(Captura_Marimba_M01!$G:$G, Captura_Marimba_M01!$A:$A, Captura_Obra!A193, Captura_Marimba_M01!$C:$C, Captura_Obra!B193, Captura_Marimba_M01!$D:$D, Captura_Obra!D193))&gt;0), "", 0)</f>
        <v/>
      </c>
      <c r="I489" s="11378">
        <f>IF(OR(Captura_Obra!A193="", (SUMIFS(Captura_Pegaso!$H:$H, Captura_Pegaso!$A:$A, Captura_Obra!A193, Captura_Pegaso!$D:$D, Captura_Obra!B193, Captura_Pegaso!$E:$E, Captura_Obra!D193) + SUMIFS(Captura_Marimba_M01!$G:$G, Captura_Marimba_M01!$A:$A, Captura_Obra!A193, Captura_Marimba_M01!$C:$C, Captura_Obra!B193, Captura_Marimba_M01!$D:$D, Captura_Obra!D193))&gt;0), "", Captura_Obra!F193)</f>
        <v/>
      </c>
      <c r="J489" s="11379">
        <f>IF(OR(Captura_Obra!A193="", (SUMIFS(Captura_Pegaso!$H:$H, Captura_Pegaso!$A:$A, Captura_Obra!A193, Captura_Pegaso!$D:$D, Captura_Obra!B193, Captura_Pegaso!$E:$E, Captura_Obra!D193) + SUMIFS(Captura_Marimba_M01!$G:$G, Captura_Marimba_M01!$A:$A, Captura_Obra!A193, Captura_Marimba_M01!$C:$C, Captura_Obra!B193, Captura_Marimba_M01!$D:$D, Captura_Obra!D193))&gt;0), "", H489 - I489)</f>
        <v/>
      </c>
      <c r="K489" s="4298" t="n"/>
    </row>
    <row r="490">
      <c r="A490" s="11380">
        <f>IF(OR(Captura_Obra!A194="", (SUMIFS(Captura_Pegaso!$H:$H, Captura_Pegaso!$A:$A, Captura_Obra!A194, Captura_Pegaso!$D:$D, Captura_Obra!B194, Captura_Pegaso!$E:$E, Captura_Obra!D194) + SUMIFS(Captura_Marimba_M01!$G:$G, Captura_Marimba_M01!$A:$A, Captura_Obra!A194, Captura_Marimba_M01!$C:$C, Captura_Obra!B194, Captura_Marimba_M01!$D:$D, Captura_Obra!D194))&gt;0), "", "Huérfano Obra")</f>
        <v/>
      </c>
      <c r="B490" s="11381">
        <f>IF(OR(Captura_Obra!A194="", (SUMIFS(Captura_Pegaso!$H:$H, Captura_Pegaso!$A:$A, Captura_Obra!A194, Captura_Pegaso!$D:$D, Captura_Obra!B194, Captura_Pegaso!$E:$E, Captura_Obra!D194) + SUMIFS(Captura_Marimba_M01!$G:$G, Captura_Marimba_M01!$A:$A, Captura_Obra!A194, Captura_Marimba_M01!$C:$C, Captura_Obra!B194, Captura_Marimba_M01!$D:$D, Captura_Obra!D194))&gt;0), "", "No Reportado")</f>
        <v/>
      </c>
      <c r="C490" s="11382">
        <f>IF(OR(Captura_Obra!A194="", (SUMIFS(Captura_Pegaso!$H:$H, Captura_Pegaso!$A:$A, Captura_Obra!A194, Captura_Pegaso!$D:$D, Captura_Obra!B194, Captura_Pegaso!$E:$E, Captura_Obra!D194) + SUMIFS(Captura_Marimba_M01!$G:$G, Captura_Marimba_M01!$A:$A, Captura_Obra!A194, Captura_Marimba_M01!$C:$C, Captura_Obra!B194, Captura_Marimba_M01!$D:$D, Captura_Obra!D194))&gt;0), "", Captura_Obra!N194)</f>
        <v/>
      </c>
      <c r="D490" s="11383">
        <f>IF(OR(Captura_Obra!A194="", (SUMIFS(Captura_Pegaso!$H:$H, Captura_Pegaso!$A:$A, Captura_Obra!A194, Captura_Pegaso!$D:$D, Captura_Obra!B194, Captura_Pegaso!$E:$E, Captura_Obra!D194) + SUMIFS(Captura_Marimba_M01!$G:$G, Captura_Marimba_M01!$A:$A, Captura_Obra!A194, Captura_Marimba_M01!$C:$C, Captura_Obra!B194, Captura_Marimba_M01!$D:$D, Captura_Obra!D194))&gt;0), "", "❌ Falta en Pipa")</f>
        <v/>
      </c>
      <c r="E490" s="11384">
        <f>IF(OR(Captura_Obra!A194="", (SUMIFS(Captura_Pegaso!$H:$H, Captura_Pegaso!$A:$A, Captura_Obra!A194, Captura_Pegaso!$D:$D, Captura_Obra!B194, Captura_Pegaso!$E:$E, Captura_Obra!D194) + SUMIFS(Captura_Marimba_M01!$G:$G, Captura_Marimba_M01!$A:$A, Captura_Obra!A194, Captura_Marimba_M01!$C:$C, Captura_Obra!B194, Captura_Marimba_M01!$D:$D, Captura_Obra!D194))&gt;0), "", Captura_Obra!A194)</f>
        <v/>
      </c>
      <c r="F490" s="11385">
        <f>IF(OR(Captura_Obra!A194="", (SUMIFS(Captura_Pegaso!$H:$H, Captura_Pegaso!$A:$A, Captura_Obra!A194, Captura_Pegaso!$D:$D, Captura_Obra!B194, Captura_Pegaso!$E:$E, Captura_Obra!D194) + SUMIFS(Captura_Marimba_M01!$G:$G, Captura_Marimba_M01!$A:$A, Captura_Obra!A194, Captura_Marimba_M01!$C:$C, Captura_Obra!B194, Captura_Marimba_M01!$D:$D, Captura_Obra!D194))&gt;0), "", Captura_Obra!B194)</f>
        <v/>
      </c>
      <c r="G490" s="11386">
        <f>IF(OR(Captura_Obra!A194="", (SUMIFS(Captura_Pegaso!$H:$H, Captura_Pegaso!$A:$A, Captura_Obra!A194, Captura_Pegaso!$D:$D, Captura_Obra!B194, Captura_Pegaso!$E:$E, Captura_Obra!D194) + SUMIFS(Captura_Marimba_M01!$G:$G, Captura_Marimba_M01!$A:$A, Captura_Obra!A194, Captura_Marimba_M01!$C:$C, Captura_Obra!B194, Captura_Marimba_M01!$D:$D, Captura_Obra!D194))&gt;0), "", Captura_Obra!D194)</f>
        <v/>
      </c>
      <c r="H490" s="11387">
        <f>IF(OR(Captura_Obra!A194="", (SUMIFS(Captura_Pegaso!$H:$H, Captura_Pegaso!$A:$A, Captura_Obra!A194, Captura_Pegaso!$D:$D, Captura_Obra!B194, Captura_Pegaso!$E:$E, Captura_Obra!D194) + SUMIFS(Captura_Marimba_M01!$G:$G, Captura_Marimba_M01!$A:$A, Captura_Obra!A194, Captura_Marimba_M01!$C:$C, Captura_Obra!B194, Captura_Marimba_M01!$D:$D, Captura_Obra!D194))&gt;0), "", 0)</f>
        <v/>
      </c>
      <c r="I490" s="11388">
        <f>IF(OR(Captura_Obra!A194="", (SUMIFS(Captura_Pegaso!$H:$H, Captura_Pegaso!$A:$A, Captura_Obra!A194, Captura_Pegaso!$D:$D, Captura_Obra!B194, Captura_Pegaso!$E:$E, Captura_Obra!D194) + SUMIFS(Captura_Marimba_M01!$G:$G, Captura_Marimba_M01!$A:$A, Captura_Obra!A194, Captura_Marimba_M01!$C:$C, Captura_Obra!B194, Captura_Marimba_M01!$D:$D, Captura_Obra!D194))&gt;0), "", Captura_Obra!F194)</f>
        <v/>
      </c>
      <c r="J490" s="11389">
        <f>IF(OR(Captura_Obra!A194="", (SUMIFS(Captura_Pegaso!$H:$H, Captura_Pegaso!$A:$A, Captura_Obra!A194, Captura_Pegaso!$D:$D, Captura_Obra!B194, Captura_Pegaso!$E:$E, Captura_Obra!D194) + SUMIFS(Captura_Marimba_M01!$G:$G, Captura_Marimba_M01!$A:$A, Captura_Obra!A194, Captura_Marimba_M01!$C:$C, Captura_Obra!B194, Captura_Marimba_M01!$D:$D, Captura_Obra!D194))&gt;0), "", H490 - I490)</f>
        <v/>
      </c>
      <c r="K490" s="4299" t="n"/>
    </row>
    <row r="491">
      <c r="A491" s="11390">
        <f>IF(OR(Captura_Obra!A195="", (SUMIFS(Captura_Pegaso!$H:$H, Captura_Pegaso!$A:$A, Captura_Obra!A195, Captura_Pegaso!$D:$D, Captura_Obra!B195, Captura_Pegaso!$E:$E, Captura_Obra!D195) + SUMIFS(Captura_Marimba_M01!$G:$G, Captura_Marimba_M01!$A:$A, Captura_Obra!A195, Captura_Marimba_M01!$C:$C, Captura_Obra!B195, Captura_Marimba_M01!$D:$D, Captura_Obra!D195))&gt;0), "", "Huérfano Obra")</f>
        <v/>
      </c>
      <c r="B491" s="11391">
        <f>IF(OR(Captura_Obra!A195="", (SUMIFS(Captura_Pegaso!$H:$H, Captura_Pegaso!$A:$A, Captura_Obra!A195, Captura_Pegaso!$D:$D, Captura_Obra!B195, Captura_Pegaso!$E:$E, Captura_Obra!D195) + SUMIFS(Captura_Marimba_M01!$G:$G, Captura_Marimba_M01!$A:$A, Captura_Obra!A195, Captura_Marimba_M01!$C:$C, Captura_Obra!B195, Captura_Marimba_M01!$D:$D, Captura_Obra!D195))&gt;0), "", "No Reportado")</f>
        <v/>
      </c>
      <c r="C491" s="11392">
        <f>IF(OR(Captura_Obra!A195="", (SUMIFS(Captura_Pegaso!$H:$H, Captura_Pegaso!$A:$A, Captura_Obra!A195, Captura_Pegaso!$D:$D, Captura_Obra!B195, Captura_Pegaso!$E:$E, Captura_Obra!D195) + SUMIFS(Captura_Marimba_M01!$G:$G, Captura_Marimba_M01!$A:$A, Captura_Obra!A195, Captura_Marimba_M01!$C:$C, Captura_Obra!B195, Captura_Marimba_M01!$D:$D, Captura_Obra!D195))&gt;0), "", Captura_Obra!N195)</f>
        <v/>
      </c>
      <c r="D491" s="11393">
        <f>IF(OR(Captura_Obra!A195="", (SUMIFS(Captura_Pegaso!$H:$H, Captura_Pegaso!$A:$A, Captura_Obra!A195, Captura_Pegaso!$D:$D, Captura_Obra!B195, Captura_Pegaso!$E:$E, Captura_Obra!D195) + SUMIFS(Captura_Marimba_M01!$G:$G, Captura_Marimba_M01!$A:$A, Captura_Obra!A195, Captura_Marimba_M01!$C:$C, Captura_Obra!B195, Captura_Marimba_M01!$D:$D, Captura_Obra!D195))&gt;0), "", "❌ Falta en Pipa")</f>
        <v/>
      </c>
      <c r="E491" s="11394">
        <f>IF(OR(Captura_Obra!A195="", (SUMIFS(Captura_Pegaso!$H:$H, Captura_Pegaso!$A:$A, Captura_Obra!A195, Captura_Pegaso!$D:$D, Captura_Obra!B195, Captura_Pegaso!$E:$E, Captura_Obra!D195) + SUMIFS(Captura_Marimba_M01!$G:$G, Captura_Marimba_M01!$A:$A, Captura_Obra!A195, Captura_Marimba_M01!$C:$C, Captura_Obra!B195, Captura_Marimba_M01!$D:$D, Captura_Obra!D195))&gt;0), "", Captura_Obra!A195)</f>
        <v/>
      </c>
      <c r="F491" s="11395">
        <f>IF(OR(Captura_Obra!A195="", (SUMIFS(Captura_Pegaso!$H:$H, Captura_Pegaso!$A:$A, Captura_Obra!A195, Captura_Pegaso!$D:$D, Captura_Obra!B195, Captura_Pegaso!$E:$E, Captura_Obra!D195) + SUMIFS(Captura_Marimba_M01!$G:$G, Captura_Marimba_M01!$A:$A, Captura_Obra!A195, Captura_Marimba_M01!$C:$C, Captura_Obra!B195, Captura_Marimba_M01!$D:$D, Captura_Obra!D195))&gt;0), "", Captura_Obra!B195)</f>
        <v/>
      </c>
      <c r="G491" s="11396">
        <f>IF(OR(Captura_Obra!A195="", (SUMIFS(Captura_Pegaso!$H:$H, Captura_Pegaso!$A:$A, Captura_Obra!A195, Captura_Pegaso!$D:$D, Captura_Obra!B195, Captura_Pegaso!$E:$E, Captura_Obra!D195) + SUMIFS(Captura_Marimba_M01!$G:$G, Captura_Marimba_M01!$A:$A, Captura_Obra!A195, Captura_Marimba_M01!$C:$C, Captura_Obra!B195, Captura_Marimba_M01!$D:$D, Captura_Obra!D195))&gt;0), "", Captura_Obra!D195)</f>
        <v/>
      </c>
      <c r="H491" s="11397">
        <f>IF(OR(Captura_Obra!A195="", (SUMIFS(Captura_Pegaso!$H:$H, Captura_Pegaso!$A:$A, Captura_Obra!A195, Captura_Pegaso!$D:$D, Captura_Obra!B195, Captura_Pegaso!$E:$E, Captura_Obra!D195) + SUMIFS(Captura_Marimba_M01!$G:$G, Captura_Marimba_M01!$A:$A, Captura_Obra!A195, Captura_Marimba_M01!$C:$C, Captura_Obra!B195, Captura_Marimba_M01!$D:$D, Captura_Obra!D195))&gt;0), "", 0)</f>
        <v/>
      </c>
      <c r="I491" s="11398">
        <f>IF(OR(Captura_Obra!A195="", (SUMIFS(Captura_Pegaso!$H:$H, Captura_Pegaso!$A:$A, Captura_Obra!A195, Captura_Pegaso!$D:$D, Captura_Obra!B195, Captura_Pegaso!$E:$E, Captura_Obra!D195) + SUMIFS(Captura_Marimba_M01!$G:$G, Captura_Marimba_M01!$A:$A, Captura_Obra!A195, Captura_Marimba_M01!$C:$C, Captura_Obra!B195, Captura_Marimba_M01!$D:$D, Captura_Obra!D195))&gt;0), "", Captura_Obra!F195)</f>
        <v/>
      </c>
      <c r="J491" s="11399">
        <f>IF(OR(Captura_Obra!A195="", (SUMIFS(Captura_Pegaso!$H:$H, Captura_Pegaso!$A:$A, Captura_Obra!A195, Captura_Pegaso!$D:$D, Captura_Obra!B195, Captura_Pegaso!$E:$E, Captura_Obra!D195) + SUMIFS(Captura_Marimba_M01!$G:$G, Captura_Marimba_M01!$A:$A, Captura_Obra!A195, Captura_Marimba_M01!$C:$C, Captura_Obra!B195, Captura_Marimba_M01!$D:$D, Captura_Obra!D195))&gt;0), "", H491 - I491)</f>
        <v/>
      </c>
      <c r="K491" s="4300" t="n"/>
    </row>
    <row r="492">
      <c r="A492" s="11400">
        <f>IF(OR(Captura_Obra!A196="", (SUMIFS(Captura_Pegaso!$H:$H, Captura_Pegaso!$A:$A, Captura_Obra!A196, Captura_Pegaso!$D:$D, Captura_Obra!B196, Captura_Pegaso!$E:$E, Captura_Obra!D196) + SUMIFS(Captura_Marimba_M01!$G:$G, Captura_Marimba_M01!$A:$A, Captura_Obra!A196, Captura_Marimba_M01!$C:$C, Captura_Obra!B196, Captura_Marimba_M01!$D:$D, Captura_Obra!D196))&gt;0), "", "Huérfano Obra")</f>
        <v/>
      </c>
      <c r="B492" s="11401">
        <f>IF(OR(Captura_Obra!A196="", (SUMIFS(Captura_Pegaso!$H:$H, Captura_Pegaso!$A:$A, Captura_Obra!A196, Captura_Pegaso!$D:$D, Captura_Obra!B196, Captura_Pegaso!$E:$E, Captura_Obra!D196) + SUMIFS(Captura_Marimba_M01!$G:$G, Captura_Marimba_M01!$A:$A, Captura_Obra!A196, Captura_Marimba_M01!$C:$C, Captura_Obra!B196, Captura_Marimba_M01!$D:$D, Captura_Obra!D196))&gt;0), "", "No Reportado")</f>
        <v/>
      </c>
      <c r="C492" s="11402">
        <f>IF(OR(Captura_Obra!A196="", (SUMIFS(Captura_Pegaso!$H:$H, Captura_Pegaso!$A:$A, Captura_Obra!A196, Captura_Pegaso!$D:$D, Captura_Obra!B196, Captura_Pegaso!$E:$E, Captura_Obra!D196) + SUMIFS(Captura_Marimba_M01!$G:$G, Captura_Marimba_M01!$A:$A, Captura_Obra!A196, Captura_Marimba_M01!$C:$C, Captura_Obra!B196, Captura_Marimba_M01!$D:$D, Captura_Obra!D196))&gt;0), "", Captura_Obra!N196)</f>
        <v/>
      </c>
      <c r="D492" s="11403">
        <f>IF(OR(Captura_Obra!A196="", (SUMIFS(Captura_Pegaso!$H:$H, Captura_Pegaso!$A:$A, Captura_Obra!A196, Captura_Pegaso!$D:$D, Captura_Obra!B196, Captura_Pegaso!$E:$E, Captura_Obra!D196) + SUMIFS(Captura_Marimba_M01!$G:$G, Captura_Marimba_M01!$A:$A, Captura_Obra!A196, Captura_Marimba_M01!$C:$C, Captura_Obra!B196, Captura_Marimba_M01!$D:$D, Captura_Obra!D196))&gt;0), "", "❌ Falta en Pipa")</f>
        <v/>
      </c>
      <c r="E492" s="11404">
        <f>IF(OR(Captura_Obra!A196="", (SUMIFS(Captura_Pegaso!$H:$H, Captura_Pegaso!$A:$A, Captura_Obra!A196, Captura_Pegaso!$D:$D, Captura_Obra!B196, Captura_Pegaso!$E:$E, Captura_Obra!D196) + SUMIFS(Captura_Marimba_M01!$G:$G, Captura_Marimba_M01!$A:$A, Captura_Obra!A196, Captura_Marimba_M01!$C:$C, Captura_Obra!B196, Captura_Marimba_M01!$D:$D, Captura_Obra!D196))&gt;0), "", Captura_Obra!A196)</f>
        <v/>
      </c>
      <c r="F492" s="11405">
        <f>IF(OR(Captura_Obra!A196="", (SUMIFS(Captura_Pegaso!$H:$H, Captura_Pegaso!$A:$A, Captura_Obra!A196, Captura_Pegaso!$D:$D, Captura_Obra!B196, Captura_Pegaso!$E:$E, Captura_Obra!D196) + SUMIFS(Captura_Marimba_M01!$G:$G, Captura_Marimba_M01!$A:$A, Captura_Obra!A196, Captura_Marimba_M01!$C:$C, Captura_Obra!B196, Captura_Marimba_M01!$D:$D, Captura_Obra!D196))&gt;0), "", Captura_Obra!B196)</f>
        <v/>
      </c>
      <c r="G492" s="11406">
        <f>IF(OR(Captura_Obra!A196="", (SUMIFS(Captura_Pegaso!$H:$H, Captura_Pegaso!$A:$A, Captura_Obra!A196, Captura_Pegaso!$D:$D, Captura_Obra!B196, Captura_Pegaso!$E:$E, Captura_Obra!D196) + SUMIFS(Captura_Marimba_M01!$G:$G, Captura_Marimba_M01!$A:$A, Captura_Obra!A196, Captura_Marimba_M01!$C:$C, Captura_Obra!B196, Captura_Marimba_M01!$D:$D, Captura_Obra!D196))&gt;0), "", Captura_Obra!D196)</f>
        <v/>
      </c>
      <c r="H492" s="11407">
        <f>IF(OR(Captura_Obra!A196="", (SUMIFS(Captura_Pegaso!$H:$H, Captura_Pegaso!$A:$A, Captura_Obra!A196, Captura_Pegaso!$D:$D, Captura_Obra!B196, Captura_Pegaso!$E:$E, Captura_Obra!D196) + SUMIFS(Captura_Marimba_M01!$G:$G, Captura_Marimba_M01!$A:$A, Captura_Obra!A196, Captura_Marimba_M01!$C:$C, Captura_Obra!B196, Captura_Marimba_M01!$D:$D, Captura_Obra!D196))&gt;0), "", 0)</f>
        <v/>
      </c>
      <c r="I492" s="11408">
        <f>IF(OR(Captura_Obra!A196="", (SUMIFS(Captura_Pegaso!$H:$H, Captura_Pegaso!$A:$A, Captura_Obra!A196, Captura_Pegaso!$D:$D, Captura_Obra!B196, Captura_Pegaso!$E:$E, Captura_Obra!D196) + SUMIFS(Captura_Marimba_M01!$G:$G, Captura_Marimba_M01!$A:$A, Captura_Obra!A196, Captura_Marimba_M01!$C:$C, Captura_Obra!B196, Captura_Marimba_M01!$D:$D, Captura_Obra!D196))&gt;0), "", Captura_Obra!F196)</f>
        <v/>
      </c>
      <c r="J492" s="11409">
        <f>IF(OR(Captura_Obra!A196="", (SUMIFS(Captura_Pegaso!$H:$H, Captura_Pegaso!$A:$A, Captura_Obra!A196, Captura_Pegaso!$D:$D, Captura_Obra!B196, Captura_Pegaso!$E:$E, Captura_Obra!D196) + SUMIFS(Captura_Marimba_M01!$G:$G, Captura_Marimba_M01!$A:$A, Captura_Obra!A196, Captura_Marimba_M01!$C:$C, Captura_Obra!B196, Captura_Marimba_M01!$D:$D, Captura_Obra!D196))&gt;0), "", H492 - I492)</f>
        <v/>
      </c>
      <c r="K492" s="4301" t="n"/>
    </row>
    <row r="493">
      <c r="A493" s="11410">
        <f>IF(OR(Captura_Obra!A197="", (SUMIFS(Captura_Pegaso!$H:$H, Captura_Pegaso!$A:$A, Captura_Obra!A197, Captura_Pegaso!$D:$D, Captura_Obra!B197, Captura_Pegaso!$E:$E, Captura_Obra!D197) + SUMIFS(Captura_Marimba_M01!$G:$G, Captura_Marimba_M01!$A:$A, Captura_Obra!A197, Captura_Marimba_M01!$C:$C, Captura_Obra!B197, Captura_Marimba_M01!$D:$D, Captura_Obra!D197))&gt;0), "", "Huérfano Obra")</f>
        <v/>
      </c>
      <c r="B493" s="11411">
        <f>IF(OR(Captura_Obra!A197="", (SUMIFS(Captura_Pegaso!$H:$H, Captura_Pegaso!$A:$A, Captura_Obra!A197, Captura_Pegaso!$D:$D, Captura_Obra!B197, Captura_Pegaso!$E:$E, Captura_Obra!D197) + SUMIFS(Captura_Marimba_M01!$G:$G, Captura_Marimba_M01!$A:$A, Captura_Obra!A197, Captura_Marimba_M01!$C:$C, Captura_Obra!B197, Captura_Marimba_M01!$D:$D, Captura_Obra!D197))&gt;0), "", "No Reportado")</f>
        <v/>
      </c>
      <c r="C493" s="11412">
        <f>IF(OR(Captura_Obra!A197="", (SUMIFS(Captura_Pegaso!$H:$H, Captura_Pegaso!$A:$A, Captura_Obra!A197, Captura_Pegaso!$D:$D, Captura_Obra!B197, Captura_Pegaso!$E:$E, Captura_Obra!D197) + SUMIFS(Captura_Marimba_M01!$G:$G, Captura_Marimba_M01!$A:$A, Captura_Obra!A197, Captura_Marimba_M01!$C:$C, Captura_Obra!B197, Captura_Marimba_M01!$D:$D, Captura_Obra!D197))&gt;0), "", Captura_Obra!N197)</f>
        <v/>
      </c>
      <c r="D493" s="11413">
        <f>IF(OR(Captura_Obra!A197="", (SUMIFS(Captura_Pegaso!$H:$H, Captura_Pegaso!$A:$A, Captura_Obra!A197, Captura_Pegaso!$D:$D, Captura_Obra!B197, Captura_Pegaso!$E:$E, Captura_Obra!D197) + SUMIFS(Captura_Marimba_M01!$G:$G, Captura_Marimba_M01!$A:$A, Captura_Obra!A197, Captura_Marimba_M01!$C:$C, Captura_Obra!B197, Captura_Marimba_M01!$D:$D, Captura_Obra!D197))&gt;0), "", "❌ Falta en Pipa")</f>
        <v/>
      </c>
      <c r="E493" s="11414">
        <f>IF(OR(Captura_Obra!A197="", (SUMIFS(Captura_Pegaso!$H:$H, Captura_Pegaso!$A:$A, Captura_Obra!A197, Captura_Pegaso!$D:$D, Captura_Obra!B197, Captura_Pegaso!$E:$E, Captura_Obra!D197) + SUMIFS(Captura_Marimba_M01!$G:$G, Captura_Marimba_M01!$A:$A, Captura_Obra!A197, Captura_Marimba_M01!$C:$C, Captura_Obra!B197, Captura_Marimba_M01!$D:$D, Captura_Obra!D197))&gt;0), "", Captura_Obra!A197)</f>
        <v/>
      </c>
      <c r="F493" s="11415">
        <f>IF(OR(Captura_Obra!A197="", (SUMIFS(Captura_Pegaso!$H:$H, Captura_Pegaso!$A:$A, Captura_Obra!A197, Captura_Pegaso!$D:$D, Captura_Obra!B197, Captura_Pegaso!$E:$E, Captura_Obra!D197) + SUMIFS(Captura_Marimba_M01!$G:$G, Captura_Marimba_M01!$A:$A, Captura_Obra!A197, Captura_Marimba_M01!$C:$C, Captura_Obra!B197, Captura_Marimba_M01!$D:$D, Captura_Obra!D197))&gt;0), "", Captura_Obra!B197)</f>
        <v/>
      </c>
      <c r="G493" s="11416">
        <f>IF(OR(Captura_Obra!A197="", (SUMIFS(Captura_Pegaso!$H:$H, Captura_Pegaso!$A:$A, Captura_Obra!A197, Captura_Pegaso!$D:$D, Captura_Obra!B197, Captura_Pegaso!$E:$E, Captura_Obra!D197) + SUMIFS(Captura_Marimba_M01!$G:$G, Captura_Marimba_M01!$A:$A, Captura_Obra!A197, Captura_Marimba_M01!$C:$C, Captura_Obra!B197, Captura_Marimba_M01!$D:$D, Captura_Obra!D197))&gt;0), "", Captura_Obra!D197)</f>
        <v/>
      </c>
      <c r="H493" s="11417">
        <f>IF(OR(Captura_Obra!A197="", (SUMIFS(Captura_Pegaso!$H:$H, Captura_Pegaso!$A:$A, Captura_Obra!A197, Captura_Pegaso!$D:$D, Captura_Obra!B197, Captura_Pegaso!$E:$E, Captura_Obra!D197) + SUMIFS(Captura_Marimba_M01!$G:$G, Captura_Marimba_M01!$A:$A, Captura_Obra!A197, Captura_Marimba_M01!$C:$C, Captura_Obra!B197, Captura_Marimba_M01!$D:$D, Captura_Obra!D197))&gt;0), "", 0)</f>
        <v/>
      </c>
      <c r="I493" s="11418">
        <f>IF(OR(Captura_Obra!A197="", (SUMIFS(Captura_Pegaso!$H:$H, Captura_Pegaso!$A:$A, Captura_Obra!A197, Captura_Pegaso!$D:$D, Captura_Obra!B197, Captura_Pegaso!$E:$E, Captura_Obra!D197) + SUMIFS(Captura_Marimba_M01!$G:$G, Captura_Marimba_M01!$A:$A, Captura_Obra!A197, Captura_Marimba_M01!$C:$C, Captura_Obra!B197, Captura_Marimba_M01!$D:$D, Captura_Obra!D197))&gt;0), "", Captura_Obra!F197)</f>
        <v/>
      </c>
      <c r="J493" s="11419">
        <f>IF(OR(Captura_Obra!A197="", (SUMIFS(Captura_Pegaso!$H:$H, Captura_Pegaso!$A:$A, Captura_Obra!A197, Captura_Pegaso!$D:$D, Captura_Obra!B197, Captura_Pegaso!$E:$E, Captura_Obra!D197) + SUMIFS(Captura_Marimba_M01!$G:$G, Captura_Marimba_M01!$A:$A, Captura_Obra!A197, Captura_Marimba_M01!$C:$C, Captura_Obra!B197, Captura_Marimba_M01!$D:$D, Captura_Obra!D197))&gt;0), "", H493 - I493)</f>
        <v/>
      </c>
      <c r="K493" s="4302" t="n"/>
    </row>
    <row r="494">
      <c r="A494" s="11420">
        <f>IF(OR(Captura_Obra!A198="", (SUMIFS(Captura_Pegaso!$H:$H, Captura_Pegaso!$A:$A, Captura_Obra!A198, Captura_Pegaso!$D:$D, Captura_Obra!B198, Captura_Pegaso!$E:$E, Captura_Obra!D198) + SUMIFS(Captura_Marimba_M01!$G:$G, Captura_Marimba_M01!$A:$A, Captura_Obra!A198, Captura_Marimba_M01!$C:$C, Captura_Obra!B198, Captura_Marimba_M01!$D:$D, Captura_Obra!D198))&gt;0), "", "Huérfano Obra")</f>
        <v/>
      </c>
      <c r="B494" s="11421">
        <f>IF(OR(Captura_Obra!A198="", (SUMIFS(Captura_Pegaso!$H:$H, Captura_Pegaso!$A:$A, Captura_Obra!A198, Captura_Pegaso!$D:$D, Captura_Obra!B198, Captura_Pegaso!$E:$E, Captura_Obra!D198) + SUMIFS(Captura_Marimba_M01!$G:$G, Captura_Marimba_M01!$A:$A, Captura_Obra!A198, Captura_Marimba_M01!$C:$C, Captura_Obra!B198, Captura_Marimba_M01!$D:$D, Captura_Obra!D198))&gt;0), "", "No Reportado")</f>
        <v/>
      </c>
      <c r="C494" s="11422">
        <f>IF(OR(Captura_Obra!A198="", (SUMIFS(Captura_Pegaso!$H:$H, Captura_Pegaso!$A:$A, Captura_Obra!A198, Captura_Pegaso!$D:$D, Captura_Obra!B198, Captura_Pegaso!$E:$E, Captura_Obra!D198) + SUMIFS(Captura_Marimba_M01!$G:$G, Captura_Marimba_M01!$A:$A, Captura_Obra!A198, Captura_Marimba_M01!$C:$C, Captura_Obra!B198, Captura_Marimba_M01!$D:$D, Captura_Obra!D198))&gt;0), "", Captura_Obra!N198)</f>
        <v/>
      </c>
      <c r="D494" s="11423">
        <f>IF(OR(Captura_Obra!A198="", (SUMIFS(Captura_Pegaso!$H:$H, Captura_Pegaso!$A:$A, Captura_Obra!A198, Captura_Pegaso!$D:$D, Captura_Obra!B198, Captura_Pegaso!$E:$E, Captura_Obra!D198) + SUMIFS(Captura_Marimba_M01!$G:$G, Captura_Marimba_M01!$A:$A, Captura_Obra!A198, Captura_Marimba_M01!$C:$C, Captura_Obra!B198, Captura_Marimba_M01!$D:$D, Captura_Obra!D198))&gt;0), "", "❌ Falta en Pipa")</f>
        <v/>
      </c>
      <c r="E494" s="11424">
        <f>IF(OR(Captura_Obra!A198="", (SUMIFS(Captura_Pegaso!$H:$H, Captura_Pegaso!$A:$A, Captura_Obra!A198, Captura_Pegaso!$D:$D, Captura_Obra!B198, Captura_Pegaso!$E:$E, Captura_Obra!D198) + SUMIFS(Captura_Marimba_M01!$G:$G, Captura_Marimba_M01!$A:$A, Captura_Obra!A198, Captura_Marimba_M01!$C:$C, Captura_Obra!B198, Captura_Marimba_M01!$D:$D, Captura_Obra!D198))&gt;0), "", Captura_Obra!A198)</f>
        <v/>
      </c>
      <c r="F494" s="11425">
        <f>IF(OR(Captura_Obra!A198="", (SUMIFS(Captura_Pegaso!$H:$H, Captura_Pegaso!$A:$A, Captura_Obra!A198, Captura_Pegaso!$D:$D, Captura_Obra!B198, Captura_Pegaso!$E:$E, Captura_Obra!D198) + SUMIFS(Captura_Marimba_M01!$G:$G, Captura_Marimba_M01!$A:$A, Captura_Obra!A198, Captura_Marimba_M01!$C:$C, Captura_Obra!B198, Captura_Marimba_M01!$D:$D, Captura_Obra!D198))&gt;0), "", Captura_Obra!B198)</f>
        <v/>
      </c>
      <c r="G494" s="11426">
        <f>IF(OR(Captura_Obra!A198="", (SUMIFS(Captura_Pegaso!$H:$H, Captura_Pegaso!$A:$A, Captura_Obra!A198, Captura_Pegaso!$D:$D, Captura_Obra!B198, Captura_Pegaso!$E:$E, Captura_Obra!D198) + SUMIFS(Captura_Marimba_M01!$G:$G, Captura_Marimba_M01!$A:$A, Captura_Obra!A198, Captura_Marimba_M01!$C:$C, Captura_Obra!B198, Captura_Marimba_M01!$D:$D, Captura_Obra!D198))&gt;0), "", Captura_Obra!D198)</f>
        <v/>
      </c>
      <c r="H494" s="11427">
        <f>IF(OR(Captura_Obra!A198="", (SUMIFS(Captura_Pegaso!$H:$H, Captura_Pegaso!$A:$A, Captura_Obra!A198, Captura_Pegaso!$D:$D, Captura_Obra!B198, Captura_Pegaso!$E:$E, Captura_Obra!D198) + SUMIFS(Captura_Marimba_M01!$G:$G, Captura_Marimba_M01!$A:$A, Captura_Obra!A198, Captura_Marimba_M01!$C:$C, Captura_Obra!B198, Captura_Marimba_M01!$D:$D, Captura_Obra!D198))&gt;0), "", 0)</f>
        <v/>
      </c>
      <c r="I494" s="11428">
        <f>IF(OR(Captura_Obra!A198="", (SUMIFS(Captura_Pegaso!$H:$H, Captura_Pegaso!$A:$A, Captura_Obra!A198, Captura_Pegaso!$D:$D, Captura_Obra!B198, Captura_Pegaso!$E:$E, Captura_Obra!D198) + SUMIFS(Captura_Marimba_M01!$G:$G, Captura_Marimba_M01!$A:$A, Captura_Obra!A198, Captura_Marimba_M01!$C:$C, Captura_Obra!B198, Captura_Marimba_M01!$D:$D, Captura_Obra!D198))&gt;0), "", Captura_Obra!F198)</f>
        <v/>
      </c>
      <c r="J494" s="11429">
        <f>IF(OR(Captura_Obra!A198="", (SUMIFS(Captura_Pegaso!$H:$H, Captura_Pegaso!$A:$A, Captura_Obra!A198, Captura_Pegaso!$D:$D, Captura_Obra!B198, Captura_Pegaso!$E:$E, Captura_Obra!D198) + SUMIFS(Captura_Marimba_M01!$G:$G, Captura_Marimba_M01!$A:$A, Captura_Obra!A198, Captura_Marimba_M01!$C:$C, Captura_Obra!B198, Captura_Marimba_M01!$D:$D, Captura_Obra!D198))&gt;0), "", H494 - I494)</f>
        <v/>
      </c>
      <c r="K494" s="4303" t="n"/>
    </row>
    <row r="495">
      <c r="A495" s="11430">
        <f>IF(OR(Captura_Obra!A199="", (SUMIFS(Captura_Pegaso!$H:$H, Captura_Pegaso!$A:$A, Captura_Obra!A199, Captura_Pegaso!$D:$D, Captura_Obra!B199, Captura_Pegaso!$E:$E, Captura_Obra!D199) + SUMIFS(Captura_Marimba_M01!$G:$G, Captura_Marimba_M01!$A:$A, Captura_Obra!A199, Captura_Marimba_M01!$C:$C, Captura_Obra!B199, Captura_Marimba_M01!$D:$D, Captura_Obra!D199))&gt;0), "", "Huérfano Obra")</f>
        <v/>
      </c>
      <c r="B495" s="11431">
        <f>IF(OR(Captura_Obra!A199="", (SUMIFS(Captura_Pegaso!$H:$H, Captura_Pegaso!$A:$A, Captura_Obra!A199, Captura_Pegaso!$D:$D, Captura_Obra!B199, Captura_Pegaso!$E:$E, Captura_Obra!D199) + SUMIFS(Captura_Marimba_M01!$G:$G, Captura_Marimba_M01!$A:$A, Captura_Obra!A199, Captura_Marimba_M01!$C:$C, Captura_Obra!B199, Captura_Marimba_M01!$D:$D, Captura_Obra!D199))&gt;0), "", "No Reportado")</f>
        <v/>
      </c>
      <c r="C495" s="11432">
        <f>IF(OR(Captura_Obra!A199="", (SUMIFS(Captura_Pegaso!$H:$H, Captura_Pegaso!$A:$A, Captura_Obra!A199, Captura_Pegaso!$D:$D, Captura_Obra!B199, Captura_Pegaso!$E:$E, Captura_Obra!D199) + SUMIFS(Captura_Marimba_M01!$G:$G, Captura_Marimba_M01!$A:$A, Captura_Obra!A199, Captura_Marimba_M01!$C:$C, Captura_Obra!B199, Captura_Marimba_M01!$D:$D, Captura_Obra!D199))&gt;0), "", Captura_Obra!N199)</f>
        <v/>
      </c>
      <c r="D495" s="11433">
        <f>IF(OR(Captura_Obra!A199="", (SUMIFS(Captura_Pegaso!$H:$H, Captura_Pegaso!$A:$A, Captura_Obra!A199, Captura_Pegaso!$D:$D, Captura_Obra!B199, Captura_Pegaso!$E:$E, Captura_Obra!D199) + SUMIFS(Captura_Marimba_M01!$G:$G, Captura_Marimba_M01!$A:$A, Captura_Obra!A199, Captura_Marimba_M01!$C:$C, Captura_Obra!B199, Captura_Marimba_M01!$D:$D, Captura_Obra!D199))&gt;0), "", "❌ Falta en Pipa")</f>
        <v/>
      </c>
      <c r="E495" s="11434">
        <f>IF(OR(Captura_Obra!A199="", (SUMIFS(Captura_Pegaso!$H:$H, Captura_Pegaso!$A:$A, Captura_Obra!A199, Captura_Pegaso!$D:$D, Captura_Obra!B199, Captura_Pegaso!$E:$E, Captura_Obra!D199) + SUMIFS(Captura_Marimba_M01!$G:$G, Captura_Marimba_M01!$A:$A, Captura_Obra!A199, Captura_Marimba_M01!$C:$C, Captura_Obra!B199, Captura_Marimba_M01!$D:$D, Captura_Obra!D199))&gt;0), "", Captura_Obra!A199)</f>
        <v/>
      </c>
      <c r="F495" s="11435">
        <f>IF(OR(Captura_Obra!A199="", (SUMIFS(Captura_Pegaso!$H:$H, Captura_Pegaso!$A:$A, Captura_Obra!A199, Captura_Pegaso!$D:$D, Captura_Obra!B199, Captura_Pegaso!$E:$E, Captura_Obra!D199) + SUMIFS(Captura_Marimba_M01!$G:$G, Captura_Marimba_M01!$A:$A, Captura_Obra!A199, Captura_Marimba_M01!$C:$C, Captura_Obra!B199, Captura_Marimba_M01!$D:$D, Captura_Obra!D199))&gt;0), "", Captura_Obra!B199)</f>
        <v/>
      </c>
      <c r="G495" s="11436">
        <f>IF(OR(Captura_Obra!A199="", (SUMIFS(Captura_Pegaso!$H:$H, Captura_Pegaso!$A:$A, Captura_Obra!A199, Captura_Pegaso!$D:$D, Captura_Obra!B199, Captura_Pegaso!$E:$E, Captura_Obra!D199) + SUMIFS(Captura_Marimba_M01!$G:$G, Captura_Marimba_M01!$A:$A, Captura_Obra!A199, Captura_Marimba_M01!$C:$C, Captura_Obra!B199, Captura_Marimba_M01!$D:$D, Captura_Obra!D199))&gt;0), "", Captura_Obra!D199)</f>
        <v/>
      </c>
      <c r="H495" s="11437">
        <f>IF(OR(Captura_Obra!A199="", (SUMIFS(Captura_Pegaso!$H:$H, Captura_Pegaso!$A:$A, Captura_Obra!A199, Captura_Pegaso!$D:$D, Captura_Obra!B199, Captura_Pegaso!$E:$E, Captura_Obra!D199) + SUMIFS(Captura_Marimba_M01!$G:$G, Captura_Marimba_M01!$A:$A, Captura_Obra!A199, Captura_Marimba_M01!$C:$C, Captura_Obra!B199, Captura_Marimba_M01!$D:$D, Captura_Obra!D199))&gt;0), "", 0)</f>
        <v/>
      </c>
      <c r="I495" s="11438">
        <f>IF(OR(Captura_Obra!A199="", (SUMIFS(Captura_Pegaso!$H:$H, Captura_Pegaso!$A:$A, Captura_Obra!A199, Captura_Pegaso!$D:$D, Captura_Obra!B199, Captura_Pegaso!$E:$E, Captura_Obra!D199) + SUMIFS(Captura_Marimba_M01!$G:$G, Captura_Marimba_M01!$A:$A, Captura_Obra!A199, Captura_Marimba_M01!$C:$C, Captura_Obra!B199, Captura_Marimba_M01!$D:$D, Captura_Obra!D199))&gt;0), "", Captura_Obra!F199)</f>
        <v/>
      </c>
      <c r="J495" s="11439">
        <f>IF(OR(Captura_Obra!A199="", (SUMIFS(Captura_Pegaso!$H:$H, Captura_Pegaso!$A:$A, Captura_Obra!A199, Captura_Pegaso!$D:$D, Captura_Obra!B199, Captura_Pegaso!$E:$E, Captura_Obra!D199) + SUMIFS(Captura_Marimba_M01!$G:$G, Captura_Marimba_M01!$A:$A, Captura_Obra!A199, Captura_Marimba_M01!$C:$C, Captura_Obra!B199, Captura_Marimba_M01!$D:$D, Captura_Obra!D199))&gt;0), "", H495 - I495)</f>
        <v/>
      </c>
      <c r="K495" s="4304" t="n"/>
    </row>
    <row r="496">
      <c r="A496" s="11440">
        <f>IF(OR(Captura_Obra!A200="", (SUMIFS(Captura_Pegaso!$H:$H, Captura_Pegaso!$A:$A, Captura_Obra!A200, Captura_Pegaso!$D:$D, Captura_Obra!B200, Captura_Pegaso!$E:$E, Captura_Obra!D200) + SUMIFS(Captura_Marimba_M01!$G:$G, Captura_Marimba_M01!$A:$A, Captura_Obra!A200, Captura_Marimba_M01!$C:$C, Captura_Obra!B200, Captura_Marimba_M01!$D:$D, Captura_Obra!D200))&gt;0), "", "Huérfano Obra")</f>
        <v/>
      </c>
      <c r="B496" s="11441">
        <f>IF(OR(Captura_Obra!A200="", (SUMIFS(Captura_Pegaso!$H:$H, Captura_Pegaso!$A:$A, Captura_Obra!A200, Captura_Pegaso!$D:$D, Captura_Obra!B200, Captura_Pegaso!$E:$E, Captura_Obra!D200) + SUMIFS(Captura_Marimba_M01!$G:$G, Captura_Marimba_M01!$A:$A, Captura_Obra!A200, Captura_Marimba_M01!$C:$C, Captura_Obra!B200, Captura_Marimba_M01!$D:$D, Captura_Obra!D200))&gt;0), "", "No Reportado")</f>
        <v/>
      </c>
      <c r="C496" s="11442">
        <f>IF(OR(Captura_Obra!A200="", (SUMIFS(Captura_Pegaso!$H:$H, Captura_Pegaso!$A:$A, Captura_Obra!A200, Captura_Pegaso!$D:$D, Captura_Obra!B200, Captura_Pegaso!$E:$E, Captura_Obra!D200) + SUMIFS(Captura_Marimba_M01!$G:$G, Captura_Marimba_M01!$A:$A, Captura_Obra!A200, Captura_Marimba_M01!$C:$C, Captura_Obra!B200, Captura_Marimba_M01!$D:$D, Captura_Obra!D200))&gt;0), "", Captura_Obra!N200)</f>
        <v/>
      </c>
      <c r="D496" s="11443">
        <f>IF(OR(Captura_Obra!A200="", (SUMIFS(Captura_Pegaso!$H:$H, Captura_Pegaso!$A:$A, Captura_Obra!A200, Captura_Pegaso!$D:$D, Captura_Obra!B200, Captura_Pegaso!$E:$E, Captura_Obra!D200) + SUMIFS(Captura_Marimba_M01!$G:$G, Captura_Marimba_M01!$A:$A, Captura_Obra!A200, Captura_Marimba_M01!$C:$C, Captura_Obra!B200, Captura_Marimba_M01!$D:$D, Captura_Obra!D200))&gt;0), "", "❌ Falta en Pipa")</f>
        <v/>
      </c>
      <c r="E496" s="11444">
        <f>IF(OR(Captura_Obra!A200="", (SUMIFS(Captura_Pegaso!$H:$H, Captura_Pegaso!$A:$A, Captura_Obra!A200, Captura_Pegaso!$D:$D, Captura_Obra!B200, Captura_Pegaso!$E:$E, Captura_Obra!D200) + SUMIFS(Captura_Marimba_M01!$G:$G, Captura_Marimba_M01!$A:$A, Captura_Obra!A200, Captura_Marimba_M01!$C:$C, Captura_Obra!B200, Captura_Marimba_M01!$D:$D, Captura_Obra!D200))&gt;0), "", Captura_Obra!A200)</f>
        <v/>
      </c>
      <c r="F496" s="11445">
        <f>IF(OR(Captura_Obra!A200="", (SUMIFS(Captura_Pegaso!$H:$H, Captura_Pegaso!$A:$A, Captura_Obra!A200, Captura_Pegaso!$D:$D, Captura_Obra!B200, Captura_Pegaso!$E:$E, Captura_Obra!D200) + SUMIFS(Captura_Marimba_M01!$G:$G, Captura_Marimba_M01!$A:$A, Captura_Obra!A200, Captura_Marimba_M01!$C:$C, Captura_Obra!B200, Captura_Marimba_M01!$D:$D, Captura_Obra!D200))&gt;0), "", Captura_Obra!B200)</f>
        <v/>
      </c>
      <c r="G496" s="11446">
        <f>IF(OR(Captura_Obra!A200="", (SUMIFS(Captura_Pegaso!$H:$H, Captura_Pegaso!$A:$A, Captura_Obra!A200, Captura_Pegaso!$D:$D, Captura_Obra!B200, Captura_Pegaso!$E:$E, Captura_Obra!D200) + SUMIFS(Captura_Marimba_M01!$G:$G, Captura_Marimba_M01!$A:$A, Captura_Obra!A200, Captura_Marimba_M01!$C:$C, Captura_Obra!B200, Captura_Marimba_M01!$D:$D, Captura_Obra!D200))&gt;0), "", Captura_Obra!D200)</f>
        <v/>
      </c>
      <c r="H496" s="11447">
        <f>IF(OR(Captura_Obra!A200="", (SUMIFS(Captura_Pegaso!$H:$H, Captura_Pegaso!$A:$A, Captura_Obra!A200, Captura_Pegaso!$D:$D, Captura_Obra!B200, Captura_Pegaso!$E:$E, Captura_Obra!D200) + SUMIFS(Captura_Marimba_M01!$G:$G, Captura_Marimba_M01!$A:$A, Captura_Obra!A200, Captura_Marimba_M01!$C:$C, Captura_Obra!B200, Captura_Marimba_M01!$D:$D, Captura_Obra!D200))&gt;0), "", 0)</f>
        <v/>
      </c>
      <c r="I496" s="11448">
        <f>IF(OR(Captura_Obra!A200="", (SUMIFS(Captura_Pegaso!$H:$H, Captura_Pegaso!$A:$A, Captura_Obra!A200, Captura_Pegaso!$D:$D, Captura_Obra!B200, Captura_Pegaso!$E:$E, Captura_Obra!D200) + SUMIFS(Captura_Marimba_M01!$G:$G, Captura_Marimba_M01!$A:$A, Captura_Obra!A200, Captura_Marimba_M01!$C:$C, Captura_Obra!B200, Captura_Marimba_M01!$D:$D, Captura_Obra!D200))&gt;0), "", Captura_Obra!F200)</f>
        <v/>
      </c>
      <c r="J496" s="11449">
        <f>IF(OR(Captura_Obra!A200="", (SUMIFS(Captura_Pegaso!$H:$H, Captura_Pegaso!$A:$A, Captura_Obra!A200, Captura_Pegaso!$D:$D, Captura_Obra!B200, Captura_Pegaso!$E:$E, Captura_Obra!D200) + SUMIFS(Captura_Marimba_M01!$G:$G, Captura_Marimba_M01!$A:$A, Captura_Obra!A200, Captura_Marimba_M01!$C:$C, Captura_Obra!B200, Captura_Marimba_M01!$D:$D, Captura_Obra!D200))&gt;0), "", H496 - I496)</f>
        <v/>
      </c>
      <c r="K496" s="4305" t="n"/>
    </row>
    <row r="497">
      <c r="A497" s="11450">
        <f>IF(OR(Captura_Obra!A201="", (SUMIFS(Captura_Pegaso!$H:$H, Captura_Pegaso!$A:$A, Captura_Obra!A201, Captura_Pegaso!$D:$D, Captura_Obra!B201, Captura_Pegaso!$E:$E, Captura_Obra!D201) + SUMIFS(Captura_Marimba_M01!$G:$G, Captura_Marimba_M01!$A:$A, Captura_Obra!A201, Captura_Marimba_M01!$C:$C, Captura_Obra!B201, Captura_Marimba_M01!$D:$D, Captura_Obra!D201))&gt;0), "", "Huérfano Obra")</f>
        <v/>
      </c>
      <c r="B497" s="11451">
        <f>IF(OR(Captura_Obra!A201="", (SUMIFS(Captura_Pegaso!$H:$H, Captura_Pegaso!$A:$A, Captura_Obra!A201, Captura_Pegaso!$D:$D, Captura_Obra!B201, Captura_Pegaso!$E:$E, Captura_Obra!D201) + SUMIFS(Captura_Marimba_M01!$G:$G, Captura_Marimba_M01!$A:$A, Captura_Obra!A201, Captura_Marimba_M01!$C:$C, Captura_Obra!B201, Captura_Marimba_M01!$D:$D, Captura_Obra!D201))&gt;0), "", "No Reportado")</f>
        <v/>
      </c>
      <c r="C497" s="11452">
        <f>IF(OR(Captura_Obra!A201="", (SUMIFS(Captura_Pegaso!$H:$H, Captura_Pegaso!$A:$A, Captura_Obra!A201, Captura_Pegaso!$D:$D, Captura_Obra!B201, Captura_Pegaso!$E:$E, Captura_Obra!D201) + SUMIFS(Captura_Marimba_M01!$G:$G, Captura_Marimba_M01!$A:$A, Captura_Obra!A201, Captura_Marimba_M01!$C:$C, Captura_Obra!B201, Captura_Marimba_M01!$D:$D, Captura_Obra!D201))&gt;0), "", Captura_Obra!N201)</f>
        <v/>
      </c>
      <c r="D497" s="11453">
        <f>IF(OR(Captura_Obra!A201="", (SUMIFS(Captura_Pegaso!$H:$H, Captura_Pegaso!$A:$A, Captura_Obra!A201, Captura_Pegaso!$D:$D, Captura_Obra!B201, Captura_Pegaso!$E:$E, Captura_Obra!D201) + SUMIFS(Captura_Marimba_M01!$G:$G, Captura_Marimba_M01!$A:$A, Captura_Obra!A201, Captura_Marimba_M01!$C:$C, Captura_Obra!B201, Captura_Marimba_M01!$D:$D, Captura_Obra!D201))&gt;0), "", "❌ Falta en Pipa")</f>
        <v/>
      </c>
      <c r="E497" s="11454">
        <f>IF(OR(Captura_Obra!A201="", (SUMIFS(Captura_Pegaso!$H:$H, Captura_Pegaso!$A:$A, Captura_Obra!A201, Captura_Pegaso!$D:$D, Captura_Obra!B201, Captura_Pegaso!$E:$E, Captura_Obra!D201) + SUMIFS(Captura_Marimba_M01!$G:$G, Captura_Marimba_M01!$A:$A, Captura_Obra!A201, Captura_Marimba_M01!$C:$C, Captura_Obra!B201, Captura_Marimba_M01!$D:$D, Captura_Obra!D201))&gt;0), "", Captura_Obra!A201)</f>
        <v/>
      </c>
      <c r="F497" s="11455">
        <f>IF(OR(Captura_Obra!A201="", (SUMIFS(Captura_Pegaso!$H:$H, Captura_Pegaso!$A:$A, Captura_Obra!A201, Captura_Pegaso!$D:$D, Captura_Obra!B201, Captura_Pegaso!$E:$E, Captura_Obra!D201) + SUMIFS(Captura_Marimba_M01!$G:$G, Captura_Marimba_M01!$A:$A, Captura_Obra!A201, Captura_Marimba_M01!$C:$C, Captura_Obra!B201, Captura_Marimba_M01!$D:$D, Captura_Obra!D201))&gt;0), "", Captura_Obra!B201)</f>
        <v/>
      </c>
      <c r="G497" s="11456">
        <f>IF(OR(Captura_Obra!A201="", (SUMIFS(Captura_Pegaso!$H:$H, Captura_Pegaso!$A:$A, Captura_Obra!A201, Captura_Pegaso!$D:$D, Captura_Obra!B201, Captura_Pegaso!$E:$E, Captura_Obra!D201) + SUMIFS(Captura_Marimba_M01!$G:$G, Captura_Marimba_M01!$A:$A, Captura_Obra!A201, Captura_Marimba_M01!$C:$C, Captura_Obra!B201, Captura_Marimba_M01!$D:$D, Captura_Obra!D201))&gt;0), "", Captura_Obra!D201)</f>
        <v/>
      </c>
      <c r="H497" s="11457">
        <f>IF(OR(Captura_Obra!A201="", (SUMIFS(Captura_Pegaso!$H:$H, Captura_Pegaso!$A:$A, Captura_Obra!A201, Captura_Pegaso!$D:$D, Captura_Obra!B201, Captura_Pegaso!$E:$E, Captura_Obra!D201) + SUMIFS(Captura_Marimba_M01!$G:$G, Captura_Marimba_M01!$A:$A, Captura_Obra!A201, Captura_Marimba_M01!$C:$C, Captura_Obra!B201, Captura_Marimba_M01!$D:$D, Captura_Obra!D201))&gt;0), "", 0)</f>
        <v/>
      </c>
      <c r="I497" s="11458">
        <f>IF(OR(Captura_Obra!A201="", (SUMIFS(Captura_Pegaso!$H:$H, Captura_Pegaso!$A:$A, Captura_Obra!A201, Captura_Pegaso!$D:$D, Captura_Obra!B201, Captura_Pegaso!$E:$E, Captura_Obra!D201) + SUMIFS(Captura_Marimba_M01!$G:$G, Captura_Marimba_M01!$A:$A, Captura_Obra!A201, Captura_Marimba_M01!$C:$C, Captura_Obra!B201, Captura_Marimba_M01!$D:$D, Captura_Obra!D201))&gt;0), "", Captura_Obra!F201)</f>
        <v/>
      </c>
      <c r="J497" s="11459">
        <f>IF(OR(Captura_Obra!A201="", (SUMIFS(Captura_Pegaso!$H:$H, Captura_Pegaso!$A:$A, Captura_Obra!A201, Captura_Pegaso!$D:$D, Captura_Obra!B201, Captura_Pegaso!$E:$E, Captura_Obra!D201) + SUMIFS(Captura_Marimba_M01!$G:$G, Captura_Marimba_M01!$A:$A, Captura_Obra!A201, Captura_Marimba_M01!$C:$C, Captura_Obra!B201, Captura_Marimba_M01!$D:$D, Captura_Obra!D201))&gt;0), "", H497 - I497)</f>
        <v/>
      </c>
      <c r="K497" s="4306" t="n"/>
    </row>
    <row r="498">
      <c r="A498" s="11460">
        <f>IF(OR(Captura_Obra!A202="", (SUMIFS(Captura_Pegaso!$H:$H, Captura_Pegaso!$A:$A, Captura_Obra!A202, Captura_Pegaso!$D:$D, Captura_Obra!B202, Captura_Pegaso!$E:$E, Captura_Obra!D202) + SUMIFS(Captura_Marimba_M01!$G:$G, Captura_Marimba_M01!$A:$A, Captura_Obra!A202, Captura_Marimba_M01!$C:$C, Captura_Obra!B202, Captura_Marimba_M01!$D:$D, Captura_Obra!D202))&gt;0), "", "Huérfano Obra")</f>
        <v/>
      </c>
      <c r="B498" s="11461">
        <f>IF(OR(Captura_Obra!A202="", (SUMIFS(Captura_Pegaso!$H:$H, Captura_Pegaso!$A:$A, Captura_Obra!A202, Captura_Pegaso!$D:$D, Captura_Obra!B202, Captura_Pegaso!$E:$E, Captura_Obra!D202) + SUMIFS(Captura_Marimba_M01!$G:$G, Captura_Marimba_M01!$A:$A, Captura_Obra!A202, Captura_Marimba_M01!$C:$C, Captura_Obra!B202, Captura_Marimba_M01!$D:$D, Captura_Obra!D202))&gt;0), "", "No Reportado")</f>
        <v/>
      </c>
      <c r="C498" s="11462">
        <f>IF(OR(Captura_Obra!A202="", (SUMIFS(Captura_Pegaso!$H:$H, Captura_Pegaso!$A:$A, Captura_Obra!A202, Captura_Pegaso!$D:$D, Captura_Obra!B202, Captura_Pegaso!$E:$E, Captura_Obra!D202) + SUMIFS(Captura_Marimba_M01!$G:$G, Captura_Marimba_M01!$A:$A, Captura_Obra!A202, Captura_Marimba_M01!$C:$C, Captura_Obra!B202, Captura_Marimba_M01!$D:$D, Captura_Obra!D202))&gt;0), "", Captura_Obra!N202)</f>
        <v/>
      </c>
      <c r="D498" s="11463">
        <f>IF(OR(Captura_Obra!A202="", (SUMIFS(Captura_Pegaso!$H:$H, Captura_Pegaso!$A:$A, Captura_Obra!A202, Captura_Pegaso!$D:$D, Captura_Obra!B202, Captura_Pegaso!$E:$E, Captura_Obra!D202) + SUMIFS(Captura_Marimba_M01!$G:$G, Captura_Marimba_M01!$A:$A, Captura_Obra!A202, Captura_Marimba_M01!$C:$C, Captura_Obra!B202, Captura_Marimba_M01!$D:$D, Captura_Obra!D202))&gt;0), "", "❌ Falta en Pipa")</f>
        <v/>
      </c>
      <c r="E498" s="11464">
        <f>IF(OR(Captura_Obra!A202="", (SUMIFS(Captura_Pegaso!$H:$H, Captura_Pegaso!$A:$A, Captura_Obra!A202, Captura_Pegaso!$D:$D, Captura_Obra!B202, Captura_Pegaso!$E:$E, Captura_Obra!D202) + SUMIFS(Captura_Marimba_M01!$G:$G, Captura_Marimba_M01!$A:$A, Captura_Obra!A202, Captura_Marimba_M01!$C:$C, Captura_Obra!B202, Captura_Marimba_M01!$D:$D, Captura_Obra!D202))&gt;0), "", Captura_Obra!A202)</f>
        <v/>
      </c>
      <c r="F498" s="11465">
        <f>IF(OR(Captura_Obra!A202="", (SUMIFS(Captura_Pegaso!$H:$H, Captura_Pegaso!$A:$A, Captura_Obra!A202, Captura_Pegaso!$D:$D, Captura_Obra!B202, Captura_Pegaso!$E:$E, Captura_Obra!D202) + SUMIFS(Captura_Marimba_M01!$G:$G, Captura_Marimba_M01!$A:$A, Captura_Obra!A202, Captura_Marimba_M01!$C:$C, Captura_Obra!B202, Captura_Marimba_M01!$D:$D, Captura_Obra!D202))&gt;0), "", Captura_Obra!B202)</f>
        <v/>
      </c>
      <c r="G498" s="11466">
        <f>IF(OR(Captura_Obra!A202="", (SUMIFS(Captura_Pegaso!$H:$H, Captura_Pegaso!$A:$A, Captura_Obra!A202, Captura_Pegaso!$D:$D, Captura_Obra!B202, Captura_Pegaso!$E:$E, Captura_Obra!D202) + SUMIFS(Captura_Marimba_M01!$G:$G, Captura_Marimba_M01!$A:$A, Captura_Obra!A202, Captura_Marimba_M01!$C:$C, Captura_Obra!B202, Captura_Marimba_M01!$D:$D, Captura_Obra!D202))&gt;0), "", Captura_Obra!D202)</f>
        <v/>
      </c>
      <c r="H498" s="11467">
        <f>IF(OR(Captura_Obra!A202="", (SUMIFS(Captura_Pegaso!$H:$H, Captura_Pegaso!$A:$A, Captura_Obra!A202, Captura_Pegaso!$D:$D, Captura_Obra!B202, Captura_Pegaso!$E:$E, Captura_Obra!D202) + SUMIFS(Captura_Marimba_M01!$G:$G, Captura_Marimba_M01!$A:$A, Captura_Obra!A202, Captura_Marimba_M01!$C:$C, Captura_Obra!B202, Captura_Marimba_M01!$D:$D, Captura_Obra!D202))&gt;0), "", 0)</f>
        <v/>
      </c>
      <c r="I498" s="11468">
        <f>IF(OR(Captura_Obra!A202="", (SUMIFS(Captura_Pegaso!$H:$H, Captura_Pegaso!$A:$A, Captura_Obra!A202, Captura_Pegaso!$D:$D, Captura_Obra!B202, Captura_Pegaso!$E:$E, Captura_Obra!D202) + SUMIFS(Captura_Marimba_M01!$G:$G, Captura_Marimba_M01!$A:$A, Captura_Obra!A202, Captura_Marimba_M01!$C:$C, Captura_Obra!B202, Captura_Marimba_M01!$D:$D, Captura_Obra!D202))&gt;0), "", Captura_Obra!F202)</f>
        <v/>
      </c>
      <c r="J498" s="11469">
        <f>IF(OR(Captura_Obra!A202="", (SUMIFS(Captura_Pegaso!$H:$H, Captura_Pegaso!$A:$A, Captura_Obra!A202, Captura_Pegaso!$D:$D, Captura_Obra!B202, Captura_Pegaso!$E:$E, Captura_Obra!D202) + SUMIFS(Captura_Marimba_M01!$G:$G, Captura_Marimba_M01!$A:$A, Captura_Obra!A202, Captura_Marimba_M01!$C:$C, Captura_Obra!B202, Captura_Marimba_M01!$D:$D, Captura_Obra!D202))&gt;0), "", H498 - I498)</f>
        <v/>
      </c>
      <c r="K498" s="4307" t="n"/>
    </row>
    <row r="499">
      <c r="A499" s="11470">
        <f>IF(OR(Captura_Obra!A203="", (SUMIFS(Captura_Pegaso!$H:$H, Captura_Pegaso!$A:$A, Captura_Obra!A203, Captura_Pegaso!$D:$D, Captura_Obra!B203, Captura_Pegaso!$E:$E, Captura_Obra!D203) + SUMIFS(Captura_Marimba_M01!$G:$G, Captura_Marimba_M01!$A:$A, Captura_Obra!A203, Captura_Marimba_M01!$C:$C, Captura_Obra!B203, Captura_Marimba_M01!$D:$D, Captura_Obra!D203))&gt;0), "", "Huérfano Obra")</f>
        <v/>
      </c>
      <c r="B499" s="11471">
        <f>IF(OR(Captura_Obra!A203="", (SUMIFS(Captura_Pegaso!$H:$H, Captura_Pegaso!$A:$A, Captura_Obra!A203, Captura_Pegaso!$D:$D, Captura_Obra!B203, Captura_Pegaso!$E:$E, Captura_Obra!D203) + SUMIFS(Captura_Marimba_M01!$G:$G, Captura_Marimba_M01!$A:$A, Captura_Obra!A203, Captura_Marimba_M01!$C:$C, Captura_Obra!B203, Captura_Marimba_M01!$D:$D, Captura_Obra!D203))&gt;0), "", "No Reportado")</f>
        <v/>
      </c>
      <c r="C499" s="11472">
        <f>IF(OR(Captura_Obra!A203="", (SUMIFS(Captura_Pegaso!$H:$H, Captura_Pegaso!$A:$A, Captura_Obra!A203, Captura_Pegaso!$D:$D, Captura_Obra!B203, Captura_Pegaso!$E:$E, Captura_Obra!D203) + SUMIFS(Captura_Marimba_M01!$G:$G, Captura_Marimba_M01!$A:$A, Captura_Obra!A203, Captura_Marimba_M01!$C:$C, Captura_Obra!B203, Captura_Marimba_M01!$D:$D, Captura_Obra!D203))&gt;0), "", Captura_Obra!N203)</f>
        <v/>
      </c>
      <c r="D499" s="11473">
        <f>IF(OR(Captura_Obra!A203="", (SUMIFS(Captura_Pegaso!$H:$H, Captura_Pegaso!$A:$A, Captura_Obra!A203, Captura_Pegaso!$D:$D, Captura_Obra!B203, Captura_Pegaso!$E:$E, Captura_Obra!D203) + SUMIFS(Captura_Marimba_M01!$G:$G, Captura_Marimba_M01!$A:$A, Captura_Obra!A203, Captura_Marimba_M01!$C:$C, Captura_Obra!B203, Captura_Marimba_M01!$D:$D, Captura_Obra!D203))&gt;0), "", "❌ Falta en Pipa")</f>
        <v/>
      </c>
      <c r="E499" s="11474">
        <f>IF(OR(Captura_Obra!A203="", (SUMIFS(Captura_Pegaso!$H:$H, Captura_Pegaso!$A:$A, Captura_Obra!A203, Captura_Pegaso!$D:$D, Captura_Obra!B203, Captura_Pegaso!$E:$E, Captura_Obra!D203) + SUMIFS(Captura_Marimba_M01!$G:$G, Captura_Marimba_M01!$A:$A, Captura_Obra!A203, Captura_Marimba_M01!$C:$C, Captura_Obra!B203, Captura_Marimba_M01!$D:$D, Captura_Obra!D203))&gt;0), "", Captura_Obra!A203)</f>
        <v/>
      </c>
      <c r="F499" s="11475">
        <f>IF(OR(Captura_Obra!A203="", (SUMIFS(Captura_Pegaso!$H:$H, Captura_Pegaso!$A:$A, Captura_Obra!A203, Captura_Pegaso!$D:$D, Captura_Obra!B203, Captura_Pegaso!$E:$E, Captura_Obra!D203) + SUMIFS(Captura_Marimba_M01!$G:$G, Captura_Marimba_M01!$A:$A, Captura_Obra!A203, Captura_Marimba_M01!$C:$C, Captura_Obra!B203, Captura_Marimba_M01!$D:$D, Captura_Obra!D203))&gt;0), "", Captura_Obra!B203)</f>
        <v/>
      </c>
      <c r="G499" s="11476">
        <f>IF(OR(Captura_Obra!A203="", (SUMIFS(Captura_Pegaso!$H:$H, Captura_Pegaso!$A:$A, Captura_Obra!A203, Captura_Pegaso!$D:$D, Captura_Obra!B203, Captura_Pegaso!$E:$E, Captura_Obra!D203) + SUMIFS(Captura_Marimba_M01!$G:$G, Captura_Marimba_M01!$A:$A, Captura_Obra!A203, Captura_Marimba_M01!$C:$C, Captura_Obra!B203, Captura_Marimba_M01!$D:$D, Captura_Obra!D203))&gt;0), "", Captura_Obra!D203)</f>
        <v/>
      </c>
      <c r="H499" s="11477">
        <f>IF(OR(Captura_Obra!A203="", (SUMIFS(Captura_Pegaso!$H:$H, Captura_Pegaso!$A:$A, Captura_Obra!A203, Captura_Pegaso!$D:$D, Captura_Obra!B203, Captura_Pegaso!$E:$E, Captura_Obra!D203) + SUMIFS(Captura_Marimba_M01!$G:$G, Captura_Marimba_M01!$A:$A, Captura_Obra!A203, Captura_Marimba_M01!$C:$C, Captura_Obra!B203, Captura_Marimba_M01!$D:$D, Captura_Obra!D203))&gt;0), "", 0)</f>
        <v/>
      </c>
      <c r="I499" s="11478">
        <f>IF(OR(Captura_Obra!A203="", (SUMIFS(Captura_Pegaso!$H:$H, Captura_Pegaso!$A:$A, Captura_Obra!A203, Captura_Pegaso!$D:$D, Captura_Obra!B203, Captura_Pegaso!$E:$E, Captura_Obra!D203) + SUMIFS(Captura_Marimba_M01!$G:$G, Captura_Marimba_M01!$A:$A, Captura_Obra!A203, Captura_Marimba_M01!$C:$C, Captura_Obra!B203, Captura_Marimba_M01!$D:$D, Captura_Obra!D203))&gt;0), "", Captura_Obra!F203)</f>
        <v/>
      </c>
      <c r="J499" s="11479">
        <f>IF(OR(Captura_Obra!A203="", (SUMIFS(Captura_Pegaso!$H:$H, Captura_Pegaso!$A:$A, Captura_Obra!A203, Captura_Pegaso!$D:$D, Captura_Obra!B203, Captura_Pegaso!$E:$E, Captura_Obra!D203) + SUMIFS(Captura_Marimba_M01!$G:$G, Captura_Marimba_M01!$A:$A, Captura_Obra!A203, Captura_Marimba_M01!$C:$C, Captura_Obra!B203, Captura_Marimba_M01!$D:$D, Captura_Obra!D203))&gt;0), "", H499 - I499)</f>
        <v/>
      </c>
      <c r="K499" s="4308" t="n"/>
    </row>
    <row r="500">
      <c r="A500" s="11480">
        <f>IF(OR(Captura_Obra!A204="", (SUMIFS(Captura_Pegaso!$H:$H, Captura_Pegaso!$A:$A, Captura_Obra!A204, Captura_Pegaso!$D:$D, Captura_Obra!B204, Captura_Pegaso!$E:$E, Captura_Obra!D204) + SUMIFS(Captura_Marimba_M01!$G:$G, Captura_Marimba_M01!$A:$A, Captura_Obra!A204, Captura_Marimba_M01!$C:$C, Captura_Obra!B204, Captura_Marimba_M01!$D:$D, Captura_Obra!D204))&gt;0), "", "Huérfano Obra")</f>
        <v/>
      </c>
      <c r="B500" s="11481">
        <f>IF(OR(Captura_Obra!A204="", (SUMIFS(Captura_Pegaso!$H:$H, Captura_Pegaso!$A:$A, Captura_Obra!A204, Captura_Pegaso!$D:$D, Captura_Obra!B204, Captura_Pegaso!$E:$E, Captura_Obra!D204) + SUMIFS(Captura_Marimba_M01!$G:$G, Captura_Marimba_M01!$A:$A, Captura_Obra!A204, Captura_Marimba_M01!$C:$C, Captura_Obra!B204, Captura_Marimba_M01!$D:$D, Captura_Obra!D204))&gt;0), "", "No Reportado")</f>
        <v/>
      </c>
      <c r="C500" s="11482">
        <f>IF(OR(Captura_Obra!A204="", (SUMIFS(Captura_Pegaso!$H:$H, Captura_Pegaso!$A:$A, Captura_Obra!A204, Captura_Pegaso!$D:$D, Captura_Obra!B204, Captura_Pegaso!$E:$E, Captura_Obra!D204) + SUMIFS(Captura_Marimba_M01!$G:$G, Captura_Marimba_M01!$A:$A, Captura_Obra!A204, Captura_Marimba_M01!$C:$C, Captura_Obra!B204, Captura_Marimba_M01!$D:$D, Captura_Obra!D204))&gt;0), "", Captura_Obra!N204)</f>
        <v/>
      </c>
      <c r="D500" s="11483">
        <f>IF(OR(Captura_Obra!A204="", (SUMIFS(Captura_Pegaso!$H:$H, Captura_Pegaso!$A:$A, Captura_Obra!A204, Captura_Pegaso!$D:$D, Captura_Obra!B204, Captura_Pegaso!$E:$E, Captura_Obra!D204) + SUMIFS(Captura_Marimba_M01!$G:$G, Captura_Marimba_M01!$A:$A, Captura_Obra!A204, Captura_Marimba_M01!$C:$C, Captura_Obra!B204, Captura_Marimba_M01!$D:$D, Captura_Obra!D204))&gt;0), "", "❌ Falta en Pipa")</f>
        <v/>
      </c>
      <c r="E500" s="11484">
        <f>IF(OR(Captura_Obra!A204="", (SUMIFS(Captura_Pegaso!$H:$H, Captura_Pegaso!$A:$A, Captura_Obra!A204, Captura_Pegaso!$D:$D, Captura_Obra!B204, Captura_Pegaso!$E:$E, Captura_Obra!D204) + SUMIFS(Captura_Marimba_M01!$G:$G, Captura_Marimba_M01!$A:$A, Captura_Obra!A204, Captura_Marimba_M01!$C:$C, Captura_Obra!B204, Captura_Marimba_M01!$D:$D, Captura_Obra!D204))&gt;0), "", Captura_Obra!A204)</f>
        <v/>
      </c>
      <c r="F500" s="11485">
        <f>IF(OR(Captura_Obra!A204="", (SUMIFS(Captura_Pegaso!$H:$H, Captura_Pegaso!$A:$A, Captura_Obra!A204, Captura_Pegaso!$D:$D, Captura_Obra!B204, Captura_Pegaso!$E:$E, Captura_Obra!D204) + SUMIFS(Captura_Marimba_M01!$G:$G, Captura_Marimba_M01!$A:$A, Captura_Obra!A204, Captura_Marimba_M01!$C:$C, Captura_Obra!B204, Captura_Marimba_M01!$D:$D, Captura_Obra!D204))&gt;0), "", Captura_Obra!B204)</f>
        <v/>
      </c>
      <c r="G500" s="11486">
        <f>IF(OR(Captura_Obra!A204="", (SUMIFS(Captura_Pegaso!$H:$H, Captura_Pegaso!$A:$A, Captura_Obra!A204, Captura_Pegaso!$D:$D, Captura_Obra!B204, Captura_Pegaso!$E:$E, Captura_Obra!D204) + SUMIFS(Captura_Marimba_M01!$G:$G, Captura_Marimba_M01!$A:$A, Captura_Obra!A204, Captura_Marimba_M01!$C:$C, Captura_Obra!B204, Captura_Marimba_M01!$D:$D, Captura_Obra!D204))&gt;0), "", Captura_Obra!D204)</f>
        <v/>
      </c>
      <c r="H500" s="11487">
        <f>IF(OR(Captura_Obra!A204="", (SUMIFS(Captura_Pegaso!$H:$H, Captura_Pegaso!$A:$A, Captura_Obra!A204, Captura_Pegaso!$D:$D, Captura_Obra!B204, Captura_Pegaso!$E:$E, Captura_Obra!D204) + SUMIFS(Captura_Marimba_M01!$G:$G, Captura_Marimba_M01!$A:$A, Captura_Obra!A204, Captura_Marimba_M01!$C:$C, Captura_Obra!B204, Captura_Marimba_M01!$D:$D, Captura_Obra!D204))&gt;0), "", 0)</f>
        <v/>
      </c>
      <c r="I500" s="11488">
        <f>IF(OR(Captura_Obra!A204="", (SUMIFS(Captura_Pegaso!$H:$H, Captura_Pegaso!$A:$A, Captura_Obra!A204, Captura_Pegaso!$D:$D, Captura_Obra!B204, Captura_Pegaso!$E:$E, Captura_Obra!D204) + SUMIFS(Captura_Marimba_M01!$G:$G, Captura_Marimba_M01!$A:$A, Captura_Obra!A204, Captura_Marimba_M01!$C:$C, Captura_Obra!B204, Captura_Marimba_M01!$D:$D, Captura_Obra!D204))&gt;0), "", Captura_Obra!F204)</f>
        <v/>
      </c>
      <c r="J500" s="11489">
        <f>IF(OR(Captura_Obra!A204="", (SUMIFS(Captura_Pegaso!$H:$H, Captura_Pegaso!$A:$A, Captura_Obra!A204, Captura_Pegaso!$D:$D, Captura_Obra!B204, Captura_Pegaso!$E:$E, Captura_Obra!D204) + SUMIFS(Captura_Marimba_M01!$G:$G, Captura_Marimba_M01!$A:$A, Captura_Obra!A204, Captura_Marimba_M01!$C:$C, Captura_Obra!B204, Captura_Marimba_M01!$D:$D, Captura_Obra!D204))&gt;0), "", H500 - I500)</f>
        <v/>
      </c>
      <c r="K500" s="4309" t="n"/>
    </row>
    <row r="501">
      <c r="A501" s="4310" t="n"/>
      <c r="B501" s="4311" t="n"/>
      <c r="C501" s="4312" t="n"/>
      <c r="D501" s="4313" t="n"/>
      <c r="E501" s="4314" t="n"/>
      <c r="F501" s="4315" t="n"/>
      <c r="G501" s="4316" t="n"/>
      <c r="H501" s="4317" t="n"/>
      <c r="I501" s="4318" t="n"/>
      <c r="J501" s="4319" t="n"/>
      <c r="K501" s="4320" t="n"/>
    </row>
    <row r="502">
      <c r="A502" s="4321" t="n"/>
      <c r="B502" s="4322" t="n"/>
      <c r="C502" s="4323" t="n"/>
      <c r="D502" s="4324" t="n"/>
      <c r="E502" s="4325" t="n"/>
      <c r="F502" s="4326" t="n"/>
      <c r="G502" s="4327" t="n"/>
      <c r="H502" s="4328" t="n"/>
      <c r="I502" s="4329" t="n"/>
      <c r="J502" s="4330" t="n"/>
      <c r="K502" s="4331" t="n"/>
    </row>
    <row r="503">
      <c r="A503" s="4332" t="n"/>
      <c r="B503" s="4333" t="n"/>
      <c r="C503" s="4334" t="n"/>
      <c r="D503" s="4335" t="n"/>
      <c r="E503" s="4336" t="n"/>
      <c r="F503" s="4337" t="n"/>
      <c r="G503" s="4338" t="n"/>
      <c r="H503" s="4339" t="n"/>
      <c r="I503" s="4340" t="n"/>
      <c r="J503" s="4341" t="n"/>
      <c r="K503" s="4342" t="n"/>
    </row>
    <row r="504">
      <c r="A504" s="4343" t="n"/>
      <c r="B504" s="4344" t="n"/>
      <c r="C504" s="4345" t="n"/>
      <c r="D504" s="4346" t="n"/>
      <c r="E504" s="4347" t="n"/>
      <c r="F504" s="4348" t="n"/>
      <c r="G504" s="4349" t="n"/>
      <c r="H504" s="4350" t="n"/>
      <c r="I504" s="4351" t="n"/>
      <c r="J504" s="4352" t="n"/>
      <c r="K504" s="4353" t="n"/>
    </row>
    <row r="505">
      <c r="A505" s="4354" t="n"/>
      <c r="B505" s="4355" t="n"/>
      <c r="C505" s="4356" t="n"/>
      <c r="D505" s="4357" t="n"/>
      <c r="E505" s="4358" t="n"/>
      <c r="F505" s="4359" t="n"/>
      <c r="G505" s="4360" t="n"/>
      <c r="H505" s="4361" t="n"/>
      <c r="I505" s="4362" t="n"/>
      <c r="J505" s="4363" t="n"/>
      <c r="K505" s="4364" t="n"/>
    </row>
    <row r="506">
      <c r="A506" s="4365" t="n"/>
      <c r="B506" s="4366" t="n"/>
      <c r="C506" s="4367" t="n"/>
      <c r="D506" s="4368" t="n"/>
      <c r="E506" s="4369" t="n"/>
      <c r="F506" s="4370" t="n"/>
      <c r="G506" s="4371" t="n"/>
      <c r="H506" s="4372" t="n"/>
      <c r="I506" s="4373" t="n"/>
      <c r="J506" s="4374" t="n"/>
      <c r="K506" s="4375" t="n"/>
    </row>
    <row r="507">
      <c r="A507" s="4376" t="n"/>
      <c r="B507" s="4377" t="n"/>
      <c r="C507" s="4378" t="n"/>
      <c r="D507" s="4379" t="n"/>
      <c r="E507" s="4380" t="n"/>
      <c r="F507" s="4381" t="n"/>
      <c r="G507" s="4382" t="n"/>
      <c r="H507" s="4383" t="n"/>
      <c r="I507" s="4384" t="n"/>
      <c r="J507" s="4385" t="n"/>
      <c r="K507" s="4386" t="n"/>
    </row>
    <row r="508">
      <c r="A508" s="4387" t="n"/>
      <c r="B508" s="4388" t="n"/>
      <c r="C508" s="4389" t="n"/>
      <c r="D508" s="4390" t="n"/>
      <c r="E508" s="4391" t="n"/>
      <c r="F508" s="4392" t="n"/>
      <c r="G508" s="4393" t="n"/>
      <c r="H508" s="4394" t="n"/>
      <c r="I508" s="4395" t="n"/>
      <c r="J508" s="4396" t="n"/>
      <c r="K508" s="4397" t="n"/>
    </row>
    <row r="509">
      <c r="A509" s="4398" t="n"/>
      <c r="B509" s="4399" t="n"/>
      <c r="C509" s="4400" t="n"/>
      <c r="D509" s="4401" t="n"/>
      <c r="E509" s="4402" t="n"/>
      <c r="F509" s="4403" t="n"/>
      <c r="G509" s="4404" t="n"/>
      <c r="H509" s="4405" t="n"/>
      <c r="I509" s="4406" t="n"/>
      <c r="J509" s="4407" t="n"/>
      <c r="K509" s="4408" t="n"/>
    </row>
    <row r="510">
      <c r="A510" s="4409" t="n"/>
      <c r="B510" s="4410" t="n"/>
      <c r="C510" s="4411" t="n"/>
      <c r="D510" s="4412" t="n"/>
      <c r="E510" s="4413" t="n"/>
      <c r="F510" s="4414" t="n"/>
      <c r="G510" s="4415" t="n"/>
      <c r="H510" s="4416" t="n"/>
      <c r="I510" s="4417" t="n"/>
      <c r="J510" s="4418" t="n"/>
      <c r="K510" s="4419" t="n"/>
    </row>
    <row r="511">
      <c r="A511" s="4420" t="n"/>
      <c r="B511" s="4421" t="n"/>
      <c r="C511" s="4422" t="n"/>
      <c r="D511" s="4423" t="n"/>
      <c r="E511" s="4424" t="n"/>
      <c r="F511" s="4425" t="n"/>
      <c r="G511" s="4426" t="n"/>
      <c r="H511" s="4427" t="n"/>
      <c r="I511" s="4428" t="n"/>
      <c r="J511" s="4429" t="n"/>
      <c r="K511" s="4430" t="n"/>
    </row>
    <row r="512">
      <c r="A512" s="4431" t="n"/>
      <c r="B512" s="4432" t="n"/>
      <c r="C512" s="4433" t="n"/>
      <c r="D512" s="4434" t="n"/>
      <c r="E512" s="4435" t="n"/>
      <c r="F512" s="4436" t="n"/>
      <c r="G512" s="4437" t="n"/>
      <c r="H512" s="4438" t="n"/>
      <c r="I512" s="4439" t="n"/>
      <c r="J512" s="4440" t="n"/>
      <c r="K512" s="4441" t="n"/>
    </row>
    <row r="513">
      <c r="A513" s="4442" t="n"/>
      <c r="B513" s="4443" t="n"/>
      <c r="C513" s="4444" t="n"/>
      <c r="D513" s="4445" t="n"/>
      <c r="E513" s="4446" t="n"/>
      <c r="F513" s="4447" t="n"/>
      <c r="G513" s="4448" t="n"/>
      <c r="H513" s="4449" t="n"/>
      <c r="I513" s="4450" t="n"/>
      <c r="J513" s="4451" t="n"/>
      <c r="K513" s="4452" t="n"/>
    </row>
    <row r="514">
      <c r="A514" s="4453" t="n"/>
      <c r="B514" s="4454" t="n"/>
      <c r="C514" s="4455" t="n"/>
      <c r="D514" s="4456" t="n"/>
      <c r="E514" s="4457" t="n"/>
      <c r="F514" s="4458" t="n"/>
      <c r="G514" s="4459" t="n"/>
      <c r="H514" s="4460" t="n"/>
      <c r="I514" s="4461" t="n"/>
      <c r="J514" s="4462" t="n"/>
      <c r="K514" s="4463" t="n"/>
    </row>
    <row r="515">
      <c r="A515" s="4464" t="n"/>
      <c r="B515" s="4465" t="n"/>
      <c r="C515" s="4466" t="n"/>
      <c r="D515" s="4467" t="n"/>
      <c r="E515" s="4468" t="n"/>
      <c r="F515" s="4469" t="n"/>
      <c r="G515" s="4470" t="n"/>
      <c r="H515" s="4471" t="n"/>
      <c r="I515" s="4472" t="n"/>
      <c r="J515" s="4473" t="n"/>
      <c r="K515" s="4474" t="n"/>
    </row>
    <row r="516">
      <c r="A516" s="4475" t="n"/>
      <c r="B516" s="4476" t="n"/>
      <c r="C516" s="4477" t="n"/>
      <c r="D516" s="4478" t="n"/>
      <c r="E516" s="4479" t="n"/>
      <c r="F516" s="4480" t="n"/>
      <c r="G516" s="4481" t="n"/>
      <c r="H516" s="4482" t="n"/>
      <c r="I516" s="4483" t="n"/>
      <c r="J516" s="4484" t="n"/>
      <c r="K516" s="4485" t="n"/>
    </row>
    <row r="517">
      <c r="A517" s="4486" t="n"/>
      <c r="B517" s="4487" t="n"/>
      <c r="C517" s="4488" t="n"/>
      <c r="D517" s="4489" t="n"/>
      <c r="E517" s="4490" t="n"/>
      <c r="F517" s="4491" t="n"/>
      <c r="G517" s="4492" t="n"/>
      <c r="H517" s="4493" t="n"/>
      <c r="I517" s="4494" t="n"/>
      <c r="J517" s="4495" t="n"/>
      <c r="K517" s="4496" t="n"/>
    </row>
    <row r="518">
      <c r="A518" s="4497" t="n"/>
      <c r="B518" s="4498" t="n"/>
      <c r="C518" s="4499" t="n"/>
      <c r="D518" s="4500" t="n"/>
      <c r="E518" s="4501" t="n"/>
      <c r="F518" s="4502" t="n"/>
      <c r="G518" s="4503" t="n"/>
      <c r="H518" s="4504" t="n"/>
      <c r="I518" s="4505" t="n"/>
      <c r="J518" s="4506" t="n"/>
      <c r="K518" s="4507" t="n"/>
    </row>
    <row r="519">
      <c r="A519" s="4508" t="n"/>
      <c r="B519" s="4509" t="n"/>
      <c r="C519" s="4510" t="n"/>
      <c r="D519" s="4511" t="n"/>
      <c r="E519" s="4512" t="n"/>
      <c r="F519" s="4513" t="n"/>
      <c r="G519" s="4514" t="n"/>
      <c r="H519" s="4515" t="n"/>
      <c r="I519" s="4516" t="n"/>
      <c r="J519" s="4517" t="n"/>
      <c r="K519" s="4518" t="n"/>
    </row>
    <row r="520">
      <c r="A520" s="4519" t="n"/>
      <c r="B520" s="4520" t="n"/>
      <c r="C520" s="4521" t="n"/>
      <c r="D520" s="4522" t="n"/>
      <c r="E520" s="4523" t="n"/>
      <c r="F520" s="4524" t="n"/>
      <c r="G520" s="4525" t="n"/>
      <c r="H520" s="4526" t="n"/>
      <c r="I520" s="4527" t="n"/>
      <c r="J520" s="4528" t="n"/>
      <c r="K520" s="4529" t="n"/>
    </row>
    <row r="521">
      <c r="A521" s="4530" t="n"/>
      <c r="B521" s="4531" t="n"/>
      <c r="C521" s="4532" t="n"/>
      <c r="D521" s="4533" t="n"/>
      <c r="E521" s="4534" t="n"/>
      <c r="F521" s="4535" t="n"/>
      <c r="G521" s="4536" t="n"/>
      <c r="H521" s="4537" t="n"/>
      <c r="I521" s="4538" t="n"/>
      <c r="J521" s="4539" t="n"/>
      <c r="K521" s="4540" t="n"/>
    </row>
    <row r="522">
      <c r="A522" s="4541" t="n"/>
      <c r="B522" s="4542" t="n"/>
      <c r="C522" s="4543" t="n"/>
      <c r="D522" s="4544" t="n"/>
      <c r="E522" s="4545" t="n"/>
      <c r="F522" s="4546" t="n"/>
      <c r="G522" s="4547" t="n"/>
      <c r="H522" s="4548" t="n"/>
      <c r="I522" s="4549" t="n"/>
      <c r="J522" s="4550" t="n"/>
      <c r="K522" s="4551" t="n"/>
    </row>
    <row r="523">
      <c r="A523" s="4552" t="n"/>
      <c r="B523" s="4553" t="n"/>
      <c r="C523" s="4554" t="n"/>
      <c r="D523" s="4555" t="n"/>
      <c r="E523" s="4556" t="n"/>
      <c r="F523" s="4557" t="n"/>
      <c r="G523" s="4558" t="n"/>
      <c r="H523" s="4559" t="n"/>
      <c r="I523" s="4560" t="n"/>
      <c r="J523" s="4561" t="n"/>
      <c r="K523" s="4562" t="n"/>
    </row>
    <row r="524">
      <c r="A524" s="4563" t="n"/>
      <c r="B524" s="4564" t="n"/>
      <c r="C524" s="4565" t="n"/>
      <c r="D524" s="4566" t="n"/>
      <c r="E524" s="4567" t="n"/>
      <c r="F524" s="4568" t="n"/>
      <c r="G524" s="4569" t="n"/>
      <c r="H524" s="4570" t="n"/>
      <c r="I524" s="4571" t="n"/>
      <c r="J524" s="4572" t="n"/>
      <c r="K524" s="4573" t="n"/>
    </row>
    <row r="525">
      <c r="A525" s="4574" t="n"/>
      <c r="B525" s="4575" t="n"/>
      <c r="C525" s="4576" t="n"/>
      <c r="D525" s="4577" t="n"/>
      <c r="E525" s="4578" t="n"/>
      <c r="F525" s="4579" t="n"/>
      <c r="G525" s="4580" t="n"/>
      <c r="H525" s="4581" t="n"/>
      <c r="I525" s="4582" t="n"/>
      <c r="J525" s="4583" t="n"/>
      <c r="K525" s="4584" t="n"/>
    </row>
    <row r="526">
      <c r="A526" s="4585" t="n"/>
      <c r="B526" s="4586" t="n"/>
      <c r="C526" s="4587" t="n"/>
      <c r="D526" s="4588" t="n"/>
      <c r="E526" s="4589" t="n"/>
      <c r="F526" s="4590" t="n"/>
      <c r="G526" s="4591" t="n"/>
      <c r="H526" s="4592" t="n"/>
      <c r="I526" s="4593" t="n"/>
      <c r="J526" s="4594" t="n"/>
      <c r="K526" s="4595" t="n"/>
    </row>
    <row r="527">
      <c r="A527" s="4596" t="n"/>
      <c r="B527" s="4597" t="n"/>
      <c r="C527" s="4598" t="n"/>
      <c r="D527" s="4599" t="n"/>
      <c r="E527" s="4600" t="n"/>
      <c r="F527" s="4601" t="n"/>
      <c r="G527" s="4602" t="n"/>
      <c r="H527" s="4603" t="n"/>
      <c r="I527" s="4604" t="n"/>
      <c r="J527" s="4605" t="n"/>
      <c r="K527" s="4606" t="n"/>
    </row>
    <row r="528">
      <c r="A528" s="4607" t="n"/>
      <c r="B528" s="4608" t="n"/>
      <c r="C528" s="4609" t="n"/>
      <c r="D528" s="4610" t="n"/>
      <c r="E528" s="4611" t="n"/>
      <c r="F528" s="4612" t="n"/>
      <c r="G528" s="4613" t="n"/>
      <c r="H528" s="4614" t="n"/>
      <c r="I528" s="4615" t="n"/>
      <c r="J528" s="4616" t="n"/>
      <c r="K528" s="4617" t="n"/>
    </row>
    <row r="529">
      <c r="A529" s="4618" t="n"/>
      <c r="B529" s="4619" t="n"/>
      <c r="C529" s="4620" t="n"/>
      <c r="D529" s="4621" t="n"/>
      <c r="E529" s="4622" t="n"/>
      <c r="F529" s="4623" t="n"/>
      <c r="G529" s="4624" t="n"/>
      <c r="H529" s="4625" t="n"/>
      <c r="I529" s="4626" t="n"/>
      <c r="J529" s="4627" t="n"/>
      <c r="K529" s="4628" t="n"/>
    </row>
    <row r="530">
      <c r="A530" s="4629" t="n"/>
      <c r="B530" s="4630" t="n"/>
      <c r="C530" s="4631" t="n"/>
      <c r="D530" s="4632" t="n"/>
      <c r="E530" s="4633" t="n"/>
      <c r="F530" s="4634" t="n"/>
      <c r="G530" s="4635" t="n"/>
      <c r="H530" s="4636" t="n"/>
      <c r="I530" s="4637" t="n"/>
      <c r="J530" s="4638" t="n"/>
      <c r="K530" s="4639" t="n"/>
    </row>
    <row r="531">
      <c r="A531" s="4640" t="n"/>
      <c r="B531" s="4641" t="n"/>
      <c r="C531" s="4642" t="n"/>
      <c r="D531" s="4643" t="n"/>
      <c r="E531" s="4644" t="n"/>
      <c r="F531" s="4645" t="n"/>
      <c r="G531" s="4646" t="n"/>
      <c r="H531" s="4647" t="n"/>
      <c r="I531" s="4648" t="n"/>
      <c r="J531" s="4649" t="n"/>
      <c r="K531" s="4650" t="n"/>
    </row>
    <row r="532">
      <c r="A532" s="4651" t="n"/>
      <c r="B532" s="4652" t="n"/>
      <c r="C532" s="4653" t="n"/>
      <c r="D532" s="4654" t="n"/>
      <c r="E532" s="4655" t="n"/>
      <c r="F532" s="4656" t="n"/>
      <c r="G532" s="4657" t="n"/>
      <c r="H532" s="4658" t="n"/>
      <c r="I532" s="4659" t="n"/>
      <c r="J532" s="4660" t="n"/>
      <c r="K532" s="4661" t="n"/>
    </row>
    <row r="533">
      <c r="A533" s="4662" t="n"/>
      <c r="B533" s="4663" t="n"/>
      <c r="C533" s="4664" t="n"/>
      <c r="D533" s="4665" t="n"/>
      <c r="E533" s="4666" t="n"/>
      <c r="F533" s="4667" t="n"/>
      <c r="G533" s="4668" t="n"/>
      <c r="H533" s="4669" t="n"/>
      <c r="I533" s="4670" t="n"/>
      <c r="J533" s="4671" t="n"/>
      <c r="K533" s="4672" t="n"/>
    </row>
    <row r="534">
      <c r="A534" s="4673" t="n"/>
      <c r="B534" s="4674" t="n"/>
      <c r="C534" s="4675" t="n"/>
      <c r="D534" s="4676" t="n"/>
      <c r="E534" s="4677" t="n"/>
      <c r="F534" s="4678" t="n"/>
      <c r="G534" s="4679" t="n"/>
      <c r="H534" s="4680" t="n"/>
      <c r="I534" s="4681" t="n"/>
      <c r="J534" s="4682" t="n"/>
      <c r="K534" s="4683" t="n"/>
    </row>
    <row r="535">
      <c r="A535" s="4684" t="n"/>
      <c r="B535" s="4685" t="n"/>
      <c r="C535" s="4686" t="n"/>
      <c r="D535" s="4687" t="n"/>
      <c r="E535" s="4688" t="n"/>
      <c r="F535" s="4689" t="n"/>
      <c r="G535" s="4690" t="n"/>
      <c r="H535" s="4691" t="n"/>
      <c r="I535" s="4692" t="n"/>
      <c r="J535" s="4693" t="n"/>
      <c r="K535" s="4694" t="n"/>
    </row>
    <row r="536">
      <c r="A536" s="4695" t="n"/>
      <c r="B536" s="4696" t="n"/>
      <c r="C536" s="4697" t="n"/>
      <c r="D536" s="4698" t="n"/>
      <c r="E536" s="4699" t="n"/>
      <c r="F536" s="4700" t="n"/>
      <c r="G536" s="4701" t="n"/>
      <c r="H536" s="4702" t="n"/>
      <c r="I536" s="4703" t="n"/>
      <c r="J536" s="4704" t="n"/>
      <c r="K536" s="4705" t="n"/>
    </row>
    <row r="537">
      <c r="A537" s="4706" t="n"/>
      <c r="B537" s="4707" t="n"/>
      <c r="C537" s="4708" t="n"/>
      <c r="D537" s="4709" t="n"/>
      <c r="E537" s="4710" t="n"/>
      <c r="F537" s="4711" t="n"/>
      <c r="G537" s="4712" t="n"/>
      <c r="H537" s="4713" t="n"/>
      <c r="I537" s="4714" t="n"/>
      <c r="J537" s="4715" t="n"/>
      <c r="K537" s="4716" t="n"/>
    </row>
    <row r="538">
      <c r="A538" s="4717" t="n"/>
      <c r="B538" s="4718" t="n"/>
      <c r="C538" s="4719" t="n"/>
      <c r="D538" s="4720" t="n"/>
      <c r="E538" s="4721" t="n"/>
      <c r="F538" s="4722" t="n"/>
      <c r="G538" s="4723" t="n"/>
      <c r="H538" s="4724" t="n"/>
      <c r="I538" s="4725" t="n"/>
      <c r="J538" s="4726" t="n"/>
      <c r="K538" s="4727" t="n"/>
    </row>
    <row r="539">
      <c r="A539" s="4728" t="n"/>
      <c r="B539" s="4729" t="n"/>
      <c r="C539" s="4730" t="n"/>
      <c r="D539" s="4731" t="n"/>
      <c r="E539" s="4732" t="n"/>
      <c r="F539" s="4733" t="n"/>
      <c r="G539" s="4734" t="n"/>
      <c r="H539" s="4735" t="n"/>
      <c r="I539" s="4736" t="n"/>
      <c r="J539" s="4737" t="n"/>
      <c r="K539" s="4738" t="n"/>
    </row>
    <row r="540">
      <c r="A540" s="4739" t="n"/>
      <c r="B540" s="4740" t="n"/>
      <c r="C540" s="4741" t="n"/>
      <c r="D540" s="4742" t="n"/>
      <c r="E540" s="4743" t="n"/>
      <c r="F540" s="4744" t="n"/>
      <c r="G540" s="4745" t="n"/>
      <c r="H540" s="4746" t="n"/>
      <c r="I540" s="4747" t="n"/>
      <c r="J540" s="4748" t="n"/>
      <c r="K540" s="4749" t="n"/>
    </row>
    <row r="541">
      <c r="A541" s="4750" t="n"/>
      <c r="B541" s="4751" t="n"/>
      <c r="C541" s="4752" t="n"/>
      <c r="D541" s="4753" t="n"/>
      <c r="E541" s="4754" t="n"/>
      <c r="F541" s="4755" t="n"/>
      <c r="G541" s="4756" t="n"/>
      <c r="H541" s="4757" t="n"/>
      <c r="I541" s="4758" t="n"/>
      <c r="J541" s="4759" t="n"/>
      <c r="K541" s="4760" t="n"/>
    </row>
    <row r="542">
      <c r="A542" s="4761" t="n"/>
      <c r="B542" s="4762" t="n"/>
      <c r="C542" s="4763" t="n"/>
      <c r="D542" s="4764" t="n"/>
      <c r="E542" s="4765" t="n"/>
      <c r="F542" s="4766" t="n"/>
      <c r="G542" s="4767" t="n"/>
      <c r="H542" s="4768" t="n"/>
      <c r="I542" s="4769" t="n"/>
      <c r="J542" s="4770" t="n"/>
      <c r="K542" s="4771" t="n"/>
    </row>
    <row r="543">
      <c r="A543" s="4772" t="n"/>
      <c r="B543" s="4773" t="n"/>
      <c r="C543" s="4774" t="n"/>
      <c r="D543" s="4775" t="n"/>
      <c r="E543" s="4776" t="n"/>
      <c r="F543" s="4777" t="n"/>
      <c r="G543" s="4778" t="n"/>
      <c r="H543" s="4779" t="n"/>
      <c r="I543" s="4780" t="n"/>
      <c r="J543" s="4781" t="n"/>
      <c r="K543" s="4782" t="n"/>
    </row>
    <row r="544">
      <c r="A544" s="4783" t="n"/>
      <c r="B544" s="4784" t="n"/>
      <c r="C544" s="4785" t="n"/>
      <c r="D544" s="4786" t="n"/>
      <c r="E544" s="4787" t="n"/>
      <c r="F544" s="4788" t="n"/>
      <c r="G544" s="4789" t="n"/>
      <c r="H544" s="4790" t="n"/>
      <c r="I544" s="4791" t="n"/>
      <c r="J544" s="4792" t="n"/>
      <c r="K544" s="4793" t="n"/>
    </row>
    <row r="545">
      <c r="A545" s="4794" t="n"/>
      <c r="B545" s="4795" t="n"/>
      <c r="C545" s="4796" t="n"/>
      <c r="D545" s="4797" t="n"/>
      <c r="E545" s="4798" t="n"/>
      <c r="F545" s="4799" t="n"/>
      <c r="G545" s="4800" t="n"/>
      <c r="H545" s="4801" t="n"/>
      <c r="I545" s="4802" t="n"/>
      <c r="J545" s="4803" t="n"/>
      <c r="K545" s="4804" t="n"/>
    </row>
    <row r="546">
      <c r="A546" s="4805" t="n"/>
      <c r="B546" s="4806" t="n"/>
      <c r="C546" s="4807" t="n"/>
      <c r="D546" s="4808" t="n"/>
      <c r="E546" s="4809" t="n"/>
      <c r="F546" s="4810" t="n"/>
      <c r="G546" s="4811" t="n"/>
      <c r="H546" s="4812" t="n"/>
      <c r="I546" s="4813" t="n"/>
      <c r="J546" s="4814" t="n"/>
      <c r="K546" s="4815" t="n"/>
    </row>
    <row r="547">
      <c r="A547" s="4816" t="n"/>
      <c r="B547" s="4817" t="n"/>
      <c r="C547" s="4818" t="n"/>
      <c r="D547" s="4819" t="n"/>
      <c r="E547" s="4820" t="n"/>
      <c r="F547" s="4821" t="n"/>
      <c r="G547" s="4822" t="n"/>
      <c r="H547" s="4823" t="n"/>
      <c r="I547" s="4824" t="n"/>
      <c r="J547" s="4825" t="n"/>
      <c r="K547" s="4826" t="n"/>
    </row>
    <row r="548">
      <c r="A548" s="4827" t="n"/>
      <c r="B548" s="4828" t="n"/>
      <c r="C548" s="4829" t="n"/>
      <c r="D548" s="4830" t="n"/>
      <c r="E548" s="4831" t="n"/>
      <c r="F548" s="4832" t="n"/>
      <c r="G548" s="4833" t="n"/>
      <c r="H548" s="4834" t="n"/>
      <c r="I548" s="4835" t="n"/>
      <c r="J548" s="4836" t="n"/>
      <c r="K548" s="4837" t="n"/>
    </row>
    <row r="549">
      <c r="A549" s="4838" t="n"/>
      <c r="B549" s="4839" t="n"/>
      <c r="C549" s="4840" t="n"/>
      <c r="D549" s="4841" t="n"/>
      <c r="E549" s="4842" t="n"/>
      <c r="F549" s="4843" t="n"/>
      <c r="G549" s="4844" t="n"/>
      <c r="H549" s="4845" t="n"/>
      <c r="I549" s="4846" t="n"/>
      <c r="J549" s="4847" t="n"/>
      <c r="K549" s="4848" t="n"/>
    </row>
    <row r="550">
      <c r="A550" s="4849" t="n"/>
      <c r="B550" s="4850" t="n"/>
      <c r="C550" s="4851" t="n"/>
      <c r="D550" s="4852" t="n"/>
      <c r="E550" s="4853" t="n"/>
      <c r="F550" s="4854" t="n"/>
      <c r="G550" s="4855" t="n"/>
      <c r="H550" s="4856" t="n"/>
      <c r="I550" s="4857" t="n"/>
      <c r="J550" s="4858" t="n"/>
      <c r="K550" s="4859" t="n"/>
    </row>
    <row r="551">
      <c r="A551" s="4860" t="n"/>
      <c r="B551" s="4861" t="n"/>
      <c r="C551" s="4862" t="n"/>
      <c r="D551" s="4863" t="n"/>
      <c r="E551" s="4864" t="n"/>
      <c r="F551" s="4865" t="n"/>
      <c r="G551" s="4866" t="n"/>
      <c r="H551" s="4867" t="n"/>
      <c r="I551" s="4868" t="n"/>
      <c r="J551" s="4869" t="n"/>
      <c r="K551" s="4870" t="n"/>
    </row>
    <row r="552">
      <c r="A552" s="4871" t="n"/>
      <c r="B552" s="4872" t="n"/>
      <c r="C552" s="4873" t="n"/>
      <c r="D552" s="4874" t="n"/>
      <c r="E552" s="4875" t="n"/>
      <c r="F552" s="4876" t="n"/>
      <c r="G552" s="4877" t="n"/>
      <c r="H552" s="4878" t="n"/>
      <c r="I552" s="4879" t="n"/>
      <c r="J552" s="4880" t="n"/>
      <c r="K552" s="4881" t="n"/>
    </row>
    <row r="553">
      <c r="A553" s="4882" t="n"/>
      <c r="B553" s="4883" t="n"/>
      <c r="C553" s="4884" t="n"/>
      <c r="D553" s="4885" t="n"/>
      <c r="E553" s="4886" t="n"/>
      <c r="F553" s="4887" t="n"/>
      <c r="G553" s="4888" t="n"/>
      <c r="H553" s="4889" t="n"/>
      <c r="I553" s="4890" t="n"/>
      <c r="J553" s="4891" t="n"/>
      <c r="K553" s="4892" t="n"/>
    </row>
    <row r="554">
      <c r="A554" s="4893" t="n"/>
      <c r="B554" s="4894" t="n"/>
      <c r="C554" s="4895" t="n"/>
      <c r="D554" s="4896" t="n"/>
      <c r="E554" s="4897" t="n"/>
      <c r="F554" s="4898" t="n"/>
      <c r="G554" s="4899" t="n"/>
      <c r="H554" s="4900" t="n"/>
      <c r="I554" s="4901" t="n"/>
      <c r="J554" s="4902" t="n"/>
      <c r="K554" s="4903" t="n"/>
    </row>
    <row r="555">
      <c r="A555" s="4904" t="n"/>
      <c r="B555" s="4905" t="n"/>
      <c r="C555" s="4906" t="n"/>
      <c r="D555" s="4907" t="n"/>
      <c r="E555" s="4908" t="n"/>
      <c r="F555" s="4909" t="n"/>
      <c r="G555" s="4910" t="n"/>
      <c r="H555" s="4911" t="n"/>
      <c r="I555" s="4912" t="n"/>
      <c r="J555" s="4913" t="n"/>
      <c r="K555" s="4914" t="n"/>
    </row>
    <row r="556">
      <c r="A556" s="4915" t="n"/>
      <c r="B556" s="4916" t="n"/>
      <c r="C556" s="4917" t="n"/>
      <c r="D556" s="4918" t="n"/>
      <c r="E556" s="4919" t="n"/>
      <c r="F556" s="4920" t="n"/>
      <c r="G556" s="4921" t="n"/>
      <c r="H556" s="4922" t="n"/>
      <c r="I556" s="4923" t="n"/>
      <c r="J556" s="4924" t="n"/>
      <c r="K556" s="4925" t="n"/>
    </row>
    <row r="557">
      <c r="A557" s="4926" t="n"/>
      <c r="B557" s="4927" t="n"/>
      <c r="C557" s="4928" t="n"/>
      <c r="D557" s="4929" t="n"/>
      <c r="E557" s="4930" t="n"/>
      <c r="F557" s="4931" t="n"/>
      <c r="G557" s="4932" t="n"/>
      <c r="H557" s="4933" t="n"/>
      <c r="I557" s="4934" t="n"/>
      <c r="J557" s="4935" t="n"/>
      <c r="K557" s="4936" t="n"/>
    </row>
    <row r="558">
      <c r="A558" s="4937" t="n"/>
      <c r="B558" s="4938" t="n"/>
      <c r="C558" s="4939" t="n"/>
      <c r="D558" s="4940" t="n"/>
      <c r="E558" s="4941" t="n"/>
      <c r="F558" s="4942" t="n"/>
      <c r="G558" s="4943" t="n"/>
      <c r="H558" s="4944" t="n"/>
      <c r="I558" s="4945" t="n"/>
      <c r="J558" s="4946" t="n"/>
      <c r="K558" s="4947" t="n"/>
    </row>
    <row r="559">
      <c r="A559" s="4948" t="n"/>
      <c r="B559" s="4949" t="n"/>
      <c r="C559" s="4950" t="n"/>
      <c r="D559" s="4951" t="n"/>
      <c r="E559" s="4952" t="n"/>
      <c r="F559" s="4953" t="n"/>
      <c r="G559" s="4954" t="n"/>
      <c r="H559" s="4955" t="n"/>
      <c r="I559" s="4956" t="n"/>
      <c r="J559" s="4957" t="n"/>
      <c r="K559" s="4958" t="n"/>
    </row>
    <row r="560">
      <c r="A560" s="4959" t="n"/>
      <c r="B560" s="4960" t="n"/>
      <c r="C560" s="4961" t="n"/>
      <c r="D560" s="4962" t="n"/>
      <c r="E560" s="4963" t="n"/>
      <c r="F560" s="4964" t="n"/>
      <c r="G560" s="4965" t="n"/>
      <c r="H560" s="4966" t="n"/>
      <c r="I560" s="4967" t="n"/>
      <c r="J560" s="4968" t="n"/>
      <c r="K560" s="4969" t="n"/>
    </row>
    <row r="561">
      <c r="A561" s="4970" t="n"/>
      <c r="B561" s="4971" t="n"/>
      <c r="C561" s="4972" t="n"/>
      <c r="D561" s="4973" t="n"/>
      <c r="E561" s="4974" t="n"/>
      <c r="F561" s="4975" t="n"/>
      <c r="G561" s="4976" t="n"/>
      <c r="H561" s="4977" t="n"/>
      <c r="I561" s="4978" t="n"/>
      <c r="J561" s="4979" t="n"/>
      <c r="K561" s="4980" t="n"/>
    </row>
    <row r="562">
      <c r="A562" s="4981" t="n"/>
      <c r="B562" s="4982" t="n"/>
      <c r="C562" s="4983" t="n"/>
      <c r="D562" s="4984" t="n"/>
      <c r="E562" s="4985" t="n"/>
      <c r="F562" s="4986" t="n"/>
      <c r="G562" s="4987" t="n"/>
      <c r="H562" s="4988" t="n"/>
      <c r="I562" s="4989" t="n"/>
      <c r="J562" s="4990" t="n"/>
      <c r="K562" s="4991" t="n"/>
    </row>
    <row r="563">
      <c r="A563" s="4992" t="n"/>
      <c r="B563" s="4993" t="n"/>
      <c r="C563" s="4994" t="n"/>
      <c r="D563" s="4995" t="n"/>
      <c r="E563" s="4996" t="n"/>
      <c r="F563" s="4997" t="n"/>
      <c r="G563" s="4998" t="n"/>
      <c r="H563" s="4999" t="n"/>
      <c r="I563" s="5000" t="n"/>
      <c r="J563" s="5001" t="n"/>
      <c r="K563" s="5002" t="n"/>
    </row>
    <row r="564">
      <c r="A564" s="5003" t="n"/>
      <c r="B564" s="5004" t="n"/>
      <c r="C564" s="5005" t="n"/>
      <c r="D564" s="5006" t="n"/>
      <c r="E564" s="5007" t="n"/>
      <c r="F564" s="5008" t="n"/>
      <c r="G564" s="5009" t="n"/>
      <c r="H564" s="5010" t="n"/>
      <c r="I564" s="5011" t="n"/>
      <c r="J564" s="5012" t="n"/>
      <c r="K564" s="5013" t="n"/>
    </row>
    <row r="565">
      <c r="A565" s="5014" t="n"/>
      <c r="B565" s="5015" t="n"/>
      <c r="C565" s="5016" t="n"/>
      <c r="D565" s="5017" t="n"/>
      <c r="E565" s="5018" t="n"/>
      <c r="F565" s="5019" t="n"/>
      <c r="G565" s="5020" t="n"/>
      <c r="H565" s="5021" t="n"/>
      <c r="I565" s="5022" t="n"/>
      <c r="J565" s="5023" t="n"/>
      <c r="K565" s="5024" t="n"/>
    </row>
    <row r="566">
      <c r="A566" s="5025" t="n"/>
      <c r="B566" s="5026" t="n"/>
      <c r="C566" s="5027" t="n"/>
      <c r="D566" s="5028" t="n"/>
      <c r="E566" s="5029" t="n"/>
      <c r="F566" s="5030" t="n"/>
      <c r="G566" s="5031" t="n"/>
      <c r="H566" s="5032" t="n"/>
      <c r="I566" s="5033" t="n"/>
      <c r="J566" s="5034" t="n"/>
      <c r="K566" s="5035" t="n"/>
    </row>
    <row r="567">
      <c r="A567" s="5036" t="n"/>
      <c r="B567" s="5037" t="n"/>
      <c r="C567" s="5038" t="n"/>
      <c r="D567" s="5039" t="n"/>
      <c r="E567" s="5040" t="n"/>
      <c r="F567" s="5041" t="n"/>
      <c r="G567" s="5042" t="n"/>
      <c r="H567" s="5043" t="n"/>
      <c r="I567" s="5044" t="n"/>
      <c r="J567" s="5045" t="n"/>
      <c r="K567" s="5046" t="n"/>
    </row>
    <row r="568">
      <c r="A568" s="5047" t="n"/>
      <c r="B568" s="5048" t="n"/>
      <c r="C568" s="5049" t="n"/>
      <c r="D568" s="5050" t="n"/>
      <c r="E568" s="5051" t="n"/>
      <c r="F568" s="5052" t="n"/>
      <c r="G568" s="5053" t="n"/>
      <c r="H568" s="5054" t="n"/>
      <c r="I568" s="5055" t="n"/>
      <c r="J568" s="5056" t="n"/>
      <c r="K568" s="5057" t="n"/>
    </row>
    <row r="569">
      <c r="A569" s="5058" t="n"/>
      <c r="B569" s="5059" t="n"/>
      <c r="C569" s="5060" t="n"/>
      <c r="D569" s="5061" t="n"/>
      <c r="E569" s="5062" t="n"/>
      <c r="F569" s="5063" t="n"/>
      <c r="G569" s="5064" t="n"/>
      <c r="H569" s="5065" t="n"/>
      <c r="I569" s="5066" t="n"/>
      <c r="J569" s="5067" t="n"/>
      <c r="K569" s="5068" t="n"/>
    </row>
    <row r="570">
      <c r="A570" s="5069" t="n"/>
      <c r="B570" s="5070" t="n"/>
      <c r="C570" s="5071" t="n"/>
      <c r="D570" s="5072" t="n"/>
      <c r="E570" s="5073" t="n"/>
      <c r="F570" s="5074" t="n"/>
      <c r="G570" s="5075" t="n"/>
      <c r="H570" s="5076" t="n"/>
      <c r="I570" s="5077" t="n"/>
      <c r="J570" s="5078" t="n"/>
      <c r="K570" s="5079" t="n"/>
    </row>
    <row r="571">
      <c r="A571" s="5080" t="n"/>
      <c r="B571" s="5081" t="n"/>
      <c r="C571" s="5082" t="n"/>
      <c r="D571" s="5083" t="n"/>
      <c r="E571" s="5084" t="n"/>
      <c r="F571" s="5085" t="n"/>
      <c r="G571" s="5086" t="n"/>
      <c r="H571" s="5087" t="n"/>
      <c r="I571" s="5088" t="n"/>
      <c r="J571" s="5089" t="n"/>
      <c r="K571" s="5090" t="n"/>
    </row>
    <row r="572">
      <c r="A572" s="5091" t="n"/>
      <c r="B572" s="5092" t="n"/>
      <c r="C572" s="5093" t="n"/>
      <c r="D572" s="5094" t="n"/>
      <c r="E572" s="5095" t="n"/>
      <c r="F572" s="5096" t="n"/>
      <c r="G572" s="5097" t="n"/>
      <c r="H572" s="5098" t="n"/>
      <c r="I572" s="5099" t="n"/>
      <c r="J572" s="5100" t="n"/>
      <c r="K572" s="5101" t="n"/>
    </row>
    <row r="573">
      <c r="A573" s="5102" t="n"/>
      <c r="B573" s="5103" t="n"/>
      <c r="C573" s="5104" t="n"/>
      <c r="D573" s="5105" t="n"/>
      <c r="E573" s="5106" t="n"/>
      <c r="F573" s="5107" t="n"/>
      <c r="G573" s="5108" t="n"/>
      <c r="H573" s="5109" t="n"/>
      <c r="I573" s="5110" t="n"/>
      <c r="J573" s="5111" t="n"/>
      <c r="K573" s="5112" t="n"/>
    </row>
    <row r="574">
      <c r="A574" s="5113" t="n"/>
      <c r="B574" s="5114" t="n"/>
      <c r="C574" s="5115" t="n"/>
      <c r="D574" s="5116" t="n"/>
      <c r="E574" s="5117" t="n"/>
      <c r="F574" s="5118" t="n"/>
      <c r="G574" s="5119" t="n"/>
      <c r="H574" s="5120" t="n"/>
      <c r="I574" s="5121" t="n"/>
      <c r="J574" s="5122" t="n"/>
      <c r="K574" s="5123" t="n"/>
    </row>
    <row r="575">
      <c r="A575" s="5124" t="n"/>
      <c r="B575" s="5125" t="n"/>
      <c r="C575" s="5126" t="n"/>
      <c r="D575" s="5127" t="n"/>
      <c r="E575" s="5128" t="n"/>
      <c r="F575" s="5129" t="n"/>
      <c r="G575" s="5130" t="n"/>
      <c r="H575" s="5131" t="n"/>
      <c r="I575" s="5132" t="n"/>
      <c r="J575" s="5133" t="n"/>
      <c r="K575" s="5134" t="n"/>
    </row>
    <row r="576">
      <c r="A576" s="5135" t="n"/>
      <c r="B576" s="5136" t="n"/>
      <c r="C576" s="5137" t="n"/>
      <c r="D576" s="5138" t="n"/>
      <c r="E576" s="5139" t="n"/>
      <c r="F576" s="5140" t="n"/>
      <c r="G576" s="5141" t="n"/>
      <c r="H576" s="5142" t="n"/>
      <c r="I576" s="5143" t="n"/>
      <c r="J576" s="5144" t="n"/>
      <c r="K576" s="5145" t="n"/>
    </row>
    <row r="577">
      <c r="A577" s="5146" t="n"/>
      <c r="B577" s="5147" t="n"/>
      <c r="C577" s="5148" t="n"/>
      <c r="D577" s="5149" t="n"/>
      <c r="E577" s="5150" t="n"/>
      <c r="F577" s="5151" t="n"/>
      <c r="G577" s="5152" t="n"/>
      <c r="H577" s="5153" t="n"/>
      <c r="I577" s="5154" t="n"/>
      <c r="J577" s="5155" t="n"/>
      <c r="K577" s="5156" t="n"/>
    </row>
    <row r="578">
      <c r="A578" s="5157" t="n"/>
      <c r="B578" s="5158" t="n"/>
      <c r="C578" s="5159" t="n"/>
      <c r="D578" s="5160" t="n"/>
      <c r="E578" s="5161" t="n"/>
      <c r="F578" s="5162" t="n"/>
      <c r="G578" s="5163" t="n"/>
      <c r="H578" s="5164" t="n"/>
      <c r="I578" s="5165" t="n"/>
      <c r="J578" s="5166" t="n"/>
      <c r="K578" s="5167" t="n"/>
    </row>
    <row r="579">
      <c r="A579" s="5168" t="n"/>
      <c r="B579" s="5169" t="n"/>
      <c r="C579" s="5170" t="n"/>
      <c r="D579" s="5171" t="n"/>
      <c r="E579" s="5172" t="n"/>
      <c r="F579" s="5173" t="n"/>
      <c r="G579" s="5174" t="n"/>
      <c r="H579" s="5175" t="n"/>
      <c r="I579" s="5176" t="n"/>
      <c r="J579" s="5177" t="n"/>
      <c r="K579" s="5178" t="n"/>
    </row>
    <row r="580">
      <c r="A580" s="5179" t="n"/>
      <c r="B580" s="5180" t="n"/>
      <c r="C580" s="5181" t="n"/>
      <c r="D580" s="5182" t="n"/>
      <c r="E580" s="5183" t="n"/>
      <c r="F580" s="5184" t="n"/>
      <c r="G580" s="5185" t="n"/>
      <c r="H580" s="5186" t="n"/>
      <c r="I580" s="5187" t="n"/>
      <c r="J580" s="5188" t="n"/>
      <c r="K580" s="5189" t="n"/>
    </row>
    <row r="581">
      <c r="A581" s="5190" t="n"/>
      <c r="B581" s="5191" t="n"/>
      <c r="C581" s="5192" t="n"/>
      <c r="D581" s="5193" t="n"/>
      <c r="E581" s="5194" t="n"/>
      <c r="F581" s="5195" t="n"/>
      <c r="G581" s="5196" t="n"/>
      <c r="H581" s="5197" t="n"/>
      <c r="I581" s="5198" t="n"/>
      <c r="J581" s="5199" t="n"/>
      <c r="K581" s="5200" t="n"/>
    </row>
    <row r="582">
      <c r="A582" s="5201" t="n"/>
      <c r="B582" s="5202" t="n"/>
      <c r="C582" s="5203" t="n"/>
      <c r="D582" s="5204" t="n"/>
      <c r="E582" s="5205" t="n"/>
      <c r="F582" s="5206" t="n"/>
      <c r="G582" s="5207" t="n"/>
      <c r="H582" s="5208" t="n"/>
      <c r="I582" s="5209" t="n"/>
      <c r="J582" s="5210" t="n"/>
      <c r="K582" s="5211" t="n"/>
    </row>
    <row r="583">
      <c r="A583" s="5212" t="n"/>
      <c r="B583" s="5213" t="n"/>
      <c r="C583" s="5214" t="n"/>
      <c r="D583" s="5215" t="n"/>
      <c r="E583" s="5216" t="n"/>
      <c r="F583" s="5217" t="n"/>
      <c r="G583" s="5218" t="n"/>
      <c r="H583" s="5219" t="n"/>
      <c r="I583" s="5220" t="n"/>
      <c r="J583" s="5221" t="n"/>
      <c r="K583" s="5222" t="n"/>
    </row>
    <row r="584">
      <c r="A584" s="5223" t="n"/>
      <c r="B584" s="5224" t="n"/>
      <c r="C584" s="5225" t="n"/>
      <c r="D584" s="5226" t="n"/>
      <c r="E584" s="5227" t="n"/>
      <c r="F584" s="5228" t="n"/>
      <c r="G584" s="5229" t="n"/>
      <c r="H584" s="5230" t="n"/>
      <c r="I584" s="5231" t="n"/>
      <c r="J584" s="5232" t="n"/>
      <c r="K584" s="5233" t="n"/>
    </row>
    <row r="585">
      <c r="A585" s="5234" t="n"/>
      <c r="B585" s="5235" t="n"/>
      <c r="C585" s="5236" t="n"/>
      <c r="D585" s="5237" t="n"/>
      <c r="E585" s="5238" t="n"/>
      <c r="F585" s="5239" t="n"/>
      <c r="G585" s="5240" t="n"/>
      <c r="H585" s="5241" t="n"/>
      <c r="I585" s="5242" t="n"/>
      <c r="J585" s="5243" t="n"/>
      <c r="K585" s="5244" t="n"/>
    </row>
    <row r="586">
      <c r="A586" s="5245" t="n"/>
      <c r="B586" s="5246" t="n"/>
      <c r="C586" s="5247" t="n"/>
      <c r="D586" s="5248" t="n"/>
      <c r="E586" s="5249" t="n"/>
      <c r="F586" s="5250" t="n"/>
      <c r="G586" s="5251" t="n"/>
      <c r="H586" s="5252" t="n"/>
      <c r="I586" s="5253" t="n"/>
      <c r="J586" s="5254" t="n"/>
      <c r="K586" s="5255" t="n"/>
    </row>
    <row r="587">
      <c r="A587" s="5256" t="n"/>
      <c r="B587" s="5257" t="n"/>
      <c r="C587" s="5258" t="n"/>
      <c r="D587" s="5259" t="n"/>
      <c r="E587" s="5260" t="n"/>
      <c r="F587" s="5261" t="n"/>
      <c r="G587" s="5262" t="n"/>
      <c r="H587" s="5263" t="n"/>
      <c r="I587" s="5264" t="n"/>
      <c r="J587" s="5265" t="n"/>
      <c r="K587" s="5266" t="n"/>
    </row>
    <row r="588">
      <c r="A588" s="5267" t="n"/>
      <c r="B588" s="5268" t="n"/>
      <c r="C588" s="5269" t="n"/>
      <c r="D588" s="5270" t="n"/>
      <c r="E588" s="5271" t="n"/>
      <c r="F588" s="5272" t="n"/>
      <c r="G588" s="5273" t="n"/>
      <c r="H588" s="5274" t="n"/>
      <c r="I588" s="5275" t="n"/>
      <c r="J588" s="5276" t="n"/>
      <c r="K588" s="5277" t="n"/>
    </row>
    <row r="589">
      <c r="A589" s="5278" t="n"/>
      <c r="B589" s="5279" t="n"/>
      <c r="C589" s="5280" t="n"/>
      <c r="D589" s="5281" t="n"/>
      <c r="E589" s="5282" t="n"/>
      <c r="F589" s="5283" t="n"/>
      <c r="G589" s="5284" t="n"/>
      <c r="H589" s="5285" t="n"/>
      <c r="I589" s="5286" t="n"/>
      <c r="J589" s="5287" t="n"/>
      <c r="K589" s="5288" t="n"/>
    </row>
    <row r="590">
      <c r="A590" s="5289" t="n"/>
      <c r="B590" s="5290" t="n"/>
      <c r="C590" s="5291" t="n"/>
      <c r="D590" s="5292" t="n"/>
      <c r="E590" s="5293" t="n"/>
      <c r="F590" s="5294" t="n"/>
      <c r="G590" s="5295" t="n"/>
      <c r="H590" s="5296" t="n"/>
      <c r="I590" s="5297" t="n"/>
      <c r="J590" s="5298" t="n"/>
      <c r="K590" s="5299" t="n"/>
    </row>
    <row r="591">
      <c r="A591" s="5300" t="n"/>
      <c r="B591" s="5301" t="n"/>
      <c r="C591" s="5302" t="n"/>
      <c r="D591" s="5303" t="n"/>
      <c r="E591" s="5304" t="n"/>
      <c r="F591" s="5305" t="n"/>
      <c r="G591" s="5306" t="n"/>
      <c r="H591" s="5307" t="n"/>
      <c r="I591" s="5308" t="n"/>
      <c r="J591" s="5309" t="n"/>
      <c r="K591" s="5310" t="n"/>
    </row>
    <row r="592">
      <c r="A592" s="5311" t="n"/>
      <c r="B592" s="5312" t="n"/>
      <c r="C592" s="5313" t="n"/>
      <c r="D592" s="5314" t="n"/>
      <c r="E592" s="5315" t="n"/>
      <c r="F592" s="5316" t="n"/>
      <c r="G592" s="5317" t="n"/>
      <c r="H592" s="5318" t="n"/>
      <c r="I592" s="5319" t="n"/>
      <c r="J592" s="5320" t="n"/>
      <c r="K592" s="5321" t="n"/>
    </row>
    <row r="593">
      <c r="A593" s="5322" t="n"/>
      <c r="B593" s="5323" t="n"/>
      <c r="C593" s="5324" t="n"/>
      <c r="D593" s="5325" t="n"/>
      <c r="E593" s="5326" t="n"/>
      <c r="F593" s="5327" t="n"/>
      <c r="G593" s="5328" t="n"/>
      <c r="H593" s="5329" t="n"/>
      <c r="I593" s="5330" t="n"/>
      <c r="J593" s="5331" t="n"/>
      <c r="K593" s="5332" t="n"/>
    </row>
    <row r="594">
      <c r="A594" s="5333" t="n"/>
      <c r="B594" s="5334" t="n"/>
      <c r="C594" s="5335" t="n"/>
      <c r="D594" s="5336" t="n"/>
      <c r="E594" s="5337" t="n"/>
      <c r="F594" s="5338" t="n"/>
      <c r="G594" s="5339" t="n"/>
      <c r="H594" s="5340" t="n"/>
      <c r="I594" s="5341" t="n"/>
      <c r="J594" s="5342" t="n"/>
      <c r="K594" s="5343" t="n"/>
    </row>
    <row r="595">
      <c r="A595" s="5344" t="n"/>
      <c r="B595" s="5345" t="n"/>
      <c r="C595" s="5346" t="n"/>
      <c r="D595" s="5347" t="n"/>
      <c r="E595" s="5348" t="n"/>
      <c r="F595" s="5349" t="n"/>
      <c r="G595" s="5350" t="n"/>
      <c r="H595" s="5351" t="n"/>
      <c r="I595" s="5352" t="n"/>
      <c r="J595" s="5353" t="n"/>
      <c r="K595" s="5354" t="n"/>
    </row>
    <row r="596">
      <c r="A596" s="5355" t="n"/>
      <c r="B596" s="5356" t="n"/>
      <c r="C596" s="5357" t="n"/>
      <c r="D596" s="5358" t="n"/>
      <c r="E596" s="5359" t="n"/>
      <c r="F596" s="5360" t="n"/>
      <c r="G596" s="5361" t="n"/>
      <c r="H596" s="5362" t="n"/>
      <c r="I596" s="5363" t="n"/>
      <c r="J596" s="5364" t="n"/>
      <c r="K596" s="5365" t="n"/>
    </row>
    <row r="597">
      <c r="A597" s="5366" t="n"/>
      <c r="B597" s="5367" t="n"/>
      <c r="C597" s="5368" t="n"/>
      <c r="D597" s="5369" t="n"/>
      <c r="E597" s="5370" t="n"/>
      <c r="F597" s="5371" t="n"/>
      <c r="G597" s="5372" t="n"/>
      <c r="H597" s="5373" t="n"/>
      <c r="I597" s="5374" t="n"/>
      <c r="J597" s="5375" t="n"/>
      <c r="K597" s="5376" t="n"/>
    </row>
    <row r="598">
      <c r="A598" s="5377" t="n"/>
      <c r="B598" s="5378" t="n"/>
      <c r="C598" s="5379" t="n"/>
      <c r="D598" s="5380" t="n"/>
      <c r="E598" s="5381" t="n"/>
      <c r="F598" s="5382" t="n"/>
      <c r="G598" s="5383" t="n"/>
      <c r="H598" s="5384" t="n"/>
      <c r="I598" s="5385" t="n"/>
      <c r="J598" s="5386" t="n"/>
      <c r="K598" s="5387" t="n"/>
    </row>
    <row r="599">
      <c r="A599" s="5388" t="n"/>
      <c r="B599" s="5389" t="n"/>
      <c r="C599" s="5390" t="n"/>
      <c r="D599" s="5391" t="n"/>
      <c r="E599" s="5392" t="n"/>
      <c r="F599" s="5393" t="n"/>
      <c r="G599" s="5394" t="n"/>
      <c r="H599" s="5395" t="n"/>
      <c r="I599" s="5396" t="n"/>
      <c r="J599" s="5397" t="n"/>
      <c r="K599" s="5398" t="n"/>
    </row>
    <row r="600">
      <c r="A600" s="5399" t="n"/>
      <c r="B600" s="5400" t="n"/>
      <c r="C600" s="5401" t="n"/>
      <c r="D600" s="5402" t="n"/>
      <c r="E600" s="5403" t="n"/>
      <c r="F600" s="5404" t="n"/>
      <c r="G600" s="5405" t="n"/>
      <c r="H600" s="5406" t="n"/>
      <c r="I600" s="5407" t="n"/>
      <c r="J600" s="5408" t="n"/>
      <c r="K600" s="5409" t="n"/>
    </row>
    <row r="601">
      <c r="A601" s="5410" t="n"/>
      <c r="B601" s="5411" t="n"/>
      <c r="C601" s="5412" t="n"/>
      <c r="D601" s="5413" t="n"/>
      <c r="E601" s="5414" t="n"/>
      <c r="F601" s="5415" t="n"/>
      <c r="G601" s="5416" t="n"/>
      <c r="H601" s="5417" t="n"/>
      <c r="I601" s="5418" t="n"/>
      <c r="J601" s="5419" t="n"/>
      <c r="K601" s="5420" t="n"/>
    </row>
    <row r="602">
      <c r="A602" s="5421" t="n"/>
      <c r="B602" s="5422" t="n"/>
      <c r="C602" s="5423" t="n"/>
      <c r="D602" s="5424" t="n"/>
      <c r="E602" s="5425" t="n"/>
      <c r="F602" s="5426" t="n"/>
      <c r="G602" s="5427" t="n"/>
      <c r="H602" s="5428" t="n"/>
      <c r="I602" s="5429" t="n"/>
      <c r="J602" s="5430" t="n"/>
      <c r="K602" s="5431" t="n"/>
    </row>
    <row r="603">
      <c r="A603" s="5432" t="n"/>
      <c r="B603" s="5433" t="n"/>
      <c r="C603" s="5434" t="n"/>
      <c r="D603" s="5435" t="n"/>
      <c r="E603" s="5436" t="n"/>
      <c r="F603" s="5437" t="n"/>
      <c r="G603" s="5438" t="n"/>
      <c r="H603" s="5439" t="n"/>
      <c r="I603" s="5440" t="n"/>
      <c r="J603" s="5441" t="n"/>
      <c r="K603" s="5442" t="n"/>
    </row>
    <row r="604">
      <c r="A604" s="5443" t="n"/>
      <c r="B604" s="5444" t="n"/>
      <c r="C604" s="5445" t="n"/>
      <c r="D604" s="5446" t="n"/>
      <c r="E604" s="5447" t="n"/>
      <c r="F604" s="5448" t="n"/>
      <c r="G604" s="5449" t="n"/>
      <c r="H604" s="5450" t="n"/>
      <c r="I604" s="5451" t="n"/>
      <c r="J604" s="5452" t="n"/>
      <c r="K604" s="5453" t="n"/>
    </row>
    <row r="605">
      <c r="A605" s="5454" t="n"/>
      <c r="B605" s="5455" t="n"/>
      <c r="C605" s="5456" t="n"/>
      <c r="D605" s="5457" t="n"/>
      <c r="E605" s="5458" t="n"/>
      <c r="F605" s="5459" t="n"/>
      <c r="G605" s="5460" t="n"/>
      <c r="H605" s="5461" t="n"/>
      <c r="I605" s="5462" t="n"/>
      <c r="J605" s="5463" t="n"/>
      <c r="K605" s="5464" t="n"/>
    </row>
    <row r="606">
      <c r="A606" s="5465" t="n"/>
      <c r="B606" s="5466" t="n"/>
      <c r="C606" s="5467" t="n"/>
      <c r="D606" s="5468" t="n"/>
      <c r="E606" s="5469" t="n"/>
      <c r="F606" s="5470" t="n"/>
      <c r="G606" s="5471" t="n"/>
      <c r="H606" s="5472" t="n"/>
      <c r="I606" s="5473" t="n"/>
      <c r="J606" s="5474" t="n"/>
      <c r="K606" s="5475" t="n"/>
    </row>
    <row r="607">
      <c r="A607" s="5476" t="n"/>
      <c r="B607" s="5477" t="n"/>
      <c r="C607" s="5478" t="n"/>
      <c r="D607" s="5479" t="n"/>
      <c r="E607" s="5480" t="n"/>
      <c r="F607" s="5481" t="n"/>
      <c r="G607" s="5482" t="n"/>
      <c r="H607" s="5483" t="n"/>
      <c r="I607" s="5484" t="n"/>
      <c r="J607" s="5485" t="n"/>
      <c r="K607" s="5486" t="n"/>
    </row>
    <row r="608">
      <c r="A608" s="5487" t="n"/>
      <c r="B608" s="5488" t="n"/>
      <c r="C608" s="5489" t="n"/>
      <c r="D608" s="5490" t="n"/>
      <c r="E608" s="5491" t="n"/>
      <c r="F608" s="5492" t="n"/>
      <c r="G608" s="5493" t="n"/>
      <c r="H608" s="5494" t="n"/>
      <c r="I608" s="5495" t="n"/>
      <c r="J608" s="5496" t="n"/>
      <c r="K608" s="5497" t="n"/>
    </row>
    <row r="609">
      <c r="A609" s="5498" t="n"/>
      <c r="B609" s="5499" t="n"/>
      <c r="C609" s="5500" t="n"/>
      <c r="D609" s="5501" t="n"/>
      <c r="E609" s="5502" t="n"/>
      <c r="F609" s="5503" t="n"/>
      <c r="G609" s="5504" t="n"/>
      <c r="H609" s="5505" t="n"/>
      <c r="I609" s="5506" t="n"/>
      <c r="J609" s="5507" t="n"/>
      <c r="K609" s="5508" t="n"/>
    </row>
    <row r="610">
      <c r="A610" s="5509" t="n"/>
      <c r="B610" s="5510" t="n"/>
      <c r="C610" s="5511" t="n"/>
      <c r="D610" s="5512" t="n"/>
      <c r="E610" s="5513" t="n"/>
      <c r="F610" s="5514" t="n"/>
      <c r="G610" s="5515" t="n"/>
      <c r="H610" s="5516" t="n"/>
      <c r="I610" s="5517" t="n"/>
      <c r="J610" s="5518" t="n"/>
      <c r="K610" s="5519" t="n"/>
    </row>
    <row r="611">
      <c r="A611" s="5520" t="n"/>
      <c r="B611" s="5521" t="n"/>
      <c r="C611" s="5522" t="n"/>
      <c r="D611" s="5523" t="n"/>
      <c r="E611" s="5524" t="n"/>
      <c r="F611" s="5525" t="n"/>
      <c r="G611" s="5526" t="n"/>
      <c r="H611" s="5527" t="n"/>
      <c r="I611" s="5528" t="n"/>
      <c r="J611" s="5529" t="n"/>
      <c r="K611" s="5530" t="n"/>
    </row>
    <row r="612">
      <c r="A612" s="5531" t="n"/>
      <c r="B612" s="5532" t="n"/>
      <c r="C612" s="5533" t="n"/>
      <c r="D612" s="5534" t="n"/>
      <c r="E612" s="5535" t="n"/>
      <c r="F612" s="5536" t="n"/>
      <c r="G612" s="5537" t="n"/>
      <c r="H612" s="5538" t="n"/>
      <c r="I612" s="5539" t="n"/>
      <c r="J612" s="5540" t="n"/>
      <c r="K612" s="5541" t="n"/>
    </row>
    <row r="613">
      <c r="A613" s="5542" t="n"/>
      <c r="B613" s="5543" t="n"/>
      <c r="C613" s="5544" t="n"/>
      <c r="D613" s="5545" t="n"/>
      <c r="E613" s="5546" t="n"/>
      <c r="F613" s="5547" t="n"/>
      <c r="G613" s="5548" t="n"/>
      <c r="H613" s="5549" t="n"/>
      <c r="I613" s="5550" t="n"/>
      <c r="J613" s="5551" t="n"/>
      <c r="K613" s="5552" t="n"/>
    </row>
    <row r="614">
      <c r="A614" s="5553" t="n"/>
      <c r="B614" s="5554" t="n"/>
      <c r="C614" s="5555" t="n"/>
      <c r="D614" s="5556" t="n"/>
      <c r="E614" s="5557" t="n"/>
      <c r="F614" s="5558" t="n"/>
      <c r="G614" s="5559" t="n"/>
      <c r="H614" s="5560" t="n"/>
      <c r="I614" s="5561" t="n"/>
      <c r="J614" s="5562" t="n"/>
      <c r="K614" s="5563" t="n"/>
    </row>
    <row r="615">
      <c r="A615" s="5564" t="n"/>
      <c r="B615" s="5565" t="n"/>
      <c r="C615" s="5566" t="n"/>
      <c r="D615" s="5567" t="n"/>
      <c r="E615" s="5568" t="n"/>
      <c r="F615" s="5569" t="n"/>
      <c r="G615" s="5570" t="n"/>
      <c r="H615" s="5571" t="n"/>
      <c r="I615" s="5572" t="n"/>
      <c r="J615" s="5573" t="n"/>
      <c r="K615" s="5574" t="n"/>
    </row>
    <row r="616">
      <c r="A616" s="5575" t="n"/>
      <c r="B616" s="5576" t="n"/>
      <c r="C616" s="5577" t="n"/>
      <c r="D616" s="5578" t="n"/>
      <c r="E616" s="5579" t="n"/>
      <c r="F616" s="5580" t="n"/>
      <c r="G616" s="5581" t="n"/>
      <c r="H616" s="5582" t="n"/>
      <c r="I616" s="5583" t="n"/>
      <c r="J616" s="5584" t="n"/>
      <c r="K616" s="5585" t="n"/>
    </row>
    <row r="617">
      <c r="A617" s="5586" t="n"/>
      <c r="B617" s="5587" t="n"/>
      <c r="C617" s="5588" t="n"/>
      <c r="D617" s="5589" t="n"/>
      <c r="E617" s="5590" t="n"/>
      <c r="F617" s="5591" t="n"/>
      <c r="G617" s="5592" t="n"/>
      <c r="H617" s="5593" t="n"/>
      <c r="I617" s="5594" t="n"/>
      <c r="J617" s="5595" t="n"/>
      <c r="K617" s="5596" t="n"/>
    </row>
    <row r="618">
      <c r="A618" s="5597" t="n"/>
      <c r="B618" s="5598" t="n"/>
      <c r="C618" s="5599" t="n"/>
      <c r="D618" s="5600" t="n"/>
      <c r="E618" s="5601" t="n"/>
      <c r="F618" s="5602" t="n"/>
      <c r="G618" s="5603" t="n"/>
      <c r="H618" s="5604" t="n"/>
      <c r="I618" s="5605" t="n"/>
      <c r="J618" s="5606" t="n"/>
      <c r="K618" s="5607" t="n"/>
    </row>
    <row r="619">
      <c r="A619" s="5608" t="n"/>
      <c r="B619" s="5609" t="n"/>
      <c r="C619" s="5610" t="n"/>
      <c r="D619" s="5611" t="n"/>
      <c r="E619" s="5612" t="n"/>
      <c r="F619" s="5613" t="n"/>
      <c r="G619" s="5614" t="n"/>
      <c r="H619" s="5615" t="n"/>
      <c r="I619" s="5616" t="n"/>
      <c r="J619" s="5617" t="n"/>
      <c r="K619" s="5618" t="n"/>
    </row>
    <row r="620">
      <c r="A620" s="5619" t="n"/>
      <c r="B620" s="5620" t="n"/>
      <c r="C620" s="5621" t="n"/>
      <c r="D620" s="5622" t="n"/>
      <c r="E620" s="5623" t="n"/>
      <c r="F620" s="5624" t="n"/>
      <c r="G620" s="5625" t="n"/>
      <c r="H620" s="5626" t="n"/>
      <c r="I620" s="5627" t="n"/>
      <c r="J620" s="5628" t="n"/>
      <c r="K620" s="5629" t="n"/>
    </row>
    <row r="621">
      <c r="A621" s="5630" t="n"/>
      <c r="B621" s="5631" t="n"/>
      <c r="C621" s="5632" t="n"/>
      <c r="D621" s="5633" t="n"/>
      <c r="E621" s="5634" t="n"/>
      <c r="F621" s="5635" t="n"/>
      <c r="G621" s="5636" t="n"/>
      <c r="H621" s="5637" t="n"/>
      <c r="I621" s="5638" t="n"/>
      <c r="J621" s="5639" t="n"/>
      <c r="K621" s="5640" t="n"/>
    </row>
    <row r="622">
      <c r="A622" s="5641" t="n"/>
      <c r="B622" s="5642" t="n"/>
      <c r="C622" s="5643" t="n"/>
      <c r="D622" s="5644" t="n"/>
      <c r="E622" s="5645" t="n"/>
      <c r="F622" s="5646" t="n"/>
      <c r="G622" s="5647" t="n"/>
      <c r="H622" s="5648" t="n"/>
      <c r="I622" s="5649" t="n"/>
      <c r="J622" s="5650" t="n"/>
      <c r="K622" s="5651" t="n"/>
    </row>
    <row r="623">
      <c r="A623" s="5652" t="n"/>
      <c r="B623" s="5653" t="n"/>
      <c r="C623" s="5654" t="n"/>
      <c r="D623" s="5655" t="n"/>
      <c r="E623" s="5656" t="n"/>
      <c r="F623" s="5657" t="n"/>
      <c r="G623" s="5658" t="n"/>
      <c r="H623" s="5659" t="n"/>
      <c r="I623" s="5660" t="n"/>
      <c r="J623" s="5661" t="n"/>
      <c r="K623" s="5662" t="n"/>
    </row>
    <row r="624">
      <c r="A624" s="5663" t="n"/>
      <c r="B624" s="5664" t="n"/>
      <c r="C624" s="5665" t="n"/>
      <c r="D624" s="5666" t="n"/>
      <c r="E624" s="5667" t="n"/>
      <c r="F624" s="5668" t="n"/>
      <c r="G624" s="5669" t="n"/>
      <c r="H624" s="5670" t="n"/>
      <c r="I624" s="5671" t="n"/>
      <c r="J624" s="5672" t="n"/>
      <c r="K624" s="5673" t="n"/>
    </row>
    <row r="625">
      <c r="A625" s="5674" t="n"/>
      <c r="B625" s="5675" t="n"/>
      <c r="C625" s="5676" t="n"/>
      <c r="D625" s="5677" t="n"/>
      <c r="E625" s="5678" t="n"/>
      <c r="F625" s="5679" t="n"/>
      <c r="G625" s="5680" t="n"/>
      <c r="H625" s="5681" t="n"/>
      <c r="I625" s="5682" t="n"/>
      <c r="J625" s="5683" t="n"/>
      <c r="K625" s="5684" t="n"/>
    </row>
    <row r="626">
      <c r="A626" s="5685" t="n"/>
      <c r="B626" s="5686" t="n"/>
      <c r="C626" s="5687" t="n"/>
      <c r="D626" s="5688" t="n"/>
      <c r="E626" s="5689" t="n"/>
      <c r="F626" s="5690" t="n"/>
      <c r="G626" s="5691" t="n"/>
      <c r="H626" s="5692" t="n"/>
      <c r="I626" s="5693" t="n"/>
      <c r="J626" s="5694" t="n"/>
      <c r="K626" s="5695" t="n"/>
    </row>
    <row r="627">
      <c r="A627" s="5696" t="n"/>
      <c r="B627" s="5697" t="n"/>
      <c r="C627" s="5698" t="n"/>
      <c r="D627" s="5699" t="n"/>
      <c r="E627" s="5700" t="n"/>
      <c r="F627" s="5701" t="n"/>
      <c r="G627" s="5702" t="n"/>
      <c r="H627" s="5703" t="n"/>
      <c r="I627" s="5704" t="n"/>
      <c r="J627" s="5705" t="n"/>
      <c r="K627" s="5706" t="n"/>
    </row>
    <row r="628">
      <c r="A628" s="5707" t="n"/>
      <c r="B628" s="5708" t="n"/>
      <c r="C628" s="5709" t="n"/>
      <c r="D628" s="5710" t="n"/>
      <c r="E628" s="5711" t="n"/>
      <c r="F628" s="5712" t="n"/>
      <c r="G628" s="5713" t="n"/>
      <c r="H628" s="5714" t="n"/>
      <c r="I628" s="5715" t="n"/>
      <c r="J628" s="5716" t="n"/>
      <c r="K628" s="5717" t="n"/>
    </row>
    <row r="629">
      <c r="A629" s="5718" t="n"/>
      <c r="B629" s="5719" t="n"/>
      <c r="C629" s="5720" t="n"/>
      <c r="D629" s="5721" t="n"/>
      <c r="E629" s="5722" t="n"/>
      <c r="F629" s="5723" t="n"/>
      <c r="G629" s="5724" t="n"/>
      <c r="H629" s="5725" t="n"/>
      <c r="I629" s="5726" t="n"/>
      <c r="J629" s="5727" t="n"/>
      <c r="K629" s="5728" t="n"/>
    </row>
    <row r="630">
      <c r="A630" s="5729" t="n"/>
      <c r="B630" s="5730" t="n"/>
      <c r="C630" s="5731" t="n"/>
      <c r="D630" s="5732" t="n"/>
      <c r="E630" s="5733" t="n"/>
      <c r="F630" s="5734" t="n"/>
      <c r="G630" s="5735" t="n"/>
      <c r="H630" s="5736" t="n"/>
      <c r="I630" s="5737" t="n"/>
      <c r="J630" s="5738" t="n"/>
      <c r="K630" s="5739" t="n"/>
    </row>
    <row r="631">
      <c r="A631" s="5740" t="n"/>
      <c r="B631" s="5741" t="n"/>
      <c r="C631" s="5742" t="n"/>
      <c r="D631" s="5743" t="n"/>
      <c r="E631" s="5744" t="n"/>
      <c r="F631" s="5745" t="n"/>
      <c r="G631" s="5746" t="n"/>
      <c r="H631" s="5747" t="n"/>
      <c r="I631" s="5748" t="n"/>
      <c r="J631" s="5749" t="n"/>
      <c r="K631" s="5750" t="n"/>
    </row>
    <row r="632">
      <c r="A632" s="5751" t="n"/>
      <c r="B632" s="5752" t="n"/>
      <c r="C632" s="5753" t="n"/>
      <c r="D632" s="5754" t="n"/>
      <c r="E632" s="5755" t="n"/>
      <c r="F632" s="5756" t="n"/>
      <c r="G632" s="5757" t="n"/>
      <c r="H632" s="5758" t="n"/>
      <c r="I632" s="5759" t="n"/>
      <c r="J632" s="5760" t="n"/>
      <c r="K632" s="5761" t="n"/>
    </row>
    <row r="633">
      <c r="A633" s="5762" t="n"/>
      <c r="B633" s="5763" t="n"/>
      <c r="C633" s="5764" t="n"/>
      <c r="D633" s="5765" t="n"/>
      <c r="E633" s="5766" t="n"/>
      <c r="F633" s="5767" t="n"/>
      <c r="G633" s="5768" t="n"/>
      <c r="H633" s="5769" t="n"/>
      <c r="I633" s="5770" t="n"/>
      <c r="J633" s="5771" t="n"/>
      <c r="K633" s="5772" t="n"/>
    </row>
    <row r="634">
      <c r="A634" s="5773" t="n"/>
      <c r="B634" s="5774" t="n"/>
      <c r="C634" s="5775" t="n"/>
      <c r="D634" s="5776" t="n"/>
      <c r="E634" s="5777" t="n"/>
      <c r="F634" s="5778" t="n"/>
      <c r="G634" s="5779" t="n"/>
      <c r="H634" s="5780" t="n"/>
      <c r="I634" s="5781" t="n"/>
      <c r="J634" s="5782" t="n"/>
      <c r="K634" s="5783" t="n"/>
    </row>
    <row r="635">
      <c r="A635" s="5784" t="n"/>
      <c r="B635" s="5785" t="n"/>
      <c r="C635" s="5786" t="n"/>
      <c r="D635" s="5787" t="n"/>
      <c r="E635" s="5788" t="n"/>
      <c r="F635" s="5789" t="n"/>
      <c r="G635" s="5790" t="n"/>
      <c r="H635" s="5791" t="n"/>
      <c r="I635" s="5792" t="n"/>
      <c r="J635" s="5793" t="n"/>
      <c r="K635" s="5794" t="n"/>
    </row>
    <row r="636">
      <c r="A636" s="5795" t="n"/>
      <c r="B636" s="5796" t="n"/>
      <c r="C636" s="5797" t="n"/>
      <c r="D636" s="5798" t="n"/>
      <c r="E636" s="5799" t="n"/>
      <c r="F636" s="5800" t="n"/>
      <c r="G636" s="5801" t="n"/>
      <c r="H636" s="5802" t="n"/>
      <c r="I636" s="5803" t="n"/>
      <c r="J636" s="5804" t="n"/>
      <c r="K636" s="5805" t="n"/>
    </row>
    <row r="637">
      <c r="A637" s="5806" t="n"/>
      <c r="B637" s="5807" t="n"/>
      <c r="C637" s="5808" t="n"/>
      <c r="D637" s="5809" t="n"/>
      <c r="E637" s="5810" t="n"/>
      <c r="F637" s="5811" t="n"/>
      <c r="G637" s="5812" t="n"/>
      <c r="H637" s="5813" t="n"/>
      <c r="I637" s="5814" t="n"/>
      <c r="J637" s="5815" t="n"/>
      <c r="K637" s="5816" t="n"/>
    </row>
    <row r="638">
      <c r="A638" s="5817" t="n"/>
      <c r="B638" s="5818" t="n"/>
      <c r="C638" s="5819" t="n"/>
      <c r="D638" s="5820" t="n"/>
      <c r="E638" s="5821" t="n"/>
      <c r="F638" s="5822" t="n"/>
      <c r="G638" s="5823" t="n"/>
      <c r="H638" s="5824" t="n"/>
      <c r="I638" s="5825" t="n"/>
      <c r="J638" s="5826" t="n"/>
      <c r="K638" s="5827" t="n"/>
    </row>
    <row r="639">
      <c r="A639" s="5828" t="n"/>
      <c r="B639" s="5829" t="n"/>
      <c r="C639" s="5830" t="n"/>
      <c r="D639" s="5831" t="n"/>
      <c r="E639" s="5832" t="n"/>
      <c r="F639" s="5833" t="n"/>
      <c r="G639" s="5834" t="n"/>
      <c r="H639" s="5835" t="n"/>
      <c r="I639" s="5836" t="n"/>
      <c r="J639" s="5837" t="n"/>
      <c r="K639" s="5838" t="n"/>
    </row>
    <row r="640">
      <c r="A640" s="5839" t="n"/>
      <c r="B640" s="5840" t="n"/>
      <c r="C640" s="5841" t="n"/>
      <c r="D640" s="5842" t="n"/>
      <c r="E640" s="5843" t="n"/>
      <c r="F640" s="5844" t="n"/>
      <c r="G640" s="5845" t="n"/>
      <c r="H640" s="5846" t="n"/>
      <c r="I640" s="5847" t="n"/>
      <c r="J640" s="5848" t="n"/>
      <c r="K640" s="5849" t="n"/>
    </row>
    <row r="641">
      <c r="A641" s="5850" t="n"/>
      <c r="B641" s="5851" t="n"/>
      <c r="C641" s="5852" t="n"/>
      <c r="D641" s="5853" t="n"/>
      <c r="E641" s="5854" t="n"/>
      <c r="F641" s="5855" t="n"/>
      <c r="G641" s="5856" t="n"/>
      <c r="H641" s="5857" t="n"/>
      <c r="I641" s="5858" t="n"/>
      <c r="J641" s="5859" t="n"/>
      <c r="K641" s="5860" t="n"/>
    </row>
    <row r="642">
      <c r="A642" s="5861" t="n"/>
      <c r="B642" s="5862" t="n"/>
      <c r="C642" s="5863" t="n"/>
      <c r="D642" s="5864" t="n"/>
      <c r="E642" s="5865" t="n"/>
      <c r="F642" s="5866" t="n"/>
      <c r="G642" s="5867" t="n"/>
      <c r="H642" s="5868" t="n"/>
      <c r="I642" s="5869" t="n"/>
      <c r="J642" s="5870" t="n"/>
      <c r="K642" s="5871" t="n"/>
    </row>
    <row r="643">
      <c r="A643" s="5872" t="n"/>
      <c r="B643" s="5873" t="n"/>
      <c r="C643" s="5874" t="n"/>
      <c r="D643" s="5875" t="n"/>
      <c r="E643" s="5876" t="n"/>
      <c r="F643" s="5877" t="n"/>
      <c r="G643" s="5878" t="n"/>
      <c r="H643" s="5879" t="n"/>
      <c r="I643" s="5880" t="n"/>
      <c r="J643" s="5881" t="n"/>
      <c r="K643" s="5882" t="n"/>
    </row>
    <row r="644">
      <c r="A644" s="5883" t="n"/>
      <c r="B644" s="5884" t="n"/>
      <c r="C644" s="5885" t="n"/>
      <c r="D644" s="5886" t="n"/>
      <c r="E644" s="5887" t="n"/>
      <c r="F644" s="5888" t="n"/>
      <c r="G644" s="5889" t="n"/>
      <c r="H644" s="5890" t="n"/>
      <c r="I644" s="5891" t="n"/>
      <c r="J644" s="5892" t="n"/>
      <c r="K644" s="5893" t="n"/>
    </row>
    <row r="645">
      <c r="A645" s="5894" t="n"/>
      <c r="B645" s="5895" t="n"/>
      <c r="C645" s="5896" t="n"/>
      <c r="D645" s="5897" t="n"/>
      <c r="E645" s="5898" t="n"/>
      <c r="F645" s="5899" t="n"/>
      <c r="G645" s="5900" t="n"/>
      <c r="H645" s="5901" t="n"/>
      <c r="I645" s="5902" t="n"/>
      <c r="J645" s="5903" t="n"/>
      <c r="K645" s="5904" t="n"/>
    </row>
    <row r="646">
      <c r="A646" s="5905" t="n"/>
      <c r="B646" s="5906" t="n"/>
      <c r="C646" s="5907" t="n"/>
      <c r="D646" s="5908" t="n"/>
      <c r="E646" s="5909" t="n"/>
      <c r="F646" s="5910" t="n"/>
      <c r="G646" s="5911" t="n"/>
      <c r="H646" s="5912" t="n"/>
      <c r="I646" s="5913" t="n"/>
      <c r="J646" s="5914" t="n"/>
      <c r="K646" s="5915" t="n"/>
    </row>
    <row r="647">
      <c r="A647" s="5916" t="n"/>
      <c r="B647" s="5917" t="n"/>
      <c r="C647" s="5918" t="n"/>
      <c r="D647" s="5919" t="n"/>
      <c r="E647" s="5920" t="n"/>
      <c r="F647" s="5921" t="n"/>
      <c r="G647" s="5922" t="n"/>
      <c r="H647" s="5923" t="n"/>
      <c r="I647" s="5924" t="n"/>
      <c r="J647" s="5925" t="n"/>
      <c r="K647" s="5926" t="n"/>
    </row>
    <row r="648">
      <c r="A648" s="5927" t="n"/>
      <c r="B648" s="5928" t="n"/>
      <c r="C648" s="5929" t="n"/>
      <c r="D648" s="5930" t="n"/>
      <c r="E648" s="5931" t="n"/>
      <c r="F648" s="5932" t="n"/>
      <c r="G648" s="5933" t="n"/>
      <c r="H648" s="5934" t="n"/>
      <c r="I648" s="5935" t="n"/>
      <c r="J648" s="5936" t="n"/>
      <c r="K648" s="5937" t="n"/>
    </row>
    <row r="649">
      <c r="A649" s="5938" t="n"/>
      <c r="B649" s="5939" t="n"/>
      <c r="C649" s="5940" t="n"/>
      <c r="D649" s="5941" t="n"/>
      <c r="E649" s="5942" t="n"/>
      <c r="F649" s="5943" t="n"/>
      <c r="G649" s="5944" t="n"/>
      <c r="H649" s="5945" t="n"/>
      <c r="I649" s="5946" t="n"/>
      <c r="J649" s="5947" t="n"/>
      <c r="K649" s="5948" t="n"/>
    </row>
    <row r="650">
      <c r="A650" s="5949" t="n"/>
      <c r="B650" s="5950" t="n"/>
      <c r="C650" s="5951" t="n"/>
      <c r="D650" s="5952" t="n"/>
      <c r="E650" s="5953" t="n"/>
      <c r="F650" s="5954" t="n"/>
      <c r="G650" s="5955" t="n"/>
      <c r="H650" s="5956" t="n"/>
      <c r="I650" s="5957" t="n"/>
      <c r="J650" s="5958" t="n"/>
      <c r="K650" s="5959" t="n"/>
    </row>
    <row r="651">
      <c r="A651" s="5960" t="n"/>
      <c r="B651" s="5961" t="n"/>
      <c r="C651" s="5962" t="n"/>
      <c r="D651" s="5963" t="n"/>
      <c r="E651" s="5964" t="n"/>
      <c r="F651" s="5965" t="n"/>
      <c r="G651" s="5966" t="n"/>
      <c r="H651" s="5967" t="n"/>
      <c r="I651" s="5968" t="n"/>
      <c r="J651" s="5969" t="n"/>
      <c r="K651" s="5970" t="n"/>
    </row>
    <row r="652">
      <c r="A652" s="5971" t="n"/>
      <c r="B652" s="5972" t="n"/>
      <c r="C652" s="5973" t="n"/>
      <c r="D652" s="5974" t="n"/>
      <c r="E652" s="5975" t="n"/>
      <c r="F652" s="5976" t="n"/>
      <c r="G652" s="5977" t="n"/>
      <c r="H652" s="5978" t="n"/>
      <c r="I652" s="5979" t="n"/>
      <c r="J652" s="5980" t="n"/>
      <c r="K652" s="5981" t="n"/>
    </row>
    <row r="653">
      <c r="A653" s="5982" t="n"/>
      <c r="B653" s="5983" t="n"/>
      <c r="C653" s="5984" t="n"/>
      <c r="D653" s="5985" t="n"/>
      <c r="E653" s="5986" t="n"/>
      <c r="F653" s="5987" t="n"/>
      <c r="G653" s="5988" t="n"/>
      <c r="H653" s="5989" t="n"/>
      <c r="I653" s="5990" t="n"/>
      <c r="J653" s="5991" t="n"/>
      <c r="K653" s="5992" t="n"/>
    </row>
    <row r="654">
      <c r="A654" s="5993" t="n"/>
      <c r="B654" s="5994" t="n"/>
      <c r="C654" s="5995" t="n"/>
      <c r="D654" s="5996" t="n"/>
      <c r="E654" s="5997" t="n"/>
      <c r="F654" s="5998" t="n"/>
      <c r="G654" s="5999" t="n"/>
      <c r="H654" s="6000" t="n"/>
      <c r="I654" s="6001" t="n"/>
      <c r="J654" s="6002" t="n"/>
      <c r="K654" s="6003" t="n"/>
    </row>
    <row r="655">
      <c r="A655" s="6004" t="n"/>
      <c r="B655" s="6005" t="n"/>
      <c r="C655" s="6006" t="n"/>
      <c r="D655" s="6007" t="n"/>
      <c r="E655" s="6008" t="n"/>
      <c r="F655" s="6009" t="n"/>
      <c r="G655" s="6010" t="n"/>
      <c r="H655" s="6011" t="n"/>
      <c r="I655" s="6012" t="n"/>
      <c r="J655" s="6013" t="n"/>
      <c r="K655" s="6014" t="n"/>
    </row>
    <row r="656">
      <c r="A656" s="6015" t="n"/>
      <c r="B656" s="6016" t="n"/>
      <c r="C656" s="6017" t="n"/>
      <c r="D656" s="6018" t="n"/>
      <c r="E656" s="6019" t="n"/>
      <c r="F656" s="6020" t="n"/>
      <c r="G656" s="6021" t="n"/>
      <c r="H656" s="6022" t="n"/>
      <c r="I656" s="6023" t="n"/>
      <c r="J656" s="6024" t="n"/>
      <c r="K656" s="6025" t="n"/>
    </row>
    <row r="657">
      <c r="A657" s="6026" t="n"/>
      <c r="B657" s="6027" t="n"/>
      <c r="C657" s="6028" t="n"/>
      <c r="D657" s="6029" t="n"/>
      <c r="E657" s="6030" t="n"/>
      <c r="F657" s="6031" t="n"/>
      <c r="G657" s="6032" t="n"/>
      <c r="H657" s="6033" t="n"/>
      <c r="I657" s="6034" t="n"/>
      <c r="J657" s="6035" t="n"/>
      <c r="K657" s="6036" t="n"/>
    </row>
    <row r="658">
      <c r="A658" s="6037" t="n"/>
      <c r="B658" s="6038" t="n"/>
      <c r="C658" s="6039" t="n"/>
      <c r="D658" s="6040" t="n"/>
      <c r="E658" s="6041" t="n"/>
      <c r="F658" s="6042" t="n"/>
      <c r="G658" s="6043" t="n"/>
      <c r="H658" s="6044" t="n"/>
      <c r="I658" s="6045" t="n"/>
      <c r="J658" s="6046" t="n"/>
      <c r="K658" s="6047" t="n"/>
    </row>
    <row r="659">
      <c r="A659" s="6048" t="n"/>
      <c r="B659" s="6049" t="n"/>
      <c r="C659" s="6050" t="n"/>
      <c r="D659" s="6051" t="n"/>
      <c r="E659" s="6052" t="n"/>
      <c r="F659" s="6053" t="n"/>
      <c r="G659" s="6054" t="n"/>
      <c r="H659" s="6055" t="n"/>
      <c r="I659" s="6056" t="n"/>
      <c r="J659" s="6057" t="n"/>
      <c r="K659" s="6058" t="n"/>
    </row>
    <row r="660">
      <c r="A660" s="6059" t="n"/>
      <c r="B660" s="6060" t="n"/>
      <c r="C660" s="6061" t="n"/>
      <c r="D660" s="6062" t="n"/>
      <c r="E660" s="6063" t="n"/>
      <c r="F660" s="6064" t="n"/>
      <c r="G660" s="6065" t="n"/>
      <c r="H660" s="6066" t="n"/>
      <c r="I660" s="6067" t="n"/>
      <c r="J660" s="6068" t="n"/>
      <c r="K660" s="6069" t="n"/>
    </row>
    <row r="661">
      <c r="A661" s="6070" t="n"/>
      <c r="B661" s="6071" t="n"/>
      <c r="C661" s="6072" t="n"/>
      <c r="D661" s="6073" t="n"/>
      <c r="E661" s="6074" t="n"/>
      <c r="F661" s="6075" t="n"/>
      <c r="G661" s="6076" t="n"/>
      <c r="H661" s="6077" t="n"/>
      <c r="I661" s="6078" t="n"/>
      <c r="J661" s="6079" t="n"/>
      <c r="K661" s="6080" t="n"/>
    </row>
    <row r="662">
      <c r="A662" s="6081" t="n"/>
      <c r="B662" s="6082" t="n"/>
      <c r="C662" s="6083" t="n"/>
      <c r="D662" s="6084" t="n"/>
      <c r="E662" s="6085" t="n"/>
      <c r="F662" s="6086" t="n"/>
      <c r="G662" s="6087" t="n"/>
      <c r="H662" s="6088" t="n"/>
      <c r="I662" s="6089" t="n"/>
      <c r="J662" s="6090" t="n"/>
      <c r="K662" s="6091" t="n"/>
    </row>
    <row r="663">
      <c r="A663" s="6092" t="n"/>
      <c r="B663" s="6093" t="n"/>
      <c r="C663" s="6094" t="n"/>
      <c r="D663" s="6095" t="n"/>
      <c r="E663" s="6096" t="n"/>
      <c r="F663" s="6097" t="n"/>
      <c r="G663" s="6098" t="n"/>
      <c r="H663" s="6099" t="n"/>
      <c r="I663" s="6100" t="n"/>
      <c r="J663" s="6101" t="n"/>
      <c r="K663" s="6102" t="n"/>
    </row>
    <row r="664">
      <c r="A664" s="6103" t="n"/>
      <c r="B664" s="6104" t="n"/>
      <c r="C664" s="6105" t="n"/>
      <c r="D664" s="6106" t="n"/>
      <c r="E664" s="6107" t="n"/>
      <c r="F664" s="6108" t="n"/>
      <c r="G664" s="6109" t="n"/>
      <c r="H664" s="6110" t="n"/>
      <c r="I664" s="6111" t="n"/>
      <c r="J664" s="6112" t="n"/>
      <c r="K664" s="6113" t="n"/>
    </row>
    <row r="665">
      <c r="A665" s="6114" t="n"/>
      <c r="B665" s="6115" t="n"/>
      <c r="C665" s="6116" t="n"/>
      <c r="D665" s="6117" t="n"/>
      <c r="E665" s="6118" t="n"/>
      <c r="F665" s="6119" t="n"/>
      <c r="G665" s="6120" t="n"/>
      <c r="H665" s="6121" t="n"/>
      <c r="I665" s="6122" t="n"/>
      <c r="J665" s="6123" t="n"/>
      <c r="K665" s="6124" t="n"/>
    </row>
    <row r="666">
      <c r="A666" s="6125" t="n"/>
      <c r="B666" s="6126" t="n"/>
      <c r="C666" s="6127" t="n"/>
      <c r="D666" s="6128" t="n"/>
      <c r="E666" s="6129" t="n"/>
      <c r="F666" s="6130" t="n"/>
      <c r="G666" s="6131" t="n"/>
      <c r="H666" s="6132" t="n"/>
      <c r="I666" s="6133" t="n"/>
      <c r="J666" s="6134" t="n"/>
      <c r="K666" s="6135" t="n"/>
    </row>
    <row r="667">
      <c r="A667" s="6136" t="n"/>
      <c r="B667" s="6137" t="n"/>
      <c r="C667" s="6138" t="n"/>
      <c r="D667" s="6139" t="n"/>
      <c r="E667" s="6140" t="n"/>
      <c r="F667" s="6141" t="n"/>
      <c r="G667" s="6142" t="n"/>
      <c r="H667" s="6143" t="n"/>
      <c r="I667" s="6144" t="n"/>
      <c r="J667" s="6145" t="n"/>
      <c r="K667" s="6146" t="n"/>
    </row>
    <row r="668">
      <c r="A668" s="6147" t="n"/>
      <c r="B668" s="6148" t="n"/>
      <c r="C668" s="6149" t="n"/>
      <c r="D668" s="6150" t="n"/>
      <c r="E668" s="6151" t="n"/>
      <c r="F668" s="6152" t="n"/>
      <c r="G668" s="6153" t="n"/>
      <c r="H668" s="6154" t="n"/>
      <c r="I668" s="6155" t="n"/>
      <c r="J668" s="6156" t="n"/>
      <c r="K668" s="6157" t="n"/>
    </row>
    <row r="669">
      <c r="A669" s="6158" t="n"/>
      <c r="B669" s="6159" t="n"/>
      <c r="C669" s="6160" t="n"/>
      <c r="D669" s="6161" t="n"/>
      <c r="E669" s="6162" t="n"/>
      <c r="F669" s="6163" t="n"/>
      <c r="G669" s="6164" t="n"/>
      <c r="H669" s="6165" t="n"/>
      <c r="I669" s="6166" t="n"/>
      <c r="J669" s="6167" t="n"/>
      <c r="K669" s="6168" t="n"/>
    </row>
    <row r="670">
      <c r="A670" s="6169" t="n"/>
      <c r="B670" s="6170" t="n"/>
      <c r="C670" s="6171" t="n"/>
      <c r="D670" s="6172" t="n"/>
      <c r="E670" s="6173" t="n"/>
      <c r="F670" s="6174" t="n"/>
      <c r="G670" s="6175" t="n"/>
      <c r="H670" s="6176" t="n"/>
      <c r="I670" s="6177" t="n"/>
      <c r="J670" s="6178" t="n"/>
      <c r="K670" s="6179" t="n"/>
    </row>
    <row r="671">
      <c r="A671" s="6180" t="n"/>
      <c r="B671" s="6181" t="n"/>
      <c r="C671" s="6182" t="n"/>
      <c r="D671" s="6183" t="n"/>
      <c r="E671" s="6184" t="n"/>
      <c r="F671" s="6185" t="n"/>
      <c r="G671" s="6186" t="n"/>
      <c r="H671" s="6187" t="n"/>
      <c r="I671" s="6188" t="n"/>
      <c r="J671" s="6189" t="n"/>
      <c r="K671" s="6190" t="n"/>
    </row>
    <row r="672">
      <c r="A672" s="6191" t="n"/>
      <c r="B672" s="6192" t="n"/>
      <c r="C672" s="6193" t="n"/>
      <c r="D672" s="6194" t="n"/>
      <c r="E672" s="6195" t="n"/>
      <c r="F672" s="6196" t="n"/>
      <c r="G672" s="6197" t="n"/>
      <c r="H672" s="6198" t="n"/>
      <c r="I672" s="6199" t="n"/>
      <c r="J672" s="6200" t="n"/>
      <c r="K672" s="6201" t="n"/>
    </row>
    <row r="673">
      <c r="A673" s="6202" t="n"/>
      <c r="B673" s="6203" t="n"/>
      <c r="C673" s="6204" t="n"/>
      <c r="D673" s="6205" t="n"/>
      <c r="E673" s="6206" t="n"/>
      <c r="F673" s="6207" t="n"/>
      <c r="G673" s="6208" t="n"/>
      <c r="H673" s="6209" t="n"/>
      <c r="I673" s="6210" t="n"/>
      <c r="J673" s="6211" t="n"/>
      <c r="K673" s="6212" t="n"/>
    </row>
    <row r="674">
      <c r="A674" s="6213" t="n"/>
      <c r="B674" s="6214" t="n"/>
      <c r="C674" s="6215" t="n"/>
      <c r="D674" s="6216" t="n"/>
      <c r="E674" s="6217" t="n"/>
      <c r="F674" s="6218" t="n"/>
      <c r="G674" s="6219" t="n"/>
      <c r="H674" s="6220" t="n"/>
      <c r="I674" s="6221" t="n"/>
      <c r="J674" s="6222" t="n"/>
      <c r="K674" s="6223" t="n"/>
    </row>
    <row r="675">
      <c r="A675" s="6224" t="n"/>
      <c r="B675" s="6225" t="n"/>
      <c r="C675" s="6226" t="n"/>
      <c r="D675" s="6227" t="n"/>
      <c r="E675" s="6228" t="n"/>
      <c r="F675" s="6229" t="n"/>
      <c r="G675" s="6230" t="n"/>
      <c r="H675" s="6231" t="n"/>
      <c r="I675" s="6232" t="n"/>
      <c r="J675" s="6233" t="n"/>
      <c r="K675" s="6234" t="n"/>
    </row>
    <row r="676">
      <c r="A676" s="6235" t="n"/>
      <c r="B676" s="6236" t="n"/>
      <c r="C676" s="6237" t="n"/>
      <c r="D676" s="6238" t="n"/>
      <c r="E676" s="6239" t="n"/>
      <c r="F676" s="6240" t="n"/>
      <c r="G676" s="6241" t="n"/>
      <c r="H676" s="6242" t="n"/>
      <c r="I676" s="6243" t="n"/>
      <c r="J676" s="6244" t="n"/>
      <c r="K676" s="6245" t="n"/>
    </row>
    <row r="677">
      <c r="A677" s="6246" t="n"/>
      <c r="B677" s="6247" t="n"/>
      <c r="C677" s="6248" t="n"/>
      <c r="D677" s="6249" t="n"/>
      <c r="E677" s="6250" t="n"/>
      <c r="F677" s="6251" t="n"/>
      <c r="G677" s="6252" t="n"/>
      <c r="H677" s="6253" t="n"/>
      <c r="I677" s="6254" t="n"/>
      <c r="J677" s="6255" t="n"/>
      <c r="K677" s="6256" t="n"/>
    </row>
    <row r="678">
      <c r="A678" s="6257" t="n"/>
      <c r="B678" s="6258" t="n"/>
      <c r="C678" s="6259" t="n"/>
      <c r="D678" s="6260" t="n"/>
      <c r="E678" s="6261" t="n"/>
      <c r="F678" s="6262" t="n"/>
      <c r="G678" s="6263" t="n"/>
      <c r="H678" s="6264" t="n"/>
      <c r="I678" s="6265" t="n"/>
      <c r="J678" s="6266" t="n"/>
      <c r="K678" s="6267" t="n"/>
    </row>
    <row r="679">
      <c r="A679" s="6268" t="n"/>
      <c r="B679" s="6269" t="n"/>
      <c r="C679" s="6270" t="n"/>
      <c r="D679" s="6271" t="n"/>
      <c r="E679" s="6272" t="n"/>
      <c r="F679" s="6273" t="n"/>
      <c r="G679" s="6274" t="n"/>
      <c r="H679" s="6275" t="n"/>
      <c r="I679" s="6276" t="n"/>
      <c r="J679" s="6277" t="n"/>
      <c r="K679" s="6278" t="n"/>
    </row>
    <row r="680">
      <c r="A680" s="6279" t="n"/>
      <c r="B680" s="6280" t="n"/>
      <c r="C680" s="6281" t="n"/>
      <c r="D680" s="6282" t="n"/>
      <c r="E680" s="6283" t="n"/>
      <c r="F680" s="6284" t="n"/>
      <c r="G680" s="6285" t="n"/>
      <c r="H680" s="6286" t="n"/>
      <c r="I680" s="6287" t="n"/>
      <c r="J680" s="6288" t="n"/>
      <c r="K680" s="6289" t="n"/>
    </row>
    <row r="681">
      <c r="A681" s="6290" t="n"/>
      <c r="B681" s="6291" t="n"/>
      <c r="C681" s="6292" t="n"/>
      <c r="D681" s="6293" t="n"/>
      <c r="E681" s="6294" t="n"/>
      <c r="F681" s="6295" t="n"/>
      <c r="G681" s="6296" t="n"/>
      <c r="H681" s="6297" t="n"/>
      <c r="I681" s="6298" t="n"/>
      <c r="J681" s="6299" t="n"/>
      <c r="K681" s="6300" t="n"/>
    </row>
    <row r="682">
      <c r="A682" s="6301" t="n"/>
      <c r="B682" s="6302" t="n"/>
      <c r="C682" s="6303" t="n"/>
      <c r="D682" s="6304" t="n"/>
      <c r="E682" s="6305" t="n"/>
      <c r="F682" s="6306" t="n"/>
      <c r="G682" s="6307" t="n"/>
      <c r="H682" s="6308" t="n"/>
      <c r="I682" s="6309" t="n"/>
      <c r="J682" s="6310" t="n"/>
      <c r="K682" s="6311" t="n"/>
    </row>
    <row r="683">
      <c r="A683" s="6312" t="n"/>
      <c r="B683" s="6313" t="n"/>
      <c r="C683" s="6314" t="n"/>
      <c r="D683" s="6315" t="n"/>
      <c r="E683" s="6316" t="n"/>
      <c r="F683" s="6317" t="n"/>
      <c r="G683" s="6318" t="n"/>
      <c r="H683" s="6319" t="n"/>
      <c r="I683" s="6320" t="n"/>
      <c r="J683" s="6321" t="n"/>
      <c r="K683" s="6322" t="n"/>
    </row>
    <row r="684">
      <c r="A684" s="6323" t="n"/>
      <c r="B684" s="6324" t="n"/>
      <c r="C684" s="6325" t="n"/>
      <c r="D684" s="6326" t="n"/>
      <c r="E684" s="6327" t="n"/>
      <c r="F684" s="6328" t="n"/>
      <c r="G684" s="6329" t="n"/>
      <c r="H684" s="6330" t="n"/>
      <c r="I684" s="6331" t="n"/>
      <c r="J684" s="6332" t="n"/>
      <c r="K684" s="6333" t="n"/>
    </row>
    <row r="685">
      <c r="A685" s="6334" t="n"/>
      <c r="B685" s="6335" t="n"/>
      <c r="C685" s="6336" t="n"/>
      <c r="D685" s="6337" t="n"/>
      <c r="E685" s="6338" t="n"/>
      <c r="F685" s="6339" t="n"/>
      <c r="G685" s="6340" t="n"/>
      <c r="H685" s="6341" t="n"/>
      <c r="I685" s="6342" t="n"/>
      <c r="J685" s="6343" t="n"/>
      <c r="K685" s="6344" t="n"/>
    </row>
    <row r="686">
      <c r="A686" s="6345" t="n"/>
      <c r="B686" s="6346" t="n"/>
      <c r="C686" s="6347" t="n"/>
      <c r="D686" s="6348" t="n"/>
      <c r="E686" s="6349" t="n"/>
      <c r="F686" s="6350" t="n"/>
      <c r="G686" s="6351" t="n"/>
      <c r="H686" s="6352" t="n"/>
      <c r="I686" s="6353" t="n"/>
      <c r="J686" s="6354" t="n"/>
      <c r="K686" s="6355" t="n"/>
    </row>
    <row r="687">
      <c r="A687" s="6356" t="n"/>
      <c r="B687" s="6357" t="n"/>
      <c r="C687" s="6358" t="n"/>
      <c r="D687" s="6359" t="n"/>
      <c r="E687" s="6360" t="n"/>
      <c r="F687" s="6361" t="n"/>
      <c r="G687" s="6362" t="n"/>
      <c r="H687" s="6363" t="n"/>
      <c r="I687" s="6364" t="n"/>
      <c r="J687" s="6365" t="n"/>
      <c r="K687" s="6366" t="n"/>
    </row>
    <row r="688">
      <c r="A688" s="6367" t="n"/>
      <c r="B688" s="6368" t="n"/>
      <c r="C688" s="6369" t="n"/>
      <c r="D688" s="6370" t="n"/>
      <c r="E688" s="6371" t="n"/>
      <c r="F688" s="6372" t="n"/>
      <c r="G688" s="6373" t="n"/>
      <c r="H688" s="6374" t="n"/>
      <c r="I688" s="6375" t="n"/>
      <c r="J688" s="6376" t="n"/>
      <c r="K688" s="6377" t="n"/>
    </row>
    <row r="689">
      <c r="A689" s="6378" t="n"/>
      <c r="B689" s="6379" t="n"/>
      <c r="C689" s="6380" t="n"/>
      <c r="D689" s="6381" t="n"/>
      <c r="E689" s="6382" t="n"/>
      <c r="F689" s="6383" t="n"/>
      <c r="G689" s="6384" t="n"/>
      <c r="H689" s="6385" t="n"/>
      <c r="I689" s="6386" t="n"/>
      <c r="J689" s="6387" t="n"/>
      <c r="K689" s="6388" t="n"/>
    </row>
    <row r="690">
      <c r="A690" s="6389" t="n"/>
      <c r="B690" s="6390" t="n"/>
      <c r="C690" s="6391" t="n"/>
      <c r="D690" s="6392" t="n"/>
      <c r="E690" s="6393" t="n"/>
      <c r="F690" s="6394" t="n"/>
      <c r="G690" s="6395" t="n"/>
      <c r="H690" s="6396" t="n"/>
      <c r="I690" s="6397" t="n"/>
      <c r="J690" s="6398" t="n"/>
      <c r="K690" s="6399" t="n"/>
    </row>
    <row r="691">
      <c r="A691" s="6400" t="n"/>
      <c r="B691" s="6401" t="n"/>
      <c r="C691" s="6402" t="n"/>
      <c r="D691" s="6403" t="n"/>
      <c r="E691" s="6404" t="n"/>
      <c r="F691" s="6405" t="n"/>
      <c r="G691" s="6406" t="n"/>
      <c r="H691" s="6407" t="n"/>
      <c r="I691" s="6408" t="n"/>
      <c r="J691" s="6409" t="n"/>
      <c r="K691" s="6410" t="n"/>
    </row>
    <row r="692">
      <c r="A692" s="6411" t="n"/>
      <c r="B692" s="6412" t="n"/>
      <c r="C692" s="6413" t="n"/>
      <c r="D692" s="6414" t="n"/>
      <c r="E692" s="6415" t="n"/>
      <c r="F692" s="6416" t="n"/>
      <c r="G692" s="6417" t="n"/>
      <c r="H692" s="6418" t="n"/>
      <c r="I692" s="6419" t="n"/>
      <c r="J692" s="6420" t="n"/>
      <c r="K692" s="6421" t="n"/>
    </row>
    <row r="693">
      <c r="A693" s="6422" t="n"/>
      <c r="B693" s="6423" t="n"/>
      <c r="C693" s="6424" t="n"/>
      <c r="D693" s="6425" t="n"/>
      <c r="E693" s="6426" t="n"/>
      <c r="F693" s="6427" t="n"/>
      <c r="G693" s="6428" t="n"/>
      <c r="H693" s="6429" t="n"/>
      <c r="I693" s="6430" t="n"/>
      <c r="J693" s="6431" t="n"/>
      <c r="K693" s="6432" t="n"/>
    </row>
    <row r="694">
      <c r="A694" s="6433" t="n"/>
      <c r="B694" s="6434" t="n"/>
      <c r="C694" s="6435" t="n"/>
      <c r="D694" s="6436" t="n"/>
      <c r="E694" s="6437" t="n"/>
      <c r="F694" s="6438" t="n"/>
      <c r="G694" s="6439" t="n"/>
      <c r="H694" s="6440" t="n"/>
      <c r="I694" s="6441" t="n"/>
      <c r="J694" s="6442" t="n"/>
      <c r="K694" s="6443" t="n"/>
    </row>
    <row r="695">
      <c r="A695" s="6444" t="n"/>
      <c r="B695" s="6445" t="n"/>
      <c r="C695" s="6446" t="n"/>
      <c r="D695" s="6447" t="n"/>
      <c r="E695" s="6448" t="n"/>
      <c r="F695" s="6449" t="n"/>
      <c r="G695" s="6450" t="n"/>
      <c r="H695" s="6451" t="n"/>
      <c r="I695" s="6452" t="n"/>
      <c r="J695" s="6453" t="n"/>
      <c r="K695" s="6454" t="n"/>
    </row>
    <row r="696">
      <c r="A696" s="6455" t="n"/>
      <c r="B696" s="6456" t="n"/>
      <c r="C696" s="6457" t="n"/>
      <c r="D696" s="6458" t="n"/>
      <c r="E696" s="6459" t="n"/>
      <c r="F696" s="6460" t="n"/>
      <c r="G696" s="6461" t="n"/>
      <c r="H696" s="6462" t="n"/>
      <c r="I696" s="6463" t="n"/>
      <c r="J696" s="6464" t="n"/>
      <c r="K696" s="6465" t="n"/>
    </row>
    <row r="697">
      <c r="A697" s="6466" t="n"/>
      <c r="B697" s="6467" t="n"/>
      <c r="C697" s="6468" t="n"/>
      <c r="D697" s="6469" t="n"/>
      <c r="E697" s="6470" t="n"/>
      <c r="F697" s="6471" t="n"/>
      <c r="G697" s="6472" t="n"/>
      <c r="H697" s="6473" t="n"/>
      <c r="I697" s="6474" t="n"/>
      <c r="J697" s="6475" t="n"/>
      <c r="K697" s="6476" t="n"/>
    </row>
    <row r="698">
      <c r="A698" s="6477" t="n"/>
      <c r="B698" s="6478" t="n"/>
      <c r="C698" s="6479" t="n"/>
      <c r="D698" s="6480" t="n"/>
      <c r="E698" s="6481" t="n"/>
      <c r="F698" s="6482" t="n"/>
      <c r="G698" s="6483" t="n"/>
      <c r="H698" s="6484" t="n"/>
      <c r="I698" s="6485" t="n"/>
      <c r="J698" s="6486" t="n"/>
      <c r="K698" s="6487" t="n"/>
    </row>
    <row r="699">
      <c r="A699" s="6488" t="n"/>
      <c r="B699" s="6489" t="n"/>
      <c r="C699" s="6490" t="n"/>
      <c r="D699" s="6491" t="n"/>
      <c r="E699" s="6492" t="n"/>
      <c r="F699" s="6493" t="n"/>
      <c r="G699" s="6494" t="n"/>
      <c r="H699" s="6495" t="n"/>
      <c r="I699" s="6496" t="n"/>
      <c r="J699" s="6497" t="n"/>
      <c r="K699" s="6498" t="n"/>
    </row>
    <row r="700">
      <c r="A700" s="6499" t="n"/>
      <c r="B700" s="6500" t="n"/>
      <c r="C700" s="6501" t="n"/>
      <c r="D700" s="6502" t="n"/>
      <c r="E700" s="6503" t="n"/>
      <c r="F700" s="6504" t="n"/>
      <c r="G700" s="6505" t="n"/>
      <c r="H700" s="6506" t="n"/>
      <c r="I700" s="6507" t="n"/>
      <c r="J700" s="6508" t="n"/>
      <c r="K700" s="6509" t="n"/>
    </row>
  </sheetData>
  <autoFilter ref="A3:H1000"/>
  <mergeCells count="1"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000"/>
  <sheetViews>
    <sheetView topLeftCell="A33" workbookViewId="0">
      <selection activeCell="J53" sqref="J53"/>
    </sheetView>
  </sheetViews>
  <sheetFormatPr baseColWidth="10" defaultColWidth="8.796875" defaultRowHeight="13.8"/>
  <cols>
    <col width="13" customWidth="1" style="17580" min="1" max="1"/>
    <col width="18" customWidth="1" style="17580" min="2" max="2"/>
    <col width="22" customWidth="1" style="17580" min="3" max="3"/>
    <col width="20" customWidth="1" style="17580" min="4" max="4"/>
    <col width="60.69921875" bestFit="1" customWidth="1" style="17580" min="5" max="5"/>
    <col width="18" customWidth="1" style="17580" min="6" max="6"/>
    <col width="12" customWidth="1" style="17580" min="7" max="8"/>
    <col width="16" customWidth="1" style="17580" min="9" max="9"/>
    <col width="12" customWidth="1" style="17580" min="10" max="10"/>
    <col width="14" customWidth="1" style="17580" min="11" max="11"/>
    <col width="30" customWidth="1" style="17580" min="12" max="12"/>
    <col hidden="1" width="13" customWidth="1" style="17580" min="13" max="13"/>
  </cols>
  <sheetData>
    <row r="1" ht="22.35" customHeight="1" s="17580">
      <c r="A1" s="17624" t="inlineStr">
        <is>
          <t>GC-COMB-001 | BITÁCORA DE INVENTARIO PEGASO</t>
        </is>
      </c>
    </row>
    <row r="2">
      <c r="A2" t="inlineStr">
        <is>
          <t>Responsable:</t>
        </is>
      </c>
      <c r="C2" t="inlineStr">
        <is>
          <t>Semana:</t>
        </is>
      </c>
      <c r="F2" t="inlineStr">
        <is>
          <t>Fecha entrega:</t>
        </is>
      </c>
      <c r="H2" t="inlineStr">
        <is>
          <t>Tanque:</t>
        </is>
      </c>
      <c r="I2" t="inlineStr">
        <is>
          <t>Pegaso</t>
        </is>
      </c>
      <c r="J2" t="inlineStr">
        <is>
          <t>Costo por litro base:</t>
        </is>
      </c>
    </row>
    <row r="4" ht="27.6" customHeight="1" s="17580">
      <c r="A4" s="1" t="inlineStr">
        <is>
          <t>Fecha</t>
        </is>
      </c>
      <c r="B4" s="1" t="inlineStr">
        <is>
          <t>Tipo Movimiento</t>
        </is>
      </c>
      <c r="C4" s="1" t="inlineStr">
        <is>
          <t>Origen/Destino</t>
        </is>
      </c>
      <c r="D4" s="1" t="inlineStr">
        <is>
          <t>Obra</t>
        </is>
      </c>
      <c r="E4" s="1" t="inlineStr">
        <is>
          <t>Equipo</t>
        </is>
      </c>
      <c r="F4" s="1" t="inlineStr">
        <is>
          <t>Economico</t>
        </is>
      </c>
      <c r="G4" s="1" t="inlineStr">
        <is>
          <t>Entrada (L)</t>
        </is>
      </c>
      <c r="H4" s="1" t="inlineStr">
        <is>
          <t>Salida (L)</t>
        </is>
      </c>
      <c r="I4" s="1" t="inlineStr">
        <is>
          <t>Existencia Teórica</t>
        </is>
      </c>
      <c r="J4" s="1" t="inlineStr">
        <is>
          <t>Costo/L</t>
        </is>
      </c>
      <c r="K4" s="1" t="inlineStr">
        <is>
          <t>Importe</t>
        </is>
      </c>
      <c r="L4" s="1" t="inlineStr">
        <is>
          <t>Observaciones</t>
        </is>
      </c>
      <c r="M4" t="inlineStr">
        <is>
          <t>Semana (Helper)</t>
        </is>
      </c>
      <c r="N4" t="inlineStr">
        <is>
          <t>Folio Ticket (Auto)</t>
        </is>
      </c>
    </row>
    <row r="5">
      <c r="A5" s="17625" t="n">
        <v>46181</v>
      </c>
      <c r="B5" t="inlineStr">
        <is>
          <t>Salida</t>
        </is>
      </c>
      <c r="C5" t="inlineStr">
        <is>
          <t>Otro</t>
        </is>
      </c>
      <c r="D5" t="inlineStr">
        <is>
          <t>Bacheo Toluca</t>
        </is>
      </c>
      <c r="E5" t="inlineStr">
        <is>
          <t>Bidones</t>
        </is>
      </c>
      <c r="F5">
        <f>VLOOKUP(TablaPegaso[[#This Row],[Equipo]],Catalogos!$V$4:$W$85,2,FALSE)</f>
        <v/>
      </c>
      <c r="G5" s="3" t="n"/>
      <c r="H5" s="3" t="n">
        <v>100</v>
      </c>
      <c r="I5" s="3">
        <f>IF(ROW()=5,G5-H5,I4+G5-H5)</f>
        <v/>
      </c>
      <c r="J5" s="4" t="n">
        <v>28.3</v>
      </c>
      <c r="K5" s="4">
        <f>IFERROR((G5+H5)*J5,0)</f>
        <v/>
      </c>
      <c r="M5" t="n">
        <v>24</v>
      </c>
      <c r="N5">
        <f>IF(A5="","", "CP-" &amp; IFERROR(VLOOKUP(D5, Catalogos!$Z$4:$AA$20, 2, FALSE), "FOL") &amp; "-" &amp; _xludf.WEEKNUM(A5, 2) &amp; "-" &amp; TEXT(ROW(A1),"000"))</f>
        <v/>
      </c>
    </row>
    <row r="6">
      <c r="A6" s="17625" t="n">
        <v>46181</v>
      </c>
      <c r="B6" t="inlineStr">
        <is>
          <t>Salida</t>
        </is>
      </c>
      <c r="C6" t="inlineStr">
        <is>
          <t>Planta Asfalto Pegaso</t>
        </is>
      </c>
      <c r="D6" t="inlineStr">
        <is>
          <t>Planta Asfalto Pegaso</t>
        </is>
      </c>
      <c r="E6" t="inlineStr">
        <is>
          <t>Bidones</t>
        </is>
      </c>
      <c r="F6">
        <f>VLOOKUP(TablaPegaso[[#This Row],[Equipo]],Catalogos!$V$4:$W$85,2,FALSE)</f>
        <v/>
      </c>
      <c r="G6" s="3" t="n"/>
      <c r="H6" s="3" t="n">
        <v>200</v>
      </c>
      <c r="I6" s="3">
        <f>IF(ROW()=5,G6-H6,I5+G6-H6)</f>
        <v/>
      </c>
      <c r="J6" s="4" t="n">
        <v>28.3</v>
      </c>
      <c r="K6" s="4">
        <f>IFERROR((G6+H6)*J6,0)</f>
        <v/>
      </c>
      <c r="M6" t="n">
        <v>24</v>
      </c>
      <c r="N6">
        <f>IF(A6="","", "CP-" &amp; IFERROR(VLOOKUP(D6, Catalogos!$Z$4:$AA$20, 2, FALSE), "FOL") &amp; "-" &amp; _xludf.WEEKNUM(A6, 2) &amp; "-" &amp; TEXT(ROW(A2),"000"))</f>
        <v/>
      </c>
    </row>
    <row r="7">
      <c r="A7" s="17625" t="n">
        <v>46181</v>
      </c>
      <c r="B7" t="inlineStr">
        <is>
          <t>Salida</t>
        </is>
      </c>
      <c r="C7" t="inlineStr">
        <is>
          <t>Planta Asfaltos</t>
        </is>
      </c>
      <c r="D7" t="inlineStr">
        <is>
          <t>Planta Asfalto Pegaso</t>
        </is>
      </c>
      <c r="E7" t="inlineStr">
        <is>
          <t>Bidones</t>
        </is>
      </c>
      <c r="F7">
        <f>VLOOKUP(TablaPegaso[[#This Row],[Equipo]],Catalogos!$V$4:$W$85,2,FALSE)</f>
        <v/>
      </c>
      <c r="G7" s="3" t="n"/>
      <c r="H7" s="3" t="n">
        <v>209</v>
      </c>
      <c r="I7" s="3">
        <f>IF(ROW()=5,G7-H7,I6+G7-H7)</f>
        <v/>
      </c>
      <c r="J7" s="4" t="n">
        <v>28.3</v>
      </c>
      <c r="K7" s="4">
        <f>IFERROR((G7+H7)*J7,0)</f>
        <v/>
      </c>
      <c r="M7" t="n">
        <v>24</v>
      </c>
      <c r="N7">
        <f>IF(A7="","", "CP-" &amp; IFERROR(VLOOKUP(D7, Catalogos!$Z$4:$AA$20, 2, FALSE), "FOL") &amp; "-" &amp; _xludf.WEEKNUM(A7, 2) &amp; "-" &amp; TEXT(ROW(A3),"000"))</f>
        <v/>
      </c>
    </row>
    <row r="8">
      <c r="A8" s="17625" t="n">
        <v>46181</v>
      </c>
      <c r="B8" t="inlineStr">
        <is>
          <t>Entrada</t>
        </is>
      </c>
      <c r="F8">
        <f>VLOOKUP(TablaPegaso[[#This Row],[Equipo]],Catalogos!$V$4:$W$85,2,FALSE)</f>
        <v/>
      </c>
      <c r="G8" s="3" t="n">
        <v>2800</v>
      </c>
      <c r="H8" s="3" t="n"/>
      <c r="I8" s="3">
        <f>IF(ROW()=5,G8-H8,I7+G8-H8)</f>
        <v/>
      </c>
      <c r="J8" s="4" t="n">
        <v>28.3</v>
      </c>
      <c r="K8" s="4">
        <f>IFERROR((G8+H8)*J8,0)</f>
        <v/>
      </c>
      <c r="M8" t="n">
        <v>24</v>
      </c>
      <c r="N8">
        <f>IF(A8="","", "CP-" &amp; IFERROR(VLOOKUP(D8, Catalogos!$Z$4:$AA$20, 2, FALSE), "FOL") &amp; "-" &amp; _xludf.WEEKNUM(A8, 2) &amp; "-" &amp; TEXT(ROW(A4),"000"))</f>
        <v/>
      </c>
    </row>
    <row r="9">
      <c r="A9" s="17625" t="n">
        <v>46181</v>
      </c>
      <c r="B9" t="inlineStr">
        <is>
          <t>Salida</t>
        </is>
      </c>
      <c r="C9" t="inlineStr">
        <is>
          <t>Carga directa</t>
        </is>
      </c>
      <c r="D9" t="inlineStr">
        <is>
          <t>Bacheo Toluca</t>
        </is>
      </c>
      <c r="E9" t="inlineStr">
        <is>
          <t>Bidones</t>
        </is>
      </c>
      <c r="F9">
        <f>VLOOKUP(TablaPegaso[[#This Row],[Equipo]],Catalogos!$V$4:$W$85,2,FALSE)</f>
        <v/>
      </c>
      <c r="G9" s="3" t="n"/>
      <c r="H9" s="3" t="n">
        <v>80</v>
      </c>
      <c r="I9" s="3">
        <f>IF(ROW()=5,G9-H9,I8+G9-H9)</f>
        <v/>
      </c>
      <c r="J9" s="4" t="n">
        <v>28.3</v>
      </c>
      <c r="K9" s="4">
        <f>IFERROR((G9+H9)*J9,0)</f>
        <v/>
      </c>
      <c r="M9" t="n">
        <v>24</v>
      </c>
      <c r="N9">
        <f>IF(A9="","", "CP-" &amp; IFERROR(VLOOKUP(D9, Catalogos!$Z$4:$AA$20, 2, FALSE), "FOL") &amp; "-" &amp; _xludf.WEEKNUM(A9, 2) &amp; "-" &amp; TEXT(ROW(A5),"000"))</f>
        <v/>
      </c>
    </row>
    <row r="10">
      <c r="A10" s="17625" t="n">
        <v>46182</v>
      </c>
      <c r="B10" t="inlineStr">
        <is>
          <t>Salida</t>
        </is>
      </c>
      <c r="C10" t="inlineStr">
        <is>
          <t>Carga directa</t>
        </is>
      </c>
      <c r="D10" t="inlineStr">
        <is>
          <t>Lerma - Tres Marías</t>
        </is>
      </c>
      <c r="E10" t="inlineStr">
        <is>
          <t>Retroexcavadora</t>
        </is>
      </c>
      <c r="F10">
        <f>VLOOKUP(TablaPegaso[[#This Row],[Equipo]],Catalogos!$V$4:$W$85,2,FALSE)</f>
        <v/>
      </c>
      <c r="G10" s="3" t="n"/>
      <c r="H10" s="3" t="n">
        <v>70</v>
      </c>
      <c r="I10" s="3">
        <f>IF(ROW()=5,G10-H10,I9+G10-H10)</f>
        <v/>
      </c>
      <c r="J10" s="4" t="n">
        <v>28.3</v>
      </c>
      <c r="K10" s="4">
        <f>IFERROR((G10+H10)*J10,0)</f>
        <v/>
      </c>
      <c r="M10" t="n">
        <v>24</v>
      </c>
      <c r="N10">
        <f>IF(A10="","", "CP-" &amp; IFERROR(VLOOKUP(D10, Catalogos!$Z$4:$AA$20, 2, FALSE), "FOL") &amp; "-" &amp; _xludf.WEEKNUM(A10, 2) &amp; "-" &amp; TEXT(ROW(A6),"000"))</f>
        <v/>
      </c>
    </row>
    <row r="11">
      <c r="A11" s="17625" t="n">
        <v>46182</v>
      </c>
      <c r="B11" t="inlineStr">
        <is>
          <t>Salida</t>
        </is>
      </c>
      <c r="C11" t="inlineStr">
        <is>
          <t>Carga directa</t>
        </is>
      </c>
      <c r="D11" t="inlineStr">
        <is>
          <t>Lerma - Tres Marías</t>
        </is>
      </c>
      <c r="E11" t="inlineStr">
        <is>
          <t>Doble Rodillo</t>
        </is>
      </c>
      <c r="F11">
        <f>VLOOKUP(TablaPegaso[[#This Row],[Equipo]],Catalogos!$V$4:$W$85,2,FALSE)</f>
        <v/>
      </c>
      <c r="G11" s="3" t="n"/>
      <c r="H11" s="3" t="n">
        <v>50</v>
      </c>
      <c r="I11" s="3">
        <f>IF(ROW()=5,G11-H11,I10+G11-H11)</f>
        <v/>
      </c>
      <c r="J11" s="4" t="n">
        <v>28.3</v>
      </c>
      <c r="K11" s="4">
        <f>IFERROR((G11+H11)*J11,0)</f>
        <v/>
      </c>
      <c r="M11" t="n">
        <v>24</v>
      </c>
      <c r="N11">
        <f>IF(A11="","", "CP-" &amp; IFERROR(VLOOKUP(D11, Catalogos!$Z$4:$AA$20, 2, FALSE), "FOL") &amp; "-" &amp; _xludf.WEEKNUM(A11, 2) &amp; "-" &amp; TEXT(ROW(A7),"000"))</f>
        <v/>
      </c>
    </row>
    <row r="12">
      <c r="A12" s="17625" t="n">
        <v>46182</v>
      </c>
      <c r="B12" t="inlineStr">
        <is>
          <t>Salida</t>
        </is>
      </c>
      <c r="C12" t="inlineStr">
        <is>
          <t>Carga directa</t>
        </is>
      </c>
      <c r="D12" t="inlineStr">
        <is>
          <t>Lerma - Tres Marías</t>
        </is>
      </c>
      <c r="E12" t="inlineStr">
        <is>
          <t>Petrolizadora</t>
        </is>
      </c>
      <c r="F12">
        <f>VLOOKUP(TablaPegaso[[#This Row],[Equipo]],Catalogos!$V$4:$W$85,2,FALSE)</f>
        <v/>
      </c>
      <c r="G12" s="3" t="n"/>
      <c r="H12" s="3" t="n">
        <v>60</v>
      </c>
      <c r="I12" s="3">
        <f>IF(ROW()=5,G12-H12,I11+G12-H12)</f>
        <v/>
      </c>
      <c r="J12" s="4" t="n">
        <v>28.3</v>
      </c>
      <c r="K12" s="4">
        <f>IFERROR((G12+H12)*J12,0)</f>
        <v/>
      </c>
      <c r="M12" t="n">
        <v>24</v>
      </c>
      <c r="N12">
        <f>IF(A12="","", "CP-" &amp; IFERROR(VLOOKUP(D12, Catalogos!$Z$4:$AA$20, 2, FALSE), "FOL") &amp; "-" &amp; _xludf.WEEKNUM(A12, 2) &amp; "-" &amp; TEXT(ROW(A8),"000"))</f>
        <v/>
      </c>
    </row>
    <row r="13">
      <c r="A13" s="17625" t="n">
        <v>46183</v>
      </c>
      <c r="B13" t="inlineStr">
        <is>
          <t>Salida</t>
        </is>
      </c>
      <c r="C13" t="inlineStr">
        <is>
          <t>Otro</t>
        </is>
      </c>
      <c r="D13" t="inlineStr">
        <is>
          <t>Bacheo Toluca</t>
        </is>
      </c>
      <c r="E13" t="inlineStr">
        <is>
          <t>Bidones</t>
        </is>
      </c>
      <c r="F13">
        <f>VLOOKUP(TablaPegaso[[#This Row],[Equipo]],Catalogos!$V$4:$W$85,2,FALSE)</f>
        <v/>
      </c>
      <c r="G13" s="3" t="n"/>
      <c r="H13" s="3" t="n">
        <v>100</v>
      </c>
      <c r="I13" s="3">
        <f>IF(ROW()=5,G13-H13,I12+G13-H13)</f>
        <v/>
      </c>
      <c r="J13" s="4" t="n">
        <v>28.3</v>
      </c>
      <c r="K13" s="4">
        <f>IFERROR((G13+H13)*J13,0)</f>
        <v/>
      </c>
      <c r="M13" t="n">
        <v>24</v>
      </c>
      <c r="N13">
        <f>IF(A13="","", "CP-" &amp; IFERROR(VLOOKUP(D13, Catalogos!$Z$4:$AA$20, 2, FALSE), "FOL") &amp; "-" &amp; _xludf.WEEKNUM(A13, 2) &amp; "-" &amp; TEXT(ROW(A9),"000"))</f>
        <v/>
      </c>
    </row>
    <row r="14">
      <c r="A14" s="17625" t="n">
        <v>46184</v>
      </c>
      <c r="B14" t="inlineStr">
        <is>
          <t>Salida</t>
        </is>
      </c>
      <c r="C14" t="inlineStr">
        <is>
          <t>Planta Asfalto Pegaso</t>
        </is>
      </c>
      <c r="D14" t="inlineStr">
        <is>
          <t>Planta Asfalto Pegaso</t>
        </is>
      </c>
      <c r="E14" t="inlineStr">
        <is>
          <t>PayLoder</t>
        </is>
      </c>
      <c r="F14">
        <f>VLOOKUP(TablaPegaso[[#This Row],[Equipo]],Catalogos!$V$4:$W$85,2,FALSE)</f>
        <v/>
      </c>
      <c r="G14" s="3" t="n"/>
      <c r="H14" s="3" t="n">
        <v>238</v>
      </c>
      <c r="I14" s="3">
        <f>IF(ROW()=5,G14-H14,I13+G14-H14)</f>
        <v/>
      </c>
      <c r="J14" s="4" t="n">
        <v>28.3</v>
      </c>
      <c r="K14" s="4">
        <f>IFERROR((G14+H14)*J14,0)</f>
        <v/>
      </c>
      <c r="M14" t="n">
        <v>24</v>
      </c>
      <c r="N14">
        <f>IF(A14="","", "CP-" &amp; IFERROR(VLOOKUP(D14, Catalogos!$Z$4:$AA$20, 2, FALSE), "FOL") &amp; "-" &amp; _xludf.WEEKNUM(A14, 2) &amp; "-" &amp; TEXT(ROW(A10),"000"))</f>
        <v/>
      </c>
    </row>
    <row r="15">
      <c r="A15" s="17625" t="n">
        <v>46184</v>
      </c>
      <c r="B15" t="inlineStr">
        <is>
          <t>Salida</t>
        </is>
      </c>
      <c r="C15" t="inlineStr">
        <is>
          <t>Carga directa</t>
        </is>
      </c>
      <c r="D15" t="inlineStr">
        <is>
          <t>Lerma - Tres Marías</t>
        </is>
      </c>
      <c r="E15" t="inlineStr">
        <is>
          <t>Petrolizadora</t>
        </is>
      </c>
      <c r="F15">
        <f>VLOOKUP(TablaPegaso[[#This Row],[Equipo]],Catalogos!$V$4:$W$85,2,FALSE)</f>
        <v/>
      </c>
      <c r="G15" s="3" t="n"/>
      <c r="H15" s="3" t="n">
        <v>80</v>
      </c>
      <c r="I15" s="3">
        <f>IF(ROW()=5,G15-H15,I14+G15-H15)</f>
        <v/>
      </c>
      <c r="J15" s="4" t="n">
        <v>28.3</v>
      </c>
      <c r="K15" s="4">
        <f>IFERROR((G15+H15)*J15,0)</f>
        <v/>
      </c>
      <c r="M15" t="n">
        <v>24</v>
      </c>
      <c r="N15">
        <f>IF(A15="","", "CP-" &amp; IFERROR(VLOOKUP(D15, Catalogos!$Z$4:$AA$20, 2, FALSE), "FOL") &amp; "-" &amp; _xludf.WEEKNUM(A15, 2) &amp; "-" &amp; TEXT(ROW(A11),"000"))</f>
        <v/>
      </c>
    </row>
    <row r="16">
      <c r="A16" s="17625" t="n">
        <v>46184</v>
      </c>
      <c r="B16" t="inlineStr">
        <is>
          <t>Salida</t>
        </is>
      </c>
      <c r="C16" t="inlineStr">
        <is>
          <t>Carga directa</t>
        </is>
      </c>
      <c r="D16" t="inlineStr">
        <is>
          <t>Lerma - Tres Marías</t>
        </is>
      </c>
      <c r="E16" t="inlineStr">
        <is>
          <t>Compresor</t>
        </is>
      </c>
      <c r="F16">
        <f>VLOOKUP(TablaPegaso[[#This Row],[Equipo]],Catalogos!$V$4:$W$85,2,FALSE)</f>
        <v/>
      </c>
      <c r="G16" s="3" t="n"/>
      <c r="H16" s="3" t="n">
        <v>50</v>
      </c>
      <c r="I16" s="3">
        <f>IF(ROW()=5,G16-H16,I15+G16-H16)</f>
        <v/>
      </c>
      <c r="J16" s="4" t="n">
        <v>28.3</v>
      </c>
      <c r="K16" s="4">
        <f>IFERROR((G16+H16)*J16,0)</f>
        <v/>
      </c>
      <c r="M16" t="n">
        <v>24</v>
      </c>
      <c r="N16">
        <f>IF(A16="","", "CP-" &amp; IFERROR(VLOOKUP(D16, Catalogos!$Z$4:$AA$20, 2, FALSE), "FOL") &amp; "-" &amp; _xludf.WEEKNUM(A16, 2) &amp; "-" &amp; TEXT(ROW(A12),"000"))</f>
        <v/>
      </c>
    </row>
    <row r="17">
      <c r="A17" s="17625" t="n">
        <v>46184</v>
      </c>
      <c r="B17" t="inlineStr">
        <is>
          <t>Salida</t>
        </is>
      </c>
      <c r="C17" t="inlineStr">
        <is>
          <t>Carga directa</t>
        </is>
      </c>
      <c r="D17" t="inlineStr">
        <is>
          <t>Lerma - Tres Marías</t>
        </is>
      </c>
      <c r="E17" t="inlineStr">
        <is>
          <t>Retroexcavadora</t>
        </is>
      </c>
      <c r="F17">
        <f>VLOOKUP(TablaPegaso[[#This Row],[Equipo]],Catalogos!$V$4:$W$85,2,FALSE)</f>
        <v/>
      </c>
      <c r="G17" s="3" t="n"/>
      <c r="H17" s="3" t="n">
        <v>70</v>
      </c>
      <c r="I17" s="3">
        <f>IF(ROW()=5,G17-H17,I16+G17-H17)</f>
        <v/>
      </c>
      <c r="J17" s="4" t="n">
        <v>28.3</v>
      </c>
      <c r="K17" s="4">
        <f>IFERROR((G17+H17)*J17,0)</f>
        <v/>
      </c>
      <c r="M17" t="n">
        <v>24</v>
      </c>
      <c r="N17">
        <f>IF(A17="","", "CP-" &amp; IFERROR(VLOOKUP(D17, Catalogos!$Z$4:$AA$20, 2, FALSE), "FOL") &amp; "-" &amp; _xludf.WEEKNUM(A17, 2) &amp; "-" &amp; TEXT(ROW(A13),"000"))</f>
        <v/>
      </c>
    </row>
    <row r="18">
      <c r="A18" s="17625" t="n">
        <v>46184</v>
      </c>
      <c r="B18" t="inlineStr">
        <is>
          <t>Salida</t>
        </is>
      </c>
      <c r="C18" t="inlineStr">
        <is>
          <t>Carga directa</t>
        </is>
      </c>
      <c r="D18" t="inlineStr">
        <is>
          <t>Lerma - Tres Marías</t>
        </is>
      </c>
      <c r="E18" t="inlineStr">
        <is>
          <t>Camion de Impacto</t>
        </is>
      </c>
      <c r="F18">
        <f>VLOOKUP(TablaPegaso[[#This Row],[Equipo]],Catalogos!$V$4:$W$85,2,FALSE)</f>
        <v/>
      </c>
      <c r="G18" s="3" t="n"/>
      <c r="H18" s="3" t="n">
        <v>80</v>
      </c>
      <c r="I18" s="3">
        <f>IF(ROW()=5,G18-H18,I17+G18-H18)</f>
        <v/>
      </c>
      <c r="J18" s="4" t="n">
        <v>28.3</v>
      </c>
      <c r="K18" s="4">
        <f>IFERROR((G18+H18)*J18,0)</f>
        <v/>
      </c>
      <c r="M18" t="n">
        <v>24</v>
      </c>
      <c r="N18">
        <f>IF(A18="","", "CP-" &amp; IFERROR(VLOOKUP(D18, Catalogos!$Z$4:$AA$20, 2, FALSE), "FOL") &amp; "-" &amp; _xludf.WEEKNUM(A18, 2) &amp; "-" &amp; TEXT(ROW(A14),"000"))</f>
        <v/>
      </c>
    </row>
    <row r="19">
      <c r="A19" s="17625" t="n">
        <v>46184</v>
      </c>
      <c r="B19" t="inlineStr">
        <is>
          <t>Salida</t>
        </is>
      </c>
      <c r="C19" t="inlineStr">
        <is>
          <t>Carga directa</t>
        </is>
      </c>
      <c r="D19" t="inlineStr">
        <is>
          <t>Lerma - Tres Marías</t>
        </is>
      </c>
      <c r="E19" t="inlineStr">
        <is>
          <t>Vogel</t>
        </is>
      </c>
      <c r="F19">
        <f>VLOOKUP(TablaPegaso[[#This Row],[Equipo]],Catalogos!$V$4:$W$85,2,FALSE)</f>
        <v/>
      </c>
      <c r="G19" s="3" t="n"/>
      <c r="H19" s="3" t="n">
        <v>185</v>
      </c>
      <c r="I19" s="3">
        <f>IF(ROW()=5,G19-H19,I18+G19-H19)</f>
        <v/>
      </c>
      <c r="J19" s="4" t="n">
        <v>28.3</v>
      </c>
      <c r="K19" s="4">
        <f>IFERROR((G19+H19)*J19,0)</f>
        <v/>
      </c>
      <c r="M19" t="n">
        <v>24</v>
      </c>
      <c r="N19">
        <f>IF(A19="","", "CP-" &amp; IFERROR(VLOOKUP(D19, Catalogos!$Z$4:$AA$20, 2, FALSE), "FOL") &amp; "-" &amp; _xludf.WEEKNUM(A19, 2) &amp; "-" &amp; TEXT(ROW(A15),"000"))</f>
        <v/>
      </c>
    </row>
    <row r="20">
      <c r="A20" s="17625" t="n">
        <v>46184</v>
      </c>
      <c r="B20" t="inlineStr">
        <is>
          <t>Salida</t>
        </is>
      </c>
      <c r="C20" t="inlineStr">
        <is>
          <t>Carga directa</t>
        </is>
      </c>
      <c r="D20" t="inlineStr">
        <is>
          <t>Lerma - Tres Marías</t>
        </is>
      </c>
      <c r="E20" t="inlineStr">
        <is>
          <t>Doble Rodillo</t>
        </is>
      </c>
      <c r="F20">
        <f>VLOOKUP(TablaPegaso[[#This Row],[Equipo]],Catalogos!$V$4:$W$85,2,FALSE)</f>
        <v/>
      </c>
      <c r="G20" s="3" t="n"/>
      <c r="H20" s="3" t="n">
        <v>50</v>
      </c>
      <c r="I20" s="3">
        <f>IF(ROW()=5,G20-H20,I19+G20-H20)</f>
        <v/>
      </c>
      <c r="J20" s="4" t="n">
        <v>28.3</v>
      </c>
      <c r="K20" s="4">
        <f>IFERROR((G20+H20)*J20,0)</f>
        <v/>
      </c>
      <c r="M20" t="n">
        <v>24</v>
      </c>
      <c r="N20">
        <f>IF(A20="","", "CP-" &amp; IFERROR(VLOOKUP(D20, Catalogos!$Z$4:$AA$20, 2, FALSE), "FOL") &amp; "-" &amp; _xludf.WEEKNUM(A20, 2) &amp; "-" &amp; TEXT(ROW(A16),"000"))</f>
        <v/>
      </c>
    </row>
    <row r="21">
      <c r="A21" s="17625" t="n">
        <v>46184</v>
      </c>
      <c r="B21" t="inlineStr">
        <is>
          <t>Salida</t>
        </is>
      </c>
      <c r="C21" t="inlineStr">
        <is>
          <t>Carga directa</t>
        </is>
      </c>
      <c r="D21" t="inlineStr">
        <is>
          <t>Lerma - Tres Marías</t>
        </is>
      </c>
      <c r="E21" t="inlineStr">
        <is>
          <t>Doble Rodillo</t>
        </is>
      </c>
      <c r="F21">
        <f>VLOOKUP(TablaPegaso[[#This Row],[Equipo]],Catalogos!$V$4:$W$85,2,FALSE)</f>
        <v/>
      </c>
      <c r="G21" s="3" t="n"/>
      <c r="H21" s="3" t="n">
        <v>40</v>
      </c>
      <c r="I21" s="3">
        <f>IF(ROW()=5,G21-H21,I20+G21-H21)</f>
        <v/>
      </c>
      <c r="J21" s="4" t="n">
        <v>28.3</v>
      </c>
      <c r="K21" s="4">
        <f>IFERROR((G21+H21)*J21,0)</f>
        <v/>
      </c>
      <c r="M21" t="n">
        <v>24</v>
      </c>
      <c r="N21">
        <f>IF(A21="","", "CP-" &amp; IFERROR(VLOOKUP(D21, Catalogos!$Z$4:$AA$20, 2, FALSE), "FOL") &amp; "-" &amp; _xludf.WEEKNUM(A21, 2) &amp; "-" &amp; TEXT(ROW(A17),"000"))</f>
        <v/>
      </c>
    </row>
    <row r="22">
      <c r="A22" s="17625" t="n">
        <v>46184</v>
      </c>
      <c r="B22" t="inlineStr">
        <is>
          <t>Salida</t>
        </is>
      </c>
      <c r="C22" t="inlineStr">
        <is>
          <t>Carga directa</t>
        </is>
      </c>
      <c r="D22" t="inlineStr">
        <is>
          <t>Lerma - Tres Marías</t>
        </is>
      </c>
      <c r="E22" t="inlineStr">
        <is>
          <t>Neuomatico</t>
        </is>
      </c>
      <c r="F22">
        <f>VLOOKUP(TablaPegaso[[#This Row],[Equipo]],Catalogos!$V$4:$W$85,2,FALSE)</f>
        <v/>
      </c>
      <c r="G22" s="3" t="n"/>
      <c r="H22" s="3" t="n">
        <v>40</v>
      </c>
      <c r="I22" s="3">
        <f>IF(ROW()=5,G22-H22,I21+G22-H22)</f>
        <v/>
      </c>
      <c r="J22" s="4" t="n">
        <v>28.3</v>
      </c>
      <c r="K22" s="4">
        <f>IFERROR((G22+H22)*J22,0)</f>
        <v/>
      </c>
      <c r="M22" t="n">
        <v>24</v>
      </c>
      <c r="N22">
        <f>IF(A22="","", "CP-" &amp; IFERROR(VLOOKUP(D22, Catalogos!$Z$4:$AA$20, 2, FALSE), "FOL") &amp; "-" &amp; _xludf.WEEKNUM(A22, 2) &amp; "-" &amp; TEXT(ROW(A18),"000"))</f>
        <v/>
      </c>
    </row>
    <row r="23">
      <c r="A23" s="17625" t="n">
        <v>46185</v>
      </c>
      <c r="B23" t="inlineStr">
        <is>
          <t>Salida</t>
        </is>
      </c>
      <c r="C23" t="inlineStr">
        <is>
          <t>Carga directa</t>
        </is>
      </c>
      <c r="D23" t="inlineStr">
        <is>
          <t>Bacheo Toluca</t>
        </is>
      </c>
      <c r="E23" t="inlineStr">
        <is>
          <t>Barredora Broce</t>
        </is>
      </c>
      <c r="F23">
        <f>VLOOKUP(TablaPegaso[[#This Row],[Equipo]],Catalogos!$V$4:$W$85,2,FALSE)</f>
        <v/>
      </c>
      <c r="G23" s="3" t="n"/>
      <c r="H23" s="3" t="n">
        <v>70</v>
      </c>
      <c r="I23" s="3">
        <f>IF(ROW()=5,G23-H23,I22+G23-H23)</f>
        <v/>
      </c>
      <c r="J23" s="4" t="n">
        <v>28.3</v>
      </c>
      <c r="K23" s="4">
        <f>IFERROR((G23+H23)*J23,0)</f>
        <v/>
      </c>
      <c r="M23" t="n">
        <v>24</v>
      </c>
      <c r="N23">
        <f>IF(A23="","", "CP-" &amp; IFERROR(VLOOKUP(D23, Catalogos!$Z$4:$AA$20, 2, FALSE), "FOL") &amp; "-" &amp; _xludf.WEEKNUM(A23, 2) &amp; "-" &amp; TEXT(ROW(A19),"000"))</f>
        <v/>
      </c>
    </row>
    <row r="24">
      <c r="A24" s="17625" t="n">
        <v>46188</v>
      </c>
      <c r="B24" t="inlineStr">
        <is>
          <t>Salida</t>
        </is>
      </c>
      <c r="C24" t="inlineStr">
        <is>
          <t>Tanque Pegaso</t>
        </is>
      </c>
      <c r="D24" t="inlineStr">
        <is>
          <t>Bacheo Toluca</t>
        </is>
      </c>
      <c r="E24" t="inlineStr">
        <is>
          <t>BIDONES</t>
        </is>
      </c>
      <c r="F24">
        <f>VLOOKUP(TablaPegaso[[#This Row],[Equipo]],Catalogos!$V$4:$W$85,2,FALSE)</f>
        <v/>
      </c>
      <c r="G24" s="3" t="n"/>
      <c r="H24" s="3" t="n">
        <v>70</v>
      </c>
      <c r="I24" s="3">
        <f>IF(ROW()=5,G24-H24,I23+G24-H24)</f>
        <v/>
      </c>
      <c r="J24" s="4" t="n">
        <v>28.3</v>
      </c>
      <c r="K24" s="4">
        <f>IFERROR((G24+H24)*J24,0)</f>
        <v/>
      </c>
      <c r="M24" t="n">
        <v>25</v>
      </c>
      <c r="N24">
        <f>IF(A24="","", "CP-" &amp; IFERROR(VLOOKUP(D24, Catalogos!$Z$4:$AA$20, 2, FALSE), "FOL") &amp; "-" &amp; _xludf.WEEKNUM(A24, 2) &amp; "-" &amp; TEXT(ROW(A20),"000"))</f>
        <v/>
      </c>
    </row>
    <row r="25">
      <c r="A25" s="17625" t="n">
        <v>46188</v>
      </c>
      <c r="B25" t="inlineStr">
        <is>
          <t>Salida</t>
        </is>
      </c>
      <c r="C25" t="inlineStr">
        <is>
          <t>Tanque Pegaso</t>
        </is>
      </c>
      <c r="D25" t="inlineStr">
        <is>
          <t>Lerma - Tres Marías</t>
        </is>
      </c>
      <c r="E25" t="inlineStr">
        <is>
          <t>TANDEM DOBLE RODILLO / VIBROCOMPACTOR RODILLO CAT CB54</t>
        </is>
      </c>
      <c r="F25">
        <f>VLOOKUP(TablaPegaso[[#This Row],[Equipo]],Catalogos!$V$4:$W$85,2,FALSE)</f>
        <v/>
      </c>
      <c r="G25" s="3" t="n"/>
      <c r="H25" s="3" t="n">
        <v>24</v>
      </c>
      <c r="I25" s="3">
        <f>IF(ROW()=5,G25-H25,I24+G25-H25)</f>
        <v/>
      </c>
      <c r="J25" s="4" t="n">
        <v>28.3</v>
      </c>
      <c r="K25" s="4">
        <f>IFERROR((G25+H25)*J25,0)</f>
        <v/>
      </c>
      <c r="M25" t="n">
        <v>25</v>
      </c>
      <c r="N25">
        <f>IF(A25="","", "CP-" &amp; IFERROR(VLOOKUP(D25, Catalogos!$Z$4:$AA$20, 2, FALSE), "FOL") &amp; "-" &amp; _xludf.WEEKNUM(A25, 2) &amp; "-" &amp; TEXT(ROW(A21),"000"))</f>
        <v/>
      </c>
    </row>
    <row r="26">
      <c r="A26" s="17625" t="n">
        <v>46188</v>
      </c>
      <c r="B26" t="inlineStr">
        <is>
          <t>Salida</t>
        </is>
      </c>
      <c r="C26" t="inlineStr">
        <is>
          <t>Tanque Pegaso</t>
        </is>
      </c>
      <c r="D26" t="inlineStr">
        <is>
          <t>Planta Asfalto Pegaso</t>
        </is>
      </c>
      <c r="E26" t="inlineStr">
        <is>
          <t>PAYLODER</t>
        </is>
      </c>
      <c r="F26">
        <f>VLOOKUP(TablaPegaso[[#This Row],[Equipo]],Catalogos!$V$4:$W$85,2,FALSE)</f>
        <v/>
      </c>
      <c r="G26" s="3" t="n"/>
      <c r="H26" s="3" t="n">
        <v>265</v>
      </c>
      <c r="I26" s="3">
        <f>IF(ROW()=5,G26-H26,I25+G26-H26)</f>
        <v/>
      </c>
      <c r="J26" s="4" t="n">
        <v>28.3</v>
      </c>
      <c r="K26" s="4">
        <f>IFERROR((G26+H26)*J26,0)</f>
        <v/>
      </c>
      <c r="M26" t="n">
        <v>25</v>
      </c>
      <c r="N26">
        <f>IF(A26="","", "CP-" &amp; IFERROR(VLOOKUP(D26, Catalogos!$Z$4:$AA$20, 2, FALSE), "FOL") &amp; "-" &amp; _xludf.WEEKNUM(A26, 2) &amp; "-" &amp; TEXT(ROW(A22),"000"))</f>
        <v/>
      </c>
    </row>
    <row r="27">
      <c r="A27" s="17625" t="n">
        <v>46188</v>
      </c>
      <c r="B27" t="inlineStr">
        <is>
          <t>Salida</t>
        </is>
      </c>
      <c r="C27" t="inlineStr">
        <is>
          <t>Tanque Pegaso</t>
        </is>
      </c>
      <c r="D27" t="inlineStr">
        <is>
          <t>Bacheo Toluca</t>
        </is>
      </c>
      <c r="E27" t="inlineStr">
        <is>
          <t>DOBLE RODILLO/VIBROCOMPACTADOR DE RODILLOS HAMM 140HD</t>
        </is>
      </c>
      <c r="F27">
        <f>VLOOKUP(TablaPegaso[[#This Row],[Equipo]],Catalogos!$V$4:$W$85,2,FALSE)</f>
        <v/>
      </c>
      <c r="G27" s="3" t="n"/>
      <c r="H27" s="3" t="n">
        <v>33</v>
      </c>
      <c r="I27" s="3">
        <f>IF(ROW()=5,G27-H27,I26+G27-H27)</f>
        <v/>
      </c>
      <c r="J27" s="4" t="n">
        <v>28.3</v>
      </c>
      <c r="K27" s="4">
        <f>IFERROR((G27+H27)*J27,0)</f>
        <v/>
      </c>
      <c r="M27" t="n">
        <v>25</v>
      </c>
      <c r="N27">
        <f>IF(A27="","", "CP-" &amp; IFERROR(VLOOKUP(D27, Catalogos!$Z$4:$AA$20, 2, FALSE), "FOL") &amp; "-" &amp; _xludf.WEEKNUM(A27, 2) &amp; "-" &amp; TEXT(ROW(A23),"000"))</f>
        <v/>
      </c>
    </row>
    <row r="28">
      <c r="A28" s="17625" t="n">
        <v>46188</v>
      </c>
      <c r="B28" t="inlineStr">
        <is>
          <t>Salida</t>
        </is>
      </c>
      <c r="C28" t="inlineStr">
        <is>
          <t>Tanque Pegaso</t>
        </is>
      </c>
      <c r="D28" t="inlineStr">
        <is>
          <t>Lerma - Tres Marías</t>
        </is>
      </c>
      <c r="E28" t="inlineStr">
        <is>
          <t>PETROLIZADORA    INTERNATIONAL</t>
        </is>
      </c>
      <c r="F28">
        <f>VLOOKUP(TablaPegaso[[#This Row],[Equipo]],Catalogos!$V$4:$W$85,2,FALSE)</f>
        <v/>
      </c>
      <c r="G28" s="3" t="n"/>
      <c r="H28" s="3" t="n">
        <v>60</v>
      </c>
      <c r="I28" s="3">
        <f>IF(ROW()=5,G28-H28,I27+G28-H28)</f>
        <v/>
      </c>
      <c r="J28" s="4" t="n">
        <v>28.3</v>
      </c>
      <c r="K28" s="4">
        <f>IFERROR((G28+H28)*J28,0)</f>
        <v/>
      </c>
      <c r="M28" t="n">
        <v>25</v>
      </c>
      <c r="N28">
        <f>IF(A28="","", "CP-" &amp; IFERROR(VLOOKUP(D28, Catalogos!$Z$4:$AA$20, 2, FALSE), "FOL") &amp; "-" &amp; _xludf.WEEKNUM(A28, 2) &amp; "-" &amp; TEXT(ROW(A24),"000"))</f>
        <v/>
      </c>
    </row>
    <row r="29">
      <c r="A29" s="17625" t="n">
        <v>46188</v>
      </c>
      <c r="B29" t="inlineStr">
        <is>
          <t>Salida</t>
        </is>
      </c>
      <c r="C29" t="inlineStr">
        <is>
          <t>Tanque Pegaso</t>
        </is>
      </c>
      <c r="D29" t="inlineStr">
        <is>
          <t>Lerma - Tres Marías</t>
        </is>
      </c>
      <c r="E29" t="inlineStr">
        <is>
          <t>BARREDORA LAYMOR SM400</t>
        </is>
      </c>
      <c r="F29">
        <f>VLOOKUP(TablaPegaso[[#This Row],[Equipo]],Catalogos!$V$4:$W$85,2,FALSE)</f>
        <v/>
      </c>
      <c r="G29" s="3" t="n"/>
      <c r="H29" s="3" t="n">
        <v>52</v>
      </c>
      <c r="I29" s="3">
        <f>IF(ROW()=5,G29-H29,I28+G29-H29)</f>
        <v/>
      </c>
      <c r="J29" s="4" t="n">
        <v>28.3</v>
      </c>
      <c r="K29" s="4">
        <f>IFERROR((G29+H29)*J29,0)</f>
        <v/>
      </c>
      <c r="M29" t="n">
        <v>25</v>
      </c>
      <c r="N29">
        <f>IF(A29="","", "CP-" &amp; IFERROR(VLOOKUP(D29, Catalogos!$Z$4:$AA$20, 2, FALSE), "FOL") &amp; "-" &amp; _xludf.WEEKNUM(A29, 2) &amp; "-" &amp; TEXT(ROW(A25),"000"))</f>
        <v/>
      </c>
    </row>
    <row r="30">
      <c r="A30" s="17625" t="n">
        <v>46188</v>
      </c>
      <c r="B30" t="inlineStr">
        <is>
          <t>Salida</t>
        </is>
      </c>
      <c r="C30" t="inlineStr">
        <is>
          <t>Tanque Pegaso</t>
        </is>
      </c>
      <c r="D30" t="inlineStr">
        <is>
          <t>Lerma - Tres Marías</t>
        </is>
      </c>
      <c r="E30" t="inlineStr">
        <is>
          <t>LIMPIEZA</t>
        </is>
      </c>
      <c r="F30">
        <f>VLOOKUP(TablaPegaso[[#This Row],[Equipo]],Catalogos!$V$4:$W$85,2,FALSE)</f>
        <v/>
      </c>
      <c r="G30" s="3" t="n"/>
      <c r="H30" s="3" t="n">
        <v>25</v>
      </c>
      <c r="I30" s="3">
        <f>IF(ROW()=5,G30-H30,I29+G30-H30)</f>
        <v/>
      </c>
      <c r="J30" s="4" t="n">
        <v>28.3</v>
      </c>
      <c r="K30" s="4">
        <f>IFERROR((G30+H30)*J30,0)</f>
        <v/>
      </c>
      <c r="L30" t="inlineStr">
        <is>
          <t>LIMPIEZA</t>
        </is>
      </c>
      <c r="M30" t="n">
        <v>25</v>
      </c>
      <c r="N30">
        <f>IF(A30="","", "CP-" &amp; IFERROR(VLOOKUP(D30, Catalogos!$Z$4:$AA$20, 2, FALSE), "FOL") &amp; "-" &amp; _xludf.WEEKNUM(A30, 2) &amp; "-" &amp; TEXT(ROW(A26),"000"))</f>
        <v/>
      </c>
    </row>
    <row r="31">
      <c r="A31" s="17625" t="n">
        <v>46188</v>
      </c>
      <c r="B31" t="inlineStr">
        <is>
          <t>Salida</t>
        </is>
      </c>
      <c r="C31" t="inlineStr">
        <is>
          <t>Tanque Pegaso</t>
        </is>
      </c>
      <c r="D31" t="inlineStr">
        <is>
          <t>Lerma - Tres Marías</t>
        </is>
      </c>
      <c r="E31" t="inlineStr">
        <is>
          <t>RETROEXCAVADORA JHONDEREE 310SK</t>
        </is>
      </c>
      <c r="F31">
        <f>VLOOKUP(TablaPegaso[[#This Row],[Equipo]],Catalogos!$V$4:$W$85,2,FALSE)</f>
        <v/>
      </c>
      <c r="G31" s="3" t="n"/>
      <c r="H31" s="3" t="n">
        <v>55</v>
      </c>
      <c r="I31" s="3">
        <f>IF(ROW()=5,G31-H31,I30+G31-H31)</f>
        <v/>
      </c>
      <c r="J31" s="4" t="n">
        <v>28.3</v>
      </c>
      <c r="K31" s="4">
        <f>IFERROR((G31+H31)*J31,0)</f>
        <v/>
      </c>
      <c r="M31" t="n">
        <v>25</v>
      </c>
      <c r="N31">
        <f>IF(A31="","", "CP-" &amp; IFERROR(VLOOKUP(D31, Catalogos!$Z$4:$AA$20, 2, FALSE), "FOL") &amp; "-" &amp; _xludf.WEEKNUM(A31, 2) &amp; "-" &amp; TEXT(ROW(A27),"000"))</f>
        <v/>
      </c>
    </row>
    <row r="32">
      <c r="A32" s="17625" t="n">
        <v>46189</v>
      </c>
      <c r="B32" t="inlineStr">
        <is>
          <t>Salida</t>
        </is>
      </c>
      <c r="C32" t="inlineStr">
        <is>
          <t>Tanque Pegaso</t>
        </is>
      </c>
      <c r="D32" t="inlineStr">
        <is>
          <t>Lerma - Tres Marías</t>
        </is>
      </c>
      <c r="E32" t="inlineStr">
        <is>
          <t>PIPA DE AGUA (IMPACTO 01) FORD</t>
        </is>
      </c>
      <c r="F32">
        <f>VLOOKUP(TablaPegaso[[#This Row],[Equipo]],Catalogos!$V$4:$W$85,2,FALSE)</f>
        <v/>
      </c>
      <c r="G32" s="3" t="n"/>
      <c r="H32" s="3" t="n">
        <v>50</v>
      </c>
      <c r="I32" s="3">
        <f>IF(ROW()=5,G32-H32,I31+G32-H32)</f>
        <v/>
      </c>
      <c r="J32" s="4" t="n">
        <v>28.3</v>
      </c>
      <c r="K32" s="4">
        <f>IFERROR((G32+H32)*J32,0)</f>
        <v/>
      </c>
      <c r="M32" t="n">
        <v>25</v>
      </c>
      <c r="N32">
        <f>IF(A32="","", "CP-" &amp; IFERROR(VLOOKUP(D32, Catalogos!$Z$4:$AA$20, 2, FALSE), "FOL") &amp; "-" &amp; _xludf.WEEKNUM(A32, 2) &amp; "-" &amp; TEXT(ROW(A28),"000"))</f>
        <v/>
      </c>
    </row>
    <row r="33">
      <c r="A33" s="17625" t="n">
        <v>46189</v>
      </c>
      <c r="B33" t="inlineStr">
        <is>
          <t>Salida</t>
        </is>
      </c>
      <c r="C33" t="inlineStr">
        <is>
          <t>Tanque Pegaso</t>
        </is>
      </c>
      <c r="D33" t="inlineStr">
        <is>
          <t>Planta Asfalto Pegaso</t>
        </is>
      </c>
      <c r="E33" t="inlineStr">
        <is>
          <t>PETROLIZADORA (IMPACTO 04) FORD F800</t>
        </is>
      </c>
      <c r="F33">
        <f>VLOOKUP(TablaPegaso[[#This Row],[Equipo]],Catalogos!$V$4:$W$85,2,FALSE)</f>
        <v/>
      </c>
      <c r="G33" s="3" t="n"/>
      <c r="H33" s="3" t="n">
        <v>51</v>
      </c>
      <c r="I33" s="3">
        <f>IF(ROW()=5,G33-H33,I32+G33-H33)</f>
        <v/>
      </c>
      <c r="J33" s="4" t="n">
        <v>28.3</v>
      </c>
      <c r="K33" s="4">
        <f>IFERROR((G33+H33)*J33,0)</f>
        <v/>
      </c>
      <c r="L33" t="inlineStr">
        <is>
          <t>PETROLIZADORA NUEVA AMARRILLA NO TENIA DIESEL, EL CARGO CORRE A MAQUINARIA</t>
        </is>
      </c>
      <c r="M33" t="n">
        <v>25</v>
      </c>
      <c r="N33">
        <f>IF(A33="","", "CP-" &amp; IFERROR(VLOOKUP(D33, Catalogos!$Z$4:$AA$20, 2, FALSE), "FOL") &amp; "-" &amp; _xludf.WEEKNUM(A33, 2) &amp; "-" &amp; TEXT(ROW(A29),"000"))</f>
        <v/>
      </c>
    </row>
    <row r="34">
      <c r="A34" s="17625" t="n">
        <v>46189</v>
      </c>
      <c r="B34" t="inlineStr">
        <is>
          <t>Salida</t>
        </is>
      </c>
      <c r="C34" t="inlineStr">
        <is>
          <t>Tanque Pegaso</t>
        </is>
      </c>
      <c r="D34" t="inlineStr">
        <is>
          <t>Planta Asfalto Pegaso</t>
        </is>
      </c>
      <c r="E34" t="inlineStr">
        <is>
          <t>BIDONES</t>
        </is>
      </c>
      <c r="F34">
        <f>VLOOKUP(TablaPegaso[[#This Row],[Equipo]],Catalogos!$V$4:$W$85,2,FALSE)</f>
        <v/>
      </c>
      <c r="G34" s="3" t="n"/>
      <c r="H34" s="3" t="n">
        <v>1001</v>
      </c>
      <c r="I34" s="3">
        <f>IF(ROW()=5,G34-H34,I33+G34-H34)</f>
        <v/>
      </c>
      <c r="J34" s="4" t="n">
        <v>28.3</v>
      </c>
      <c r="K34" s="4">
        <f>IFERROR((G34+H34)*J34,0)</f>
        <v/>
      </c>
      <c r="M34" t="n">
        <v>25</v>
      </c>
      <c r="N34">
        <f>IF(A34="","", "CP-" &amp; IFERROR(VLOOKUP(D34, Catalogos!$Z$4:$AA$20, 2, FALSE), "FOL") &amp; "-" &amp; _xludf.WEEKNUM(A34, 2) &amp; "-" &amp; TEXT(ROW(A30),"000"))</f>
        <v/>
      </c>
    </row>
    <row r="35">
      <c r="A35" s="17625" t="n">
        <v>46189</v>
      </c>
      <c r="B35" t="inlineStr">
        <is>
          <t>Salida</t>
        </is>
      </c>
      <c r="C35" t="inlineStr">
        <is>
          <t>Tanque Pegaso</t>
        </is>
      </c>
      <c r="D35" t="inlineStr">
        <is>
          <t>Lerma - Tres Marías</t>
        </is>
      </c>
      <c r="E35" t="inlineStr">
        <is>
          <t>PERFILADORA RODATEC RX600-4-4008</t>
        </is>
      </c>
      <c r="F35">
        <f>VLOOKUP(TablaPegaso[[#This Row],[Equipo]],Catalogos!$V$4:$W$85,2,FALSE)</f>
        <v/>
      </c>
      <c r="G35" s="3" t="n"/>
      <c r="H35" s="3" t="n">
        <v>350</v>
      </c>
      <c r="I35" s="3">
        <f>IF(ROW()=5,G35-H35,I34+G35-H35)</f>
        <v/>
      </c>
      <c r="J35" s="4" t="n">
        <v>28.3</v>
      </c>
      <c r="K35" s="4">
        <f>IFERROR((G35+H35)*J35,0)</f>
        <v/>
      </c>
      <c r="M35" t="n">
        <v>25</v>
      </c>
      <c r="N35">
        <f>IF(A35="","", "CP-" &amp; IFERROR(VLOOKUP(D35, Catalogos!$Z$4:$AA$20, 2, FALSE), "FOL") &amp; "-" &amp; _xludf.WEEKNUM(A35, 2) &amp; "-" &amp; TEXT(ROW(A31),"000"))</f>
        <v/>
      </c>
    </row>
    <row r="36">
      <c r="A36" s="17625" t="n">
        <v>46189</v>
      </c>
      <c r="B36" t="inlineStr">
        <is>
          <t>Salida</t>
        </is>
      </c>
      <c r="C36" t="inlineStr">
        <is>
          <t>Tanque Pegaso</t>
        </is>
      </c>
      <c r="D36" t="inlineStr">
        <is>
          <t>Bacheo Toluca</t>
        </is>
      </c>
      <c r="E36" t="inlineStr">
        <is>
          <t>PERFILADORA RODATEC RX600-4-4008</t>
        </is>
      </c>
      <c r="F36">
        <f>VLOOKUP(TablaPegaso[[#This Row],[Equipo]],Catalogos!$V$4:$W$85,2,FALSE)</f>
        <v/>
      </c>
      <c r="G36" s="3" t="n"/>
      <c r="H36" s="3" t="n">
        <v>200</v>
      </c>
      <c r="I36" s="3">
        <f>IF(ROW()=5,G36-H36,I35+G36-H36)</f>
        <v/>
      </c>
      <c r="J36" s="4" t="n">
        <v>28.3</v>
      </c>
      <c r="K36" s="4" t="n"/>
      <c r="M36" t="n">
        <v>25</v>
      </c>
      <c r="N36">
        <f>IF(A36="","", "CP-" &amp; IFERROR(VLOOKUP(D36, Catalogos!$Z$4:$AA$20, 2, FALSE), "FOL") &amp; "-" &amp; _xludf.WEEKNUM(A36, 2) &amp; "-" &amp; TEXT(ROW(A32),"000"))</f>
        <v/>
      </c>
    </row>
    <row r="37">
      <c r="A37" s="17625" t="n">
        <v>46189</v>
      </c>
      <c r="B37" t="inlineStr">
        <is>
          <t>Salida</t>
        </is>
      </c>
      <c r="C37" t="inlineStr">
        <is>
          <t>Tanque Pegaso</t>
        </is>
      </c>
      <c r="D37" t="inlineStr">
        <is>
          <t>Lerma - Tres Marías</t>
        </is>
      </c>
      <c r="E37" t="inlineStr">
        <is>
          <t>PIPA DE AGUA (IMPACTO 01) FORD</t>
        </is>
      </c>
      <c r="F37">
        <f>VLOOKUP(TablaPegaso[[#This Row],[Equipo]],Catalogos!$V$4:$W$85,2,FALSE)</f>
        <v/>
      </c>
      <c r="G37" s="3" t="n"/>
      <c r="H37" s="3" t="n">
        <v>50</v>
      </c>
      <c r="I37" s="3">
        <f>IF(ROW()=5,G37-H37,I36+G37-H37)</f>
        <v/>
      </c>
      <c r="J37" s="4" t="n">
        <v>28.3</v>
      </c>
      <c r="K37" s="4">
        <f>IFERROR((G37+H37)*J37,0)</f>
        <v/>
      </c>
      <c r="M37" t="n">
        <v>25</v>
      </c>
      <c r="N37">
        <f>IF(A37="","", "CP-" &amp; IFERROR(VLOOKUP(D37, Catalogos!$Z$4:$AA$20, 2, FALSE), "FOL") &amp; "-" &amp; _xludf.WEEKNUM(A37, 2) &amp; "-" &amp; TEXT(ROW(A33),"000"))</f>
        <v/>
      </c>
    </row>
    <row r="38">
      <c r="A38" s="17625" t="n">
        <v>46189</v>
      </c>
      <c r="B38" t="inlineStr">
        <is>
          <t>Salida</t>
        </is>
      </c>
      <c r="C38" t="inlineStr">
        <is>
          <t>Tanque Pegaso</t>
        </is>
      </c>
      <c r="D38" t="inlineStr">
        <is>
          <t>Lerma - Tres Marías</t>
        </is>
      </c>
      <c r="E38" t="inlineStr">
        <is>
          <t>PAVIMENTADORA  VOGELE 1800-3 i</t>
        </is>
      </c>
      <c r="F38">
        <f>VLOOKUP(TablaPegaso[[#This Row],[Equipo]],Catalogos!$V$4:$W$85,2,FALSE)</f>
        <v/>
      </c>
      <c r="G38" s="3" t="n"/>
      <c r="H38" s="3" t="n">
        <v>165</v>
      </c>
      <c r="I38" s="3">
        <f>IF(ROW()=5,G38-H38,I37+G38-H38)</f>
        <v/>
      </c>
      <c r="J38" s="4" t="n">
        <v>28.3</v>
      </c>
      <c r="K38" s="4">
        <f>IFERROR((G38+H38)*J38,0)</f>
        <v/>
      </c>
      <c r="M38" t="n">
        <v>25</v>
      </c>
      <c r="N38">
        <f>IF(A38="","", "CP-" &amp; IFERROR(VLOOKUP(D38, Catalogos!$Z$4:$AA$20, 2, FALSE), "FOL") &amp; "-" &amp; _xludf.WEEKNUM(A38, 2) &amp; "-" &amp; TEXT(ROW(A34),"000"))</f>
        <v/>
      </c>
    </row>
    <row r="39">
      <c r="A39" s="17625" t="n">
        <v>46190</v>
      </c>
      <c r="B39" t="inlineStr">
        <is>
          <t>Salida</t>
        </is>
      </c>
      <c r="C39" t="inlineStr">
        <is>
          <t>Tanque Pegaso</t>
        </is>
      </c>
      <c r="D39" t="inlineStr">
        <is>
          <t>Lerma - Tres Marías</t>
        </is>
      </c>
      <c r="E39" t="inlineStr">
        <is>
          <t>IMPACTO FORD 4300</t>
        </is>
      </c>
      <c r="F39">
        <f>VLOOKUP(TablaPegaso[[#This Row],[Equipo]],Catalogos!$V$4:$W$85,2,FALSE)</f>
        <v/>
      </c>
      <c r="G39" s="3" t="n"/>
      <c r="H39" s="3" t="n">
        <v>81</v>
      </c>
      <c r="I39" s="3">
        <f>IF(ROW()=5,G39-H39,I38+G39-H39)</f>
        <v/>
      </c>
      <c r="J39" s="4" t="n">
        <v>28.3</v>
      </c>
      <c r="K39" s="4">
        <f>IFERROR((G39+H39)*J39,0)</f>
        <v/>
      </c>
      <c r="M39" t="n">
        <v>25</v>
      </c>
      <c r="N39">
        <f>IF(A39="","", "CP-" &amp; IFERROR(VLOOKUP(D39, Catalogos!$Z$4:$AA$20, 2, FALSE), "FOL") &amp; "-" &amp; _xludf.WEEKNUM(A39, 2) &amp; "-" &amp; TEXT(ROW(A35),"000"))</f>
        <v/>
      </c>
    </row>
    <row r="40">
      <c r="A40" s="17625" t="n">
        <v>46192</v>
      </c>
      <c r="B40" t="inlineStr">
        <is>
          <t>Salida</t>
        </is>
      </c>
      <c r="C40" t="inlineStr">
        <is>
          <t>Tanque Pegaso</t>
        </is>
      </c>
      <c r="D40" t="inlineStr">
        <is>
          <t>Lerma - Tres Marías</t>
        </is>
      </c>
      <c r="E40" t="inlineStr">
        <is>
          <t>PETROLIZADORA    INTERNATIONAL</t>
        </is>
      </c>
      <c r="F40">
        <f>VLOOKUP(TablaPegaso[[#This Row],[Equipo]],Catalogos!$V$4:$W$85,2,FALSE)</f>
        <v/>
      </c>
      <c r="G40" s="3" t="n"/>
      <c r="H40" s="3" t="n">
        <v>40</v>
      </c>
      <c r="I40" s="3">
        <f>IF(ROW()=5,G40-H40,I39+G40-H40)</f>
        <v/>
      </c>
      <c r="J40" s="4" t="n">
        <v>28.3</v>
      </c>
      <c r="K40" s="4">
        <f>IFERROR((G40+H40)*J40,0)</f>
        <v/>
      </c>
      <c r="M40" t="n">
        <v>25</v>
      </c>
      <c r="N40">
        <f>IF(A40="","", "CP-" &amp; IFERROR(VLOOKUP(D40, Catalogos!$Z$4:$AA$20, 2, FALSE), "FOL") &amp; "-" &amp; _xludf.WEEKNUM(A40, 2) &amp; "-" &amp; TEXT(ROW(A36),"000"))</f>
        <v/>
      </c>
    </row>
    <row r="41">
      <c r="A41" s="17625" t="n">
        <v>46192</v>
      </c>
      <c r="B41" t="inlineStr">
        <is>
          <t>Salida</t>
        </is>
      </c>
      <c r="C41" t="inlineStr">
        <is>
          <t>Tanque Pegaso</t>
        </is>
      </c>
      <c r="D41" t="inlineStr">
        <is>
          <t>Dragones</t>
        </is>
      </c>
      <c r="E41" t="inlineStr">
        <is>
          <t>PETROLIZADORA    INTERNATIONAL</t>
        </is>
      </c>
      <c r="F41">
        <f>VLOOKUP(TablaPegaso[[#This Row],[Equipo]],Catalogos!$V$4:$W$85,2,FALSE)</f>
        <v/>
      </c>
      <c r="G41" s="3" t="n"/>
      <c r="H41" s="3" t="n">
        <v>40</v>
      </c>
      <c r="I41" s="3">
        <f>IF(ROW()=5,G41-H41,I40+G41-H41)</f>
        <v/>
      </c>
      <c r="J41" s="4" t="n">
        <v>28.3</v>
      </c>
      <c r="K41" s="4">
        <f>IFERROR((G41+H41)*J41,0)</f>
        <v/>
      </c>
      <c r="M41" t="n">
        <v>25</v>
      </c>
      <c r="N41">
        <f>IF(A41="","", "CP-" &amp; IFERROR(VLOOKUP(D41, Catalogos!$Z$4:$AA$20, 2, FALSE), "FOL") &amp; "-" &amp; _xludf.WEEKNUM(A41, 2) &amp; "-" &amp; TEXT(ROW(A37),"000"))</f>
        <v/>
      </c>
    </row>
    <row r="42">
      <c r="A42" s="17625" t="n">
        <v>46192</v>
      </c>
      <c r="B42" t="inlineStr">
        <is>
          <t>Salida</t>
        </is>
      </c>
      <c r="C42" t="inlineStr">
        <is>
          <t>Tanque Pegaso</t>
        </is>
      </c>
      <c r="D42" t="inlineStr">
        <is>
          <t>Lerma - Tres Marías</t>
        </is>
      </c>
      <c r="E42" t="inlineStr">
        <is>
          <t>BARREDORA LAYMOR SM400</t>
        </is>
      </c>
      <c r="F42">
        <f>VLOOKUP(TablaPegaso[[#This Row],[Equipo]],Catalogos!$V$4:$W$85,2,FALSE)</f>
        <v/>
      </c>
      <c r="G42" s="3" t="n"/>
      <c r="H42" s="3" t="n">
        <v>43</v>
      </c>
      <c r="I42" s="3">
        <f>IF(ROW()=5,G42-H42,I40+G42-H42)</f>
        <v/>
      </c>
      <c r="J42" s="4" t="n">
        <v>28.3</v>
      </c>
      <c r="K42" s="4">
        <f>IFERROR((G42+H42)*J42,0)</f>
        <v/>
      </c>
      <c r="M42" t="n">
        <v>25</v>
      </c>
      <c r="N42">
        <f>IF(A42="","", "CP-" &amp; IFERROR(VLOOKUP(D42, Catalogos!$Z$4:$AA$20, 2, FALSE), "FOL") &amp; "-" &amp; _xludf.WEEKNUM(A42, 2) &amp; "-" &amp; TEXT(ROW(A38),"000"))</f>
        <v/>
      </c>
    </row>
    <row r="43">
      <c r="A43" s="17625" t="n">
        <v>46192</v>
      </c>
      <c r="B43" t="inlineStr">
        <is>
          <t>Salida</t>
        </is>
      </c>
      <c r="C43" t="inlineStr">
        <is>
          <t>Tanque Pegaso</t>
        </is>
      </c>
      <c r="D43" t="inlineStr">
        <is>
          <t>Lerma - Tres Marías</t>
        </is>
      </c>
      <c r="E43" t="inlineStr">
        <is>
          <t>TANDEM DOBLE RODILLO / VIBROCOMPACTOR RODILLO CAT CB54</t>
        </is>
      </c>
      <c r="F43">
        <f>VLOOKUP(TablaPegaso[[#This Row],[Equipo]],Catalogos!$V$4:$W$85,2,FALSE)</f>
        <v/>
      </c>
      <c r="G43" s="3" t="n"/>
      <c r="H43" s="3" t="n">
        <v>50</v>
      </c>
      <c r="I43" s="3">
        <f>IF(ROW()=5,G43-H43,I42+G43-H43)</f>
        <v/>
      </c>
      <c r="J43" s="4" t="n">
        <v>28.3</v>
      </c>
      <c r="K43" s="4">
        <f>IFERROR((G43+H43)*J43,0)</f>
        <v/>
      </c>
      <c r="M43" t="n">
        <v>25</v>
      </c>
      <c r="N43">
        <f>IF(A43="","", "CP-" &amp; IFERROR(VLOOKUP(D43, Catalogos!$Z$4:$AA$20, 2, FALSE), "FOL") &amp; "-" &amp; _xludf.WEEKNUM(A43, 2) &amp; "-" &amp; TEXT(ROW(A39),"000"))</f>
        <v/>
      </c>
    </row>
    <row r="44">
      <c r="A44" s="17625" t="n">
        <v>46192</v>
      </c>
      <c r="B44" t="inlineStr">
        <is>
          <t>Salida</t>
        </is>
      </c>
      <c r="C44" t="inlineStr">
        <is>
          <t>Tanque Pegaso</t>
        </is>
      </c>
      <c r="D44" t="inlineStr">
        <is>
          <t>Lerma - Tres Marías</t>
        </is>
      </c>
      <c r="E44" t="inlineStr">
        <is>
          <t>RETROEXCAVADORA JHONDEREE 310SK</t>
        </is>
      </c>
      <c r="F44">
        <f>VLOOKUP(TablaPegaso[[#This Row],[Equipo]],Catalogos!$V$4:$W$85,2,FALSE)</f>
        <v/>
      </c>
      <c r="G44" s="3" t="n"/>
      <c r="H44" s="3" t="n">
        <v>80</v>
      </c>
      <c r="I44" s="3">
        <f>IF(ROW()=5,G44-H44,I43+G44-H44)</f>
        <v/>
      </c>
      <c r="J44" s="4" t="n">
        <v>28.3</v>
      </c>
      <c r="K44" s="4">
        <f>IFERROR((G44+H44)*J44,0)</f>
        <v/>
      </c>
      <c r="M44" t="n">
        <v>25</v>
      </c>
      <c r="N44">
        <f>IF(A44="","", "CP-" &amp; IFERROR(VLOOKUP(D44, Catalogos!$Z$4:$AA$20, 2, FALSE), "FOL") &amp; "-" &amp; _xludf.WEEKNUM(A44, 2) &amp; "-" &amp; TEXT(ROW(A40),"000"))</f>
        <v/>
      </c>
    </row>
    <row r="45">
      <c r="A45" s="17625" t="n">
        <v>46192</v>
      </c>
      <c r="B45" t="inlineStr">
        <is>
          <t>Salida</t>
        </is>
      </c>
      <c r="C45" t="inlineStr">
        <is>
          <t>Tanque Pegaso</t>
        </is>
      </c>
      <c r="D45" t="inlineStr">
        <is>
          <t>Lerma - Tres Marías</t>
        </is>
      </c>
      <c r="E45" t="inlineStr">
        <is>
          <t>NEUMATICO / COMPACTADOR DE NEUMATICOS DINAPAC CP271</t>
        </is>
      </c>
      <c r="F45">
        <f>VLOOKUP(TablaPegaso[[#This Row],[Equipo]],Catalogos!$V$4:$W$85,2,FALSE)</f>
        <v/>
      </c>
      <c r="G45" s="3" t="n"/>
      <c r="H45" s="3" t="n">
        <v>30</v>
      </c>
      <c r="I45" s="3">
        <f>IF(ROW()=5,G45-H45,I44+G45-H45)</f>
        <v/>
      </c>
      <c r="J45" s="4" t="n">
        <v>28.3</v>
      </c>
      <c r="K45" s="4">
        <f>IFERROR((G45+H45)*J45,0)</f>
        <v/>
      </c>
      <c r="M45" t="n">
        <v>25</v>
      </c>
      <c r="N45">
        <f>IF(A45="","", "CP-" &amp; IFERROR(VLOOKUP(D45, Catalogos!$Z$4:$AA$20, 2, FALSE), "FOL") &amp; "-" &amp; _xludf.WEEKNUM(A45, 2) &amp; "-" &amp; TEXT(ROW(A41),"000"))</f>
        <v/>
      </c>
    </row>
    <row r="46">
      <c r="A46" s="17625" t="n">
        <v>46192</v>
      </c>
      <c r="B46" t="inlineStr">
        <is>
          <t>Salida</t>
        </is>
      </c>
      <c r="C46" t="inlineStr">
        <is>
          <t>Tanque Pegaso</t>
        </is>
      </c>
      <c r="D46" t="inlineStr">
        <is>
          <t>Lerma - Tres Marías</t>
        </is>
      </c>
      <c r="E46" t="inlineStr">
        <is>
          <t>PAVIMENTADORA  VOGELE 1800-3 i</t>
        </is>
      </c>
      <c r="F46">
        <f>VLOOKUP(TablaPegaso[[#This Row],[Equipo]],Catalogos!$V$4:$W$85,2,FALSE)</f>
        <v/>
      </c>
      <c r="G46" s="3" t="n"/>
      <c r="H46" s="3" t="n">
        <v>160</v>
      </c>
      <c r="I46" s="3">
        <f>IF(ROW()=5,G46-H46,I45+G46-H46)</f>
        <v/>
      </c>
      <c r="J46" s="4" t="n">
        <v>28.3</v>
      </c>
      <c r="K46" s="4">
        <f>IFERROR((G46+H46)*J46,0)</f>
        <v/>
      </c>
      <c r="M46" t="n">
        <v>25</v>
      </c>
      <c r="N46">
        <f>IF(A46="","", "CP-" &amp; IFERROR(VLOOKUP(D46, Catalogos!$Z$4:$AA$20, 2, FALSE), "FOL") &amp; "-" &amp; _xludf.WEEKNUM(A46, 2) &amp; "-" &amp; TEXT(ROW(A42),"000"))</f>
        <v/>
      </c>
    </row>
    <row r="47">
      <c r="A47" s="17625" t="n">
        <v>46192</v>
      </c>
      <c r="B47" t="inlineStr">
        <is>
          <t>Salida</t>
        </is>
      </c>
      <c r="C47" t="inlineStr">
        <is>
          <t>Tanque Pegaso</t>
        </is>
      </c>
      <c r="D47" t="inlineStr">
        <is>
          <t>Lerma - Tres Marías</t>
        </is>
      </c>
      <c r="E47" t="inlineStr">
        <is>
          <t>PIPA DE AGUA (IMPACTO 01) FORD</t>
        </is>
      </c>
      <c r="F47">
        <f>VLOOKUP(TablaPegaso[[#This Row],[Equipo]],Catalogos!$V$4:$W$85,2,FALSE)</f>
        <v/>
      </c>
      <c r="G47" s="3" t="n"/>
      <c r="H47" s="3" t="n">
        <v>50</v>
      </c>
      <c r="I47" s="3">
        <f>IF(ROW()=5,G47-H47,I46+G47-H47)</f>
        <v/>
      </c>
      <c r="J47" s="4" t="n">
        <v>28.3</v>
      </c>
      <c r="K47" s="4">
        <f>IFERROR((G47+H47)*J47,0)</f>
        <v/>
      </c>
      <c r="M47" t="n">
        <v>25</v>
      </c>
      <c r="N47">
        <f>IF(A47="","", "CP-" &amp; IFERROR(VLOOKUP(D47, Catalogos!$Z$4:$AA$20, 2, FALSE), "FOL") &amp; "-" &amp; _xludf.WEEKNUM(A47, 2) &amp; "-" &amp; TEXT(ROW(A43),"000"))</f>
        <v/>
      </c>
    </row>
    <row r="48">
      <c r="A48" s="17625" t="n">
        <v>46192</v>
      </c>
      <c r="B48" t="inlineStr">
        <is>
          <t>Salida</t>
        </is>
      </c>
      <c r="C48" t="inlineStr">
        <is>
          <t>Tanque Pegaso</t>
        </is>
      </c>
      <c r="D48" t="inlineStr">
        <is>
          <t>Bacheo Toluca</t>
        </is>
      </c>
      <c r="E48" t="inlineStr">
        <is>
          <t>RETROEXCAVADORA CASE 580 N</t>
        </is>
      </c>
      <c r="F48">
        <f>VLOOKUP(TablaPegaso[[#This Row],[Equipo]],Catalogos!$V$4:$W$85,2,FALSE)</f>
        <v/>
      </c>
      <c r="G48" s="3" t="n"/>
      <c r="H48" s="3" t="n">
        <v>60</v>
      </c>
      <c r="I48" s="3">
        <f>IF(ROW()=5,G48-H48,I47+G48-H48)</f>
        <v/>
      </c>
      <c r="J48" s="4" t="n">
        <v>28.3</v>
      </c>
      <c r="K48" s="4">
        <f>IFERROR((G48+H48)*J48,0)</f>
        <v/>
      </c>
      <c r="M48" t="n">
        <v>25</v>
      </c>
      <c r="N48">
        <f>IF(A48="","", "CP-" &amp; IFERROR(VLOOKUP(D48, Catalogos!$Z$4:$AA$20, 2, FALSE), "FOL") &amp; "-" &amp; _xludf.WEEKNUM(A48, 2) &amp; "-" &amp; TEXT(ROW(A44),"000"))</f>
        <v/>
      </c>
    </row>
    <row r="49">
      <c r="A49" s="17625" t="n">
        <v>46193</v>
      </c>
      <c r="B49" t="inlineStr">
        <is>
          <t>Salida</t>
        </is>
      </c>
      <c r="C49" t="inlineStr">
        <is>
          <t>Tanque Pegaso</t>
        </is>
      </c>
      <c r="D49" t="inlineStr">
        <is>
          <t>Bacheo Toluca</t>
        </is>
      </c>
      <c r="E49" t="inlineStr">
        <is>
          <t>BIDONES</t>
        </is>
      </c>
      <c r="F49">
        <f>VLOOKUP(TablaPegaso[[#This Row],[Equipo]],Catalogos!$V$4:$W$85,2,FALSE)</f>
        <v/>
      </c>
      <c r="G49" s="3" t="n"/>
      <c r="H49" s="3" t="n">
        <v>70</v>
      </c>
      <c r="I49" s="3">
        <f>IF(ROW()=5,G49-H49,I48+G49-H49)</f>
        <v/>
      </c>
      <c r="J49" s="4" t="n">
        <v>28.3</v>
      </c>
      <c r="K49" s="4">
        <f>IFERROR((G49+H49)*J49,0)</f>
        <v/>
      </c>
      <c r="M49" t="n">
        <v>25</v>
      </c>
      <c r="N49">
        <f>IF(A49="","", "CP-" &amp; IFERROR(VLOOKUP(D49, Catalogos!$Z$4:$AA$20, 2, FALSE), "FOL") &amp; "-" &amp; _xludf.WEEKNUM(A49, 2) &amp; "-" &amp; TEXT(ROW(A45),"000"))</f>
        <v/>
      </c>
    </row>
    <row r="50">
      <c r="A50" s="17625" t="n">
        <v>46193</v>
      </c>
      <c r="B50" t="inlineStr">
        <is>
          <t>Salida</t>
        </is>
      </c>
      <c r="C50" t="inlineStr">
        <is>
          <t>Tanque Pegaso</t>
        </is>
      </c>
      <c r="D50" t="inlineStr">
        <is>
          <t>Planta Asfalto Pegaso</t>
        </is>
      </c>
      <c r="E50" t="inlineStr">
        <is>
          <t>BIDONES</t>
        </is>
      </c>
      <c r="F50">
        <f>VLOOKUP(TablaPegaso[[#This Row],[Equipo]],Catalogos!$V$4:$W$85,2,FALSE)</f>
        <v/>
      </c>
      <c r="G50" s="3" t="n"/>
      <c r="H50" s="3" t="n">
        <v>600</v>
      </c>
      <c r="I50" s="3">
        <f>IF(ROW()=5,G50-H50,I49+G50-H50)</f>
        <v/>
      </c>
      <c r="J50" s="4" t="n">
        <v>28.3</v>
      </c>
      <c r="K50" s="4">
        <f>IFERROR((G50+H50)*J50,0)</f>
        <v/>
      </c>
      <c r="M50" t="n">
        <v>25</v>
      </c>
      <c r="N50">
        <f>IF(A50="","", "CP-" &amp; IFERROR(VLOOKUP(D50, Catalogos!$Z$4:$AA$20, 2, FALSE), "FOL") &amp; "-" &amp; _xludf.WEEKNUM(A50, 2) &amp; "-" &amp; TEXT(ROW(A46),"000"))</f>
        <v/>
      </c>
    </row>
    <row r="51">
      <c r="A51" s="17625" t="n">
        <v>46188</v>
      </c>
      <c r="B51" t="inlineStr">
        <is>
          <t>Salida</t>
        </is>
      </c>
      <c r="C51" t="inlineStr">
        <is>
          <t>Tanque Pegaso</t>
        </is>
      </c>
      <c r="D51" t="inlineStr">
        <is>
          <t>Bacheo Toluca</t>
        </is>
      </c>
      <c r="E51" t="inlineStr">
        <is>
          <t>PERFILADORA RODATEC RX600E</t>
        </is>
      </c>
      <c r="F51">
        <f>VLOOKUP(TablaPegaso[[#This Row],[Equipo]],Catalogos!$V$4:$W$85,2,FALSE)</f>
        <v/>
      </c>
      <c r="G51" s="3" t="n"/>
      <c r="H51" s="3" t="n">
        <v>200</v>
      </c>
      <c r="I51" s="3">
        <f>IF(ROW()=5,G51-H51,I50+G51-H51)</f>
        <v/>
      </c>
      <c r="J51" s="4" t="n">
        <v>28.3</v>
      </c>
      <c r="K51" s="4">
        <f>IFERROR((G51+H51)*J51,0)</f>
        <v/>
      </c>
      <c r="M51" t="n">
        <v>25</v>
      </c>
      <c r="N51">
        <f>IF(A51="","", "CP-" &amp; IFERROR(VLOOKUP(D51, Catalogos!$Z$4:$AA$20, 2, FALSE), "FOL") &amp; "-" &amp; _xludf.WEEKNUM(A51, 2) &amp; "-" &amp; TEXT(ROW(A47),"000"))</f>
        <v/>
      </c>
    </row>
    <row r="52">
      <c r="A52" s="17625" t="n">
        <v>46195</v>
      </c>
      <c r="B52" t="inlineStr">
        <is>
          <t>Entrada</t>
        </is>
      </c>
      <c r="C52" t="inlineStr">
        <is>
          <t>Tanque Pegaso</t>
        </is>
      </c>
      <c r="F52">
        <f>VLOOKUP(TablaPegaso[[#This Row],[Equipo]],Catalogos!$V$4:$W$85,2,FALSE)</f>
        <v/>
      </c>
      <c r="G52" s="3" t="n">
        <v>6036.51</v>
      </c>
      <c r="H52" s="3" t="n"/>
      <c r="I52" s="3">
        <f>IF(ROW()=5,G52-H52,I51+G52-H52)</f>
        <v/>
      </c>
      <c r="J52" s="4" t="n">
        <v>28.3</v>
      </c>
      <c r="K52" s="4">
        <f>IFERROR((G52+H52)*J52,0)</f>
        <v/>
      </c>
      <c r="M52" t="n">
        <v>26</v>
      </c>
      <c r="N52">
        <f>IF(A52="","", "CP-" &amp; IFERROR(VLOOKUP(D52, Catalogos!$Z$4:$AA$20, 2, FALSE), "FOL") &amp; "-" &amp; _xludf.WEEKNUM(A52, 2) &amp; "-" &amp; TEXT(ROW(A48),"000"))</f>
        <v/>
      </c>
    </row>
    <row r="53">
      <c r="A53" s="17625" t="n"/>
      <c r="C53" t="inlineStr">
        <is>
          <t>Tanque Pegaso</t>
        </is>
      </c>
      <c r="F53">
        <f>VLOOKUP(TablaPegaso[[#This Row],[Equipo]],Catalogos!$V$4:$W$85,2,FALSE)</f>
        <v/>
      </c>
      <c r="G53" s="3" t="n"/>
      <c r="H53" s="3" t="n"/>
      <c r="I53" s="3">
        <f>IF(ROW()=5,G53-H53,I52+G53-H53)</f>
        <v/>
      </c>
      <c r="J53" s="4" t="n">
        <v>28.3</v>
      </c>
      <c r="K53" s="4">
        <f>IFERROR((G53+H53)*J53,0)</f>
        <v/>
      </c>
      <c r="N53">
        <f>IF(A53="","", "CP-" &amp; IFERROR(VLOOKUP(D53, Catalogos!$Z$4:$AA$20, 2, FALSE), "FOL") &amp; "-" &amp; _xludf.WEEKNUM(A53, 2) &amp; "-" &amp; TEXT(ROW(A49),"000"))</f>
        <v/>
      </c>
    </row>
    <row r="54">
      <c r="A54" s="17625" t="n"/>
      <c r="C54" t="inlineStr">
        <is>
          <t>Tanque Pegaso</t>
        </is>
      </c>
      <c r="F54">
        <f>VLOOKUP(TablaPegaso[[#This Row],[Equipo]],Catalogos!$V$4:$W$85,2,FALSE)</f>
        <v/>
      </c>
      <c r="G54" s="3" t="n"/>
      <c r="H54" s="3" t="n"/>
      <c r="I54" s="3">
        <f>IF(ROW()=5,G54-H54,I53+G54-H54)</f>
        <v/>
      </c>
      <c r="J54" s="4" t="n">
        <v>28.3</v>
      </c>
      <c r="K54" s="4">
        <f>IFERROR((G54+H54)*J54,0)</f>
        <v/>
      </c>
      <c r="N54">
        <f>IF(A54="","", "CP-" &amp; IFERROR(VLOOKUP(D54, Catalogos!$Z$4:$AA$20, 2, FALSE), "FOL") &amp; "-" &amp; _xludf.WEEKNUM(A54, 2) &amp; "-" &amp; TEXT(ROW(A50),"000"))</f>
        <v/>
      </c>
    </row>
    <row r="55">
      <c r="A55" s="17625" t="n"/>
      <c r="C55" t="inlineStr">
        <is>
          <t>Tanque Pegaso</t>
        </is>
      </c>
      <c r="F55">
        <f>VLOOKUP(TablaPegaso[[#This Row],[Equipo]],Catalogos!$V$4:$W$85,2,FALSE)</f>
        <v/>
      </c>
      <c r="G55" s="3" t="n"/>
      <c r="H55" s="3" t="n"/>
      <c r="I55" s="3">
        <f>IF(ROW()=5,G55-H55,I54+G55-H55)</f>
        <v/>
      </c>
      <c r="J55" s="4" t="n">
        <v>28.3</v>
      </c>
      <c r="K55" s="4">
        <f>IFERROR((G55+H55)*J55,0)</f>
        <v/>
      </c>
      <c r="N55">
        <f>IF(A55="","", "CP-" &amp; IFERROR(VLOOKUP(D55, Catalogos!$Z$4:$AA$20, 2, FALSE), "FOL") &amp; "-" &amp; _xludf.WEEKNUM(A55, 2) &amp; "-" &amp; TEXT(ROW(A51),"000"))</f>
        <v/>
      </c>
    </row>
    <row r="56">
      <c r="A56" s="17625" t="n"/>
      <c r="C56" t="inlineStr">
        <is>
          <t>Tanque Pegaso</t>
        </is>
      </c>
      <c r="F56">
        <f>VLOOKUP(TablaPegaso[[#This Row],[Equipo]],Catalogos!$V$4:$W$85,2,FALSE)</f>
        <v/>
      </c>
      <c r="G56" s="3" t="n"/>
      <c r="H56" s="3" t="n"/>
      <c r="I56" s="3">
        <f>IF(ROW()=5,G56-H56,I55+G56-H56)</f>
        <v/>
      </c>
      <c r="J56" s="4" t="n">
        <v>28.3</v>
      </c>
      <c r="K56" s="4">
        <f>IFERROR((G56+H56)*J56,0)</f>
        <v/>
      </c>
      <c r="N56">
        <f>IF(A56="","", "CP-" &amp; IFERROR(VLOOKUP(D56, Catalogos!$Z$4:$AA$20, 2, FALSE), "FOL") &amp; "-" &amp; _xludf.WEEKNUM(A56, 2) &amp; "-" &amp; TEXT(ROW(A52),"000"))</f>
        <v/>
      </c>
    </row>
    <row r="57">
      <c r="A57" s="17625" t="n"/>
      <c r="C57" t="inlineStr">
        <is>
          <t>Tanque Pegaso</t>
        </is>
      </c>
      <c r="F57">
        <f>VLOOKUP(TablaPegaso[[#This Row],[Equipo]],Catalogos!$V$4:$W$85,2,FALSE)</f>
        <v/>
      </c>
      <c r="G57" s="3" t="n"/>
      <c r="H57" s="3" t="n"/>
      <c r="I57" s="3">
        <f>IF(ROW()=5,G57-H57,I56+G57-H57)</f>
        <v/>
      </c>
      <c r="J57" s="4" t="n">
        <v>28.3</v>
      </c>
      <c r="K57" s="4">
        <f>IFERROR((G57+H57)*J57,0)</f>
        <v/>
      </c>
      <c r="N57">
        <f>IF(A57="","", "CP-" &amp; IFERROR(VLOOKUP(D57, Catalogos!$Z$4:$AA$20, 2, FALSE), "FOL") &amp; "-" &amp; _xludf.WEEKNUM(A57, 2) &amp; "-" &amp; TEXT(ROW(A53),"000"))</f>
        <v/>
      </c>
    </row>
    <row r="58">
      <c r="A58" s="17625" t="n"/>
      <c r="C58" t="inlineStr">
        <is>
          <t>Tanque Pegaso</t>
        </is>
      </c>
      <c r="F58">
        <f>VLOOKUP(TablaPegaso[[#This Row],[Equipo]],Catalogos!$V$4:$W$85,2,FALSE)</f>
        <v/>
      </c>
      <c r="G58" s="3" t="n"/>
      <c r="H58" s="3" t="n"/>
      <c r="I58" s="3">
        <f>IF(ROW()=5,G58-H58,I57+G58-H58)</f>
        <v/>
      </c>
      <c r="J58" s="4" t="n">
        <v>28.3</v>
      </c>
      <c r="K58" s="4">
        <f>IFERROR((G58+H58)*J58,0)</f>
        <v/>
      </c>
      <c r="N58">
        <f>IF(A58="","", "CP-" &amp; IFERROR(VLOOKUP(D58, Catalogos!$Z$4:$AA$20, 2, FALSE), "FOL") &amp; "-" &amp; _xludf.WEEKNUM(A58, 2) &amp; "-" &amp; TEXT(ROW(A54),"000"))</f>
        <v/>
      </c>
    </row>
    <row r="59">
      <c r="A59" s="17625" t="n"/>
      <c r="C59" t="inlineStr">
        <is>
          <t>Tanque Pegaso</t>
        </is>
      </c>
      <c r="F59">
        <f>VLOOKUP(TablaPegaso[[#This Row],[Equipo]],Catalogos!$V$4:$W$85,2,FALSE)</f>
        <v/>
      </c>
      <c r="G59" s="3" t="n"/>
      <c r="H59" s="3" t="n"/>
      <c r="I59" s="3">
        <f>IF(ROW()=5,G59-H59,I58+G59-H59)</f>
        <v/>
      </c>
      <c r="J59" s="4" t="n">
        <v>28.3</v>
      </c>
      <c r="K59" s="4">
        <f>IFERROR((G59+H59)*J59,0)</f>
        <v/>
      </c>
      <c r="N59">
        <f>IF(A59="","", "CP-" &amp; IFERROR(VLOOKUP(D59, Catalogos!$Z$4:$AA$20, 2, FALSE), "FOL") &amp; "-" &amp; _xludf.WEEKNUM(A59, 2) &amp; "-" &amp; TEXT(ROW(A55),"000"))</f>
        <v/>
      </c>
    </row>
    <row r="60">
      <c r="A60" s="17625" t="n"/>
      <c r="C60" t="inlineStr">
        <is>
          <t>Tanque Pegaso</t>
        </is>
      </c>
      <c r="F60">
        <f>VLOOKUP(TablaPegaso[[#This Row],[Equipo]],Catalogos!$V$4:$W$85,2,FALSE)</f>
        <v/>
      </c>
      <c r="G60" s="3" t="n"/>
      <c r="H60" s="3" t="n"/>
      <c r="I60" s="3">
        <f>IF(ROW()=5,G60-H60,I59+G60-H60)</f>
        <v/>
      </c>
      <c r="J60" s="4" t="n">
        <v>28.3</v>
      </c>
      <c r="K60" s="4">
        <f>IFERROR((G60+H60)*J60,0)</f>
        <v/>
      </c>
      <c r="N60">
        <f>IF(A60="","", "CP-" &amp; IFERROR(VLOOKUP(D60, Catalogos!$Z$4:$AA$20, 2, FALSE), "FOL") &amp; "-" &amp; _xludf.WEEKNUM(A60, 2) &amp; "-" &amp; TEXT(ROW(A56),"000"))</f>
        <v/>
      </c>
    </row>
    <row r="61">
      <c r="A61" s="17625" t="n"/>
      <c r="C61" t="inlineStr">
        <is>
          <t>Tanque Pegaso</t>
        </is>
      </c>
      <c r="F61">
        <f>VLOOKUP(TablaPegaso[[#This Row],[Equipo]],Catalogos!$V$4:$W$85,2,FALSE)</f>
        <v/>
      </c>
      <c r="G61" s="3" t="n"/>
      <c r="H61" s="3" t="n"/>
      <c r="I61" s="3">
        <f>IF(ROW()=5,G61-H61,I60+G61-H61)</f>
        <v/>
      </c>
      <c r="J61" s="4" t="n">
        <v>28.3</v>
      </c>
      <c r="K61" s="4">
        <f>IFERROR((G61+H61)*J61,0)</f>
        <v/>
      </c>
      <c r="N61">
        <f>IF(A61="","", "CP-" &amp; IFERROR(VLOOKUP(D61, Catalogos!$Z$4:$AA$20, 2, FALSE), "FOL") &amp; "-" &amp; _xludf.WEEKNUM(A61, 2) &amp; "-" &amp; TEXT(ROW(A57),"000"))</f>
        <v/>
      </c>
    </row>
    <row r="62">
      <c r="A62" s="17625" t="n"/>
      <c r="C62" t="inlineStr">
        <is>
          <t>Tanque Pegaso</t>
        </is>
      </c>
      <c r="F62">
        <f>VLOOKUP(TablaPegaso[[#This Row],[Equipo]],Catalogos!$V$4:$W$85,2,FALSE)</f>
        <v/>
      </c>
      <c r="G62" s="3" t="n"/>
      <c r="H62" s="3" t="n"/>
      <c r="I62" s="3">
        <f>IF(ROW()=5,G62-H62,I61+G62-H62)</f>
        <v/>
      </c>
      <c r="J62" s="4" t="n">
        <v>28.3</v>
      </c>
      <c r="K62" s="4">
        <f>IFERROR((G62+H62)*J62,0)</f>
        <v/>
      </c>
      <c r="N62">
        <f>IF(A62="","", "CP-" &amp; IFERROR(VLOOKUP(D62, Catalogos!$Z$4:$AA$20, 2, FALSE), "FOL") &amp; "-" &amp; _xludf.WEEKNUM(A62, 2) &amp; "-" &amp; TEXT(ROW(A58),"000"))</f>
        <v/>
      </c>
    </row>
    <row r="63">
      <c r="A63" s="17625" t="n"/>
      <c r="C63" t="inlineStr">
        <is>
          <t>Tanque Pegaso</t>
        </is>
      </c>
      <c r="F63">
        <f>VLOOKUP(TablaPegaso[[#This Row],[Equipo]],Catalogos!$V$4:$W$85,2,FALSE)</f>
        <v/>
      </c>
      <c r="G63" s="3" t="n"/>
      <c r="H63" s="3" t="n"/>
      <c r="I63" s="3">
        <f>IF(ROW()=5,G63-H63,I62+G63-H63)</f>
        <v/>
      </c>
      <c r="J63" s="4" t="n">
        <v>28.3</v>
      </c>
      <c r="K63" s="4">
        <f>IFERROR((G63+H63)*J63,0)</f>
        <v/>
      </c>
      <c r="N63">
        <f>IF(A63="","", "CP-" &amp; IFERROR(VLOOKUP(D63, Catalogos!$Z$4:$AA$20, 2, FALSE), "FOL") &amp; "-" &amp; _xludf.WEEKNUM(A63, 2) &amp; "-" &amp; TEXT(ROW(A59),"000"))</f>
        <v/>
      </c>
    </row>
    <row r="64">
      <c r="A64" s="17625" t="n"/>
      <c r="C64" t="inlineStr">
        <is>
          <t>Tanque Pegaso</t>
        </is>
      </c>
      <c r="F64">
        <f>VLOOKUP(TablaPegaso[[#This Row],[Equipo]],Catalogos!$V$4:$W$85,2,FALSE)</f>
        <v/>
      </c>
      <c r="G64" s="3" t="n"/>
      <c r="H64" s="3" t="n"/>
      <c r="I64" s="3">
        <f>IF(ROW()=5,G64-H64,I63+G64-H64)</f>
        <v/>
      </c>
      <c r="J64" s="4" t="n">
        <v>28.3</v>
      </c>
      <c r="K64" s="4">
        <f>IFERROR((G64+H64)*J64,0)</f>
        <v/>
      </c>
      <c r="N64">
        <f>IF(A64="","", "CP-" &amp; IFERROR(VLOOKUP(D64, Catalogos!$Z$4:$AA$20, 2, FALSE), "FOL") &amp; "-" &amp; _xludf.WEEKNUM(A64, 2) &amp; "-" &amp; TEXT(ROW(A60),"000"))</f>
        <v/>
      </c>
    </row>
    <row r="65">
      <c r="A65" s="17625" t="n"/>
      <c r="C65" t="inlineStr">
        <is>
          <t>Tanque Pegaso</t>
        </is>
      </c>
      <c r="F65">
        <f>VLOOKUP(TablaPegaso[[#This Row],[Equipo]],Catalogos!$V$4:$W$85,2,FALSE)</f>
        <v/>
      </c>
      <c r="G65" s="3" t="n"/>
      <c r="H65" s="3" t="n"/>
      <c r="I65" s="3">
        <f>IF(ROW()=5,G65-H65,I64+G65-H65)</f>
        <v/>
      </c>
      <c r="J65" s="4" t="n">
        <v>28.3</v>
      </c>
      <c r="K65" s="4">
        <f>IFERROR((G65+H65)*J65,0)</f>
        <v/>
      </c>
      <c r="N65">
        <f>IF(A65="","", "CP-" &amp; IFERROR(VLOOKUP(D65, Catalogos!$Z$4:$AA$20, 2, FALSE), "FOL") &amp; "-" &amp; _xludf.WEEKNUM(A65, 2) &amp; "-" &amp; TEXT(ROW(A61),"000"))</f>
        <v/>
      </c>
    </row>
    <row r="66">
      <c r="A66" s="17625" t="n"/>
      <c r="C66" t="inlineStr">
        <is>
          <t>Tanque Pegaso</t>
        </is>
      </c>
      <c r="F66">
        <f>VLOOKUP(TablaPegaso[[#This Row],[Equipo]],Catalogos!$V$4:$W$85,2,FALSE)</f>
        <v/>
      </c>
      <c r="G66" s="3" t="n"/>
      <c r="H66" s="3" t="n"/>
      <c r="I66" s="3">
        <f>IF(ROW()=5,G66-H66,I65+G66-H66)</f>
        <v/>
      </c>
      <c r="J66" s="4" t="n">
        <v>28.3</v>
      </c>
      <c r="K66" s="4">
        <f>IFERROR((G66+H66)*J66,0)</f>
        <v/>
      </c>
      <c r="N66">
        <f>IF(A66="","", "CP-" &amp; IFERROR(VLOOKUP(D66, Catalogos!$Z$4:$AA$20, 2, FALSE), "FOL") &amp; "-" &amp; _xludf.WEEKNUM(A66, 2) &amp; "-" &amp; TEXT(ROW(A62),"000"))</f>
        <v/>
      </c>
    </row>
    <row r="67">
      <c r="A67" s="17625" t="n"/>
      <c r="C67" t="inlineStr">
        <is>
          <t>Tanque Pegaso</t>
        </is>
      </c>
      <c r="F67">
        <f>VLOOKUP(TablaPegaso[[#This Row],[Equipo]],Catalogos!$V$4:$W$85,2,FALSE)</f>
        <v/>
      </c>
      <c r="G67" s="3" t="n"/>
      <c r="H67" s="3" t="n"/>
      <c r="I67" s="3">
        <f>IF(ROW()=5,G67-H67,I66+G67-H67)</f>
        <v/>
      </c>
      <c r="J67" s="4" t="n">
        <v>28.3</v>
      </c>
      <c r="K67" s="4">
        <f>IFERROR((G67+H67)*J67,0)</f>
        <v/>
      </c>
      <c r="N67">
        <f>IF(A67="","", "CP-" &amp; IFERROR(VLOOKUP(D67, Catalogos!$Z$4:$AA$20, 2, FALSE), "FOL") &amp; "-" &amp; _xludf.WEEKNUM(A67, 2) &amp; "-" &amp; TEXT(ROW(A63),"000"))</f>
        <v/>
      </c>
    </row>
    <row r="68">
      <c r="A68" s="17625" t="n"/>
      <c r="C68" t="inlineStr">
        <is>
          <t>Tanque Pegaso</t>
        </is>
      </c>
      <c r="F68">
        <f>VLOOKUP(TablaPegaso[[#This Row],[Equipo]],Catalogos!$V$4:$W$85,2,FALSE)</f>
        <v/>
      </c>
      <c r="G68" s="3" t="n"/>
      <c r="H68" s="3" t="n"/>
      <c r="I68" s="3">
        <f>IF(ROW()=5,G68-H68,I67+G68-H68)</f>
        <v/>
      </c>
      <c r="J68" s="4" t="n">
        <v>28.3</v>
      </c>
      <c r="K68" s="4">
        <f>IFERROR((G68+H68)*J68,0)</f>
        <v/>
      </c>
      <c r="N68">
        <f>IF(A68="","", "CP-" &amp; IFERROR(VLOOKUP(D68, Catalogos!$Z$4:$AA$20, 2, FALSE), "FOL") &amp; "-" &amp; _xludf.WEEKNUM(A68, 2) &amp; "-" &amp; TEXT(ROW(A64),"000"))</f>
        <v/>
      </c>
    </row>
    <row r="69">
      <c r="A69" s="17625" t="n"/>
      <c r="C69" t="inlineStr">
        <is>
          <t>Tanque Pegaso</t>
        </is>
      </c>
      <c r="F69">
        <f>VLOOKUP(TablaPegaso[[#This Row],[Equipo]],Catalogos!$V$4:$W$85,2,FALSE)</f>
        <v/>
      </c>
      <c r="G69" s="3" t="n"/>
      <c r="H69" s="3" t="n"/>
      <c r="I69" s="3">
        <f>IF(ROW()=5,G69-H69,I68+G69-H69)</f>
        <v/>
      </c>
      <c r="J69" s="4" t="n">
        <v>28.3</v>
      </c>
      <c r="K69" s="4">
        <f>IFERROR((G69+H69)*J69,0)</f>
        <v/>
      </c>
      <c r="M69">
        <f>IF(A69="","", _xludf.WEEKNUM(A69, 2))</f>
        <v/>
      </c>
      <c r="N69">
        <f>IF(A69="","", "CP-" &amp; IFERROR(VLOOKUP(D69, Catalogos!$Z$4:$AA$20, 2, FALSE), "FOL") &amp; "-" &amp; _xludf.WEEKNUM(A69, 2) &amp; "-" &amp; TEXT(ROW(A65),"000"))</f>
        <v/>
      </c>
    </row>
    <row r="70">
      <c r="A70" s="17625" t="n"/>
      <c r="C70" t="inlineStr">
        <is>
          <t>Tanque Pegaso</t>
        </is>
      </c>
      <c r="F70">
        <f>VLOOKUP(TablaPegaso[[#This Row],[Equipo]],Catalogos!$V$4:$W$85,2,FALSE)</f>
        <v/>
      </c>
      <c r="G70" s="3" t="n"/>
      <c r="H70" s="3" t="n"/>
      <c r="I70" s="3">
        <f>IF(ROW()=5,G70-H70,I69+G70-H70)</f>
        <v/>
      </c>
      <c r="J70" s="4" t="n">
        <v>28.3</v>
      </c>
      <c r="K70" s="4">
        <f>IFERROR((G70+H70)*J70,0)</f>
        <v/>
      </c>
      <c r="M70">
        <f>IF(A70="","", _xludf.WEEKNUM(A70, 2))</f>
        <v/>
      </c>
      <c r="N70">
        <f>IF(A70="","", "CP-" &amp; IFERROR(VLOOKUP(D70, Catalogos!$Z$4:$AA$20, 2, FALSE), "FOL") &amp; "-" &amp; _xludf.WEEKNUM(A70, 2) &amp; "-" &amp; TEXT(ROW(A66),"000"))</f>
        <v/>
      </c>
    </row>
    <row r="71">
      <c r="A71" s="17625" t="n"/>
      <c r="C71" t="inlineStr">
        <is>
          <t>Tanque Pegaso</t>
        </is>
      </c>
      <c r="F71">
        <f>VLOOKUP(TablaPegaso[[#This Row],[Equipo]],Catalogos!$V$4:$W$85,2,FALSE)</f>
        <v/>
      </c>
      <c r="G71" s="3" t="n"/>
      <c r="H71" s="3" t="n"/>
      <c r="I71" s="3">
        <f>IF(ROW()=5,G71-H71,I70+G71-H71)</f>
        <v/>
      </c>
      <c r="J71" s="4" t="n">
        <v>28.3</v>
      </c>
      <c r="K71" s="4">
        <f>IFERROR((G71+H71)*J71,0)</f>
        <v/>
      </c>
      <c r="M71">
        <f>IF(A71="","", _xludf.WEEKNUM(A71, 2))</f>
        <v/>
      </c>
      <c r="N71">
        <f>IF(A71="","", "CP-" &amp; IFERROR(VLOOKUP(D71, Catalogos!$Z$4:$AA$20, 2, FALSE), "FOL") &amp; "-" &amp; _xludf.WEEKNUM(A71, 2) &amp; "-" &amp; TEXT(ROW(A67),"000"))</f>
        <v/>
      </c>
    </row>
    <row r="72">
      <c r="A72" s="17625" t="n"/>
      <c r="C72" t="inlineStr">
        <is>
          <t>Tanque Pegaso</t>
        </is>
      </c>
      <c r="F72">
        <f>VLOOKUP(TablaPegaso[[#This Row],[Equipo]],Catalogos!$V$4:$W$85,2,FALSE)</f>
        <v/>
      </c>
      <c r="G72" s="3" t="n"/>
      <c r="H72" s="3" t="n"/>
      <c r="I72" s="3">
        <f>IF(ROW()=5,G72-H72,I71+G72-H72)</f>
        <v/>
      </c>
      <c r="J72" s="4" t="n">
        <v>28.3</v>
      </c>
      <c r="K72" s="4">
        <f>IFERROR((G72+H72)*J72,0)</f>
        <v/>
      </c>
      <c r="M72">
        <f>IF(A72="","", _xludf.WEEKNUM(A72, 2))</f>
        <v/>
      </c>
      <c r="N72">
        <f>IF(A72="","", "CP-" &amp; IFERROR(VLOOKUP(D72, Catalogos!$Z$4:$AA$20, 2, FALSE), "FOL") &amp; "-" &amp; _xludf.WEEKNUM(A72, 2) &amp; "-" &amp; TEXT(ROW(A68),"000"))</f>
        <v/>
      </c>
    </row>
    <row r="73">
      <c r="A73" s="17625" t="n"/>
      <c r="C73" t="inlineStr">
        <is>
          <t>Tanque Pegaso</t>
        </is>
      </c>
      <c r="F73">
        <f>VLOOKUP(TablaPegaso[[#This Row],[Equipo]],Catalogos!$V$4:$W$85,2,FALSE)</f>
        <v/>
      </c>
      <c r="G73" s="3" t="n"/>
      <c r="H73" s="3" t="n"/>
      <c r="I73" s="3">
        <f>IF(ROW()=5,G73-H73,I72+G73-H73)</f>
        <v/>
      </c>
      <c r="J73" s="4" t="n">
        <v>28.3</v>
      </c>
      <c r="K73" s="4">
        <f>IFERROR((G73+H73)*J73,0)</f>
        <v/>
      </c>
      <c r="M73">
        <f>IF(A73="","", _xludf.WEEKNUM(A73, 2))</f>
        <v/>
      </c>
      <c r="N73">
        <f>IF(A73="","", "CP-" &amp; IFERROR(VLOOKUP(D73, Catalogos!$Z$4:$AA$20, 2, FALSE), "FOL") &amp; "-" &amp; _xludf.WEEKNUM(A73, 2) &amp; "-" &amp; TEXT(ROW(A69),"000"))</f>
        <v/>
      </c>
    </row>
    <row r="74">
      <c r="A74" s="17625" t="n"/>
      <c r="C74" t="inlineStr">
        <is>
          <t>Tanque Pegaso</t>
        </is>
      </c>
      <c r="F74">
        <f>VLOOKUP(TablaPegaso[[#This Row],[Equipo]],Catalogos!$V$4:$W$85,2,FALSE)</f>
        <v/>
      </c>
      <c r="G74" s="3" t="n"/>
      <c r="H74" s="3" t="n"/>
      <c r="I74" s="3">
        <f>IF(ROW()=5,G74-H74,I73+G74-H74)</f>
        <v/>
      </c>
      <c r="J74" s="4" t="n">
        <v>28.3</v>
      </c>
      <c r="K74" s="4">
        <f>IFERROR((G74+H74)*J74,0)</f>
        <v/>
      </c>
      <c r="M74">
        <f>IF(A74="","", _xludf.WEEKNUM(A74, 2))</f>
        <v/>
      </c>
      <c r="N74">
        <f>IF(A74="","", "CP-" &amp; IFERROR(VLOOKUP(D74, Catalogos!$Z$4:$AA$20, 2, FALSE), "FOL") &amp; "-" &amp; _xludf.WEEKNUM(A74, 2) &amp; "-" &amp; TEXT(ROW(A70),"000"))</f>
        <v/>
      </c>
    </row>
    <row r="75">
      <c r="A75" s="17625" t="n"/>
      <c r="C75" t="inlineStr">
        <is>
          <t>Tanque Pegaso</t>
        </is>
      </c>
      <c r="F75">
        <f>VLOOKUP(TablaPegaso[[#This Row],[Equipo]],Catalogos!$V$4:$W$85,2,FALSE)</f>
        <v/>
      </c>
      <c r="G75" s="3" t="n"/>
      <c r="H75" s="3" t="n"/>
      <c r="I75" s="3">
        <f>IF(ROW()=5,G75-H75,I74+G75-H75)</f>
        <v/>
      </c>
      <c r="J75" s="4" t="n">
        <v>28.3</v>
      </c>
      <c r="K75" s="4">
        <f>IFERROR((G75+H75)*J75,0)</f>
        <v/>
      </c>
      <c r="M75">
        <f>IF(A75="","", _xludf.WEEKNUM(A75, 2))</f>
        <v/>
      </c>
      <c r="N75">
        <f>IF(A75="","", "CP-" &amp; IFERROR(VLOOKUP(D75, Catalogos!$Z$4:$AA$20, 2, FALSE), "FOL") &amp; "-" &amp; _xludf.WEEKNUM(A75, 2) &amp; "-" &amp; TEXT(ROW(A71),"000"))</f>
        <v/>
      </c>
    </row>
    <row r="76">
      <c r="A76" s="17625" t="n"/>
      <c r="C76" t="inlineStr">
        <is>
          <t>Tanque Pegaso</t>
        </is>
      </c>
      <c r="F76">
        <f>VLOOKUP(TablaPegaso[[#This Row],[Equipo]],Catalogos!$V$4:$W$85,2,FALSE)</f>
        <v/>
      </c>
      <c r="G76" s="3" t="n"/>
      <c r="H76" s="3" t="n"/>
      <c r="I76" s="3">
        <f>IF(ROW()=5,G76-H76,I75+G76-H76)</f>
        <v/>
      </c>
      <c r="J76" s="4" t="n">
        <v>28.3</v>
      </c>
      <c r="K76" s="4">
        <f>IFERROR((G76+H76)*J76,0)</f>
        <v/>
      </c>
      <c r="M76">
        <f>IF(A76="","", _xludf.WEEKNUM(A76, 2))</f>
        <v/>
      </c>
      <c r="N76">
        <f>IF(A76="","", "CP-" &amp; IFERROR(VLOOKUP(D76, Catalogos!$Z$4:$AA$20, 2, FALSE), "FOL") &amp; "-" &amp; _xludf.WEEKNUM(A76, 2) &amp; "-" &amp; TEXT(ROW(A72),"000"))</f>
        <v/>
      </c>
    </row>
    <row r="77">
      <c r="A77" s="17625" t="n"/>
      <c r="C77" t="inlineStr">
        <is>
          <t>Tanque Pegaso</t>
        </is>
      </c>
      <c r="F77">
        <f>VLOOKUP(TablaPegaso[[#This Row],[Equipo]],Catalogos!$V$4:$W$85,2,FALSE)</f>
        <v/>
      </c>
      <c r="G77" s="3" t="n"/>
      <c r="H77" s="3" t="n"/>
      <c r="I77" s="3">
        <f>IF(ROW()=5,G77-H77,I76+G77-H77)</f>
        <v/>
      </c>
      <c r="J77" s="4" t="n">
        <v>28.3</v>
      </c>
      <c r="K77" s="4">
        <f>IFERROR((G77+H77)*J77,0)</f>
        <v/>
      </c>
      <c r="M77">
        <f>IF(A77="","", _xludf.WEEKNUM(A77, 2))</f>
        <v/>
      </c>
      <c r="N77">
        <f>IF(A77="","", "CP-" &amp; IFERROR(VLOOKUP(D77, Catalogos!$Z$4:$AA$20, 2, FALSE), "FOL") &amp; "-" &amp; _xludf.WEEKNUM(A77, 2) &amp; "-" &amp; TEXT(ROW(A73),"000"))</f>
        <v/>
      </c>
    </row>
    <row r="78">
      <c r="A78" s="17625" t="n"/>
      <c r="C78" t="inlineStr">
        <is>
          <t>Tanque Pegaso</t>
        </is>
      </c>
      <c r="F78">
        <f>VLOOKUP(TablaPegaso[[#This Row],[Equipo]],Catalogos!$V$4:$W$85,2,FALSE)</f>
        <v/>
      </c>
      <c r="G78" s="3" t="n"/>
      <c r="H78" s="3" t="n"/>
      <c r="I78" s="3">
        <f>IF(ROW()=5,G78-H78,I77+G78-H78)</f>
        <v/>
      </c>
      <c r="J78" s="4" t="n">
        <v>28.3</v>
      </c>
      <c r="K78" s="4">
        <f>IFERROR((G78+H78)*J78,0)</f>
        <v/>
      </c>
      <c r="M78">
        <f>IF(A78="","", _xludf.WEEKNUM(A78, 2))</f>
        <v/>
      </c>
      <c r="N78">
        <f>IF(A78="","", "CP-" &amp; IFERROR(VLOOKUP(D78, Catalogos!$Z$4:$AA$20, 2, FALSE), "FOL") &amp; "-" &amp; _xludf.WEEKNUM(A78, 2) &amp; "-" &amp; TEXT(ROW(A74),"000"))</f>
        <v/>
      </c>
    </row>
    <row r="79">
      <c r="A79" s="17625" t="n"/>
      <c r="C79" t="inlineStr">
        <is>
          <t>Tanque Pegaso</t>
        </is>
      </c>
      <c r="F79">
        <f>VLOOKUP(TablaPegaso[[#This Row],[Equipo]],Catalogos!$V$4:$W$85,2,FALSE)</f>
        <v/>
      </c>
      <c r="G79" s="3" t="n"/>
      <c r="H79" s="3" t="n"/>
      <c r="I79" s="3">
        <f>IF(ROW()=5,G79-H79,I78+G79-H79)</f>
        <v/>
      </c>
      <c r="J79" s="4" t="n">
        <v>28.3</v>
      </c>
      <c r="K79" s="4">
        <f>IFERROR((G79+H79)*J79,0)</f>
        <v/>
      </c>
      <c r="M79">
        <f>IF(A79="","", _xludf.WEEKNUM(A79, 2))</f>
        <v/>
      </c>
      <c r="N79">
        <f>IF(A79="","", "CP-" &amp; IFERROR(VLOOKUP(D79, Catalogos!$Z$4:$AA$20, 2, FALSE), "FOL") &amp; "-" &amp; _xludf.WEEKNUM(A79, 2) &amp; "-" &amp; TEXT(ROW(A75),"000"))</f>
        <v/>
      </c>
    </row>
    <row r="80">
      <c r="A80" s="17625" t="n"/>
      <c r="C80" t="inlineStr">
        <is>
          <t>Tanque Pegaso</t>
        </is>
      </c>
      <c r="F80">
        <f>VLOOKUP(TablaPegaso[[#This Row],[Equipo]],Catalogos!$V$4:$W$85,2,FALSE)</f>
        <v/>
      </c>
      <c r="G80" s="3" t="n"/>
      <c r="H80" s="3" t="n"/>
      <c r="I80" s="3">
        <f>IF(ROW()=5,G80-H80,I79+G80-H80)</f>
        <v/>
      </c>
      <c r="J80" s="4" t="n">
        <v>28.3</v>
      </c>
      <c r="K80" s="4">
        <f>IFERROR((G80+H80)*J80,0)</f>
        <v/>
      </c>
      <c r="M80">
        <f>IF(A80="","", _xludf.WEEKNUM(A80, 2))</f>
        <v/>
      </c>
      <c r="N80">
        <f>IF(A80="","", "CP-" &amp; IFERROR(VLOOKUP(D80, Catalogos!$Z$4:$AA$20, 2, FALSE), "FOL") &amp; "-" &amp; _xludf.WEEKNUM(A80, 2) &amp; "-" &amp; TEXT(ROW(A76),"000"))</f>
        <v/>
      </c>
    </row>
    <row r="81">
      <c r="A81" s="17625" t="n"/>
      <c r="C81" t="inlineStr">
        <is>
          <t>Tanque Pegaso</t>
        </is>
      </c>
      <c r="F81">
        <f>VLOOKUP(TablaPegaso[[#This Row],[Equipo]],Catalogos!$V$4:$W$85,2,FALSE)</f>
        <v/>
      </c>
      <c r="G81" s="3" t="n"/>
      <c r="H81" s="3" t="n"/>
      <c r="I81" s="3">
        <f>IF(ROW()=5,G81-H81,I80+G81-H81)</f>
        <v/>
      </c>
      <c r="J81" s="4" t="n">
        <v>28.3</v>
      </c>
      <c r="K81" s="4">
        <f>IFERROR((G81+H81)*J81,0)</f>
        <v/>
      </c>
      <c r="M81">
        <f>IF(A81="","", _xludf.WEEKNUM(A81, 2))</f>
        <v/>
      </c>
      <c r="N81">
        <f>IF(A81="","", "CP-" &amp; IFERROR(VLOOKUP(D81, Catalogos!$Z$4:$AA$20, 2, FALSE), "FOL") &amp; "-" &amp; _xludf.WEEKNUM(A81, 2) &amp; "-" &amp; TEXT(ROW(A77),"000"))</f>
        <v/>
      </c>
    </row>
    <row r="82">
      <c r="A82" s="17625" t="n"/>
      <c r="C82" t="inlineStr">
        <is>
          <t>Tanque Pegaso</t>
        </is>
      </c>
      <c r="F82">
        <f>VLOOKUP(TablaPegaso[[#This Row],[Equipo]],Catalogos!$V$4:$W$85,2,FALSE)</f>
        <v/>
      </c>
      <c r="G82" s="3" t="n"/>
      <c r="H82" s="3" t="n"/>
      <c r="I82" s="3">
        <f>IF(ROW()=5,G82-H82,I81+G82-H82)</f>
        <v/>
      </c>
      <c r="J82" s="4" t="n">
        <v>28.3</v>
      </c>
      <c r="K82" s="4">
        <f>IFERROR((G82+H82)*J82,0)</f>
        <v/>
      </c>
      <c r="M82">
        <f>IF(A82="","", _xludf.WEEKNUM(A82, 2))</f>
        <v/>
      </c>
      <c r="N82">
        <f>IF(A82="","", "CP-" &amp; IFERROR(VLOOKUP(D82, Catalogos!$Z$4:$AA$20, 2, FALSE), "FOL") &amp; "-" &amp; _xludf.WEEKNUM(A82, 2) &amp; "-" &amp; TEXT(ROW(A78),"000"))</f>
        <v/>
      </c>
    </row>
    <row r="83">
      <c r="A83" s="17625" t="n"/>
      <c r="C83" t="inlineStr">
        <is>
          <t>Tanque Pegaso</t>
        </is>
      </c>
      <c r="F83">
        <f>VLOOKUP(TablaPegaso[[#This Row],[Equipo]],Catalogos!$V$4:$W$85,2,FALSE)</f>
        <v/>
      </c>
      <c r="G83" s="3" t="n"/>
      <c r="H83" s="3" t="n"/>
      <c r="I83" s="3">
        <f>IF(ROW()=5,G83-H83,I82+G83-H83)</f>
        <v/>
      </c>
      <c r="J83" s="4" t="n">
        <v>28.3</v>
      </c>
      <c r="K83" s="4">
        <f>IFERROR((G83+H83)*J83,0)</f>
        <v/>
      </c>
      <c r="M83">
        <f>IF(A83="","", _xludf.WEEKNUM(A83, 2))</f>
        <v/>
      </c>
      <c r="N83">
        <f>IF(A83="","", "CP-" &amp; IFERROR(VLOOKUP(D83, Catalogos!$Z$4:$AA$20, 2, FALSE), "FOL") &amp; "-" &amp; _xludf.WEEKNUM(A83, 2) &amp; "-" &amp; TEXT(ROW(A79),"000"))</f>
        <v/>
      </c>
    </row>
    <row r="84">
      <c r="A84" s="17625" t="n"/>
      <c r="C84" t="inlineStr">
        <is>
          <t>Tanque Pegaso</t>
        </is>
      </c>
      <c r="F84">
        <f>VLOOKUP(TablaPegaso[[#This Row],[Equipo]],Catalogos!$V$4:$W$85,2,FALSE)</f>
        <v/>
      </c>
      <c r="G84" s="3" t="n"/>
      <c r="H84" s="3" t="n"/>
      <c r="I84" s="3">
        <f>IF(ROW()=5,G84-H84,I83+G84-H84)</f>
        <v/>
      </c>
      <c r="J84" s="4" t="n">
        <v>28.3</v>
      </c>
      <c r="K84" s="4">
        <f>IFERROR((G84+H84)*J84,0)</f>
        <v/>
      </c>
      <c r="M84">
        <f>IF(A84="","", _xludf.WEEKNUM(A84, 2))</f>
        <v/>
      </c>
      <c r="N84">
        <f>IF(A84="","", "CP-" &amp; IFERROR(VLOOKUP(D84, Catalogos!$Z$4:$AA$20, 2, FALSE), "FOL") &amp; "-" &amp; _xludf.WEEKNUM(A84, 2) &amp; "-" &amp; TEXT(ROW(A80),"000"))</f>
        <v/>
      </c>
    </row>
    <row r="85">
      <c r="A85" s="17625" t="n"/>
      <c r="C85" t="inlineStr">
        <is>
          <t>Tanque Pegaso</t>
        </is>
      </c>
      <c r="F85">
        <f>VLOOKUP(TablaPegaso[[#This Row],[Equipo]],Catalogos!$V$4:$W$85,2,FALSE)</f>
        <v/>
      </c>
      <c r="G85" s="3" t="n"/>
      <c r="H85" s="3" t="n"/>
      <c r="I85" s="3">
        <f>IF(ROW()=5,G85-H85,I84+G85-H85)</f>
        <v/>
      </c>
      <c r="J85" s="4" t="n">
        <v>28.3</v>
      </c>
      <c r="K85" s="4">
        <f>IFERROR((G85+H85)*J85,0)</f>
        <v/>
      </c>
      <c r="M85">
        <f>IF(A85="","", _xludf.WEEKNUM(A85, 2))</f>
        <v/>
      </c>
      <c r="N85">
        <f>IF(A85="","", "CP-" &amp; IFERROR(VLOOKUP(D85, Catalogos!$Z$4:$AA$20, 2, FALSE), "FOL") &amp; "-" &amp; _xludf.WEEKNUM(A85, 2) &amp; "-" &amp; TEXT(ROW(A81),"000"))</f>
        <v/>
      </c>
    </row>
    <row r="86">
      <c r="A86" s="17625" t="n"/>
      <c r="C86" t="inlineStr">
        <is>
          <t>Tanque Pegaso</t>
        </is>
      </c>
      <c r="F86">
        <f>VLOOKUP(TablaPegaso[[#This Row],[Equipo]],Catalogos!$V$4:$W$85,2,FALSE)</f>
        <v/>
      </c>
      <c r="G86" s="3" t="n"/>
      <c r="H86" s="3" t="n"/>
      <c r="I86" s="3">
        <f>IF(ROW()=5,G86-H86,I85+G86-H86)</f>
        <v/>
      </c>
      <c r="J86" s="4" t="n">
        <v>28.3</v>
      </c>
      <c r="K86" s="4">
        <f>IFERROR((G86+H86)*J86,0)</f>
        <v/>
      </c>
      <c r="M86">
        <f>IF(A86="","", _xludf.WEEKNUM(A86, 2))</f>
        <v/>
      </c>
      <c r="N86">
        <f>IF(A86="","", "CP-" &amp; IFERROR(VLOOKUP(D86, Catalogos!$Z$4:$AA$20, 2, FALSE), "FOL") &amp; "-" &amp; _xludf.WEEKNUM(A86, 2) &amp; "-" &amp; TEXT(ROW(A82),"000"))</f>
        <v/>
      </c>
    </row>
    <row r="87">
      <c r="A87" s="17625" t="n"/>
      <c r="C87" t="inlineStr">
        <is>
          <t>Tanque Pegaso</t>
        </is>
      </c>
      <c r="F87">
        <f>VLOOKUP(TablaPegaso[[#This Row],[Equipo]],Catalogos!$V$4:$W$85,2,FALSE)</f>
        <v/>
      </c>
      <c r="G87" s="3" t="n"/>
      <c r="H87" s="3" t="n"/>
      <c r="I87" s="3">
        <f>IF(ROW()=5,G87-H87,I86+G87-H87)</f>
        <v/>
      </c>
      <c r="J87" s="4" t="n">
        <v>28.3</v>
      </c>
      <c r="K87" s="4">
        <f>IFERROR((G87+H87)*J87,0)</f>
        <v/>
      </c>
      <c r="M87">
        <f>IF(A87="","", _xludf.WEEKNUM(A87, 2))</f>
        <v/>
      </c>
      <c r="N87">
        <f>IF(A87="","", "CP-" &amp; IFERROR(VLOOKUP(D87, Catalogos!$Z$4:$AA$20, 2, FALSE), "FOL") &amp; "-" &amp; _xludf.WEEKNUM(A87, 2) &amp; "-" &amp; TEXT(ROW(A83),"000"))</f>
        <v/>
      </c>
    </row>
    <row r="88">
      <c r="A88" s="17625" t="n"/>
      <c r="C88" t="inlineStr">
        <is>
          <t>Tanque Pegaso</t>
        </is>
      </c>
      <c r="F88">
        <f>VLOOKUP(TablaPegaso[[#This Row],[Equipo]],Catalogos!$V$4:$W$85,2,FALSE)</f>
        <v/>
      </c>
      <c r="G88" s="3" t="n"/>
      <c r="H88" s="3" t="n"/>
      <c r="I88" s="3">
        <f>IF(ROW()=5,G88-H88,I87+G88-H88)</f>
        <v/>
      </c>
      <c r="J88" s="4" t="n">
        <v>28.3</v>
      </c>
      <c r="K88" s="4">
        <f>IFERROR((G88+H88)*J88,0)</f>
        <v/>
      </c>
      <c r="M88">
        <f>IF(A88="","", _xludf.WEEKNUM(A88, 2))</f>
        <v/>
      </c>
      <c r="N88">
        <f>IF(A88="","", "CP-" &amp; IFERROR(VLOOKUP(D88, Catalogos!$Z$4:$AA$20, 2, FALSE), "FOL") &amp; "-" &amp; _xludf.WEEKNUM(A88, 2) &amp; "-" &amp; TEXT(ROW(A84),"000"))</f>
        <v/>
      </c>
    </row>
    <row r="89">
      <c r="A89" s="17625" t="n"/>
      <c r="C89" t="inlineStr">
        <is>
          <t>Tanque Pegaso</t>
        </is>
      </c>
      <c r="F89">
        <f>VLOOKUP(TablaPegaso[[#This Row],[Equipo]],Catalogos!$V$4:$W$85,2,FALSE)</f>
        <v/>
      </c>
      <c r="G89" s="3" t="n"/>
      <c r="H89" s="3" t="n"/>
      <c r="I89" s="3">
        <f>IF(ROW()=5,G89-H89,I88+G89-H89)</f>
        <v/>
      </c>
      <c r="J89" s="4" t="n">
        <v>28.3</v>
      </c>
      <c r="K89" s="4">
        <f>IFERROR((G89+H89)*J89,0)</f>
        <v/>
      </c>
      <c r="M89">
        <f>IF(A89="","", _xludf.WEEKNUM(A89, 2))</f>
        <v/>
      </c>
      <c r="N89">
        <f>IF(A89="","", "CP-" &amp; IFERROR(VLOOKUP(D89, Catalogos!$Z$4:$AA$20, 2, FALSE), "FOL") &amp; "-" &amp; _xludf.WEEKNUM(A89, 2) &amp; "-" &amp; TEXT(ROW(A85),"000"))</f>
        <v/>
      </c>
    </row>
    <row r="90">
      <c r="A90" s="17625" t="n"/>
      <c r="C90" t="inlineStr">
        <is>
          <t>Tanque Pegaso</t>
        </is>
      </c>
      <c r="F90">
        <f>VLOOKUP(TablaPegaso[[#This Row],[Equipo]],Catalogos!$V$4:$W$85,2,FALSE)</f>
        <v/>
      </c>
      <c r="G90" s="3" t="n"/>
      <c r="H90" s="3" t="n"/>
      <c r="I90" s="3">
        <f>IF(ROW()=5,G90-H90,I89+G90-H90)</f>
        <v/>
      </c>
      <c r="J90" s="4" t="n">
        <v>28.3</v>
      </c>
      <c r="K90" s="4">
        <f>IFERROR((G90+H90)*J90,0)</f>
        <v/>
      </c>
      <c r="M90">
        <f>IF(A90="","", _xludf.WEEKNUM(A90, 2))</f>
        <v/>
      </c>
      <c r="N90">
        <f>IF(A90="","", "CP-" &amp; IFERROR(VLOOKUP(D90, Catalogos!$Z$4:$AA$20, 2, FALSE), "FOL") &amp; "-" &amp; _xludf.WEEKNUM(A90, 2) &amp; "-" &amp; TEXT(ROW(A86),"000"))</f>
        <v/>
      </c>
    </row>
    <row r="91">
      <c r="A91" s="17625" t="n"/>
      <c r="C91" t="inlineStr">
        <is>
          <t>Tanque Pegaso</t>
        </is>
      </c>
      <c r="F91">
        <f>VLOOKUP(TablaPegaso[[#This Row],[Equipo]],Catalogos!$V$4:$W$85,2,FALSE)</f>
        <v/>
      </c>
      <c r="G91" s="3" t="n"/>
      <c r="H91" s="3" t="n"/>
      <c r="I91" s="3">
        <f>IF(ROW()=5,G91-H91,I90+G91-H91)</f>
        <v/>
      </c>
      <c r="J91" s="4" t="n">
        <v>28.3</v>
      </c>
      <c r="K91" s="4">
        <f>IFERROR((G91+H91)*J91,0)</f>
        <v/>
      </c>
      <c r="M91">
        <f>IF(A91="","", _xludf.WEEKNUM(A91, 2))</f>
        <v/>
      </c>
      <c r="N91">
        <f>IF(A91="","", "CP-" &amp; IFERROR(VLOOKUP(D91, Catalogos!$Z$4:$AA$20, 2, FALSE), "FOL") &amp; "-" &amp; _xludf.WEEKNUM(A91, 2) &amp; "-" &amp; TEXT(ROW(A87),"000"))</f>
        <v/>
      </c>
    </row>
    <row r="92">
      <c r="A92" s="17625" t="n"/>
      <c r="C92" t="inlineStr">
        <is>
          <t>Tanque Pegaso</t>
        </is>
      </c>
      <c r="F92">
        <f>VLOOKUP(TablaPegaso[[#This Row],[Equipo]],Catalogos!$V$4:$W$85,2,FALSE)</f>
        <v/>
      </c>
      <c r="G92" s="3" t="n"/>
      <c r="H92" s="3" t="n"/>
      <c r="I92" s="3">
        <f>IF(ROW()=5,G92-H92,I91+G92-H92)</f>
        <v/>
      </c>
      <c r="J92" s="4" t="n">
        <v>28.3</v>
      </c>
      <c r="K92" s="4">
        <f>IFERROR((G92+H92)*J92,0)</f>
        <v/>
      </c>
      <c r="M92">
        <f>IF(A92="","", _xludf.WEEKNUM(A92, 2))</f>
        <v/>
      </c>
      <c r="N92">
        <f>IF(A92="","", "CP-" &amp; IFERROR(VLOOKUP(D92, Catalogos!$Z$4:$AA$20, 2, FALSE), "FOL") &amp; "-" &amp; _xludf.WEEKNUM(A92, 2) &amp; "-" &amp; TEXT(ROW(A88),"000"))</f>
        <v/>
      </c>
    </row>
    <row r="93">
      <c r="A93" s="17625" t="n"/>
      <c r="C93" t="inlineStr">
        <is>
          <t>Tanque Pegaso</t>
        </is>
      </c>
      <c r="F93">
        <f>VLOOKUP(TablaPegaso[[#This Row],[Equipo]],Catalogos!$V$4:$W$85,2,FALSE)</f>
        <v/>
      </c>
      <c r="G93" s="3" t="n"/>
      <c r="H93" s="3" t="n"/>
      <c r="I93" s="3">
        <f>IF(ROW()=5,G93-H93,I92+G93-H93)</f>
        <v/>
      </c>
      <c r="J93" s="4" t="n">
        <v>28.3</v>
      </c>
      <c r="K93" s="4">
        <f>IFERROR((G93+H93)*J93,0)</f>
        <v/>
      </c>
      <c r="M93">
        <f>IF(A93="","", _xludf.WEEKNUM(A93, 2))</f>
        <v/>
      </c>
      <c r="N93">
        <f>IF(A93="","", "CP-" &amp; IFERROR(VLOOKUP(D93, Catalogos!$Z$4:$AA$20, 2, FALSE), "FOL") &amp; "-" &amp; _xludf.WEEKNUM(A93, 2) &amp; "-" &amp; TEXT(ROW(A89),"000"))</f>
        <v/>
      </c>
    </row>
    <row r="94">
      <c r="A94" s="17625" t="n"/>
      <c r="C94" t="inlineStr">
        <is>
          <t>Tanque Pegaso</t>
        </is>
      </c>
      <c r="F94">
        <f>VLOOKUP(TablaPegaso[[#This Row],[Equipo]],Catalogos!$V$4:$W$85,2,FALSE)</f>
        <v/>
      </c>
      <c r="G94" s="3" t="n"/>
      <c r="H94" s="3" t="n"/>
      <c r="I94" s="3">
        <f>IF(ROW()=5,G94-H94,I93+G94-H94)</f>
        <v/>
      </c>
      <c r="J94" s="4" t="n">
        <v>28.3</v>
      </c>
      <c r="K94" s="4">
        <f>IFERROR((G94+H94)*J94,0)</f>
        <v/>
      </c>
      <c r="M94">
        <f>IF(A94="","", _xludf.WEEKNUM(A94, 2))</f>
        <v/>
      </c>
      <c r="N94">
        <f>IF(A94="","", "CP-" &amp; IFERROR(VLOOKUP(D94, Catalogos!$Z$4:$AA$20, 2, FALSE), "FOL") &amp; "-" &amp; _xludf.WEEKNUM(A94, 2) &amp; "-" &amp; TEXT(ROW(A90),"000"))</f>
        <v/>
      </c>
    </row>
    <row r="95">
      <c r="A95" s="17625" t="n"/>
      <c r="C95" t="inlineStr">
        <is>
          <t>Tanque Pegaso</t>
        </is>
      </c>
      <c r="F95">
        <f>VLOOKUP(TablaPegaso[[#This Row],[Equipo]],Catalogos!$V$4:$W$85,2,FALSE)</f>
        <v/>
      </c>
      <c r="G95" s="3" t="n"/>
      <c r="H95" s="3" t="n"/>
      <c r="I95" s="3">
        <f>IF(ROW()=5,G95-H95,I94+G95-H95)</f>
        <v/>
      </c>
      <c r="J95" s="4" t="n">
        <v>28.3</v>
      </c>
      <c r="K95" s="4">
        <f>IFERROR((G95+H95)*J95,0)</f>
        <v/>
      </c>
      <c r="M95">
        <f>IF(A95="","", _xludf.WEEKNUM(A95, 2))</f>
        <v/>
      </c>
      <c r="N95">
        <f>IF(A95="","", "CP-" &amp; IFERROR(VLOOKUP(D95, Catalogos!$Z$4:$AA$20, 2, FALSE), "FOL") &amp; "-" &amp; _xludf.WEEKNUM(A95, 2) &amp; "-" &amp; TEXT(ROW(A91),"000"))</f>
        <v/>
      </c>
    </row>
    <row r="96">
      <c r="A96" s="17625" t="n"/>
      <c r="C96" t="inlineStr">
        <is>
          <t>Tanque Pegaso</t>
        </is>
      </c>
      <c r="F96">
        <f>VLOOKUP(TablaPegaso[[#This Row],[Equipo]],Catalogos!$V$4:$W$85,2,FALSE)</f>
        <v/>
      </c>
      <c r="G96" s="3" t="n"/>
      <c r="H96" s="3" t="n"/>
      <c r="I96" s="3">
        <f>IF(ROW()=5,G96-H96,I95+G96-H96)</f>
        <v/>
      </c>
      <c r="J96" s="4" t="n">
        <v>28.3</v>
      </c>
      <c r="K96" s="4">
        <f>IFERROR((G96+H96)*J96,0)</f>
        <v/>
      </c>
      <c r="M96">
        <f>IF(A96="","", _xludf.WEEKNUM(A96, 2))</f>
        <v/>
      </c>
      <c r="N96">
        <f>IF(A96="","", "CP-" &amp; IFERROR(VLOOKUP(D96, Catalogos!$Z$4:$AA$20, 2, FALSE), "FOL") &amp; "-" &amp; _xludf.WEEKNUM(A96, 2) &amp; "-" &amp; TEXT(ROW(A92),"000"))</f>
        <v/>
      </c>
    </row>
    <row r="97">
      <c r="A97" s="17625" t="n"/>
      <c r="C97" t="inlineStr">
        <is>
          <t>Tanque Pegaso</t>
        </is>
      </c>
      <c r="F97">
        <f>VLOOKUP(TablaPegaso[[#This Row],[Equipo]],Catalogos!$V$4:$W$85,2,FALSE)</f>
        <v/>
      </c>
      <c r="G97" s="3" t="n"/>
      <c r="H97" s="3" t="n"/>
      <c r="I97" s="3">
        <f>IF(ROW()=5,G97-H97,I96+G97-H97)</f>
        <v/>
      </c>
      <c r="J97" s="4" t="n">
        <v>28.3</v>
      </c>
      <c r="K97" s="4">
        <f>IFERROR((G97+H97)*J97,0)</f>
        <v/>
      </c>
      <c r="M97">
        <f>IF(A97="","", _xludf.WEEKNUM(A97, 2))</f>
        <v/>
      </c>
      <c r="N97">
        <f>IF(A97="","", "CP-" &amp; IFERROR(VLOOKUP(D97, Catalogos!$Z$4:$AA$20, 2, FALSE), "FOL") &amp; "-" &amp; _xludf.WEEKNUM(A97, 2) &amp; "-" &amp; TEXT(ROW(A93),"000"))</f>
        <v/>
      </c>
    </row>
    <row r="98">
      <c r="A98" s="17625" t="n"/>
      <c r="C98" t="inlineStr">
        <is>
          <t>Tanque Pegaso</t>
        </is>
      </c>
      <c r="F98">
        <f>VLOOKUP(TablaPegaso[[#This Row],[Equipo]],Catalogos!$V$4:$W$85,2,FALSE)</f>
        <v/>
      </c>
      <c r="G98" s="3" t="n"/>
      <c r="H98" s="3" t="n"/>
      <c r="I98" s="3">
        <f>IF(ROW()=5,G98-H98,I97+G98-H98)</f>
        <v/>
      </c>
      <c r="J98" s="4" t="n">
        <v>28.3</v>
      </c>
      <c r="K98" s="4">
        <f>IFERROR((G98+H98)*J98,0)</f>
        <v/>
      </c>
      <c r="M98">
        <f>IF(A98="","", _xludf.WEEKNUM(A98, 2))</f>
        <v/>
      </c>
      <c r="N98">
        <f>IF(A98="","", "CP-" &amp; IFERROR(VLOOKUP(D98, Catalogos!$Z$4:$AA$20, 2, FALSE), "FOL") &amp; "-" &amp; _xludf.WEEKNUM(A98, 2) &amp; "-" &amp; TEXT(ROW(A94),"000"))</f>
        <v/>
      </c>
    </row>
    <row r="99">
      <c r="A99" s="17625" t="n"/>
      <c r="C99" t="inlineStr">
        <is>
          <t>Tanque Pegaso</t>
        </is>
      </c>
      <c r="F99">
        <f>VLOOKUP(TablaPegaso[[#This Row],[Equipo]],Catalogos!$V$4:$W$85,2,FALSE)</f>
        <v/>
      </c>
      <c r="G99" s="3" t="n"/>
      <c r="H99" s="3" t="n"/>
      <c r="I99" s="3">
        <f>IF(ROW()=5,G99-H99,I98+G99-H99)</f>
        <v/>
      </c>
      <c r="J99" s="4" t="n">
        <v>28.3</v>
      </c>
      <c r="K99" s="4">
        <f>IFERROR((G99+H99)*J99,0)</f>
        <v/>
      </c>
      <c r="M99">
        <f>IF(A99="","", _xludf.WEEKNUM(A99, 2))</f>
        <v/>
      </c>
      <c r="N99">
        <f>IF(A99="","", "CP-" &amp; IFERROR(VLOOKUP(D99, Catalogos!$Z$4:$AA$20, 2, FALSE), "FOL") &amp; "-" &amp; _xludf.WEEKNUM(A99, 2) &amp; "-" &amp; TEXT(ROW(A95),"000"))</f>
        <v/>
      </c>
    </row>
    <row r="100">
      <c r="A100" s="17625" t="n"/>
      <c r="C100" t="inlineStr">
        <is>
          <t>Tanque Pegaso</t>
        </is>
      </c>
      <c r="F100">
        <f>VLOOKUP(TablaPegaso[[#This Row],[Equipo]],Catalogos!$V$4:$W$85,2,FALSE)</f>
        <v/>
      </c>
      <c r="G100" s="3" t="n"/>
      <c r="H100" s="3" t="n"/>
      <c r="I100" s="3">
        <f>IF(ROW()=5,G100-H100,I99+G100-H100)</f>
        <v/>
      </c>
      <c r="J100" s="4" t="n">
        <v>28.3</v>
      </c>
      <c r="K100" s="4">
        <f>IFERROR((G100+H100)*J100,0)</f>
        <v/>
      </c>
      <c r="M100">
        <f>IF(A100="","", _xludf.WEEKNUM(A100, 2))</f>
        <v/>
      </c>
      <c r="N100">
        <f>IF(A100="","", "CP-" &amp; IFERROR(VLOOKUP(D100, Catalogos!$Z$4:$AA$20, 2, FALSE), "FOL") &amp; "-" &amp; _xludf.WEEKNUM(A100, 2) &amp; "-" &amp; TEXT(ROW(A96),"000"))</f>
        <v/>
      </c>
    </row>
    <row r="101">
      <c r="A101" s="17625" t="n"/>
      <c r="C101" t="inlineStr">
        <is>
          <t>Tanque Pegaso</t>
        </is>
      </c>
      <c r="F101">
        <f>VLOOKUP(TablaPegaso[[#This Row],[Equipo]],Catalogos!$V$4:$W$85,2,FALSE)</f>
        <v/>
      </c>
      <c r="G101" s="3" t="n"/>
      <c r="H101" s="3" t="n"/>
      <c r="I101" s="3">
        <f>IF(ROW()=5,G101-H101,I100+G101-H101)</f>
        <v/>
      </c>
      <c r="J101" s="4" t="n">
        <v>28.3</v>
      </c>
      <c r="K101" s="4">
        <f>IFERROR((G101+H101)*J101,0)</f>
        <v/>
      </c>
      <c r="M101">
        <f>IF(A101="","", _xludf.WEEKNUM(A101, 2))</f>
        <v/>
      </c>
      <c r="N101">
        <f>IF(A101="","", "CP-" &amp; IFERROR(VLOOKUP(D101, Catalogos!$Z$4:$AA$20, 2, FALSE), "FOL") &amp; "-" &amp; _xludf.WEEKNUM(A101, 2) &amp; "-" &amp; TEXT(ROW(A97),"000"))</f>
        <v/>
      </c>
    </row>
    <row r="102">
      <c r="A102" s="17625" t="n"/>
      <c r="C102" t="inlineStr">
        <is>
          <t>Tanque Pegaso</t>
        </is>
      </c>
      <c r="F102">
        <f>VLOOKUP(TablaPegaso[[#This Row],[Equipo]],Catalogos!$V$4:$W$85,2,FALSE)</f>
        <v/>
      </c>
      <c r="G102" s="3" t="n"/>
      <c r="H102" s="3" t="n"/>
      <c r="I102" s="3">
        <f>IF(ROW()=5,G102-H102,I101+G102-H102)</f>
        <v/>
      </c>
      <c r="J102" s="4" t="n">
        <v>28.3</v>
      </c>
      <c r="K102" s="4">
        <f>IFERROR((G102+H102)*J102,0)</f>
        <v/>
      </c>
      <c r="M102">
        <f>IF(A102="","", _xludf.WEEKNUM(A102, 2))</f>
        <v/>
      </c>
      <c r="N102">
        <f>IF(A102="","", "CP-" &amp; IFERROR(VLOOKUP(D102, Catalogos!$Z$4:$AA$20, 2, FALSE), "FOL") &amp; "-" &amp; _xludf.WEEKNUM(A102, 2) &amp; "-" &amp; TEXT(ROW(A98),"000"))</f>
        <v/>
      </c>
    </row>
    <row r="103">
      <c r="A103" s="17625" t="n"/>
      <c r="C103" t="inlineStr">
        <is>
          <t>Tanque Pegaso</t>
        </is>
      </c>
      <c r="F103">
        <f>VLOOKUP(TablaPegaso[[#This Row],[Equipo]],Catalogos!$V$4:$W$85,2,FALSE)</f>
        <v/>
      </c>
      <c r="G103" s="3" t="n"/>
      <c r="H103" s="3" t="n"/>
      <c r="I103" s="3">
        <f>IF(ROW()=5,G103-H103,I102+G103-H103)</f>
        <v/>
      </c>
      <c r="J103" s="4" t="n">
        <v>28.3</v>
      </c>
      <c r="K103" s="4">
        <f>IFERROR((G103+H103)*J103,0)</f>
        <v/>
      </c>
      <c r="M103">
        <f>IF(A103="","", _xludf.WEEKNUM(A103, 2))</f>
        <v/>
      </c>
      <c r="N103">
        <f>IF(A103="","", "CP-" &amp; IFERROR(VLOOKUP(D103, Catalogos!$Z$4:$AA$20, 2, FALSE), "FOL") &amp; "-" &amp; _xludf.WEEKNUM(A103, 2) &amp; "-" &amp; TEXT(ROW(A99),"000"))</f>
        <v/>
      </c>
    </row>
    <row r="104">
      <c r="A104" s="17625" t="n"/>
      <c r="C104" t="inlineStr">
        <is>
          <t>Tanque Pegaso</t>
        </is>
      </c>
      <c r="F104">
        <f>VLOOKUP(TablaPegaso[[#This Row],[Equipo]],Catalogos!$V$4:$W$85,2,FALSE)</f>
        <v/>
      </c>
      <c r="G104" s="3" t="n"/>
      <c r="H104" s="3" t="n"/>
      <c r="I104" s="3">
        <f>IF(ROW()=5,G104-H104,I103+G104-H104)</f>
        <v/>
      </c>
      <c r="J104" s="4" t="n">
        <v>28.3</v>
      </c>
      <c r="K104" s="4">
        <f>IFERROR((G104+H104)*J104,0)</f>
        <v/>
      </c>
      <c r="M104">
        <f>IF(A104="","", _xludf.WEEKNUM(A104, 2))</f>
        <v/>
      </c>
      <c r="N104">
        <f>IF(A104="","", "CP-" &amp; IFERROR(VLOOKUP(D104, Catalogos!$Z$4:$AA$20, 2, FALSE), "FOL") &amp; "-" &amp; _xludf.WEEKNUM(A104, 2) &amp; "-" &amp; TEXT(ROW(A100),"000"))</f>
        <v/>
      </c>
    </row>
    <row r="105">
      <c r="A105" s="17625" t="n"/>
      <c r="C105" t="inlineStr">
        <is>
          <t>Tanque Pegaso</t>
        </is>
      </c>
      <c r="F105">
        <f>VLOOKUP(TablaPegaso[[#This Row],[Equipo]],Catalogos!$V$4:$W$85,2,FALSE)</f>
        <v/>
      </c>
      <c r="G105" s="3" t="n"/>
      <c r="H105" s="3" t="n"/>
      <c r="I105" s="3">
        <f>IF(ROW()=5,G105-H105,I104+G105-H105)</f>
        <v/>
      </c>
      <c r="J105" s="4" t="n">
        <v>28.3</v>
      </c>
      <c r="K105" s="4">
        <f>IFERROR((G105+H105)*J105,0)</f>
        <v/>
      </c>
      <c r="M105">
        <f>IF(A105="","", _xludf.WEEKNUM(A105, 2))</f>
        <v/>
      </c>
      <c r="N105">
        <f>IF(A105="","", "CP-" &amp; IFERROR(VLOOKUP(D105, Catalogos!$Z$4:$AA$20, 2, FALSE), "FOL") &amp; "-" &amp; _xludf.WEEKNUM(A105, 2) &amp; "-" &amp; TEXT(ROW(A101),"000"))</f>
        <v/>
      </c>
    </row>
    <row r="106">
      <c r="A106" s="17625" t="n"/>
      <c r="C106" t="inlineStr">
        <is>
          <t>Tanque Pegaso</t>
        </is>
      </c>
      <c r="F106">
        <f>VLOOKUP(TablaPegaso[[#This Row],[Equipo]],Catalogos!$V$4:$W$85,2,FALSE)</f>
        <v/>
      </c>
      <c r="G106" s="3" t="n"/>
      <c r="H106" s="3" t="n"/>
      <c r="I106" s="3">
        <f>IF(ROW()=5,G106-H106,I105+G106-H106)</f>
        <v/>
      </c>
      <c r="J106" s="4" t="n">
        <v>28.3</v>
      </c>
      <c r="K106" s="4">
        <f>IFERROR((G106+H106)*J106,0)</f>
        <v/>
      </c>
      <c r="M106">
        <f>IF(A106="","", _xludf.WEEKNUM(A106, 2))</f>
        <v/>
      </c>
      <c r="N106">
        <f>IF(A106="","", "CP-" &amp; IFERROR(VLOOKUP(D106, Catalogos!$Z$4:$AA$20, 2, FALSE), "FOL") &amp; "-" &amp; _xludf.WEEKNUM(A106, 2) &amp; "-" &amp; TEXT(ROW(A102),"000"))</f>
        <v/>
      </c>
    </row>
    <row r="107">
      <c r="A107" s="17625" t="n"/>
      <c r="C107" t="inlineStr">
        <is>
          <t>Tanque Pegaso</t>
        </is>
      </c>
      <c r="F107">
        <f>VLOOKUP(TablaPegaso[[#This Row],[Equipo]],Catalogos!$V$4:$W$85,2,FALSE)</f>
        <v/>
      </c>
      <c r="G107" s="3" t="n"/>
      <c r="H107" s="3" t="n"/>
      <c r="I107" s="3">
        <f>IF(ROW()=5,G107-H107,I106+G107-H107)</f>
        <v/>
      </c>
      <c r="J107" s="4" t="n">
        <v>28.3</v>
      </c>
      <c r="K107" s="4">
        <f>IFERROR((G107+H107)*J107,0)</f>
        <v/>
      </c>
      <c r="M107">
        <f>IF(A107="","", _xludf.WEEKNUM(A107, 2))</f>
        <v/>
      </c>
      <c r="N107">
        <f>IF(A107="","", "CP-" &amp; IFERROR(VLOOKUP(D107, Catalogos!$Z$4:$AA$20, 2, FALSE), "FOL") &amp; "-" &amp; _xludf.WEEKNUM(A107, 2) &amp; "-" &amp; TEXT(ROW(A103),"000"))</f>
        <v/>
      </c>
    </row>
    <row r="108">
      <c r="A108" s="17625" t="n"/>
      <c r="C108" t="inlineStr">
        <is>
          <t>Tanque Pegaso</t>
        </is>
      </c>
      <c r="F108">
        <f>VLOOKUP(TablaPegaso[[#This Row],[Equipo]],Catalogos!$V$4:$W$85,2,FALSE)</f>
        <v/>
      </c>
      <c r="G108" s="3" t="n"/>
      <c r="H108" s="3" t="n"/>
      <c r="I108" s="3">
        <f>IF(ROW()=5,G108-H108,I107+G108-H108)</f>
        <v/>
      </c>
      <c r="J108" s="4" t="n">
        <v>28.3</v>
      </c>
      <c r="K108" s="4">
        <f>IFERROR((G108+H108)*J108,0)</f>
        <v/>
      </c>
      <c r="M108">
        <f>IF(A108="","", _xludf.WEEKNUM(A108, 2))</f>
        <v/>
      </c>
      <c r="N108">
        <f>IF(A108="","", "CP-" &amp; IFERROR(VLOOKUP(D108, Catalogos!$Z$4:$AA$20, 2, FALSE), "FOL") &amp; "-" &amp; _xludf.WEEKNUM(A108, 2) &amp; "-" &amp; TEXT(ROW(A104),"000"))</f>
        <v/>
      </c>
    </row>
    <row r="109">
      <c r="A109" s="17625" t="n"/>
      <c r="C109" t="inlineStr">
        <is>
          <t>Tanque Pegaso</t>
        </is>
      </c>
      <c r="F109">
        <f>VLOOKUP(TablaPegaso[[#This Row],[Equipo]],Catalogos!$V$4:$W$85,2,FALSE)</f>
        <v/>
      </c>
      <c r="G109" s="3" t="n"/>
      <c r="H109" s="3" t="n"/>
      <c r="I109" s="3">
        <f>IF(ROW()=5,G109-H109,I108+G109-H109)</f>
        <v/>
      </c>
      <c r="J109" s="4" t="n">
        <v>28.3</v>
      </c>
      <c r="K109" s="4">
        <f>IFERROR((G109+H109)*J109,0)</f>
        <v/>
      </c>
      <c r="M109">
        <f>IF(A109="","", _xludf.WEEKNUM(A109, 2))</f>
        <v/>
      </c>
      <c r="N109">
        <f>IF(A109="","", "CP-" &amp; IFERROR(VLOOKUP(D109, Catalogos!$Z$4:$AA$20, 2, FALSE), "FOL") &amp; "-" &amp; _xludf.WEEKNUM(A109, 2) &amp; "-" &amp; TEXT(ROW(A105),"000"))</f>
        <v/>
      </c>
    </row>
    <row r="110">
      <c r="A110" s="17625" t="n"/>
      <c r="C110" t="inlineStr">
        <is>
          <t>Tanque Pegaso</t>
        </is>
      </c>
      <c r="F110">
        <f>VLOOKUP(TablaPegaso[[#This Row],[Equipo]],Catalogos!$V$4:$W$85,2,FALSE)</f>
        <v/>
      </c>
      <c r="G110" s="3" t="n"/>
      <c r="H110" s="3" t="n"/>
      <c r="I110" s="3">
        <f>IF(ROW()=5,G110-H110,I109+G110-H110)</f>
        <v/>
      </c>
      <c r="J110" s="4" t="n">
        <v>28.3</v>
      </c>
      <c r="K110" s="4">
        <f>IFERROR((G110+H110)*J110,0)</f>
        <v/>
      </c>
      <c r="M110">
        <f>IF(A110="","", _xludf.WEEKNUM(A110, 2))</f>
        <v/>
      </c>
      <c r="N110">
        <f>IF(A110="","", "CP-" &amp; IFERROR(VLOOKUP(D110, Catalogos!$Z$4:$AA$20, 2, FALSE), "FOL") &amp; "-" &amp; _xludf.WEEKNUM(A110, 2) &amp; "-" &amp; TEXT(ROW(A106),"000"))</f>
        <v/>
      </c>
    </row>
    <row r="111">
      <c r="A111" s="17625" t="n"/>
      <c r="C111" t="inlineStr">
        <is>
          <t>Tanque Pegaso</t>
        </is>
      </c>
      <c r="F111">
        <f>VLOOKUP(TablaPegaso[[#This Row],[Equipo]],Catalogos!$V$4:$W$85,2,FALSE)</f>
        <v/>
      </c>
      <c r="G111" s="3" t="n"/>
      <c r="H111" s="3" t="n"/>
      <c r="I111" s="3">
        <f>IF(ROW()=5,G111-H111,I110+G111-H111)</f>
        <v/>
      </c>
      <c r="J111" s="4" t="n">
        <v>28.3</v>
      </c>
      <c r="K111" s="4">
        <f>IFERROR((G111+H111)*J111,0)</f>
        <v/>
      </c>
      <c r="M111">
        <f>IF(A111="","", _xludf.WEEKNUM(A111, 2))</f>
        <v/>
      </c>
      <c r="N111">
        <f>IF(A111="","", "CP-" &amp; IFERROR(VLOOKUP(D111, Catalogos!$Z$4:$AA$20, 2, FALSE), "FOL") &amp; "-" &amp; _xludf.WEEKNUM(A111, 2) &amp; "-" &amp; TEXT(ROW(A107),"000"))</f>
        <v/>
      </c>
    </row>
    <row r="112">
      <c r="A112" s="17625" t="n"/>
      <c r="C112" t="inlineStr">
        <is>
          <t>Tanque Pegaso</t>
        </is>
      </c>
      <c r="F112">
        <f>VLOOKUP(TablaPegaso[[#This Row],[Equipo]],Catalogos!$V$4:$W$85,2,FALSE)</f>
        <v/>
      </c>
      <c r="G112" s="3" t="n"/>
      <c r="H112" s="3" t="n"/>
      <c r="I112" s="3">
        <f>IF(ROW()=5,G112-H112,I111+G112-H112)</f>
        <v/>
      </c>
      <c r="J112" s="4" t="n">
        <v>28.3</v>
      </c>
      <c r="K112" s="4">
        <f>IFERROR((G112+H112)*J112,0)</f>
        <v/>
      </c>
      <c r="M112">
        <f>IF(A112="","", _xludf.WEEKNUM(A112, 2))</f>
        <v/>
      </c>
      <c r="N112">
        <f>IF(A112="","", "CP-" &amp; IFERROR(VLOOKUP(D112, Catalogos!$Z$4:$AA$20, 2, FALSE), "FOL") &amp; "-" &amp; _xludf.WEEKNUM(A112, 2) &amp; "-" &amp; TEXT(ROW(A108),"000"))</f>
        <v/>
      </c>
    </row>
    <row r="113">
      <c r="A113" s="17625" t="n"/>
      <c r="C113" t="inlineStr">
        <is>
          <t>Tanque Pegaso</t>
        </is>
      </c>
      <c r="F113">
        <f>VLOOKUP(TablaPegaso[[#This Row],[Equipo]],Catalogos!$V$4:$W$85,2,FALSE)</f>
        <v/>
      </c>
      <c r="G113" s="3" t="n"/>
      <c r="H113" s="3" t="n"/>
      <c r="I113" s="3">
        <f>IF(ROW()=5,G113-H113,I112+G113-H113)</f>
        <v/>
      </c>
      <c r="J113" s="4" t="n">
        <v>28.3</v>
      </c>
      <c r="K113" s="4">
        <f>IFERROR((G113+H113)*J113,0)</f>
        <v/>
      </c>
      <c r="M113">
        <f>IF(A113="","", _xludf.WEEKNUM(A113, 2))</f>
        <v/>
      </c>
      <c r="N113">
        <f>IF(A113="","", "CP-" &amp; IFERROR(VLOOKUP(D113, Catalogos!$Z$4:$AA$20, 2, FALSE), "FOL") &amp; "-" &amp; _xludf.WEEKNUM(A113, 2) &amp; "-" &amp; TEXT(ROW(A109),"000"))</f>
        <v/>
      </c>
    </row>
    <row r="114">
      <c r="A114" s="17625" t="n"/>
      <c r="C114" t="inlineStr">
        <is>
          <t>Tanque Pegaso</t>
        </is>
      </c>
      <c r="F114">
        <f>VLOOKUP(TablaPegaso[[#This Row],[Equipo]],Catalogos!$V$4:$W$85,2,FALSE)</f>
        <v/>
      </c>
      <c r="G114" s="3" t="n"/>
      <c r="H114" s="3" t="n"/>
      <c r="I114" s="3">
        <f>IF(ROW()=5,G114-H114,I113+G114-H114)</f>
        <v/>
      </c>
      <c r="J114" s="4" t="n">
        <v>28.3</v>
      </c>
      <c r="K114" s="4">
        <f>IFERROR((G114+H114)*J114,0)</f>
        <v/>
      </c>
      <c r="M114">
        <f>IF(A114="","", _xludf.WEEKNUM(A114, 2))</f>
        <v/>
      </c>
      <c r="N114">
        <f>IF(A114="","", "CP-" &amp; IFERROR(VLOOKUP(D114, Catalogos!$Z$4:$AA$20, 2, FALSE), "FOL") &amp; "-" &amp; _xludf.WEEKNUM(A114, 2) &amp; "-" &amp; TEXT(ROW(A110),"000"))</f>
        <v/>
      </c>
    </row>
    <row r="115">
      <c r="A115" s="17625" t="n"/>
      <c r="C115" t="inlineStr">
        <is>
          <t>Tanque Pegaso</t>
        </is>
      </c>
      <c r="F115">
        <f>VLOOKUP(TablaPegaso[[#This Row],[Equipo]],Catalogos!$V$4:$W$85,2,FALSE)</f>
        <v/>
      </c>
      <c r="G115" s="3" t="n"/>
      <c r="H115" s="3" t="n"/>
      <c r="I115" s="3">
        <f>IF(ROW()=5,G115-H115,I114+G115-H115)</f>
        <v/>
      </c>
      <c r="J115" s="4" t="n">
        <v>28.3</v>
      </c>
      <c r="K115" s="4">
        <f>IFERROR((G115+H115)*J115,0)</f>
        <v/>
      </c>
      <c r="M115">
        <f>IF(A115="","", _xludf.WEEKNUM(A115, 2))</f>
        <v/>
      </c>
      <c r="N115">
        <f>IF(A115="","", "CP-" &amp; IFERROR(VLOOKUP(D115, Catalogos!$Z$4:$AA$20, 2, FALSE), "FOL") &amp; "-" &amp; _xludf.WEEKNUM(A115, 2) &amp; "-" &amp; TEXT(ROW(A111),"000"))</f>
        <v/>
      </c>
    </row>
    <row r="116">
      <c r="A116" s="17625" t="n"/>
      <c r="C116" t="inlineStr">
        <is>
          <t>Tanque Pegaso</t>
        </is>
      </c>
      <c r="F116">
        <f>VLOOKUP(TablaPegaso[[#This Row],[Equipo]],Catalogos!$V$4:$W$85,2,FALSE)</f>
        <v/>
      </c>
      <c r="G116" s="3" t="n"/>
      <c r="H116" s="3" t="n"/>
      <c r="I116" s="3">
        <f>IF(ROW()=5,G116-H116,I115+G116-H116)</f>
        <v/>
      </c>
      <c r="J116" s="4" t="n">
        <v>28.3</v>
      </c>
      <c r="K116" s="4">
        <f>IFERROR((G116+H116)*J116,0)</f>
        <v/>
      </c>
      <c r="M116">
        <f>IF(A116="","", _xludf.WEEKNUM(A116, 2))</f>
        <v/>
      </c>
      <c r="N116">
        <f>IF(A116="","", "CP-" &amp; IFERROR(VLOOKUP(D116, Catalogos!$Z$4:$AA$20, 2, FALSE), "FOL") &amp; "-" &amp; _xludf.WEEKNUM(A116, 2) &amp; "-" &amp; TEXT(ROW(A112),"000"))</f>
        <v/>
      </c>
    </row>
    <row r="117">
      <c r="A117" s="17625" t="n"/>
      <c r="C117" t="inlineStr">
        <is>
          <t>Tanque Pegaso</t>
        </is>
      </c>
      <c r="F117">
        <f>VLOOKUP(TablaPegaso[[#This Row],[Equipo]],Catalogos!$V$4:$W$85,2,FALSE)</f>
        <v/>
      </c>
      <c r="G117" s="3" t="n"/>
      <c r="H117" s="3" t="n"/>
      <c r="I117" s="3">
        <f>IF(ROW()=5,G117-H117,I116+G117-H117)</f>
        <v/>
      </c>
      <c r="J117" s="4" t="n">
        <v>28.3</v>
      </c>
      <c r="K117" s="4">
        <f>IFERROR((G117+H117)*J117,0)</f>
        <v/>
      </c>
      <c r="M117">
        <f>IF(A117="","", _xludf.WEEKNUM(A117, 2))</f>
        <v/>
      </c>
      <c r="N117">
        <f>IF(A117="","", "CP-" &amp; IFERROR(VLOOKUP(D117, Catalogos!$Z$4:$AA$20, 2, FALSE), "FOL") &amp; "-" &amp; _xludf.WEEKNUM(A117, 2) &amp; "-" &amp; TEXT(ROW(A113),"000"))</f>
        <v/>
      </c>
    </row>
    <row r="118">
      <c r="A118" s="17625" t="n"/>
      <c r="C118" t="inlineStr">
        <is>
          <t>Tanque Pegaso</t>
        </is>
      </c>
      <c r="F118">
        <f>VLOOKUP(TablaPegaso[[#This Row],[Equipo]],Catalogos!$V$4:$W$85,2,FALSE)</f>
        <v/>
      </c>
      <c r="G118" s="3" t="n"/>
      <c r="H118" s="3" t="n"/>
      <c r="I118" s="3">
        <f>IF(ROW()=5,G118-H118,I117+G118-H118)</f>
        <v/>
      </c>
      <c r="J118" s="4" t="n">
        <v>28.3</v>
      </c>
      <c r="K118" s="4">
        <f>IFERROR((G118+H118)*J118,0)</f>
        <v/>
      </c>
      <c r="M118">
        <f>IF(A118="","", _xludf.WEEKNUM(A118, 2))</f>
        <v/>
      </c>
      <c r="N118">
        <f>IF(A118="","", "CP-" &amp; IFERROR(VLOOKUP(D118, Catalogos!$Z$4:$AA$20, 2, FALSE), "FOL") &amp; "-" &amp; _xludf.WEEKNUM(A118, 2) &amp; "-" &amp; TEXT(ROW(A114),"000"))</f>
        <v/>
      </c>
    </row>
    <row r="119">
      <c r="A119" s="17625" t="n"/>
      <c r="C119" t="inlineStr">
        <is>
          <t>Tanque Pegaso</t>
        </is>
      </c>
      <c r="F119">
        <f>VLOOKUP(TablaPegaso[[#This Row],[Equipo]],Catalogos!$V$4:$W$85,2,FALSE)</f>
        <v/>
      </c>
      <c r="G119" s="3" t="n"/>
      <c r="H119" s="3" t="n"/>
      <c r="I119" s="3">
        <f>IF(ROW()=5,G119-H119,I118+G119-H119)</f>
        <v/>
      </c>
      <c r="J119" s="4" t="n">
        <v>28.3</v>
      </c>
      <c r="K119" s="4">
        <f>IFERROR((G119+H119)*J119,0)</f>
        <v/>
      </c>
      <c r="M119">
        <f>IF(A119="","", _xludf.WEEKNUM(A119, 2))</f>
        <v/>
      </c>
      <c r="N119">
        <f>IF(A119="","", "CP-" &amp; IFERROR(VLOOKUP(D119, Catalogos!$Z$4:$AA$20, 2, FALSE), "FOL") &amp; "-" &amp; _xludf.WEEKNUM(A119, 2) &amp; "-" &amp; TEXT(ROW(A115),"000"))</f>
        <v/>
      </c>
    </row>
    <row r="120">
      <c r="A120" s="17625" t="n"/>
      <c r="C120" t="inlineStr">
        <is>
          <t>Tanque Pegaso</t>
        </is>
      </c>
      <c r="F120">
        <f>VLOOKUP(TablaPegaso[[#This Row],[Equipo]],Catalogos!$V$4:$W$85,2,FALSE)</f>
        <v/>
      </c>
      <c r="G120" s="3" t="n"/>
      <c r="H120" s="3" t="n"/>
      <c r="I120" s="3">
        <f>IF(ROW()=5,G120-H120,I119+G120-H120)</f>
        <v/>
      </c>
      <c r="J120" s="4" t="n">
        <v>28.3</v>
      </c>
      <c r="K120" s="4">
        <f>IFERROR((G120+H120)*J120,0)</f>
        <v/>
      </c>
      <c r="M120">
        <f>IF(A120="","", _xludf.WEEKNUM(A120, 2))</f>
        <v/>
      </c>
      <c r="N120">
        <f>IF(A120="","", "CP-" &amp; IFERROR(VLOOKUP(D120, Catalogos!$Z$4:$AA$20, 2, FALSE), "FOL") &amp; "-" &amp; _xludf.WEEKNUM(A120, 2) &amp; "-" &amp; TEXT(ROW(A116),"000"))</f>
        <v/>
      </c>
    </row>
    <row r="121">
      <c r="A121" s="17625" t="n"/>
      <c r="C121" t="inlineStr">
        <is>
          <t>Tanque Pegaso</t>
        </is>
      </c>
      <c r="F121">
        <f>VLOOKUP(TablaPegaso[[#This Row],[Equipo]],Catalogos!$V$4:$W$85,2,FALSE)</f>
        <v/>
      </c>
      <c r="G121" s="3" t="n"/>
      <c r="H121" s="3" t="n"/>
      <c r="I121" s="3">
        <f>IF(ROW()=5,G121-H121,I120+G121-H121)</f>
        <v/>
      </c>
      <c r="J121" s="4" t="n">
        <v>28.3</v>
      </c>
      <c r="K121" s="4">
        <f>IFERROR((G121+H121)*J121,0)</f>
        <v/>
      </c>
      <c r="M121">
        <f>IF(A121="","", _xludf.WEEKNUM(A121, 2))</f>
        <v/>
      </c>
      <c r="N121">
        <f>IF(A121="","", "CP-" &amp; IFERROR(VLOOKUP(D121, Catalogos!$Z$4:$AA$20, 2, FALSE), "FOL") &amp; "-" &amp; _xludf.WEEKNUM(A121, 2) &amp; "-" &amp; TEXT(ROW(A117),"000"))</f>
        <v/>
      </c>
    </row>
    <row r="122">
      <c r="A122" s="17625" t="n"/>
      <c r="C122" t="inlineStr">
        <is>
          <t>Tanque Pegaso</t>
        </is>
      </c>
      <c r="F122">
        <f>VLOOKUP(TablaPegaso[[#This Row],[Equipo]],Catalogos!$V$4:$W$85,2,FALSE)</f>
        <v/>
      </c>
      <c r="G122" s="3" t="n"/>
      <c r="H122" s="3" t="n"/>
      <c r="I122" s="3">
        <f>IF(ROW()=5,G122-H122,I121+G122-H122)</f>
        <v/>
      </c>
      <c r="J122" s="4" t="n">
        <v>28.3</v>
      </c>
      <c r="K122" s="4">
        <f>IFERROR((G122+H122)*J122,0)</f>
        <v/>
      </c>
      <c r="M122">
        <f>IF(A122="","", _xludf.WEEKNUM(A122, 2))</f>
        <v/>
      </c>
      <c r="N122">
        <f>IF(A122="","", "CP-" &amp; IFERROR(VLOOKUP(D122, Catalogos!$Z$4:$AA$20, 2, FALSE), "FOL") &amp; "-" &amp; _xludf.WEEKNUM(A122, 2) &amp; "-" &amp; TEXT(ROW(A118),"000"))</f>
        <v/>
      </c>
    </row>
    <row r="123">
      <c r="A123" s="17625" t="n"/>
      <c r="C123" t="inlineStr">
        <is>
          <t>Tanque Pegaso</t>
        </is>
      </c>
      <c r="F123">
        <f>VLOOKUP(TablaPegaso[[#This Row],[Equipo]],Catalogos!$V$4:$W$85,2,FALSE)</f>
        <v/>
      </c>
      <c r="G123" s="3" t="n"/>
      <c r="H123" s="3" t="n"/>
      <c r="I123" s="3">
        <f>IF(ROW()=5,G123-H123,I122+G123-H123)</f>
        <v/>
      </c>
      <c r="J123" s="4" t="n">
        <v>28.3</v>
      </c>
      <c r="K123" s="4">
        <f>IFERROR((G123+H123)*J123,0)</f>
        <v/>
      </c>
      <c r="M123">
        <f>IF(A123="","", _xludf.WEEKNUM(A123, 2))</f>
        <v/>
      </c>
      <c r="N123">
        <f>IF(A123="","", "CP-" &amp; IFERROR(VLOOKUP(D123, Catalogos!$Z$4:$AA$20, 2, FALSE), "FOL") &amp; "-" &amp; _xludf.WEEKNUM(A123, 2) &amp; "-" &amp; TEXT(ROW(A119),"000"))</f>
        <v/>
      </c>
    </row>
    <row r="124">
      <c r="A124" s="17625" t="n"/>
      <c r="C124" t="inlineStr">
        <is>
          <t>Tanque Pegaso</t>
        </is>
      </c>
      <c r="F124">
        <f>VLOOKUP(TablaPegaso[[#This Row],[Equipo]],Catalogos!$V$4:$W$85,2,FALSE)</f>
        <v/>
      </c>
      <c r="G124" s="3" t="n"/>
      <c r="H124" s="3" t="n"/>
      <c r="I124" s="3">
        <f>IF(ROW()=5,G124-H124,I123+G124-H124)</f>
        <v/>
      </c>
      <c r="J124" s="4" t="n">
        <v>28.3</v>
      </c>
      <c r="K124" s="4">
        <f>IFERROR((G124+H124)*J124,0)</f>
        <v/>
      </c>
      <c r="M124">
        <f>IF(A124="","", _xludf.WEEKNUM(A124, 2))</f>
        <v/>
      </c>
      <c r="N124">
        <f>IF(A124="","", "CP-" &amp; IFERROR(VLOOKUP(D124, Catalogos!$Z$4:$AA$20, 2, FALSE), "FOL") &amp; "-" &amp; _xludf.WEEKNUM(A124, 2) &amp; "-" &amp; TEXT(ROW(A120),"000"))</f>
        <v/>
      </c>
    </row>
    <row r="125">
      <c r="A125" s="17625" t="n"/>
      <c r="C125" t="inlineStr">
        <is>
          <t>Tanque Pegaso</t>
        </is>
      </c>
      <c r="F125">
        <f>VLOOKUP(TablaPegaso[[#This Row],[Equipo]],Catalogos!$V$4:$W$85,2,FALSE)</f>
        <v/>
      </c>
      <c r="G125" s="3" t="n"/>
      <c r="H125" s="3" t="n"/>
      <c r="I125" s="3">
        <f>IF(ROW()=5,G125-H125,I124+G125-H125)</f>
        <v/>
      </c>
      <c r="J125" s="4" t="n">
        <v>28.3</v>
      </c>
      <c r="K125" s="4">
        <f>IFERROR((G125+H125)*J125,0)</f>
        <v/>
      </c>
      <c r="M125">
        <f>IF(A125="","", _xludf.WEEKNUM(A125, 2))</f>
        <v/>
      </c>
      <c r="N125">
        <f>IF(A125="","", "CP-" &amp; IFERROR(VLOOKUP(D125, Catalogos!$Z$4:$AA$20, 2, FALSE), "FOL") &amp; "-" &amp; _xludf.WEEKNUM(A125, 2) &amp; "-" &amp; TEXT(ROW(A121),"000"))</f>
        <v/>
      </c>
    </row>
    <row r="126">
      <c r="A126" s="17625" t="n"/>
      <c r="C126" t="inlineStr">
        <is>
          <t>Tanque Pegaso</t>
        </is>
      </c>
      <c r="F126">
        <f>VLOOKUP(TablaPegaso[[#This Row],[Equipo]],Catalogos!$V$4:$W$85,2,FALSE)</f>
        <v/>
      </c>
      <c r="G126" s="3" t="n"/>
      <c r="H126" s="3" t="n"/>
      <c r="I126" s="3">
        <f>IF(ROW()=5,G126-H126,I125+G126-H126)</f>
        <v/>
      </c>
      <c r="J126" s="4" t="n">
        <v>28.3</v>
      </c>
      <c r="K126" s="4">
        <f>IFERROR((G126+H126)*J126,0)</f>
        <v/>
      </c>
      <c r="M126">
        <f>IF(A126="","", _xludf.WEEKNUM(A126, 2))</f>
        <v/>
      </c>
      <c r="N126">
        <f>IF(A126="","", "CP-" &amp; IFERROR(VLOOKUP(D126, Catalogos!$Z$4:$AA$20, 2, FALSE), "FOL") &amp; "-" &amp; _xludf.WEEKNUM(A126, 2) &amp; "-" &amp; TEXT(ROW(A122),"000"))</f>
        <v/>
      </c>
    </row>
    <row r="127">
      <c r="A127" s="17625" t="n"/>
      <c r="C127" t="inlineStr">
        <is>
          <t>Tanque Pegaso</t>
        </is>
      </c>
      <c r="F127">
        <f>VLOOKUP(TablaPegaso[[#This Row],[Equipo]],Catalogos!$V$4:$W$85,2,FALSE)</f>
        <v/>
      </c>
      <c r="G127" s="3" t="n"/>
      <c r="H127" s="3" t="n"/>
      <c r="I127" s="3">
        <f>IF(ROW()=5,G127-H127,I126+G127-H127)</f>
        <v/>
      </c>
      <c r="J127" s="4" t="n">
        <v>28.3</v>
      </c>
      <c r="K127" s="4">
        <f>IFERROR((G127+H127)*J127,0)</f>
        <v/>
      </c>
      <c r="M127">
        <f>IF(A127="","", _xludf.WEEKNUM(A127, 2))</f>
        <v/>
      </c>
      <c r="N127">
        <f>IF(A127="","", "CP-" &amp; IFERROR(VLOOKUP(D127, Catalogos!$Z$4:$AA$20, 2, FALSE), "FOL") &amp; "-" &amp; _xludf.WEEKNUM(A127, 2) &amp; "-" &amp; TEXT(ROW(A123),"000"))</f>
        <v/>
      </c>
    </row>
    <row r="128">
      <c r="A128" s="17625" t="n"/>
      <c r="C128" t="inlineStr">
        <is>
          <t>Tanque Pegaso</t>
        </is>
      </c>
      <c r="F128">
        <f>VLOOKUP(TablaPegaso[[#This Row],[Equipo]],Catalogos!$V$4:$W$85,2,FALSE)</f>
        <v/>
      </c>
      <c r="G128" s="3" t="n"/>
      <c r="H128" s="3" t="n"/>
      <c r="I128" s="3">
        <f>IF(ROW()=5,G128-H128,I127+G128-H128)</f>
        <v/>
      </c>
      <c r="J128" s="4" t="n">
        <v>28.3</v>
      </c>
      <c r="K128" s="4">
        <f>IFERROR((G128+H128)*J128,0)</f>
        <v/>
      </c>
      <c r="M128">
        <f>IF(A128="","", _xludf.WEEKNUM(A128, 2))</f>
        <v/>
      </c>
      <c r="N128">
        <f>IF(A128="","", "CP-" &amp; IFERROR(VLOOKUP(D128, Catalogos!$Z$4:$AA$20, 2, FALSE), "FOL") &amp; "-" &amp; _xludf.WEEKNUM(A128, 2) &amp; "-" &amp; TEXT(ROW(A124),"000"))</f>
        <v/>
      </c>
    </row>
    <row r="129">
      <c r="A129" s="17625" t="n"/>
      <c r="C129" t="inlineStr">
        <is>
          <t>Tanque Pegaso</t>
        </is>
      </c>
      <c r="F129">
        <f>VLOOKUP(TablaPegaso[[#This Row],[Equipo]],Catalogos!$V$4:$W$85,2,FALSE)</f>
        <v/>
      </c>
      <c r="G129" s="3" t="n"/>
      <c r="H129" s="3" t="n"/>
      <c r="I129" s="3">
        <f>IF(ROW()=5,G129-H129,I128+G129-H129)</f>
        <v/>
      </c>
      <c r="J129" s="4" t="n">
        <v>28.3</v>
      </c>
      <c r="K129" s="4">
        <f>IFERROR((G129+H129)*J129,0)</f>
        <v/>
      </c>
      <c r="M129">
        <f>IF(A129="","", _xludf.WEEKNUM(A129, 2))</f>
        <v/>
      </c>
      <c r="N129">
        <f>IF(A129="","", "CP-" &amp; IFERROR(VLOOKUP(D129, Catalogos!$Z$4:$AA$20, 2, FALSE), "FOL") &amp; "-" &amp; _xludf.WEEKNUM(A129, 2) &amp; "-" &amp; TEXT(ROW(A125),"000"))</f>
        <v/>
      </c>
    </row>
    <row r="130">
      <c r="A130" s="17625" t="n"/>
      <c r="C130" t="inlineStr">
        <is>
          <t>Tanque Pegaso</t>
        </is>
      </c>
      <c r="F130">
        <f>VLOOKUP(TablaPegaso[[#This Row],[Equipo]],Catalogos!$V$4:$W$85,2,FALSE)</f>
        <v/>
      </c>
      <c r="G130" s="3" t="n"/>
      <c r="H130" s="3" t="n"/>
      <c r="I130" s="3">
        <f>IF(ROW()=5,G130-H130,I129+G130-H130)</f>
        <v/>
      </c>
      <c r="J130" s="4" t="n">
        <v>28.3</v>
      </c>
      <c r="K130" s="4">
        <f>IFERROR((G130+H130)*J130,0)</f>
        <v/>
      </c>
      <c r="M130">
        <f>IF(A130="","", _xludf.WEEKNUM(A130, 2))</f>
        <v/>
      </c>
      <c r="N130">
        <f>IF(A130="","", "CP-" &amp; IFERROR(VLOOKUP(D130, Catalogos!$Z$4:$AA$20, 2, FALSE), "FOL") &amp; "-" &amp; _xludf.WEEKNUM(A130, 2) &amp; "-" &amp; TEXT(ROW(A126),"000"))</f>
        <v/>
      </c>
    </row>
    <row r="131">
      <c r="A131" s="17625" t="n"/>
      <c r="C131" t="inlineStr">
        <is>
          <t>Tanque Pegaso</t>
        </is>
      </c>
      <c r="F131">
        <f>VLOOKUP(TablaPegaso[[#This Row],[Equipo]],Catalogos!$V$4:$W$85,2,FALSE)</f>
        <v/>
      </c>
      <c r="G131" s="3" t="n"/>
      <c r="H131" s="3" t="n"/>
      <c r="I131" s="3">
        <f>IF(ROW()=5,G131-H131,I130+G131-H131)</f>
        <v/>
      </c>
      <c r="J131" s="4" t="n">
        <v>28.3</v>
      </c>
      <c r="K131" s="4">
        <f>IFERROR((G131+H131)*J131,0)</f>
        <v/>
      </c>
      <c r="M131">
        <f>IF(A131="","", _xludf.WEEKNUM(A131, 2))</f>
        <v/>
      </c>
      <c r="N131">
        <f>IF(A131="","", "CP-" &amp; IFERROR(VLOOKUP(D131, Catalogos!$Z$4:$AA$20, 2, FALSE), "FOL") &amp; "-" &amp; _xludf.WEEKNUM(A131, 2) &amp; "-" &amp; TEXT(ROW(A127),"000"))</f>
        <v/>
      </c>
    </row>
    <row r="132">
      <c r="A132" s="17625" t="n"/>
      <c r="C132" t="inlineStr">
        <is>
          <t>Tanque Pegaso</t>
        </is>
      </c>
      <c r="F132">
        <f>VLOOKUP(TablaPegaso[[#This Row],[Equipo]],Catalogos!$V$4:$W$85,2,FALSE)</f>
        <v/>
      </c>
      <c r="G132" s="3" t="n"/>
      <c r="H132" s="3" t="n"/>
      <c r="I132" s="3">
        <f>IF(ROW()=5,G132-H132,I131+G132-H132)</f>
        <v/>
      </c>
      <c r="J132" s="4" t="n">
        <v>28.3</v>
      </c>
      <c r="K132" s="4">
        <f>IFERROR((G132+H132)*J132,0)</f>
        <v/>
      </c>
      <c r="M132">
        <f>IF(A132="","", _xludf.WEEKNUM(A132, 2))</f>
        <v/>
      </c>
      <c r="N132">
        <f>IF(A132="","", "CP-" &amp; IFERROR(VLOOKUP(D132, Catalogos!$Z$4:$AA$20, 2, FALSE), "FOL") &amp; "-" &amp; _xludf.WEEKNUM(A132, 2) &amp; "-" &amp; TEXT(ROW(A128),"000"))</f>
        <v/>
      </c>
    </row>
    <row r="133">
      <c r="A133" s="17625" t="n"/>
      <c r="C133" t="inlineStr">
        <is>
          <t>Tanque Pegaso</t>
        </is>
      </c>
      <c r="F133">
        <f>VLOOKUP(TablaPegaso[[#This Row],[Equipo]],Catalogos!$V$4:$W$85,2,FALSE)</f>
        <v/>
      </c>
      <c r="G133" s="3" t="n"/>
      <c r="H133" s="3" t="n"/>
      <c r="I133" s="3">
        <f>IF(ROW()=5,G133-H133,I132+G133-H133)</f>
        <v/>
      </c>
      <c r="J133" s="4" t="n">
        <v>28.3</v>
      </c>
      <c r="K133" s="4">
        <f>IFERROR((G133+H133)*J133,0)</f>
        <v/>
      </c>
      <c r="M133">
        <f>IF(A133="","", _xludf.WEEKNUM(A133, 2))</f>
        <v/>
      </c>
      <c r="N133">
        <f>IF(A133="","", "CP-" &amp; IFERROR(VLOOKUP(D133, Catalogos!$Z$4:$AA$20, 2, FALSE), "FOL") &amp; "-" &amp; _xludf.WEEKNUM(A133, 2) &amp; "-" &amp; TEXT(ROW(A129),"000"))</f>
        <v/>
      </c>
    </row>
    <row r="134">
      <c r="A134" s="17625" t="n"/>
      <c r="C134" t="inlineStr">
        <is>
          <t>Tanque Pegaso</t>
        </is>
      </c>
      <c r="F134">
        <f>VLOOKUP(TablaPegaso[[#This Row],[Equipo]],Catalogos!$V$4:$W$85,2,FALSE)</f>
        <v/>
      </c>
      <c r="G134" s="3" t="n"/>
      <c r="H134" s="3" t="n"/>
      <c r="I134" s="3">
        <f>IF(ROW()=5,G134-H134,I133+G134-H134)</f>
        <v/>
      </c>
      <c r="J134" s="4" t="n">
        <v>28.3</v>
      </c>
      <c r="K134" s="4">
        <f>IFERROR((G134+H134)*J134,0)</f>
        <v/>
      </c>
      <c r="M134">
        <f>IF(A134="","", _xludf.WEEKNUM(A134, 2))</f>
        <v/>
      </c>
      <c r="N134">
        <f>IF(A134="","", "CP-" &amp; IFERROR(VLOOKUP(D134, Catalogos!$Z$4:$AA$20, 2, FALSE), "FOL") &amp; "-" &amp; _xludf.WEEKNUM(A134, 2) &amp; "-" &amp; TEXT(ROW(A130),"000"))</f>
        <v/>
      </c>
    </row>
    <row r="135">
      <c r="A135" s="17625" t="n"/>
      <c r="C135" t="inlineStr">
        <is>
          <t>Tanque Pegaso</t>
        </is>
      </c>
      <c r="F135">
        <f>VLOOKUP(TablaPegaso[[#This Row],[Equipo]],Catalogos!$V$4:$W$85,2,FALSE)</f>
        <v/>
      </c>
      <c r="G135" s="3" t="n"/>
      <c r="H135" s="3" t="n"/>
      <c r="I135" s="3">
        <f>IF(ROW()=5,G135-H135,I134+G135-H135)</f>
        <v/>
      </c>
      <c r="J135" s="4" t="n">
        <v>28.3</v>
      </c>
      <c r="K135" s="4">
        <f>IFERROR((G135+H135)*J135,0)</f>
        <v/>
      </c>
      <c r="M135">
        <f>IF(A135="","", _xludf.WEEKNUM(A135, 2))</f>
        <v/>
      </c>
      <c r="N135">
        <f>IF(A135="","", "CP-" &amp; IFERROR(VLOOKUP(D135, Catalogos!$Z$4:$AA$20, 2, FALSE), "FOL") &amp; "-" &amp; _xludf.WEEKNUM(A135, 2) &amp; "-" &amp; TEXT(ROW(A131),"000"))</f>
        <v/>
      </c>
    </row>
    <row r="136">
      <c r="A136" s="17625" t="n"/>
      <c r="C136" t="inlineStr">
        <is>
          <t>Tanque Pegaso</t>
        </is>
      </c>
      <c r="F136">
        <f>VLOOKUP(TablaPegaso[[#This Row],[Equipo]],Catalogos!$V$4:$W$85,2,FALSE)</f>
        <v/>
      </c>
      <c r="G136" s="3" t="n"/>
      <c r="H136" s="3" t="n"/>
      <c r="I136" s="3">
        <f>IF(ROW()=5,G136-H136,I135+G136-H136)</f>
        <v/>
      </c>
      <c r="J136" s="4" t="n">
        <v>28.3</v>
      </c>
      <c r="K136" s="4">
        <f>IFERROR((G136+H136)*J136,0)</f>
        <v/>
      </c>
      <c r="M136">
        <f>IF(A136="","", _xludf.WEEKNUM(A136, 2))</f>
        <v/>
      </c>
      <c r="N136">
        <f>IF(A136="","", "CP-" &amp; IFERROR(VLOOKUP(D136, Catalogos!$Z$4:$AA$20, 2, FALSE), "FOL") &amp; "-" &amp; _xludf.WEEKNUM(A136, 2) &amp; "-" &amp; TEXT(ROW(A132),"000"))</f>
        <v/>
      </c>
    </row>
    <row r="137">
      <c r="A137" s="17625" t="n"/>
      <c r="C137" t="inlineStr">
        <is>
          <t>Tanque Pegaso</t>
        </is>
      </c>
      <c r="F137">
        <f>VLOOKUP(TablaPegaso[[#This Row],[Equipo]],Catalogos!$V$4:$W$85,2,FALSE)</f>
        <v/>
      </c>
      <c r="G137" s="3" t="n"/>
      <c r="H137" s="3" t="n"/>
      <c r="I137" s="3">
        <f>IF(ROW()=5,G137-H137,I136+G137-H137)</f>
        <v/>
      </c>
      <c r="J137" s="4" t="n">
        <v>28.3</v>
      </c>
      <c r="K137" s="4">
        <f>IFERROR((G137+H137)*J137,0)</f>
        <v/>
      </c>
      <c r="M137">
        <f>IF(A137="","", _xludf.WEEKNUM(A137, 2))</f>
        <v/>
      </c>
      <c r="N137">
        <f>IF(A137="","", "CP-" &amp; IFERROR(VLOOKUP(D137, Catalogos!$Z$4:$AA$20, 2, FALSE), "FOL") &amp; "-" &amp; _xludf.WEEKNUM(A137, 2) &amp; "-" &amp; TEXT(ROW(A133),"000"))</f>
        <v/>
      </c>
    </row>
    <row r="138">
      <c r="A138" s="17625" t="n"/>
      <c r="C138" t="inlineStr">
        <is>
          <t>Tanque Pegaso</t>
        </is>
      </c>
      <c r="F138">
        <f>VLOOKUP(TablaPegaso[[#This Row],[Equipo]],Catalogos!$V$4:$W$85,2,FALSE)</f>
        <v/>
      </c>
      <c r="G138" s="3" t="n"/>
      <c r="H138" s="3" t="n"/>
      <c r="I138" s="3">
        <f>IF(ROW()=5,G138-H138,I137+G138-H138)</f>
        <v/>
      </c>
      <c r="J138" s="4" t="n">
        <v>28.3</v>
      </c>
      <c r="K138" s="4">
        <f>IFERROR((G138+H138)*J138,0)</f>
        <v/>
      </c>
      <c r="M138">
        <f>IF(A138="","", _xludf.WEEKNUM(A138, 2))</f>
        <v/>
      </c>
      <c r="N138">
        <f>IF(A138="","", "CP-" &amp; IFERROR(VLOOKUP(D138, Catalogos!$Z$4:$AA$20, 2, FALSE), "FOL") &amp; "-" &amp; _xludf.WEEKNUM(A138, 2) &amp; "-" &amp; TEXT(ROW(A134),"000"))</f>
        <v/>
      </c>
    </row>
    <row r="139">
      <c r="A139" s="17625" t="n"/>
      <c r="C139" t="inlineStr">
        <is>
          <t>Tanque Pegaso</t>
        </is>
      </c>
      <c r="F139">
        <f>VLOOKUP(TablaPegaso[[#This Row],[Equipo]],Catalogos!$V$4:$W$85,2,FALSE)</f>
        <v/>
      </c>
      <c r="G139" s="3" t="n"/>
      <c r="H139" s="3" t="n"/>
      <c r="I139" s="3">
        <f>IF(ROW()=5,G139-H139,I138+G139-H139)</f>
        <v/>
      </c>
      <c r="J139" s="4" t="n">
        <v>28.3</v>
      </c>
      <c r="K139" s="4">
        <f>IFERROR((G139+H139)*J139,0)</f>
        <v/>
      </c>
      <c r="M139">
        <f>IF(A139="","", _xludf.WEEKNUM(A139, 2))</f>
        <v/>
      </c>
      <c r="N139">
        <f>IF(A139="","", "CP-" &amp; IFERROR(VLOOKUP(D139, Catalogos!$Z$4:$AA$20, 2, FALSE), "FOL") &amp; "-" &amp; _xludf.WEEKNUM(A139, 2) &amp; "-" &amp; TEXT(ROW(A135),"000"))</f>
        <v/>
      </c>
    </row>
    <row r="140">
      <c r="A140" s="17625" t="n"/>
      <c r="C140" t="inlineStr">
        <is>
          <t>Tanque Pegaso</t>
        </is>
      </c>
      <c r="F140">
        <f>VLOOKUP(TablaPegaso[[#This Row],[Equipo]],Catalogos!$V$4:$W$85,2,FALSE)</f>
        <v/>
      </c>
      <c r="G140" s="3" t="n"/>
      <c r="H140" s="3" t="n"/>
      <c r="I140" s="3">
        <f>IF(ROW()=5,G140-H140,I139+G140-H140)</f>
        <v/>
      </c>
      <c r="J140" s="4" t="n">
        <v>28.3</v>
      </c>
      <c r="K140" s="4">
        <f>IFERROR((G140+H140)*J140,0)</f>
        <v/>
      </c>
      <c r="M140">
        <f>IF(A140="","", _xludf.WEEKNUM(A140, 2))</f>
        <v/>
      </c>
      <c r="N140">
        <f>IF(A140="","", "CP-" &amp; IFERROR(VLOOKUP(D140, Catalogos!$Z$4:$AA$20, 2, FALSE), "FOL") &amp; "-" &amp; _xludf.WEEKNUM(A140, 2) &amp; "-" &amp; TEXT(ROW(A136),"000"))</f>
        <v/>
      </c>
    </row>
    <row r="141">
      <c r="A141" s="17625" t="n"/>
      <c r="C141" t="inlineStr">
        <is>
          <t>Tanque Pegaso</t>
        </is>
      </c>
      <c r="F141">
        <f>VLOOKUP(TablaPegaso[[#This Row],[Equipo]],Catalogos!$V$4:$W$85,2,FALSE)</f>
        <v/>
      </c>
      <c r="G141" s="3" t="n"/>
      <c r="H141" s="3" t="n"/>
      <c r="I141" s="3">
        <f>IF(ROW()=5,G141-H141,I140+G141-H141)</f>
        <v/>
      </c>
      <c r="J141" s="4" t="n">
        <v>28.3</v>
      </c>
      <c r="K141" s="4">
        <f>IFERROR((G141+H141)*J141,0)</f>
        <v/>
      </c>
      <c r="M141">
        <f>IF(A141="","", _xludf.WEEKNUM(A141, 2))</f>
        <v/>
      </c>
      <c r="N141">
        <f>IF(A141="","", "CP-" &amp; IFERROR(VLOOKUP(D141, Catalogos!$Z$4:$AA$20, 2, FALSE), "FOL") &amp; "-" &amp; _xludf.WEEKNUM(A141, 2) &amp; "-" &amp; TEXT(ROW(A137),"000"))</f>
        <v/>
      </c>
    </row>
    <row r="142">
      <c r="A142" s="17625" t="n"/>
      <c r="C142" t="inlineStr">
        <is>
          <t>Tanque Pegaso</t>
        </is>
      </c>
      <c r="F142">
        <f>VLOOKUP(TablaPegaso[[#This Row],[Equipo]],Catalogos!$V$4:$W$85,2,FALSE)</f>
        <v/>
      </c>
      <c r="G142" s="3" t="n"/>
      <c r="H142" s="3" t="n"/>
      <c r="I142" s="3">
        <f>IF(ROW()=5,G142-H142,I141+G142-H142)</f>
        <v/>
      </c>
      <c r="J142" s="4" t="n">
        <v>28.3</v>
      </c>
      <c r="K142" s="4">
        <f>IFERROR((G142+H142)*J142,0)</f>
        <v/>
      </c>
      <c r="M142">
        <f>IF(A142="","", _xludf.WEEKNUM(A142, 2))</f>
        <v/>
      </c>
      <c r="N142">
        <f>IF(A142="","", "CP-" &amp; IFERROR(VLOOKUP(D142, Catalogos!$Z$4:$AA$20, 2, FALSE), "FOL") &amp; "-" &amp; _xludf.WEEKNUM(A142, 2) &amp; "-" &amp; TEXT(ROW(A138),"000"))</f>
        <v/>
      </c>
    </row>
    <row r="143">
      <c r="A143" s="17625" t="n"/>
      <c r="C143" t="inlineStr">
        <is>
          <t>Tanque Pegaso</t>
        </is>
      </c>
      <c r="F143">
        <f>VLOOKUP(TablaPegaso[[#This Row],[Equipo]],Catalogos!$V$4:$W$85,2,FALSE)</f>
        <v/>
      </c>
      <c r="G143" s="3" t="n"/>
      <c r="H143" s="3" t="n"/>
      <c r="I143" s="3">
        <f>IF(ROW()=5,G143-H143,I142+G143-H143)</f>
        <v/>
      </c>
      <c r="J143" s="4" t="n">
        <v>28.3</v>
      </c>
      <c r="K143" s="4">
        <f>IFERROR((G143+H143)*J143,0)</f>
        <v/>
      </c>
      <c r="M143">
        <f>IF(A143="","", _xludf.WEEKNUM(A143, 2))</f>
        <v/>
      </c>
      <c r="N143">
        <f>IF(A143="","", "CP-" &amp; IFERROR(VLOOKUP(D143, Catalogos!$Z$4:$AA$20, 2, FALSE), "FOL") &amp; "-" &amp; _xludf.WEEKNUM(A143, 2) &amp; "-" &amp; TEXT(ROW(A139),"000"))</f>
        <v/>
      </c>
    </row>
    <row r="144">
      <c r="A144" s="17625" t="n"/>
      <c r="C144" t="inlineStr">
        <is>
          <t>Tanque Pegaso</t>
        </is>
      </c>
      <c r="F144">
        <f>VLOOKUP(TablaPegaso[[#This Row],[Equipo]],Catalogos!$V$4:$W$85,2,FALSE)</f>
        <v/>
      </c>
      <c r="G144" s="3" t="n"/>
      <c r="H144" s="3" t="n"/>
      <c r="I144" s="3">
        <f>IF(ROW()=5,G144-H144,I143+G144-H144)</f>
        <v/>
      </c>
      <c r="J144" s="4" t="n">
        <v>28.3</v>
      </c>
      <c r="K144" s="4">
        <f>IFERROR((G144+H144)*J144,0)</f>
        <v/>
      </c>
      <c r="M144">
        <f>IF(A144="","", _xludf.WEEKNUM(A144, 2))</f>
        <v/>
      </c>
      <c r="N144">
        <f>IF(A144="","", "CP-" &amp; IFERROR(VLOOKUP(D144, Catalogos!$Z$4:$AA$20, 2, FALSE), "FOL") &amp; "-" &amp; _xludf.WEEKNUM(A144, 2) &amp; "-" &amp; TEXT(ROW(A140),"000"))</f>
        <v/>
      </c>
    </row>
    <row r="145">
      <c r="A145" s="17625" t="n"/>
      <c r="C145" t="inlineStr">
        <is>
          <t>Tanque Pegaso</t>
        </is>
      </c>
      <c r="F145">
        <f>VLOOKUP(TablaPegaso[[#This Row],[Equipo]],Catalogos!$V$4:$W$85,2,FALSE)</f>
        <v/>
      </c>
      <c r="G145" s="3" t="n"/>
      <c r="H145" s="3" t="n"/>
      <c r="I145" s="3">
        <f>IF(ROW()=5,G145-H145,I144+G145-H145)</f>
        <v/>
      </c>
      <c r="J145" s="4" t="n">
        <v>28.3</v>
      </c>
      <c r="K145" s="4">
        <f>IFERROR((G145+H145)*J145,0)</f>
        <v/>
      </c>
      <c r="M145">
        <f>IF(A145="","", _xludf.WEEKNUM(A145, 2))</f>
        <v/>
      </c>
      <c r="N145">
        <f>IF(A145="","", "CP-" &amp; IFERROR(VLOOKUP(D145, Catalogos!$Z$4:$AA$20, 2, FALSE), "FOL") &amp; "-" &amp; _xludf.WEEKNUM(A145, 2) &amp; "-" &amp; TEXT(ROW(A141),"000"))</f>
        <v/>
      </c>
    </row>
    <row r="146">
      <c r="A146" s="17625" t="n"/>
      <c r="C146" t="inlineStr">
        <is>
          <t>Tanque Pegaso</t>
        </is>
      </c>
      <c r="F146">
        <f>VLOOKUP(TablaPegaso[[#This Row],[Equipo]],Catalogos!$V$4:$W$85,2,FALSE)</f>
        <v/>
      </c>
      <c r="G146" s="3" t="n"/>
      <c r="H146" s="3" t="n"/>
      <c r="I146" s="3">
        <f>IF(ROW()=5,G146-H146,I145+G146-H146)</f>
        <v/>
      </c>
      <c r="J146" s="4" t="n">
        <v>28.3</v>
      </c>
      <c r="K146" s="4">
        <f>IFERROR((G146+H146)*J146,0)</f>
        <v/>
      </c>
      <c r="M146">
        <f>IF(A146="","", _xludf.WEEKNUM(A146, 2))</f>
        <v/>
      </c>
      <c r="N146">
        <f>IF(A146="","", "CP-" &amp; IFERROR(VLOOKUP(D146, Catalogos!$Z$4:$AA$20, 2, FALSE), "FOL") &amp; "-" &amp; _xludf.WEEKNUM(A146, 2) &amp; "-" &amp; TEXT(ROW(A142),"000"))</f>
        <v/>
      </c>
    </row>
    <row r="147">
      <c r="A147" s="17625" t="n"/>
      <c r="C147" t="inlineStr">
        <is>
          <t>Tanque Pegaso</t>
        </is>
      </c>
      <c r="F147">
        <f>VLOOKUP(TablaPegaso[[#This Row],[Equipo]],Catalogos!$V$4:$W$85,2,FALSE)</f>
        <v/>
      </c>
      <c r="G147" s="3" t="n"/>
      <c r="H147" s="3" t="n"/>
      <c r="I147" s="3">
        <f>IF(ROW()=5,G147-H147,I146+G147-H147)</f>
        <v/>
      </c>
      <c r="J147" s="4" t="n">
        <v>28.3</v>
      </c>
      <c r="K147" s="4">
        <f>IFERROR((G147+H147)*J147,0)</f>
        <v/>
      </c>
      <c r="M147">
        <f>IF(A147="","", _xludf.WEEKNUM(A147, 2))</f>
        <v/>
      </c>
      <c r="N147">
        <f>IF(A147="","", "CP-" &amp; IFERROR(VLOOKUP(D147, Catalogos!$Z$4:$AA$20, 2, FALSE), "FOL") &amp; "-" &amp; _xludf.WEEKNUM(A147, 2) &amp; "-" &amp; TEXT(ROW(A143),"000"))</f>
        <v/>
      </c>
    </row>
    <row r="148">
      <c r="A148" s="17625" t="n"/>
      <c r="C148" t="inlineStr">
        <is>
          <t>Tanque Pegaso</t>
        </is>
      </c>
      <c r="F148">
        <f>VLOOKUP(TablaPegaso[[#This Row],[Equipo]],Catalogos!$V$4:$W$85,2,FALSE)</f>
        <v/>
      </c>
      <c r="G148" s="3" t="n"/>
      <c r="H148" s="3" t="n"/>
      <c r="I148" s="3">
        <f>IF(ROW()=5,G148-H148,I147+G148-H148)</f>
        <v/>
      </c>
      <c r="J148" s="4" t="n">
        <v>28.3</v>
      </c>
      <c r="K148" s="4">
        <f>IFERROR((G148+H148)*J148,0)</f>
        <v/>
      </c>
      <c r="M148">
        <f>IF(A148="","", _xludf.WEEKNUM(A148, 2))</f>
        <v/>
      </c>
      <c r="N148">
        <f>IF(A148="","", "CP-" &amp; IFERROR(VLOOKUP(D148, Catalogos!$Z$4:$AA$20, 2, FALSE), "FOL") &amp; "-" &amp; _xludf.WEEKNUM(A148, 2) &amp; "-" &amp; TEXT(ROW(A144),"000"))</f>
        <v/>
      </c>
    </row>
    <row r="149">
      <c r="A149" s="17625" t="n"/>
      <c r="C149" t="inlineStr">
        <is>
          <t>Tanque Pegaso</t>
        </is>
      </c>
      <c r="F149">
        <f>VLOOKUP(TablaPegaso[[#This Row],[Equipo]],Catalogos!$V$4:$W$85,2,FALSE)</f>
        <v/>
      </c>
      <c r="G149" s="3" t="n"/>
      <c r="H149" s="3" t="n"/>
      <c r="I149" s="3">
        <f>IF(ROW()=5,G149-H149,I148+G149-H149)</f>
        <v/>
      </c>
      <c r="J149" s="4" t="n">
        <v>28.3</v>
      </c>
      <c r="K149" s="4">
        <f>IFERROR((G149+H149)*J149,0)</f>
        <v/>
      </c>
      <c r="M149">
        <f>IF(A149="","", _xludf.WEEKNUM(A149, 2))</f>
        <v/>
      </c>
      <c r="N149">
        <f>IF(A149="","", "CP-" &amp; IFERROR(VLOOKUP(D149, Catalogos!$Z$4:$AA$20, 2, FALSE), "FOL") &amp; "-" &amp; _xludf.WEEKNUM(A149, 2) &amp; "-" &amp; TEXT(ROW(A145),"000"))</f>
        <v/>
      </c>
    </row>
    <row r="150">
      <c r="A150" s="17625" t="n"/>
      <c r="C150" t="inlineStr">
        <is>
          <t>Tanque Pegaso</t>
        </is>
      </c>
      <c r="F150">
        <f>VLOOKUP(TablaPegaso[[#This Row],[Equipo]],Catalogos!$V$4:$W$85,2,FALSE)</f>
        <v/>
      </c>
      <c r="G150" s="3" t="n"/>
      <c r="H150" s="3" t="n"/>
      <c r="I150" s="3">
        <f>IF(ROW()=5,G150-H150,I149+G150-H150)</f>
        <v/>
      </c>
      <c r="J150" s="4" t="n">
        <v>28.3</v>
      </c>
      <c r="K150" s="4">
        <f>IFERROR((G150+H150)*J150,0)</f>
        <v/>
      </c>
      <c r="M150">
        <f>IF(A150="","", _xludf.WEEKNUM(A150, 2))</f>
        <v/>
      </c>
      <c r="N150">
        <f>IF(A150="","", "CP-" &amp; IFERROR(VLOOKUP(D150, Catalogos!$Z$4:$AA$20, 2, FALSE), "FOL") &amp; "-" &amp; _xludf.WEEKNUM(A150, 2) &amp; "-" &amp; TEXT(ROW(A146),"000"))</f>
        <v/>
      </c>
    </row>
    <row r="151">
      <c r="A151" s="17625" t="n"/>
      <c r="C151" t="inlineStr">
        <is>
          <t>Tanque Pegaso</t>
        </is>
      </c>
      <c r="F151">
        <f>VLOOKUP(TablaPegaso[[#This Row],[Equipo]],Catalogos!$V$4:$W$85,2,FALSE)</f>
        <v/>
      </c>
      <c r="G151" s="3" t="n"/>
      <c r="H151" s="3" t="n"/>
      <c r="I151" s="3">
        <f>IF(ROW()=5,G151-H151,I150+G151-H151)</f>
        <v/>
      </c>
      <c r="J151" s="4" t="n">
        <v>28.3</v>
      </c>
      <c r="K151" s="4">
        <f>IFERROR((G151+H151)*J151,0)</f>
        <v/>
      </c>
      <c r="M151">
        <f>IF(A151="","", _xludf.WEEKNUM(A151, 2))</f>
        <v/>
      </c>
      <c r="N151">
        <f>IF(A151="","", "CP-" &amp; IFERROR(VLOOKUP(D151, Catalogos!$Z$4:$AA$20, 2, FALSE), "FOL") &amp; "-" &amp; _xludf.WEEKNUM(A151, 2) &amp; "-" &amp; TEXT(ROW(A147),"000"))</f>
        <v/>
      </c>
    </row>
    <row r="152">
      <c r="A152" s="17625" t="n"/>
      <c r="C152" t="inlineStr">
        <is>
          <t>Tanque Pegaso</t>
        </is>
      </c>
      <c r="F152">
        <f>VLOOKUP(TablaPegaso[[#This Row],[Equipo]],Catalogos!$V$4:$W$85,2,FALSE)</f>
        <v/>
      </c>
      <c r="G152" s="3" t="n"/>
      <c r="H152" s="3" t="n"/>
      <c r="I152" s="3">
        <f>IF(ROW()=5,G152-H152,I151+G152-H152)</f>
        <v/>
      </c>
      <c r="J152" s="4" t="n">
        <v>28.3</v>
      </c>
      <c r="K152" s="4">
        <f>IFERROR((G152+H152)*J152,0)</f>
        <v/>
      </c>
      <c r="M152">
        <f>IF(A152="","", _xludf.WEEKNUM(A152, 2))</f>
        <v/>
      </c>
      <c r="N152">
        <f>IF(A152="","", "CP-" &amp; IFERROR(VLOOKUP(D152, Catalogos!$Z$4:$AA$20, 2, FALSE), "FOL") &amp; "-" &amp; _xludf.WEEKNUM(A152, 2) &amp; "-" &amp; TEXT(ROW(A148),"000"))</f>
        <v/>
      </c>
    </row>
    <row r="153">
      <c r="A153" s="17625" t="n"/>
      <c r="C153" t="inlineStr">
        <is>
          <t>Tanque Pegaso</t>
        </is>
      </c>
      <c r="F153">
        <f>VLOOKUP(TablaPegaso[[#This Row],[Equipo]],Catalogos!$V$4:$W$85,2,FALSE)</f>
        <v/>
      </c>
      <c r="G153" s="3" t="n"/>
      <c r="H153" s="3" t="n"/>
      <c r="I153" s="3">
        <f>IF(ROW()=5,G153-H153,I152+G153-H153)</f>
        <v/>
      </c>
      <c r="J153" s="4" t="n">
        <v>28.3</v>
      </c>
      <c r="K153" s="4">
        <f>IFERROR((G153+H153)*J153,0)</f>
        <v/>
      </c>
      <c r="M153">
        <f>IF(A153="","", _xludf.WEEKNUM(A153, 2))</f>
        <v/>
      </c>
      <c r="N153">
        <f>IF(A153="","", "CP-" &amp; IFERROR(VLOOKUP(D153, Catalogos!$Z$4:$AA$20, 2, FALSE), "FOL") &amp; "-" &amp; _xludf.WEEKNUM(A153, 2) &amp; "-" &amp; TEXT(ROW(A149),"000"))</f>
        <v/>
      </c>
    </row>
    <row r="154">
      <c r="A154" s="17625" t="n"/>
      <c r="C154" t="inlineStr">
        <is>
          <t>Tanque Pegaso</t>
        </is>
      </c>
      <c r="F154">
        <f>VLOOKUP(TablaPegaso[[#This Row],[Equipo]],Catalogos!$V$4:$W$85,2,FALSE)</f>
        <v/>
      </c>
      <c r="G154" s="3" t="n"/>
      <c r="H154" s="3" t="n"/>
      <c r="I154" s="3">
        <f>IF(ROW()=5,G154-H154,I153+G154-H154)</f>
        <v/>
      </c>
      <c r="J154" s="4" t="n">
        <v>28.3</v>
      </c>
      <c r="K154" s="4">
        <f>IFERROR((G154+H154)*J154,0)</f>
        <v/>
      </c>
      <c r="M154">
        <f>IF(A154="","", _xludf.WEEKNUM(A154, 2))</f>
        <v/>
      </c>
      <c r="N154">
        <f>IF(A154="","", "CP-" &amp; IFERROR(VLOOKUP(D154, Catalogos!$Z$4:$AA$20, 2, FALSE), "FOL") &amp; "-" &amp; _xludf.WEEKNUM(A154, 2) &amp; "-" &amp; TEXT(ROW(A150),"000"))</f>
        <v/>
      </c>
    </row>
    <row r="155">
      <c r="A155" s="17625" t="n"/>
      <c r="C155" t="inlineStr">
        <is>
          <t>Tanque Pegaso</t>
        </is>
      </c>
      <c r="F155">
        <f>VLOOKUP(TablaPegaso[[#This Row],[Equipo]],Catalogos!$V$4:$W$85,2,FALSE)</f>
        <v/>
      </c>
      <c r="G155" s="3" t="n"/>
      <c r="H155" s="3" t="n"/>
      <c r="I155" s="3">
        <f>IF(ROW()=5,G155-H155,I154+G155-H155)</f>
        <v/>
      </c>
      <c r="J155" s="4" t="n">
        <v>28.3</v>
      </c>
      <c r="K155" s="4">
        <f>IFERROR((G155+H155)*J155,0)</f>
        <v/>
      </c>
      <c r="M155">
        <f>IF(A155="","", _xludf.WEEKNUM(A155, 2))</f>
        <v/>
      </c>
      <c r="N155">
        <f>IF(A155="","", "CP-" &amp; IFERROR(VLOOKUP(D155, Catalogos!$Z$4:$AA$20, 2, FALSE), "FOL") &amp; "-" &amp; _xludf.WEEKNUM(A155, 2) &amp; "-" &amp; TEXT(ROW(A151),"000"))</f>
        <v/>
      </c>
    </row>
    <row r="156">
      <c r="A156" s="17625" t="n"/>
      <c r="C156" t="inlineStr">
        <is>
          <t>Tanque Pegaso</t>
        </is>
      </c>
      <c r="F156">
        <f>VLOOKUP(TablaPegaso[[#This Row],[Equipo]],Catalogos!$V$4:$W$85,2,FALSE)</f>
        <v/>
      </c>
      <c r="G156" s="3" t="n"/>
      <c r="H156" s="3" t="n"/>
      <c r="I156" s="3">
        <f>IF(ROW()=5,G156-H156,I155+G156-H156)</f>
        <v/>
      </c>
      <c r="J156" s="4" t="n">
        <v>28.3</v>
      </c>
      <c r="K156" s="4">
        <f>IFERROR((G156+H156)*J156,0)</f>
        <v/>
      </c>
      <c r="M156">
        <f>IF(A156="","", _xludf.WEEKNUM(A156, 2))</f>
        <v/>
      </c>
      <c r="N156">
        <f>IF(A156="","", "CP-" &amp; IFERROR(VLOOKUP(D156, Catalogos!$Z$4:$AA$20, 2, FALSE), "FOL") &amp; "-" &amp; _xludf.WEEKNUM(A156, 2) &amp; "-" &amp; TEXT(ROW(A152),"000"))</f>
        <v/>
      </c>
    </row>
    <row r="157">
      <c r="A157" s="17625" t="n"/>
      <c r="C157" t="inlineStr">
        <is>
          <t>Tanque Pegaso</t>
        </is>
      </c>
      <c r="F157">
        <f>VLOOKUP(TablaPegaso[[#This Row],[Equipo]],Catalogos!$V$4:$W$85,2,FALSE)</f>
        <v/>
      </c>
      <c r="G157" s="3" t="n"/>
      <c r="H157" s="3" t="n"/>
      <c r="I157" s="3">
        <f>IF(ROW()=5,G157-H157,I156+G157-H157)</f>
        <v/>
      </c>
      <c r="J157" s="4" t="n">
        <v>28.3</v>
      </c>
      <c r="K157" s="4">
        <f>IFERROR((G157+H157)*J157,0)</f>
        <v/>
      </c>
      <c r="M157">
        <f>IF(A157="","", _xludf.WEEKNUM(A157, 2))</f>
        <v/>
      </c>
      <c r="N157">
        <f>IF(A157="","", "CP-" &amp; IFERROR(VLOOKUP(D157, Catalogos!$Z$4:$AA$20, 2, FALSE), "FOL") &amp; "-" &amp; _xludf.WEEKNUM(A157, 2) &amp; "-" &amp; TEXT(ROW(A153),"000"))</f>
        <v/>
      </c>
    </row>
    <row r="158">
      <c r="A158" s="17625" t="n"/>
      <c r="C158" t="inlineStr">
        <is>
          <t>Tanque Pegaso</t>
        </is>
      </c>
      <c r="F158">
        <f>VLOOKUP(TablaPegaso[[#This Row],[Equipo]],Catalogos!$V$4:$W$85,2,FALSE)</f>
        <v/>
      </c>
      <c r="G158" s="3" t="n"/>
      <c r="H158" s="3" t="n"/>
      <c r="I158" s="3">
        <f>IF(ROW()=5,G158-H158,I157+G158-H158)</f>
        <v/>
      </c>
      <c r="J158" s="4" t="n">
        <v>28.3</v>
      </c>
      <c r="K158" s="4">
        <f>IFERROR((G158+H158)*J158,0)</f>
        <v/>
      </c>
      <c r="M158">
        <f>IF(A158="","", _xludf.WEEKNUM(A158, 2))</f>
        <v/>
      </c>
      <c r="N158">
        <f>IF(A158="","", "CP-" &amp; IFERROR(VLOOKUP(D158, Catalogos!$Z$4:$AA$20, 2, FALSE), "FOL") &amp; "-" &amp; _xludf.WEEKNUM(A158, 2) &amp; "-" &amp; TEXT(ROW(A154),"000"))</f>
        <v/>
      </c>
    </row>
    <row r="159">
      <c r="A159" s="17625" t="n"/>
      <c r="C159" t="inlineStr">
        <is>
          <t>Tanque Pegaso</t>
        </is>
      </c>
      <c r="F159">
        <f>VLOOKUP(TablaPegaso[[#This Row],[Equipo]],Catalogos!$V$4:$W$85,2,FALSE)</f>
        <v/>
      </c>
      <c r="G159" s="3" t="n"/>
      <c r="H159" s="3" t="n"/>
      <c r="I159" s="3">
        <f>IF(ROW()=5,G159-H159,I158+G159-H159)</f>
        <v/>
      </c>
      <c r="J159" s="4" t="n">
        <v>28.3</v>
      </c>
      <c r="K159" s="4">
        <f>IFERROR((G159+H159)*J159,0)</f>
        <v/>
      </c>
      <c r="M159">
        <f>IF(A159="","", _xludf.WEEKNUM(A159, 2))</f>
        <v/>
      </c>
      <c r="N159">
        <f>IF(A159="","", "CP-" &amp; IFERROR(VLOOKUP(D159, Catalogos!$Z$4:$AA$20, 2, FALSE), "FOL") &amp; "-" &amp; _xludf.WEEKNUM(A159, 2) &amp; "-" &amp; TEXT(ROW(A155),"000"))</f>
        <v/>
      </c>
    </row>
    <row r="160">
      <c r="A160" s="17625" t="n"/>
      <c r="C160" t="inlineStr">
        <is>
          <t>Tanque Pegaso</t>
        </is>
      </c>
      <c r="F160">
        <f>VLOOKUP(TablaPegaso[[#This Row],[Equipo]],Catalogos!$V$4:$W$85,2,FALSE)</f>
        <v/>
      </c>
      <c r="G160" s="3" t="n"/>
      <c r="H160" s="3" t="n"/>
      <c r="I160" s="3">
        <f>IF(ROW()=5,G160-H160,I159+G160-H160)</f>
        <v/>
      </c>
      <c r="J160" s="4" t="n">
        <v>28.3</v>
      </c>
      <c r="K160" s="4">
        <f>IFERROR((G160+H160)*J160,0)</f>
        <v/>
      </c>
      <c r="M160">
        <f>IF(A160="","", _xludf.WEEKNUM(A160, 2))</f>
        <v/>
      </c>
      <c r="N160">
        <f>IF(A160="","", "CP-" &amp; IFERROR(VLOOKUP(D160, Catalogos!$Z$4:$AA$20, 2, FALSE), "FOL") &amp; "-" &amp; _xludf.WEEKNUM(A160, 2) &amp; "-" &amp; TEXT(ROW(A156),"000"))</f>
        <v/>
      </c>
    </row>
    <row r="161">
      <c r="A161" s="17625" t="n"/>
      <c r="C161" t="inlineStr">
        <is>
          <t>Tanque Pegaso</t>
        </is>
      </c>
      <c r="F161">
        <f>VLOOKUP(TablaPegaso[[#This Row],[Equipo]],Catalogos!$V$4:$W$85,2,FALSE)</f>
        <v/>
      </c>
      <c r="G161" s="3" t="n"/>
      <c r="H161" s="3" t="n"/>
      <c r="I161" s="3">
        <f>IF(ROW()=5,G161-H161,I160+G161-H161)</f>
        <v/>
      </c>
      <c r="J161" s="4" t="n">
        <v>28.3</v>
      </c>
      <c r="K161" s="4">
        <f>IFERROR((G161+H161)*J161,0)</f>
        <v/>
      </c>
      <c r="M161">
        <f>IF(A161="","", _xludf.WEEKNUM(A161, 2))</f>
        <v/>
      </c>
      <c r="N161">
        <f>IF(A161="","", "CP-" &amp; IFERROR(VLOOKUP(D161, Catalogos!$Z$4:$AA$20, 2, FALSE), "FOL") &amp; "-" &amp; _xludf.WEEKNUM(A161, 2) &amp; "-" &amp; TEXT(ROW(A157),"000"))</f>
        <v/>
      </c>
    </row>
    <row r="162">
      <c r="A162" s="17625" t="n"/>
      <c r="C162" t="inlineStr">
        <is>
          <t>Tanque Pegaso</t>
        </is>
      </c>
      <c r="F162">
        <f>VLOOKUP(TablaPegaso[[#This Row],[Equipo]],Catalogos!$V$4:$W$85,2,FALSE)</f>
        <v/>
      </c>
      <c r="G162" s="3" t="n"/>
      <c r="H162" s="3" t="n"/>
      <c r="I162" s="3">
        <f>IF(ROW()=5,G162-H162,I161+G162-H162)</f>
        <v/>
      </c>
      <c r="J162" s="4" t="n">
        <v>28.3</v>
      </c>
      <c r="K162" s="4">
        <f>IFERROR((G162+H162)*J162,0)</f>
        <v/>
      </c>
      <c r="M162">
        <f>IF(A162="","", _xludf.WEEKNUM(A162, 2))</f>
        <v/>
      </c>
      <c r="N162">
        <f>IF(A162="","", "CP-" &amp; IFERROR(VLOOKUP(D162, Catalogos!$Z$4:$AA$20, 2, FALSE), "FOL") &amp; "-" &amp; _xludf.WEEKNUM(A162, 2) &amp; "-" &amp; TEXT(ROW(A158),"000"))</f>
        <v/>
      </c>
    </row>
    <row r="163">
      <c r="A163" s="17625" t="n"/>
      <c r="C163" t="inlineStr">
        <is>
          <t>Tanque Pegaso</t>
        </is>
      </c>
      <c r="F163">
        <f>VLOOKUP(TablaPegaso[[#This Row],[Equipo]],Catalogos!$V$4:$W$85,2,FALSE)</f>
        <v/>
      </c>
      <c r="G163" s="3" t="n"/>
      <c r="H163" s="3" t="n"/>
      <c r="I163" s="3">
        <f>IF(ROW()=5,G163-H163,I162+G163-H163)</f>
        <v/>
      </c>
      <c r="J163" s="4" t="n">
        <v>28.3</v>
      </c>
      <c r="K163" s="4">
        <f>IFERROR((G163+H163)*J163,0)</f>
        <v/>
      </c>
      <c r="M163">
        <f>IF(A163="","", _xludf.WEEKNUM(A163, 2))</f>
        <v/>
      </c>
      <c r="N163">
        <f>IF(A163="","", "CP-" &amp; IFERROR(VLOOKUP(D163, Catalogos!$Z$4:$AA$20, 2, FALSE), "FOL") &amp; "-" &amp; _xludf.WEEKNUM(A163, 2) &amp; "-" &amp; TEXT(ROW(A159),"000"))</f>
        <v/>
      </c>
    </row>
    <row r="164">
      <c r="A164" s="17625" t="n"/>
      <c r="C164" t="inlineStr">
        <is>
          <t>Tanque Pegaso</t>
        </is>
      </c>
      <c r="F164">
        <f>VLOOKUP(TablaPegaso[[#This Row],[Equipo]],Catalogos!$V$4:$W$85,2,FALSE)</f>
        <v/>
      </c>
      <c r="G164" s="3" t="n"/>
      <c r="H164" s="3" t="n"/>
      <c r="I164" s="3">
        <f>IF(ROW()=5,G164-H164,I163+G164-H164)</f>
        <v/>
      </c>
      <c r="J164" s="4" t="n">
        <v>28.3</v>
      </c>
      <c r="K164" s="4">
        <f>IFERROR((G164+H164)*J164,0)</f>
        <v/>
      </c>
      <c r="M164">
        <f>IF(A164="","", _xludf.WEEKNUM(A164, 2))</f>
        <v/>
      </c>
      <c r="N164">
        <f>IF(A164="","", "CP-" &amp; IFERROR(VLOOKUP(D164, Catalogos!$Z$4:$AA$20, 2, FALSE), "FOL") &amp; "-" &amp; _xludf.WEEKNUM(A164, 2) &amp; "-" &amp; TEXT(ROW(A160),"000"))</f>
        <v/>
      </c>
    </row>
    <row r="165">
      <c r="A165" s="17625" t="n"/>
      <c r="C165" t="inlineStr">
        <is>
          <t>Tanque Pegaso</t>
        </is>
      </c>
      <c r="F165">
        <f>VLOOKUP(TablaPegaso[[#This Row],[Equipo]],Catalogos!$V$4:$W$85,2,FALSE)</f>
        <v/>
      </c>
      <c r="G165" s="3" t="n"/>
      <c r="H165" s="3" t="n"/>
      <c r="I165" s="3">
        <f>IF(ROW()=5,G165-H165,I164+G165-H165)</f>
        <v/>
      </c>
      <c r="J165" s="4" t="n">
        <v>28.3</v>
      </c>
      <c r="K165" s="4">
        <f>IFERROR((G165+H165)*J165,0)</f>
        <v/>
      </c>
      <c r="M165">
        <f>IF(A165="","", _xludf.WEEKNUM(A165, 2))</f>
        <v/>
      </c>
      <c r="N165">
        <f>IF(A165="","", "CP-" &amp; IFERROR(VLOOKUP(D165, Catalogos!$Z$4:$AA$20, 2, FALSE), "FOL") &amp; "-" &amp; _xludf.WEEKNUM(A165, 2) &amp; "-" &amp; TEXT(ROW(A161),"000"))</f>
        <v/>
      </c>
    </row>
    <row r="166">
      <c r="A166" s="17625" t="n"/>
      <c r="C166" t="inlineStr">
        <is>
          <t>Tanque Pegaso</t>
        </is>
      </c>
      <c r="F166">
        <f>VLOOKUP(TablaPegaso[[#This Row],[Equipo]],Catalogos!$V$4:$W$85,2,FALSE)</f>
        <v/>
      </c>
      <c r="G166" s="3" t="n"/>
      <c r="H166" s="3" t="n"/>
      <c r="I166" s="3">
        <f>IF(ROW()=5,G166-H166,I165+G166-H166)</f>
        <v/>
      </c>
      <c r="J166" s="4" t="n">
        <v>28.3</v>
      </c>
      <c r="K166" s="4">
        <f>IFERROR((G166+H166)*J166,0)</f>
        <v/>
      </c>
      <c r="M166">
        <f>IF(A166="","", _xludf.WEEKNUM(A166, 2))</f>
        <v/>
      </c>
      <c r="N166">
        <f>IF(A166="","", "CP-" &amp; IFERROR(VLOOKUP(D166, Catalogos!$Z$4:$AA$20, 2, FALSE), "FOL") &amp; "-" &amp; _xludf.WEEKNUM(A166, 2) &amp; "-" &amp; TEXT(ROW(A162),"000"))</f>
        <v/>
      </c>
    </row>
    <row r="167">
      <c r="A167" s="17625" t="n"/>
      <c r="C167" t="inlineStr">
        <is>
          <t>Tanque Pegaso</t>
        </is>
      </c>
      <c r="F167">
        <f>VLOOKUP(TablaPegaso[[#This Row],[Equipo]],Catalogos!$V$4:$W$85,2,FALSE)</f>
        <v/>
      </c>
      <c r="G167" s="3" t="n"/>
      <c r="H167" s="3" t="n"/>
      <c r="I167" s="3">
        <f>IF(ROW()=5,G167-H167,I166+G167-H167)</f>
        <v/>
      </c>
      <c r="J167" s="4" t="n">
        <v>28.3</v>
      </c>
      <c r="K167" s="4">
        <f>IFERROR((G167+H167)*J167,0)</f>
        <v/>
      </c>
      <c r="M167">
        <f>IF(A167="","", _xludf.WEEKNUM(A167, 2))</f>
        <v/>
      </c>
      <c r="N167">
        <f>IF(A167="","", "CP-" &amp; IFERROR(VLOOKUP(D167, Catalogos!$Z$4:$AA$20, 2, FALSE), "FOL") &amp; "-" &amp; _xludf.WEEKNUM(A167, 2) &amp; "-" &amp; TEXT(ROW(A163),"000"))</f>
        <v/>
      </c>
    </row>
    <row r="168">
      <c r="A168" s="17625" t="n"/>
      <c r="C168" t="inlineStr">
        <is>
          <t>Tanque Pegaso</t>
        </is>
      </c>
      <c r="F168">
        <f>VLOOKUP(TablaPegaso[[#This Row],[Equipo]],Catalogos!$V$4:$W$85,2,FALSE)</f>
        <v/>
      </c>
      <c r="G168" s="3" t="n"/>
      <c r="H168" s="3" t="n"/>
      <c r="I168" s="3">
        <f>IF(ROW()=5,G168-H168,I167+G168-H168)</f>
        <v/>
      </c>
      <c r="J168" s="4" t="n">
        <v>28.3</v>
      </c>
      <c r="K168" s="4">
        <f>IFERROR((G168+H168)*J168,0)</f>
        <v/>
      </c>
      <c r="M168">
        <f>IF(A168="","", _xludf.WEEKNUM(A168, 2))</f>
        <v/>
      </c>
      <c r="N168">
        <f>IF(A168="","", "CP-" &amp; IFERROR(VLOOKUP(D168, Catalogos!$Z$4:$AA$20, 2, FALSE), "FOL") &amp; "-" &amp; _xludf.WEEKNUM(A168, 2) &amp; "-" &amp; TEXT(ROW(A164),"000"))</f>
        <v/>
      </c>
    </row>
    <row r="169">
      <c r="A169" s="17625" t="n"/>
      <c r="C169" t="inlineStr">
        <is>
          <t>Tanque Pegaso</t>
        </is>
      </c>
      <c r="F169">
        <f>VLOOKUP(TablaPegaso[[#This Row],[Equipo]],Catalogos!$V$4:$W$85,2,FALSE)</f>
        <v/>
      </c>
      <c r="G169" s="3" t="n"/>
      <c r="H169" s="3" t="n"/>
      <c r="I169" s="3">
        <f>IF(ROW()=5,G169-H169,I168+G169-H169)</f>
        <v/>
      </c>
      <c r="J169" s="4" t="n">
        <v>28.3</v>
      </c>
      <c r="K169" s="4">
        <f>IFERROR((G169+H169)*J169,0)</f>
        <v/>
      </c>
      <c r="M169">
        <f>IF(A169="","", _xludf.WEEKNUM(A169, 2))</f>
        <v/>
      </c>
      <c r="N169">
        <f>IF(A169="","", "CP-" &amp; IFERROR(VLOOKUP(D169, Catalogos!$Z$4:$AA$20, 2, FALSE), "FOL") &amp; "-" &amp; _xludf.WEEKNUM(A169, 2) &amp; "-" &amp; TEXT(ROW(A165),"000"))</f>
        <v/>
      </c>
    </row>
    <row r="170">
      <c r="A170" s="17625" t="n"/>
      <c r="C170" t="inlineStr">
        <is>
          <t>Tanque Pegaso</t>
        </is>
      </c>
      <c r="F170">
        <f>VLOOKUP(TablaPegaso[[#This Row],[Equipo]],Catalogos!$V$4:$W$85,2,FALSE)</f>
        <v/>
      </c>
      <c r="G170" s="3" t="n"/>
      <c r="H170" s="3" t="n"/>
      <c r="I170" s="3">
        <f>IF(ROW()=5,G170-H170,I169+G170-H170)</f>
        <v/>
      </c>
      <c r="J170" s="4" t="n">
        <v>28.3</v>
      </c>
      <c r="K170" s="4">
        <f>IFERROR((G170+H170)*J170,0)</f>
        <v/>
      </c>
      <c r="M170">
        <f>IF(A170="","", _xludf.WEEKNUM(A170, 2))</f>
        <v/>
      </c>
      <c r="N170">
        <f>IF(A170="","", "CP-" &amp; IFERROR(VLOOKUP(D170, Catalogos!$Z$4:$AA$20, 2, FALSE), "FOL") &amp; "-" &amp; _xludf.WEEKNUM(A170, 2) &amp; "-" &amp; TEXT(ROW(A166),"000"))</f>
        <v/>
      </c>
    </row>
    <row r="171">
      <c r="A171" s="17625" t="n"/>
      <c r="C171" t="inlineStr">
        <is>
          <t>Tanque Pegaso</t>
        </is>
      </c>
      <c r="F171">
        <f>VLOOKUP(TablaPegaso[[#This Row],[Equipo]],Catalogos!$V$4:$W$85,2,FALSE)</f>
        <v/>
      </c>
      <c r="G171" s="3" t="n"/>
      <c r="H171" s="3" t="n"/>
      <c r="I171" s="3">
        <f>IF(ROW()=5,G171-H171,I170+G171-H171)</f>
        <v/>
      </c>
      <c r="J171" s="4" t="n">
        <v>28.3</v>
      </c>
      <c r="K171" s="4">
        <f>IFERROR((G171+H171)*J171,0)</f>
        <v/>
      </c>
      <c r="M171">
        <f>IF(A171="","", _xludf.WEEKNUM(A171, 2))</f>
        <v/>
      </c>
      <c r="N171">
        <f>IF(A171="","", "CP-" &amp; IFERROR(VLOOKUP(D171, Catalogos!$Z$4:$AA$20, 2, FALSE), "FOL") &amp; "-" &amp; _xludf.WEEKNUM(A171, 2) &amp; "-" &amp; TEXT(ROW(A167),"000"))</f>
        <v/>
      </c>
    </row>
    <row r="172">
      <c r="A172" s="17625" t="n"/>
      <c r="C172" t="inlineStr">
        <is>
          <t>Tanque Pegaso</t>
        </is>
      </c>
      <c r="F172">
        <f>VLOOKUP(TablaPegaso[[#This Row],[Equipo]],Catalogos!$V$4:$W$85,2,FALSE)</f>
        <v/>
      </c>
      <c r="G172" s="3" t="n"/>
      <c r="H172" s="3" t="n"/>
      <c r="I172" s="3">
        <f>IF(ROW()=5,G172-H172,I171+G172-H172)</f>
        <v/>
      </c>
      <c r="J172" s="4" t="n">
        <v>28.3</v>
      </c>
      <c r="K172" s="4">
        <f>IFERROR((G172+H172)*J172,0)</f>
        <v/>
      </c>
      <c r="M172">
        <f>IF(A172="","", _xludf.WEEKNUM(A172, 2))</f>
        <v/>
      </c>
      <c r="N172">
        <f>IF(A172="","", "CP-" &amp; IFERROR(VLOOKUP(D172, Catalogos!$Z$4:$AA$20, 2, FALSE), "FOL") &amp; "-" &amp; _xludf.WEEKNUM(A172, 2) &amp; "-" &amp; TEXT(ROW(A168),"000"))</f>
        <v/>
      </c>
    </row>
    <row r="173">
      <c r="A173" s="17625" t="n"/>
      <c r="C173" t="inlineStr">
        <is>
          <t>Tanque Pegaso</t>
        </is>
      </c>
      <c r="F173">
        <f>VLOOKUP(TablaPegaso[[#This Row],[Equipo]],Catalogos!$V$4:$W$85,2,FALSE)</f>
        <v/>
      </c>
      <c r="G173" s="3" t="n"/>
      <c r="H173" s="3" t="n"/>
      <c r="I173" s="3">
        <f>IF(ROW()=5,G173-H173,I172+G173-H173)</f>
        <v/>
      </c>
      <c r="J173" s="4" t="n">
        <v>28.3</v>
      </c>
      <c r="K173" s="4">
        <f>IFERROR((G173+H173)*J173,0)</f>
        <v/>
      </c>
      <c r="M173">
        <f>IF(A173="","", _xludf.WEEKNUM(A173, 2))</f>
        <v/>
      </c>
      <c r="N173">
        <f>IF(A173="","", "CP-" &amp; IFERROR(VLOOKUP(D173, Catalogos!$Z$4:$AA$20, 2, FALSE), "FOL") &amp; "-" &amp; _xludf.WEEKNUM(A173, 2) &amp; "-" &amp; TEXT(ROW(A169),"000"))</f>
        <v/>
      </c>
    </row>
    <row r="174">
      <c r="A174" s="17625" t="n"/>
      <c r="C174" t="inlineStr">
        <is>
          <t>Tanque Pegaso</t>
        </is>
      </c>
      <c r="F174">
        <f>VLOOKUP(TablaPegaso[[#This Row],[Equipo]],Catalogos!$V$4:$W$85,2,FALSE)</f>
        <v/>
      </c>
      <c r="G174" s="3" t="n"/>
      <c r="H174" s="3" t="n"/>
      <c r="I174" s="3">
        <f>IF(ROW()=5,G174-H174,I173+G174-H174)</f>
        <v/>
      </c>
      <c r="J174" s="4" t="n">
        <v>28.3</v>
      </c>
      <c r="K174" s="4">
        <f>IFERROR((G174+H174)*J174,0)</f>
        <v/>
      </c>
      <c r="M174">
        <f>IF(A174="","", _xludf.WEEKNUM(A174, 2))</f>
        <v/>
      </c>
      <c r="N174">
        <f>IF(A174="","", "CP-" &amp; IFERROR(VLOOKUP(D174, Catalogos!$Z$4:$AA$20, 2, FALSE), "FOL") &amp; "-" &amp; _xludf.WEEKNUM(A174, 2) &amp; "-" &amp; TEXT(ROW(A170),"000"))</f>
        <v/>
      </c>
    </row>
    <row r="175">
      <c r="A175" s="17625" t="n"/>
      <c r="C175" t="inlineStr">
        <is>
          <t>Tanque Pegaso</t>
        </is>
      </c>
      <c r="F175">
        <f>VLOOKUP(TablaPegaso[[#This Row],[Equipo]],Catalogos!$V$4:$W$85,2,FALSE)</f>
        <v/>
      </c>
      <c r="G175" s="3" t="n"/>
      <c r="H175" s="3" t="n"/>
      <c r="I175" s="3">
        <f>IF(ROW()=5,G175-H175,I174+G175-H175)</f>
        <v/>
      </c>
      <c r="J175" s="4" t="n">
        <v>28.3</v>
      </c>
      <c r="K175" s="4">
        <f>IFERROR((G175+H175)*J175,0)</f>
        <v/>
      </c>
      <c r="M175">
        <f>IF(A175="","", _xludf.WEEKNUM(A175, 2))</f>
        <v/>
      </c>
      <c r="N175">
        <f>IF(A175="","", "CP-" &amp; IFERROR(VLOOKUP(D175, Catalogos!$Z$4:$AA$20, 2, FALSE), "FOL") &amp; "-" &amp; _xludf.WEEKNUM(A175, 2) &amp; "-" &amp; TEXT(ROW(A171),"000"))</f>
        <v/>
      </c>
    </row>
    <row r="176">
      <c r="A176" s="17625" t="n"/>
      <c r="C176" t="inlineStr">
        <is>
          <t>Tanque Pegaso</t>
        </is>
      </c>
      <c r="F176">
        <f>VLOOKUP(TablaPegaso[[#This Row],[Equipo]],Catalogos!$V$4:$W$85,2,FALSE)</f>
        <v/>
      </c>
      <c r="G176" s="3" t="n"/>
      <c r="H176" s="3" t="n"/>
      <c r="I176" s="3">
        <f>IF(ROW()=5,G176-H176,I175+G176-H176)</f>
        <v/>
      </c>
      <c r="J176" s="4" t="n">
        <v>28.3</v>
      </c>
      <c r="K176" s="4">
        <f>IFERROR((G176+H176)*J176,0)</f>
        <v/>
      </c>
      <c r="M176">
        <f>IF(A176="","", _xludf.WEEKNUM(A176, 2))</f>
        <v/>
      </c>
      <c r="N176">
        <f>IF(A176="","", "CP-" &amp; IFERROR(VLOOKUP(D176, Catalogos!$Z$4:$AA$20, 2, FALSE), "FOL") &amp; "-" &amp; _xludf.WEEKNUM(A176, 2) &amp; "-" &amp; TEXT(ROW(A172),"000"))</f>
        <v/>
      </c>
    </row>
    <row r="177">
      <c r="A177" s="17625" t="n"/>
      <c r="C177" t="inlineStr">
        <is>
          <t>Tanque Pegaso</t>
        </is>
      </c>
      <c r="F177">
        <f>VLOOKUP(TablaPegaso[[#This Row],[Equipo]],Catalogos!$V$4:$W$85,2,FALSE)</f>
        <v/>
      </c>
      <c r="G177" s="3" t="n"/>
      <c r="H177" s="3" t="n"/>
      <c r="I177" s="3">
        <f>IF(ROW()=5,G177-H177,I176+G177-H177)</f>
        <v/>
      </c>
      <c r="J177" s="4" t="n">
        <v>28.3</v>
      </c>
      <c r="K177" s="4">
        <f>IFERROR((G177+H177)*J177,0)</f>
        <v/>
      </c>
      <c r="M177">
        <f>IF(A177="","", _xludf.WEEKNUM(A177, 2))</f>
        <v/>
      </c>
      <c r="N177">
        <f>IF(A177="","", "CP-" &amp; IFERROR(VLOOKUP(D177, Catalogos!$Z$4:$AA$20, 2, FALSE), "FOL") &amp; "-" &amp; _xludf.WEEKNUM(A177, 2) &amp; "-" &amp; TEXT(ROW(A173),"000"))</f>
        <v/>
      </c>
    </row>
    <row r="178">
      <c r="A178" s="17625" t="n"/>
      <c r="C178" t="inlineStr">
        <is>
          <t>Tanque Pegaso</t>
        </is>
      </c>
      <c r="F178">
        <f>VLOOKUP(TablaPegaso[[#This Row],[Equipo]],Catalogos!$V$4:$W$85,2,FALSE)</f>
        <v/>
      </c>
      <c r="G178" s="3" t="n"/>
      <c r="H178" s="3" t="n"/>
      <c r="I178" s="3">
        <f>IF(ROW()=5,G178-H178,I177+G178-H178)</f>
        <v/>
      </c>
      <c r="J178" s="4" t="n">
        <v>28.3</v>
      </c>
      <c r="K178" s="4">
        <f>IFERROR((G178+H178)*J178,0)</f>
        <v/>
      </c>
      <c r="M178">
        <f>IF(A178="","", _xludf.WEEKNUM(A178, 2))</f>
        <v/>
      </c>
      <c r="N178">
        <f>IF(A178="","", "CP-" &amp; IFERROR(VLOOKUP(D178, Catalogos!$Z$4:$AA$20, 2, FALSE), "FOL") &amp; "-" &amp; _xludf.WEEKNUM(A178, 2) &amp; "-" &amp; TEXT(ROW(A174),"000"))</f>
        <v/>
      </c>
    </row>
    <row r="179">
      <c r="A179" s="17625" t="n"/>
      <c r="C179" t="inlineStr">
        <is>
          <t>Tanque Pegaso</t>
        </is>
      </c>
      <c r="F179">
        <f>VLOOKUP(TablaPegaso[[#This Row],[Equipo]],Catalogos!$V$4:$W$85,2,FALSE)</f>
        <v/>
      </c>
      <c r="G179" s="3" t="n"/>
      <c r="H179" s="3" t="n"/>
      <c r="I179" s="3">
        <f>IF(ROW()=5,G179-H179,I178+G179-H179)</f>
        <v/>
      </c>
      <c r="J179" s="4" t="n">
        <v>28.3</v>
      </c>
      <c r="K179" s="4">
        <f>IFERROR((G179+H179)*J179,0)</f>
        <v/>
      </c>
      <c r="M179">
        <f>IF(A179="","", _xludf.WEEKNUM(A179, 2))</f>
        <v/>
      </c>
      <c r="N179">
        <f>IF(A179="","", "CP-" &amp; IFERROR(VLOOKUP(D179, Catalogos!$Z$4:$AA$20, 2, FALSE), "FOL") &amp; "-" &amp; _xludf.WEEKNUM(A179, 2) &amp; "-" &amp; TEXT(ROW(A175),"000"))</f>
        <v/>
      </c>
    </row>
    <row r="180">
      <c r="A180" s="17625" t="n"/>
      <c r="C180" t="inlineStr">
        <is>
          <t>Tanque Pegaso</t>
        </is>
      </c>
      <c r="F180">
        <f>VLOOKUP(TablaPegaso[[#This Row],[Equipo]],Catalogos!$V$4:$W$85,2,FALSE)</f>
        <v/>
      </c>
      <c r="G180" s="3" t="n"/>
      <c r="H180" s="3" t="n"/>
      <c r="I180" s="3">
        <f>IF(ROW()=5,G180-H180,I179+G180-H180)</f>
        <v/>
      </c>
      <c r="J180" s="4" t="n">
        <v>28.3</v>
      </c>
      <c r="K180" s="4">
        <f>IFERROR((G180+H180)*J180,0)</f>
        <v/>
      </c>
      <c r="M180">
        <f>IF(A180="","", _xludf.WEEKNUM(A180, 2))</f>
        <v/>
      </c>
      <c r="N180">
        <f>IF(A180="","", "CP-" &amp; IFERROR(VLOOKUP(D180, Catalogos!$Z$4:$AA$20, 2, FALSE), "FOL") &amp; "-" &amp; _xludf.WEEKNUM(A180, 2) &amp; "-" &amp; TEXT(ROW(A176),"000"))</f>
        <v/>
      </c>
    </row>
    <row r="181">
      <c r="A181" s="17625" t="n"/>
      <c r="C181" t="inlineStr">
        <is>
          <t>Tanque Pegaso</t>
        </is>
      </c>
      <c r="F181">
        <f>VLOOKUP(TablaPegaso[[#This Row],[Equipo]],Catalogos!$V$4:$W$85,2,FALSE)</f>
        <v/>
      </c>
      <c r="G181" s="3" t="n"/>
      <c r="H181" s="3" t="n"/>
      <c r="I181" s="3">
        <f>IF(ROW()=5,G181-H181,I180+G181-H181)</f>
        <v/>
      </c>
      <c r="J181" s="4" t="n">
        <v>28.3</v>
      </c>
      <c r="K181" s="4">
        <f>IFERROR((G181+H181)*J181,0)</f>
        <v/>
      </c>
      <c r="M181">
        <f>IF(A181="","", _xludf.WEEKNUM(A181, 2))</f>
        <v/>
      </c>
      <c r="N181">
        <f>IF(A181="","", "CP-" &amp; IFERROR(VLOOKUP(D181, Catalogos!$Z$4:$AA$20, 2, FALSE), "FOL") &amp; "-" &amp; _xludf.WEEKNUM(A181, 2) &amp; "-" &amp; TEXT(ROW(A177),"000"))</f>
        <v/>
      </c>
    </row>
    <row r="182">
      <c r="A182" s="17625" t="n"/>
      <c r="C182" t="inlineStr">
        <is>
          <t>Tanque Pegaso</t>
        </is>
      </c>
      <c r="F182">
        <f>VLOOKUP(TablaPegaso[[#This Row],[Equipo]],Catalogos!$V$4:$W$85,2,FALSE)</f>
        <v/>
      </c>
      <c r="G182" s="3" t="n"/>
      <c r="H182" s="3" t="n"/>
      <c r="I182" s="3">
        <f>IF(ROW()=5,G182-H182,I181+G182-H182)</f>
        <v/>
      </c>
      <c r="J182" s="4" t="n">
        <v>28.3</v>
      </c>
      <c r="K182" s="4">
        <f>IFERROR((G182+H182)*J182,0)</f>
        <v/>
      </c>
      <c r="M182">
        <f>IF(A182="","", _xludf.WEEKNUM(A182, 2))</f>
        <v/>
      </c>
      <c r="N182">
        <f>IF(A182="","", "CP-" &amp; IFERROR(VLOOKUP(D182, Catalogos!$Z$4:$AA$20, 2, FALSE), "FOL") &amp; "-" &amp; _xludf.WEEKNUM(A182, 2) &amp; "-" &amp; TEXT(ROW(A178),"000"))</f>
        <v/>
      </c>
    </row>
    <row r="183">
      <c r="A183" s="17625" t="n"/>
      <c r="C183" t="inlineStr">
        <is>
          <t>Tanque Pegaso</t>
        </is>
      </c>
      <c r="F183">
        <f>VLOOKUP(TablaPegaso[[#This Row],[Equipo]],Catalogos!$V$4:$W$85,2,FALSE)</f>
        <v/>
      </c>
      <c r="G183" s="3" t="n"/>
      <c r="H183" s="3" t="n"/>
      <c r="I183" s="3">
        <f>IF(ROW()=5,G183-H183,I182+G183-H183)</f>
        <v/>
      </c>
      <c r="J183" s="4" t="n">
        <v>28.3</v>
      </c>
      <c r="K183" s="4">
        <f>IFERROR((G183+H183)*J183,0)</f>
        <v/>
      </c>
      <c r="M183">
        <f>IF(A183="","", _xludf.WEEKNUM(A183, 2))</f>
        <v/>
      </c>
      <c r="N183">
        <f>IF(A183="","", "CP-" &amp; IFERROR(VLOOKUP(D183, Catalogos!$Z$4:$AA$20, 2, FALSE), "FOL") &amp; "-" &amp; _xludf.WEEKNUM(A183, 2) &amp; "-" &amp; TEXT(ROW(A179),"000"))</f>
        <v/>
      </c>
    </row>
    <row r="184">
      <c r="A184" s="17625" t="n"/>
      <c r="C184" t="inlineStr">
        <is>
          <t>Tanque Pegaso</t>
        </is>
      </c>
      <c r="F184">
        <f>VLOOKUP(TablaPegaso[[#This Row],[Equipo]],Catalogos!$V$4:$W$85,2,FALSE)</f>
        <v/>
      </c>
      <c r="G184" s="3" t="n"/>
      <c r="H184" s="3" t="n"/>
      <c r="I184" s="3">
        <f>IF(ROW()=5,G184-H184,I183+G184-H184)</f>
        <v/>
      </c>
      <c r="J184" s="4" t="n">
        <v>28.3</v>
      </c>
      <c r="K184" s="4">
        <f>IFERROR((G184+H184)*J184,0)</f>
        <v/>
      </c>
      <c r="M184">
        <f>IF(A184="","", _xludf.WEEKNUM(A184, 2))</f>
        <v/>
      </c>
      <c r="N184">
        <f>IF(A184="","", "CP-" &amp; IFERROR(VLOOKUP(D184, Catalogos!$Z$4:$AA$20, 2, FALSE), "FOL") &amp; "-" &amp; _xludf.WEEKNUM(A184, 2) &amp; "-" &amp; TEXT(ROW(A180),"000"))</f>
        <v/>
      </c>
    </row>
    <row r="185">
      <c r="A185" s="17625" t="n"/>
      <c r="C185" t="inlineStr">
        <is>
          <t>Tanque Pegaso</t>
        </is>
      </c>
      <c r="F185">
        <f>VLOOKUP(TablaPegaso[[#This Row],[Equipo]],Catalogos!$V$4:$W$85,2,FALSE)</f>
        <v/>
      </c>
      <c r="G185" s="3" t="n"/>
      <c r="H185" s="3" t="n"/>
      <c r="I185" s="3">
        <f>IF(ROW()=5,G185-H185,I184+G185-H185)</f>
        <v/>
      </c>
      <c r="J185" s="4" t="n">
        <v>28.3</v>
      </c>
      <c r="K185" s="4">
        <f>IFERROR((G185+H185)*J185,0)</f>
        <v/>
      </c>
      <c r="M185">
        <f>IF(A185="","", _xludf.WEEKNUM(A185, 2))</f>
        <v/>
      </c>
      <c r="N185">
        <f>IF(A185="","", "CP-" &amp; IFERROR(VLOOKUP(D185, Catalogos!$Z$4:$AA$20, 2, FALSE), "FOL") &amp; "-" &amp; _xludf.WEEKNUM(A185, 2) &amp; "-" &amp; TEXT(ROW(A181),"000"))</f>
        <v/>
      </c>
    </row>
    <row r="186">
      <c r="A186" s="17625" t="n"/>
      <c r="C186" t="inlineStr">
        <is>
          <t>Tanque Pegaso</t>
        </is>
      </c>
      <c r="F186">
        <f>VLOOKUP(TablaPegaso[[#This Row],[Equipo]],Catalogos!$V$4:$W$85,2,FALSE)</f>
        <v/>
      </c>
      <c r="G186" s="3" t="n"/>
      <c r="H186" s="3" t="n"/>
      <c r="I186" s="3">
        <f>IF(ROW()=5,G186-H186,I185+G186-H186)</f>
        <v/>
      </c>
      <c r="J186" s="4" t="n">
        <v>28.3</v>
      </c>
      <c r="K186" s="4">
        <f>IFERROR((G186+H186)*J186,0)</f>
        <v/>
      </c>
      <c r="M186">
        <f>IF(A186="","", _xludf.WEEKNUM(A186, 2))</f>
        <v/>
      </c>
      <c r="N186">
        <f>IF(A186="","", "CP-" &amp; IFERROR(VLOOKUP(D186, Catalogos!$Z$4:$AA$20, 2, FALSE), "FOL") &amp; "-" &amp; _xludf.WEEKNUM(A186, 2) &amp; "-" &amp; TEXT(ROW(A182),"000"))</f>
        <v/>
      </c>
    </row>
    <row r="187">
      <c r="A187" s="17625" t="n"/>
      <c r="C187" t="inlineStr">
        <is>
          <t>Tanque Pegaso</t>
        </is>
      </c>
      <c r="F187">
        <f>VLOOKUP(TablaPegaso[[#This Row],[Equipo]],Catalogos!$V$4:$W$85,2,FALSE)</f>
        <v/>
      </c>
      <c r="G187" s="3" t="n"/>
      <c r="H187" s="3" t="n"/>
      <c r="I187" s="3">
        <f>IF(ROW()=5,G187-H187,I186+G187-H187)</f>
        <v/>
      </c>
      <c r="J187" s="4" t="n">
        <v>28.3</v>
      </c>
      <c r="K187" s="4">
        <f>IFERROR((G187+H187)*J187,0)</f>
        <v/>
      </c>
      <c r="M187">
        <f>IF(A187="","", _xludf.WEEKNUM(A187, 2))</f>
        <v/>
      </c>
      <c r="N187">
        <f>IF(A187="","", "CP-" &amp; IFERROR(VLOOKUP(D187, Catalogos!$Z$4:$AA$20, 2, FALSE), "FOL") &amp; "-" &amp; _xludf.WEEKNUM(A187, 2) &amp; "-" &amp; TEXT(ROW(A183),"000"))</f>
        <v/>
      </c>
    </row>
    <row r="188">
      <c r="A188" s="17625" t="n"/>
      <c r="C188" t="inlineStr">
        <is>
          <t>Tanque Pegaso</t>
        </is>
      </c>
      <c r="F188">
        <f>VLOOKUP(TablaPegaso[[#This Row],[Equipo]],Catalogos!$V$4:$W$85,2,FALSE)</f>
        <v/>
      </c>
      <c r="G188" s="3" t="n"/>
      <c r="H188" s="3" t="n"/>
      <c r="I188" s="3">
        <f>IF(ROW()=5,G188-H188,I187+G188-H188)</f>
        <v/>
      </c>
      <c r="J188" s="4" t="n">
        <v>28.3</v>
      </c>
      <c r="K188" s="4">
        <f>IFERROR((G188+H188)*J188,0)</f>
        <v/>
      </c>
      <c r="M188">
        <f>IF(A188="","", _xludf.WEEKNUM(A188, 2))</f>
        <v/>
      </c>
      <c r="N188">
        <f>IF(A188="","", "CP-" &amp; IFERROR(VLOOKUP(D188, Catalogos!$Z$4:$AA$20, 2, FALSE), "FOL") &amp; "-" &amp; _xludf.WEEKNUM(A188, 2) &amp; "-" &amp; TEXT(ROW(A184),"000"))</f>
        <v/>
      </c>
    </row>
    <row r="189">
      <c r="A189" s="17625" t="n"/>
      <c r="C189" t="inlineStr">
        <is>
          <t>Tanque Pegaso</t>
        </is>
      </c>
      <c r="F189">
        <f>VLOOKUP(TablaPegaso[[#This Row],[Equipo]],Catalogos!$V$4:$W$85,2,FALSE)</f>
        <v/>
      </c>
      <c r="G189" s="3" t="n"/>
      <c r="H189" s="3" t="n"/>
      <c r="I189" s="3">
        <f>IF(ROW()=5,G189-H189,I188+G189-H189)</f>
        <v/>
      </c>
      <c r="J189" s="4" t="n">
        <v>28.3</v>
      </c>
      <c r="K189" s="4">
        <f>IFERROR((G189+H189)*J189,0)</f>
        <v/>
      </c>
      <c r="M189">
        <f>IF(A189="","", _xludf.WEEKNUM(A189, 2))</f>
        <v/>
      </c>
      <c r="N189">
        <f>IF(A189="","", "CP-" &amp; IFERROR(VLOOKUP(D189, Catalogos!$Z$4:$AA$20, 2, FALSE), "FOL") &amp; "-" &amp; _xludf.WEEKNUM(A189, 2) &amp; "-" &amp; TEXT(ROW(A185),"000"))</f>
        <v/>
      </c>
    </row>
    <row r="190">
      <c r="A190" s="17625" t="n"/>
      <c r="C190" t="inlineStr">
        <is>
          <t>Tanque Pegaso</t>
        </is>
      </c>
      <c r="F190">
        <f>VLOOKUP(TablaPegaso[[#This Row],[Equipo]],Catalogos!$V$4:$W$85,2,FALSE)</f>
        <v/>
      </c>
      <c r="G190" s="3" t="n"/>
      <c r="H190" s="3" t="n"/>
      <c r="I190" s="3">
        <f>IF(ROW()=5,G190-H190,I189+G190-H190)</f>
        <v/>
      </c>
      <c r="J190" s="4" t="n">
        <v>28.3</v>
      </c>
      <c r="K190" s="4">
        <f>IFERROR((G190+H190)*J190,0)</f>
        <v/>
      </c>
      <c r="M190">
        <f>IF(A190="","", _xludf.WEEKNUM(A190, 2))</f>
        <v/>
      </c>
      <c r="N190">
        <f>IF(A190="","", "CP-" &amp; IFERROR(VLOOKUP(D190, Catalogos!$Z$4:$AA$20, 2, FALSE), "FOL") &amp; "-" &amp; _xludf.WEEKNUM(A190, 2) &amp; "-" &amp; TEXT(ROW(A186),"000"))</f>
        <v/>
      </c>
    </row>
    <row r="191">
      <c r="A191" s="17625" t="n"/>
      <c r="C191" t="inlineStr">
        <is>
          <t>Tanque Pegaso</t>
        </is>
      </c>
      <c r="F191">
        <f>VLOOKUP(TablaPegaso[[#This Row],[Equipo]],Catalogos!$V$4:$W$85,2,FALSE)</f>
        <v/>
      </c>
      <c r="G191" s="3" t="n"/>
      <c r="H191" s="3" t="n"/>
      <c r="I191" s="3">
        <f>IF(ROW()=5,G191-H191,I190+G191-H191)</f>
        <v/>
      </c>
      <c r="J191" s="4" t="n">
        <v>28.3</v>
      </c>
      <c r="K191" s="4">
        <f>IFERROR((G191+H191)*J191,0)</f>
        <v/>
      </c>
      <c r="M191">
        <f>IF(A191="","", _xludf.WEEKNUM(A191, 2))</f>
        <v/>
      </c>
      <c r="N191">
        <f>IF(A191="","", "CP-" &amp; IFERROR(VLOOKUP(D191, Catalogos!$Z$4:$AA$20, 2, FALSE), "FOL") &amp; "-" &amp; _xludf.WEEKNUM(A191, 2) &amp; "-" &amp; TEXT(ROW(A187),"000"))</f>
        <v/>
      </c>
    </row>
    <row r="192">
      <c r="A192" s="17625" t="n"/>
      <c r="C192" t="inlineStr">
        <is>
          <t>Tanque Pegaso</t>
        </is>
      </c>
      <c r="F192">
        <f>VLOOKUP(TablaPegaso[[#This Row],[Equipo]],Catalogos!$V$4:$W$85,2,FALSE)</f>
        <v/>
      </c>
      <c r="G192" s="3" t="n"/>
      <c r="H192" s="3" t="n"/>
      <c r="I192" s="3">
        <f>IF(ROW()=5,G192-H192,I191+G192-H192)</f>
        <v/>
      </c>
      <c r="J192" s="4" t="n">
        <v>28.3</v>
      </c>
      <c r="K192" s="4">
        <f>IFERROR((G192+H192)*J192,0)</f>
        <v/>
      </c>
      <c r="M192">
        <f>IF(A192="","", _xludf.WEEKNUM(A192, 2))</f>
        <v/>
      </c>
      <c r="N192">
        <f>IF(A192="","", "CP-" &amp; IFERROR(VLOOKUP(D192, Catalogos!$Z$4:$AA$20, 2, FALSE), "FOL") &amp; "-" &amp; _xludf.WEEKNUM(A192, 2) &amp; "-" &amp; TEXT(ROW(A188),"000"))</f>
        <v/>
      </c>
    </row>
    <row r="193">
      <c r="A193" s="17625" t="n"/>
      <c r="C193" t="inlineStr">
        <is>
          <t>Tanque Pegaso</t>
        </is>
      </c>
      <c r="F193">
        <f>VLOOKUP(TablaPegaso[[#This Row],[Equipo]],Catalogos!$V$4:$W$85,2,FALSE)</f>
        <v/>
      </c>
      <c r="G193" s="3" t="n"/>
      <c r="H193" s="3" t="n"/>
      <c r="I193" s="3">
        <f>IF(ROW()=5,G193-H193,I192+G193-H193)</f>
        <v/>
      </c>
      <c r="J193" s="4" t="n">
        <v>28.3</v>
      </c>
      <c r="K193" s="4">
        <f>IFERROR((G193+H193)*J193,0)</f>
        <v/>
      </c>
      <c r="M193">
        <f>IF(A193="","", _xludf.WEEKNUM(A193, 2))</f>
        <v/>
      </c>
      <c r="N193">
        <f>IF(A193="","", "CP-" &amp; IFERROR(VLOOKUP(D193, Catalogos!$Z$4:$AA$20, 2, FALSE), "FOL") &amp; "-" &amp; _xludf.WEEKNUM(A193, 2) &amp; "-" &amp; TEXT(ROW(A189),"000"))</f>
        <v/>
      </c>
    </row>
    <row r="194">
      <c r="A194" s="17625" t="n"/>
      <c r="C194" t="inlineStr">
        <is>
          <t>Tanque Pegaso</t>
        </is>
      </c>
      <c r="F194">
        <f>VLOOKUP(TablaPegaso[[#This Row],[Equipo]],Catalogos!$V$4:$W$85,2,FALSE)</f>
        <v/>
      </c>
      <c r="G194" s="3" t="n"/>
      <c r="H194" s="3" t="n"/>
      <c r="I194" s="3">
        <f>IF(ROW()=5,G194-H194,I193+G194-H194)</f>
        <v/>
      </c>
      <c r="J194" s="4" t="n">
        <v>28.3</v>
      </c>
      <c r="K194" s="4">
        <f>IFERROR((G194+H194)*J194,0)</f>
        <v/>
      </c>
      <c r="M194">
        <f>IF(A194="","", _xludf.WEEKNUM(A194, 2))</f>
        <v/>
      </c>
      <c r="N194">
        <f>IF(A194="","", "CP-" &amp; IFERROR(VLOOKUP(D194, Catalogos!$Z$4:$AA$20, 2, FALSE), "FOL") &amp; "-" &amp; _xludf.WEEKNUM(A194, 2) &amp; "-" &amp; TEXT(ROW(A190),"000"))</f>
        <v/>
      </c>
    </row>
    <row r="195">
      <c r="A195" s="17625" t="n"/>
      <c r="C195" t="inlineStr">
        <is>
          <t>Tanque Pegaso</t>
        </is>
      </c>
      <c r="F195">
        <f>VLOOKUP(TablaPegaso[[#This Row],[Equipo]],Catalogos!$V$4:$W$85,2,FALSE)</f>
        <v/>
      </c>
      <c r="G195" s="3" t="n"/>
      <c r="H195" s="3" t="n"/>
      <c r="I195" s="3">
        <f>IF(ROW()=5,G195-H195,I194+G195-H195)</f>
        <v/>
      </c>
      <c r="J195" s="4" t="n">
        <v>28.3</v>
      </c>
      <c r="K195" s="4">
        <f>IFERROR((G195+H195)*J195,0)</f>
        <v/>
      </c>
      <c r="M195">
        <f>IF(A195="","", _xludf.WEEKNUM(A195, 2))</f>
        <v/>
      </c>
      <c r="N195">
        <f>IF(A195="","", "CP-" &amp; IFERROR(VLOOKUP(D195, Catalogos!$Z$4:$AA$20, 2, FALSE), "FOL") &amp; "-" &amp; _xludf.WEEKNUM(A195, 2) &amp; "-" &amp; TEXT(ROW(A191),"000"))</f>
        <v/>
      </c>
    </row>
    <row r="196">
      <c r="A196" s="17625" t="n"/>
      <c r="C196" t="inlineStr">
        <is>
          <t>Tanque Pegaso</t>
        </is>
      </c>
      <c r="F196">
        <f>VLOOKUP(TablaPegaso[[#This Row],[Equipo]],Catalogos!$V$4:$W$85,2,FALSE)</f>
        <v/>
      </c>
      <c r="G196" s="3" t="n"/>
      <c r="H196" s="3" t="n"/>
      <c r="I196" s="3">
        <f>IF(ROW()=5,G196-H196,I195+G196-H196)</f>
        <v/>
      </c>
      <c r="J196" s="4" t="n">
        <v>28.3</v>
      </c>
      <c r="K196" s="4">
        <f>IFERROR((G196+H196)*J196,0)</f>
        <v/>
      </c>
      <c r="M196">
        <f>IF(A196="","", _xludf.WEEKNUM(A196, 2))</f>
        <v/>
      </c>
      <c r="N196">
        <f>IF(A196="","", "CP-" &amp; IFERROR(VLOOKUP(D196, Catalogos!$Z$4:$AA$20, 2, FALSE), "FOL") &amp; "-" &amp; _xludf.WEEKNUM(A196, 2) &amp; "-" &amp; TEXT(ROW(A192),"000"))</f>
        <v/>
      </c>
    </row>
    <row r="197">
      <c r="A197" s="17625" t="n"/>
      <c r="C197" t="inlineStr">
        <is>
          <t>Tanque Pegaso</t>
        </is>
      </c>
      <c r="F197">
        <f>VLOOKUP(TablaPegaso[[#This Row],[Equipo]],Catalogos!$V$4:$W$85,2,FALSE)</f>
        <v/>
      </c>
      <c r="G197" s="3" t="n"/>
      <c r="H197" s="3" t="n"/>
      <c r="I197" s="3">
        <f>IF(ROW()=5,G197-H197,I196+G197-H197)</f>
        <v/>
      </c>
      <c r="J197" s="4" t="n">
        <v>28.3</v>
      </c>
      <c r="K197" s="4">
        <f>IFERROR((G197+H197)*J197,0)</f>
        <v/>
      </c>
      <c r="M197">
        <f>IF(A197="","", _xludf.WEEKNUM(A197, 2))</f>
        <v/>
      </c>
      <c r="N197">
        <f>IF(A197="","", "CP-" &amp; IFERROR(VLOOKUP(D197, Catalogos!$Z$4:$AA$20, 2, FALSE), "FOL") &amp; "-" &amp; _xludf.WEEKNUM(A197, 2) &amp; "-" &amp; TEXT(ROW(A193),"000"))</f>
        <v/>
      </c>
    </row>
    <row r="198">
      <c r="A198" s="17625" t="n"/>
      <c r="C198" t="inlineStr">
        <is>
          <t>Tanque Pegaso</t>
        </is>
      </c>
      <c r="F198">
        <f>VLOOKUP(TablaPegaso[[#This Row],[Equipo]],Catalogos!$V$4:$W$85,2,FALSE)</f>
        <v/>
      </c>
      <c r="G198" s="3" t="n"/>
      <c r="H198" s="3" t="n"/>
      <c r="I198" s="3">
        <f>IF(ROW()=5,G198-H198,I197+G198-H198)</f>
        <v/>
      </c>
      <c r="J198" s="4" t="n">
        <v>28.3</v>
      </c>
      <c r="K198" s="4">
        <f>IFERROR((G198+H198)*J198,0)</f>
        <v/>
      </c>
      <c r="M198">
        <f>IF(A198="","", _xludf.WEEKNUM(A198, 2))</f>
        <v/>
      </c>
      <c r="N198">
        <f>IF(A198="","", "CP-" &amp; IFERROR(VLOOKUP(D198, Catalogos!$Z$4:$AA$20, 2, FALSE), "FOL") &amp; "-" &amp; _xludf.WEEKNUM(A198, 2) &amp; "-" &amp; TEXT(ROW(A194),"000"))</f>
        <v/>
      </c>
    </row>
    <row r="199">
      <c r="A199" s="17625" t="n"/>
      <c r="C199" t="inlineStr">
        <is>
          <t>Tanque Pegaso</t>
        </is>
      </c>
      <c r="F199">
        <f>VLOOKUP(TablaPegaso[[#This Row],[Equipo]],Catalogos!$V$4:$W$85,2,FALSE)</f>
        <v/>
      </c>
      <c r="G199" s="3" t="n"/>
      <c r="H199" s="3" t="n"/>
      <c r="I199" s="3">
        <f>IF(ROW()=5,G199-H199,I198+G199-H199)</f>
        <v/>
      </c>
      <c r="J199" s="4" t="n">
        <v>28.3</v>
      </c>
      <c r="K199" s="4">
        <f>IFERROR((G199+H199)*J199,0)</f>
        <v/>
      </c>
      <c r="M199">
        <f>IF(A199="","", _xludf.WEEKNUM(A199, 2))</f>
        <v/>
      </c>
      <c r="N199">
        <f>IF(A199="","", "CP-" &amp; IFERROR(VLOOKUP(D199, Catalogos!$Z$4:$AA$20, 2, FALSE), "FOL") &amp; "-" &amp; _xludf.WEEKNUM(A199, 2) &amp; "-" &amp; TEXT(ROW(A195),"000"))</f>
        <v/>
      </c>
    </row>
    <row r="200">
      <c r="A200" s="17625" t="n"/>
      <c r="C200" t="inlineStr">
        <is>
          <t>Tanque Pegaso</t>
        </is>
      </c>
      <c r="F200">
        <f>VLOOKUP(TablaPegaso[[#This Row],[Equipo]],Catalogos!$V$4:$W$85,2,FALSE)</f>
        <v/>
      </c>
      <c r="G200" s="3" t="n"/>
      <c r="H200" s="3" t="n"/>
      <c r="I200" s="3">
        <f>IF(ROW()=5,G200-H200,I199+G200-H200)</f>
        <v/>
      </c>
      <c r="J200" s="4" t="n">
        <v>28.3</v>
      </c>
      <c r="K200" s="4">
        <f>IFERROR((G200+H200)*J200,0)</f>
        <v/>
      </c>
      <c r="M200">
        <f>IF(A200="","", _xludf.WEEKNUM(A200, 2))</f>
        <v/>
      </c>
      <c r="N200">
        <f>IF(A200="","", "CP-" &amp; IFERROR(VLOOKUP(D200, Catalogos!$Z$4:$AA$20, 2, FALSE), "FOL") &amp; "-" &amp; _xludf.WEEKNUM(A200, 2) &amp; "-" &amp; TEXT(ROW(A196),"000"))</f>
        <v/>
      </c>
    </row>
    <row r="201">
      <c r="A201" s="17625" t="n"/>
      <c r="C201" t="inlineStr">
        <is>
          <t>Tanque Pegaso</t>
        </is>
      </c>
      <c r="F201">
        <f>VLOOKUP(TablaPegaso[[#This Row],[Equipo]],Catalogos!$V$4:$W$85,2,FALSE)</f>
        <v/>
      </c>
      <c r="G201" s="3" t="n"/>
      <c r="H201" s="3" t="n"/>
      <c r="I201" s="3">
        <f>IF(ROW()=5,G201-H201,I200+G201-H201)</f>
        <v/>
      </c>
      <c r="J201" s="4" t="n">
        <v>28.3</v>
      </c>
      <c r="K201" s="4">
        <f>IFERROR((G201+H201)*J201,0)</f>
        <v/>
      </c>
      <c r="M201">
        <f>IF(A201="","", _xludf.WEEKNUM(A201, 2))</f>
        <v/>
      </c>
    </row>
    <row r="202">
      <c r="A202" s="17625" t="n"/>
      <c r="C202" t="inlineStr">
        <is>
          <t>Tanque Pegaso</t>
        </is>
      </c>
      <c r="F202">
        <f>VLOOKUP(TablaPegaso[[#This Row],[Equipo]],Catalogos!$V$4:$W$85,2,FALSE)</f>
        <v/>
      </c>
      <c r="G202" s="3" t="n"/>
      <c r="H202" s="3" t="n"/>
      <c r="I202" s="3">
        <f>IF(ROW()=5,G202-H202,I201+G202-H202)</f>
        <v/>
      </c>
      <c r="J202" s="4" t="n">
        <v>28.3</v>
      </c>
      <c r="K202" s="4">
        <f>IFERROR((G202+H202)*J202,0)</f>
        <v/>
      </c>
      <c r="M202">
        <f>IF(A202="","", _xludf.WEEKNUM(A202, 2))</f>
        <v/>
      </c>
    </row>
    <row r="203">
      <c r="A203" s="17625" t="n"/>
      <c r="C203" t="inlineStr">
        <is>
          <t>Tanque Pegaso</t>
        </is>
      </c>
      <c r="F203">
        <f>VLOOKUP(TablaPegaso[[#This Row],[Equipo]],Catalogos!$V$4:$W$85,2,FALSE)</f>
        <v/>
      </c>
      <c r="G203" s="3" t="n"/>
      <c r="H203" s="3" t="n"/>
      <c r="I203" s="3">
        <f>IF(ROW()=5,G203-H203,I202+G203-H203)</f>
        <v/>
      </c>
      <c r="J203" s="4" t="n">
        <v>28.3</v>
      </c>
      <c r="K203" s="4">
        <f>IFERROR((G203+H203)*J203,0)</f>
        <v/>
      </c>
      <c r="M203">
        <f>IF(A203="","", _xludf.WEEKNUM(A203, 2))</f>
        <v/>
      </c>
    </row>
    <row r="204">
      <c r="A204" s="17625" t="n"/>
      <c r="C204" t="inlineStr">
        <is>
          <t>Tanque Pegaso</t>
        </is>
      </c>
      <c r="F204">
        <f>VLOOKUP(TablaPegaso[[#This Row],[Equipo]],Catalogos!$V$4:$W$85,2,FALSE)</f>
        <v/>
      </c>
      <c r="G204" s="3" t="n"/>
      <c r="H204" s="3" t="n"/>
      <c r="I204" s="3">
        <f>IF(ROW()=5,G204-H204,I203+G204-H204)</f>
        <v/>
      </c>
      <c r="J204" s="4" t="n">
        <v>28.3</v>
      </c>
      <c r="K204" s="4">
        <f>IFERROR((G204+H204)*J204,0)</f>
        <v/>
      </c>
      <c r="M204">
        <f>IF(A204="","", _xludf.WEEKNUM(A204, 2))</f>
        <v/>
      </c>
    </row>
    <row r="205">
      <c r="A205" s="17625" t="n"/>
      <c r="C205" t="inlineStr">
        <is>
          <t>Tanque Pegaso</t>
        </is>
      </c>
      <c r="F205">
        <f>VLOOKUP(TablaPegaso[[#This Row],[Equipo]],Catalogos!$V$4:$W$85,2,FALSE)</f>
        <v/>
      </c>
      <c r="G205" s="3" t="n"/>
      <c r="H205" s="3" t="n"/>
      <c r="I205" s="3">
        <f>IF(ROW()=5,G205-H205,I204+G205-H205)</f>
        <v/>
      </c>
      <c r="J205" s="4" t="n">
        <v>28.3</v>
      </c>
      <c r="K205" s="4">
        <f>IFERROR((G205+H205)*J205,0)</f>
        <v/>
      </c>
      <c r="M205">
        <f>IF(A205="","", _xludf.WEEKNUM(A205, 2))</f>
        <v/>
      </c>
    </row>
    <row r="206">
      <c r="A206" s="17625" t="n"/>
      <c r="C206" t="inlineStr">
        <is>
          <t>Tanque Pegaso</t>
        </is>
      </c>
      <c r="F206">
        <f>VLOOKUP(TablaPegaso[[#This Row],[Equipo]],Catalogos!$V$4:$W$85,2,FALSE)</f>
        <v/>
      </c>
      <c r="G206" s="3" t="n"/>
      <c r="H206" s="3" t="n"/>
      <c r="I206" s="3">
        <f>IF(ROW()=5,G206-H206,I205+G206-H206)</f>
        <v/>
      </c>
      <c r="J206" s="4" t="n">
        <v>28.3</v>
      </c>
      <c r="K206" s="4">
        <f>IFERROR((G206+H206)*J206,0)</f>
        <v/>
      </c>
      <c r="M206">
        <f>IF(A206="","", _xludf.WEEKNUM(A206, 2))</f>
        <v/>
      </c>
    </row>
    <row r="207">
      <c r="A207" s="17625" t="n"/>
      <c r="C207" t="inlineStr">
        <is>
          <t>Tanque Pegaso</t>
        </is>
      </c>
      <c r="F207">
        <f>VLOOKUP(TablaPegaso[[#This Row],[Equipo]],Catalogos!$V$4:$W$85,2,FALSE)</f>
        <v/>
      </c>
      <c r="G207" s="3" t="n"/>
      <c r="H207" s="3" t="n"/>
      <c r="I207" s="3">
        <f>IF(ROW()=5,G207-H207,I206+G207-H207)</f>
        <v/>
      </c>
      <c r="J207" s="4" t="n">
        <v>28.3</v>
      </c>
      <c r="K207" s="4">
        <f>IFERROR((G207+H207)*J207,0)</f>
        <v/>
      </c>
      <c r="M207">
        <f>IF(A207="","", _xludf.WEEKNUM(A207, 2))</f>
        <v/>
      </c>
    </row>
    <row r="208">
      <c r="A208" s="17625" t="n"/>
      <c r="C208" t="inlineStr">
        <is>
          <t>Tanque Pegaso</t>
        </is>
      </c>
      <c r="F208">
        <f>VLOOKUP(TablaPegaso[[#This Row],[Equipo]],Catalogos!$V$4:$W$85,2,FALSE)</f>
        <v/>
      </c>
      <c r="G208" s="3" t="n"/>
      <c r="H208" s="3" t="n"/>
      <c r="I208" s="3">
        <f>IF(ROW()=5,G208-H208,I207+G208-H208)</f>
        <v/>
      </c>
      <c r="J208" s="4" t="n">
        <v>28.3</v>
      </c>
      <c r="K208" s="4">
        <f>IFERROR((G208+H208)*J208,0)</f>
        <v/>
      </c>
      <c r="M208">
        <f>IF(A208="","", _xludf.WEEKNUM(A208, 2))</f>
        <v/>
      </c>
    </row>
    <row r="209">
      <c r="M209">
        <f>IF(A209="","", _xludf.WEEKNUM(A209, 2))</f>
        <v/>
      </c>
    </row>
    <row r="210">
      <c r="M210">
        <f>IF(A210="","", _xludf.WEEKNUM(A210, 2))</f>
        <v/>
      </c>
    </row>
    <row r="211">
      <c r="M211">
        <f>IF(A211="","", _xludf.WEEKNUM(A211, 2))</f>
        <v/>
      </c>
    </row>
    <row r="212">
      <c r="M212">
        <f>IF(A212="","", _xludf.WEEKNUM(A212, 2))</f>
        <v/>
      </c>
    </row>
    <row r="213">
      <c r="M213">
        <f>IF(A213="","", _xludf.WEEKNUM(A213, 2))</f>
        <v/>
      </c>
    </row>
    <row r="214">
      <c r="M214">
        <f>IF(A214="","", _xludf.WEEKNUM(A214, 2))</f>
        <v/>
      </c>
    </row>
    <row r="215">
      <c r="M215">
        <f>IF(A215="","", _xludf.WEEKNUM(A215, 2))</f>
        <v/>
      </c>
    </row>
    <row r="216">
      <c r="M216">
        <f>IF(A216="","", _xludf.WEEKNUM(A216, 2))</f>
        <v/>
      </c>
    </row>
    <row r="217">
      <c r="M217">
        <f>IF(A217="","", _xludf.WEEKNUM(A217, 2))</f>
        <v/>
      </c>
    </row>
    <row r="218">
      <c r="M218">
        <f>IF(A218="","", _xludf.WEEKNUM(A218, 2))</f>
        <v/>
      </c>
    </row>
    <row r="219">
      <c r="M219">
        <f>IF(A219="","", _xludf.WEEKNUM(A219, 2))</f>
        <v/>
      </c>
    </row>
    <row r="220">
      <c r="M220">
        <f>IF(A220="","", _xludf.WEEKNUM(A220, 2))</f>
        <v/>
      </c>
    </row>
    <row r="221">
      <c r="M221">
        <f>IF(A221="","", _xludf.WEEKNUM(A221, 2))</f>
        <v/>
      </c>
    </row>
    <row r="222">
      <c r="M222">
        <f>IF(A222="","", _xludf.WEEKNUM(A222, 2))</f>
        <v/>
      </c>
    </row>
    <row r="223">
      <c r="M223">
        <f>IF(A223="","", _xludf.WEEKNUM(A223, 2))</f>
        <v/>
      </c>
    </row>
    <row r="224">
      <c r="M224">
        <f>IF(A224="","", _xludf.WEEKNUM(A224, 2))</f>
        <v/>
      </c>
    </row>
    <row r="225">
      <c r="M225">
        <f>IF(A225="","", _xludf.WEEKNUM(A225, 2))</f>
        <v/>
      </c>
    </row>
    <row r="226">
      <c r="M226">
        <f>IF(A226="","", _xludf.WEEKNUM(A226, 2))</f>
        <v/>
      </c>
    </row>
    <row r="227">
      <c r="M227">
        <f>IF(A227="","", _xludf.WEEKNUM(A227, 2))</f>
        <v/>
      </c>
    </row>
    <row r="228">
      <c r="M228">
        <f>IF(A228="","", _xludf.WEEKNUM(A228, 2))</f>
        <v/>
      </c>
    </row>
    <row r="229">
      <c r="M229">
        <f>IF(A229="","", _xludf.WEEKNUM(A229, 2))</f>
        <v/>
      </c>
    </row>
    <row r="230">
      <c r="M230">
        <f>IF(A230="","", _xludf.WEEKNUM(A230, 2))</f>
        <v/>
      </c>
    </row>
    <row r="231">
      <c r="M231">
        <f>IF(A231="","", _xludf.WEEKNUM(A231, 2))</f>
        <v/>
      </c>
    </row>
    <row r="232">
      <c r="M232">
        <f>IF(A232="","", _xludf.WEEKNUM(A232, 2))</f>
        <v/>
      </c>
    </row>
    <row r="233">
      <c r="M233">
        <f>IF(A233="","", _xludf.WEEKNUM(A233, 2))</f>
        <v/>
      </c>
    </row>
    <row r="234">
      <c r="M234">
        <f>IF(A234="","", _xludf.WEEKNUM(A234, 2))</f>
        <v/>
      </c>
    </row>
    <row r="235">
      <c r="M235">
        <f>IF(A235="","", _xludf.WEEKNUM(A235, 2))</f>
        <v/>
      </c>
    </row>
    <row r="236">
      <c r="M236">
        <f>IF(A236="","", _xludf.WEEKNUM(A236, 2))</f>
        <v/>
      </c>
    </row>
    <row r="237">
      <c r="M237">
        <f>IF(A237="","", _xludf.WEEKNUM(A237, 2))</f>
        <v/>
      </c>
    </row>
    <row r="238">
      <c r="M238">
        <f>IF(A238="","", _xludf.WEEKNUM(A238, 2))</f>
        <v/>
      </c>
    </row>
    <row r="239">
      <c r="M239">
        <f>IF(A239="","", _xludf.WEEKNUM(A239, 2))</f>
        <v/>
      </c>
    </row>
    <row r="240">
      <c r="M240">
        <f>IF(A240="","", _xludf.WEEKNUM(A240, 2))</f>
        <v/>
      </c>
    </row>
    <row r="241">
      <c r="M241">
        <f>IF(A241="","", _xludf.WEEKNUM(A241, 2))</f>
        <v/>
      </c>
    </row>
    <row r="242">
      <c r="M242">
        <f>IF(A242="","", _xludf.WEEKNUM(A242, 2))</f>
        <v/>
      </c>
    </row>
    <row r="243">
      <c r="M243">
        <f>IF(A243="","", _xludf.WEEKNUM(A243, 2))</f>
        <v/>
      </c>
    </row>
    <row r="244">
      <c r="M244">
        <f>IF(A244="","", _xludf.WEEKNUM(A244, 2))</f>
        <v/>
      </c>
    </row>
    <row r="245">
      <c r="M245">
        <f>IF(A245="","", _xludf.WEEKNUM(A245, 2))</f>
        <v/>
      </c>
    </row>
    <row r="246">
      <c r="M246">
        <f>IF(A246="","", _xludf.WEEKNUM(A246, 2))</f>
        <v/>
      </c>
    </row>
    <row r="247">
      <c r="M247">
        <f>IF(A247="","", _xludf.WEEKNUM(A247, 2))</f>
        <v/>
      </c>
    </row>
    <row r="248">
      <c r="M248">
        <f>IF(A248="","", _xludf.WEEKNUM(A248, 2))</f>
        <v/>
      </c>
    </row>
    <row r="249">
      <c r="M249">
        <f>IF(A249="","", _xludf.WEEKNUM(A249, 2))</f>
        <v/>
      </c>
    </row>
    <row r="250">
      <c r="M250">
        <f>IF(A250="","", _xludf.WEEKNUM(A250, 2))</f>
        <v/>
      </c>
    </row>
    <row r="251">
      <c r="M251">
        <f>IF(A251="","", _xludf.WEEKNUM(A251, 2))</f>
        <v/>
      </c>
    </row>
    <row r="252">
      <c r="M252">
        <f>IF(A252="","", _xludf.WEEKNUM(A252, 2))</f>
        <v/>
      </c>
    </row>
    <row r="253">
      <c r="M253">
        <f>IF(A253="","", _xludf.WEEKNUM(A253, 2))</f>
        <v/>
      </c>
    </row>
    <row r="254">
      <c r="M254">
        <f>IF(A254="","", _xludf.WEEKNUM(A254, 2))</f>
        <v/>
      </c>
    </row>
    <row r="255">
      <c r="M255">
        <f>IF(A255="","", _xludf.WEEKNUM(A255, 2))</f>
        <v/>
      </c>
    </row>
    <row r="256">
      <c r="M256">
        <f>IF(A256="","", _xludf.WEEKNUM(A256, 2))</f>
        <v/>
      </c>
    </row>
    <row r="257">
      <c r="M257">
        <f>IF(A257="","", _xludf.WEEKNUM(A257, 2))</f>
        <v/>
      </c>
    </row>
    <row r="258">
      <c r="M258">
        <f>IF(A258="","", _xludf.WEEKNUM(A258, 2))</f>
        <v/>
      </c>
    </row>
    <row r="259">
      <c r="M259">
        <f>IF(A259="","", _xludf.WEEKNUM(A259, 2))</f>
        <v/>
      </c>
    </row>
    <row r="260">
      <c r="M260">
        <f>IF(A260="","", _xludf.WEEKNUM(A260, 2))</f>
        <v/>
      </c>
    </row>
    <row r="261">
      <c r="M261">
        <f>IF(A261="","", _xludf.WEEKNUM(A261, 2))</f>
        <v/>
      </c>
    </row>
    <row r="262">
      <c r="M262">
        <f>IF(A262="","", _xludf.WEEKNUM(A262, 2))</f>
        <v/>
      </c>
    </row>
    <row r="263">
      <c r="M263">
        <f>IF(A263="","", _xludf.WEEKNUM(A263, 2))</f>
        <v/>
      </c>
    </row>
    <row r="264">
      <c r="M264">
        <f>IF(A264="","", _xludf.WEEKNUM(A264, 2))</f>
        <v/>
      </c>
    </row>
    <row r="265">
      <c r="M265">
        <f>IF(A265="","", _xludf.WEEKNUM(A265, 2))</f>
        <v/>
      </c>
    </row>
    <row r="266">
      <c r="M266">
        <f>IF(A266="","", _xludf.WEEKNUM(A266, 2))</f>
        <v/>
      </c>
    </row>
    <row r="267">
      <c r="M267">
        <f>IF(A267="","", _xludf.WEEKNUM(A267, 2))</f>
        <v/>
      </c>
    </row>
    <row r="268">
      <c r="M268">
        <f>IF(A268="","", _xludf.WEEKNUM(A268, 2))</f>
        <v/>
      </c>
    </row>
    <row r="269">
      <c r="M269">
        <f>IF(A269="","", _xludf.WEEKNUM(A269, 2))</f>
        <v/>
      </c>
    </row>
    <row r="270">
      <c r="M270">
        <f>IF(A270="","", _xludf.WEEKNUM(A270, 2))</f>
        <v/>
      </c>
    </row>
    <row r="271">
      <c r="M271">
        <f>IF(A271="","", _xludf.WEEKNUM(A271, 2))</f>
        <v/>
      </c>
    </row>
    <row r="272">
      <c r="M272">
        <f>IF(A272="","", _xludf.WEEKNUM(A272, 2))</f>
        <v/>
      </c>
    </row>
    <row r="273">
      <c r="M273">
        <f>IF(A273="","", _xludf.WEEKNUM(A273, 2))</f>
        <v/>
      </c>
    </row>
    <row r="274">
      <c r="M274">
        <f>IF(A274="","", _xludf.WEEKNUM(A274, 2))</f>
        <v/>
      </c>
    </row>
    <row r="275">
      <c r="M275">
        <f>IF(A275="","", _xludf.WEEKNUM(A275, 2))</f>
        <v/>
      </c>
    </row>
    <row r="276">
      <c r="M276">
        <f>IF(A276="","", _xludf.WEEKNUM(A276, 2))</f>
        <v/>
      </c>
    </row>
    <row r="277">
      <c r="M277">
        <f>IF(A277="","", _xludf.WEEKNUM(A277, 2))</f>
        <v/>
      </c>
    </row>
    <row r="278">
      <c r="M278">
        <f>IF(A278="","", _xludf.WEEKNUM(A278, 2))</f>
        <v/>
      </c>
    </row>
    <row r="279">
      <c r="M279">
        <f>IF(A279="","", _xludf.WEEKNUM(A279, 2))</f>
        <v/>
      </c>
    </row>
    <row r="280">
      <c r="M280">
        <f>IF(A280="","", _xludf.WEEKNUM(A280, 2))</f>
        <v/>
      </c>
    </row>
    <row r="281">
      <c r="M281">
        <f>IF(A281="","", _xludf.WEEKNUM(A281, 2))</f>
        <v/>
      </c>
    </row>
    <row r="282">
      <c r="M282">
        <f>IF(A282="","", _xludf.WEEKNUM(A282, 2))</f>
        <v/>
      </c>
    </row>
    <row r="283">
      <c r="M283">
        <f>IF(A283="","", _xludf.WEEKNUM(A283, 2))</f>
        <v/>
      </c>
    </row>
    <row r="284">
      <c r="M284">
        <f>IF(A284="","", _xludf.WEEKNUM(A284, 2))</f>
        <v/>
      </c>
    </row>
    <row r="285">
      <c r="M285">
        <f>IF(A285="","", _xludf.WEEKNUM(A285, 2))</f>
        <v/>
      </c>
    </row>
    <row r="286">
      <c r="M286">
        <f>IF(A286="","", _xludf.WEEKNUM(A286, 2))</f>
        <v/>
      </c>
    </row>
    <row r="287">
      <c r="M287">
        <f>IF(A287="","", _xludf.WEEKNUM(A287, 2))</f>
        <v/>
      </c>
    </row>
    <row r="288">
      <c r="M288">
        <f>IF(A288="","", _xludf.WEEKNUM(A288, 2))</f>
        <v/>
      </c>
    </row>
    <row r="289">
      <c r="M289">
        <f>IF(A289="","", _xludf.WEEKNUM(A289, 2))</f>
        <v/>
      </c>
    </row>
    <row r="290">
      <c r="M290">
        <f>IF(A290="","", _xludf.WEEKNUM(A290, 2))</f>
        <v/>
      </c>
    </row>
    <row r="291">
      <c r="M291">
        <f>IF(A291="","", _xludf.WEEKNUM(A291, 2))</f>
        <v/>
      </c>
    </row>
    <row r="292">
      <c r="M292">
        <f>IF(A292="","", _xludf.WEEKNUM(A292, 2))</f>
        <v/>
      </c>
    </row>
    <row r="293">
      <c r="M293">
        <f>IF(A293="","", _xludf.WEEKNUM(A293, 2))</f>
        <v/>
      </c>
    </row>
    <row r="294">
      <c r="M294">
        <f>IF(A294="","", _xludf.WEEKNUM(A294, 2))</f>
        <v/>
      </c>
    </row>
    <row r="295">
      <c r="M295">
        <f>IF(A295="","", _xludf.WEEKNUM(A295, 2))</f>
        <v/>
      </c>
    </row>
    <row r="296">
      <c r="M296">
        <f>IF(A296="","", _xludf.WEEKNUM(A296, 2))</f>
        <v/>
      </c>
    </row>
    <row r="297">
      <c r="M297">
        <f>IF(A297="","", _xludf.WEEKNUM(A297, 2))</f>
        <v/>
      </c>
    </row>
    <row r="298">
      <c r="M298">
        <f>IF(A298="","", _xludf.WEEKNUM(A298, 2))</f>
        <v/>
      </c>
    </row>
    <row r="299">
      <c r="M299">
        <f>IF(A299="","", _xludf.WEEKNUM(A299, 2))</f>
        <v/>
      </c>
    </row>
    <row r="300">
      <c r="M300">
        <f>IF(A300="","", _xludf.WEEKNUM(A300, 2))</f>
        <v/>
      </c>
    </row>
    <row r="301">
      <c r="M301">
        <f>IF(A301="","", _xludf.WEEKNUM(A301, 2))</f>
        <v/>
      </c>
    </row>
    <row r="302">
      <c r="M302">
        <f>IF(A302="","", _xludf.WEEKNUM(A302, 2))</f>
        <v/>
      </c>
    </row>
    <row r="303">
      <c r="M303">
        <f>IF(A303="","", _xludf.WEEKNUM(A303, 2))</f>
        <v/>
      </c>
    </row>
    <row r="304">
      <c r="M304">
        <f>IF(A304="","", _xludf.WEEKNUM(A304, 2))</f>
        <v/>
      </c>
    </row>
    <row r="305">
      <c r="M305">
        <f>IF(A305="","", _xludf.WEEKNUM(A305, 2))</f>
        <v/>
      </c>
    </row>
    <row r="306">
      <c r="M306">
        <f>IF(A306="","", _xludf.WEEKNUM(A306, 2))</f>
        <v/>
      </c>
    </row>
    <row r="307">
      <c r="M307">
        <f>IF(A307="","", _xludf.WEEKNUM(A307, 2))</f>
        <v/>
      </c>
    </row>
    <row r="308">
      <c r="M308">
        <f>IF(A308="","", _xludf.WEEKNUM(A308, 2))</f>
        <v/>
      </c>
    </row>
    <row r="309">
      <c r="M309">
        <f>IF(A309="","", _xludf.WEEKNUM(A309, 2))</f>
        <v/>
      </c>
    </row>
    <row r="310">
      <c r="M310">
        <f>IF(A310="","", _xludf.WEEKNUM(A310, 2))</f>
        <v/>
      </c>
    </row>
    <row r="311">
      <c r="M311">
        <f>IF(A311="","", _xludf.WEEKNUM(A311, 2))</f>
        <v/>
      </c>
    </row>
    <row r="312">
      <c r="M312">
        <f>IF(A312="","", _xludf.WEEKNUM(A312, 2))</f>
        <v/>
      </c>
    </row>
    <row r="313">
      <c r="M313">
        <f>IF(A313="","", _xludf.WEEKNUM(A313, 2))</f>
        <v/>
      </c>
    </row>
    <row r="314">
      <c r="M314">
        <f>IF(A314="","", _xludf.WEEKNUM(A314, 2))</f>
        <v/>
      </c>
    </row>
    <row r="315">
      <c r="M315">
        <f>IF(A315="","", _xludf.WEEKNUM(A315, 2))</f>
        <v/>
      </c>
    </row>
    <row r="316">
      <c r="M316">
        <f>IF(A316="","", _xludf.WEEKNUM(A316, 2))</f>
        <v/>
      </c>
    </row>
    <row r="317">
      <c r="M317">
        <f>IF(A317="","", _xludf.WEEKNUM(A317, 2))</f>
        <v/>
      </c>
    </row>
    <row r="318">
      <c r="M318">
        <f>IF(A318="","", _xludf.WEEKNUM(A318, 2))</f>
        <v/>
      </c>
    </row>
    <row r="319">
      <c r="M319">
        <f>IF(A319="","", _xludf.WEEKNUM(A319, 2))</f>
        <v/>
      </c>
    </row>
    <row r="320">
      <c r="M320">
        <f>IF(A320="","", _xludf.WEEKNUM(A320, 2))</f>
        <v/>
      </c>
    </row>
    <row r="321">
      <c r="M321">
        <f>IF(A321="","", _xludf.WEEKNUM(A321, 2))</f>
        <v/>
      </c>
    </row>
    <row r="322">
      <c r="M322">
        <f>IF(A322="","", _xludf.WEEKNUM(A322, 2))</f>
        <v/>
      </c>
    </row>
    <row r="323">
      <c r="M323">
        <f>IF(A323="","", _xludf.WEEKNUM(A323, 2))</f>
        <v/>
      </c>
    </row>
    <row r="324">
      <c r="M324">
        <f>IF(A324="","", _xludf.WEEKNUM(A324, 2))</f>
        <v/>
      </c>
    </row>
    <row r="325">
      <c r="M325">
        <f>IF(A325="","", _xludf.WEEKNUM(A325, 2))</f>
        <v/>
      </c>
    </row>
    <row r="326">
      <c r="M326">
        <f>IF(A326="","", _xludf.WEEKNUM(A326, 2))</f>
        <v/>
      </c>
    </row>
    <row r="327">
      <c r="M327">
        <f>IF(A327="","", _xludf.WEEKNUM(A327, 2))</f>
        <v/>
      </c>
    </row>
    <row r="328">
      <c r="M328">
        <f>IF(A328="","", _xludf.WEEKNUM(A328, 2))</f>
        <v/>
      </c>
    </row>
    <row r="329">
      <c r="M329">
        <f>IF(A329="","", _xludf.WEEKNUM(A329, 2))</f>
        <v/>
      </c>
    </row>
    <row r="330">
      <c r="M330">
        <f>IF(A330="","", _xludf.WEEKNUM(A330, 2))</f>
        <v/>
      </c>
    </row>
    <row r="331">
      <c r="M331">
        <f>IF(A331="","", _xludf.WEEKNUM(A331, 2))</f>
        <v/>
      </c>
    </row>
    <row r="332">
      <c r="M332">
        <f>IF(A332="","", _xludf.WEEKNUM(A332, 2))</f>
        <v/>
      </c>
    </row>
    <row r="333">
      <c r="M333">
        <f>IF(A333="","", _xludf.WEEKNUM(A333, 2))</f>
        <v/>
      </c>
    </row>
    <row r="334">
      <c r="M334">
        <f>IF(A334="","", _xludf.WEEKNUM(A334, 2))</f>
        <v/>
      </c>
    </row>
    <row r="335">
      <c r="M335">
        <f>IF(A335="","", _xludf.WEEKNUM(A335, 2))</f>
        <v/>
      </c>
    </row>
    <row r="336">
      <c r="M336">
        <f>IF(A336="","", _xludf.WEEKNUM(A336, 2))</f>
        <v/>
      </c>
    </row>
    <row r="337">
      <c r="M337">
        <f>IF(A337="","", _xludf.WEEKNUM(A337, 2))</f>
        <v/>
      </c>
    </row>
    <row r="338">
      <c r="M338">
        <f>IF(A338="","", _xludf.WEEKNUM(A338, 2))</f>
        <v/>
      </c>
    </row>
    <row r="339">
      <c r="M339">
        <f>IF(A339="","", _xludf.WEEKNUM(A339, 2))</f>
        <v/>
      </c>
    </row>
    <row r="340">
      <c r="M340">
        <f>IF(A340="","", _xludf.WEEKNUM(A340, 2))</f>
        <v/>
      </c>
    </row>
    <row r="341">
      <c r="M341">
        <f>IF(A341="","", _xludf.WEEKNUM(A341, 2))</f>
        <v/>
      </c>
    </row>
    <row r="342">
      <c r="M342">
        <f>IF(A342="","", _xludf.WEEKNUM(A342, 2))</f>
        <v/>
      </c>
    </row>
    <row r="343">
      <c r="M343">
        <f>IF(A343="","", _xludf.WEEKNUM(A343, 2))</f>
        <v/>
      </c>
    </row>
    <row r="344">
      <c r="M344">
        <f>IF(A344="","", _xludf.WEEKNUM(A344, 2))</f>
        <v/>
      </c>
    </row>
    <row r="345">
      <c r="M345">
        <f>IF(A345="","", _xludf.WEEKNUM(A345, 2))</f>
        <v/>
      </c>
    </row>
    <row r="346">
      <c r="M346">
        <f>IF(A346="","", _xludf.WEEKNUM(A346, 2))</f>
        <v/>
      </c>
    </row>
    <row r="347">
      <c r="M347">
        <f>IF(A347="","", _xludf.WEEKNUM(A347, 2))</f>
        <v/>
      </c>
    </row>
    <row r="348">
      <c r="M348">
        <f>IF(A348="","", _xludf.WEEKNUM(A348, 2))</f>
        <v/>
      </c>
    </row>
    <row r="349">
      <c r="M349">
        <f>IF(A349="","", _xludf.WEEKNUM(A349, 2))</f>
        <v/>
      </c>
    </row>
    <row r="350">
      <c r="M350">
        <f>IF(A350="","", _xludf.WEEKNUM(A350, 2))</f>
        <v/>
      </c>
    </row>
    <row r="351">
      <c r="M351">
        <f>IF(A351="","", _xludf.WEEKNUM(A351, 2))</f>
        <v/>
      </c>
    </row>
    <row r="352">
      <c r="M352">
        <f>IF(A352="","", _xludf.WEEKNUM(A352, 2))</f>
        <v/>
      </c>
    </row>
    <row r="353">
      <c r="M353">
        <f>IF(A353="","", _xludf.WEEKNUM(A353, 2))</f>
        <v/>
      </c>
    </row>
    <row r="354">
      <c r="M354">
        <f>IF(A354="","", _xludf.WEEKNUM(A354, 2))</f>
        <v/>
      </c>
    </row>
    <row r="355">
      <c r="M355">
        <f>IF(A355="","", _xludf.WEEKNUM(A355, 2))</f>
        <v/>
      </c>
    </row>
    <row r="356">
      <c r="M356">
        <f>IF(A356="","", _xludf.WEEKNUM(A356, 2))</f>
        <v/>
      </c>
    </row>
    <row r="357">
      <c r="M357">
        <f>IF(A357="","", _xludf.WEEKNUM(A357, 2))</f>
        <v/>
      </c>
    </row>
    <row r="358">
      <c r="M358">
        <f>IF(A358="","", _xludf.WEEKNUM(A358, 2))</f>
        <v/>
      </c>
    </row>
    <row r="359">
      <c r="M359">
        <f>IF(A359="","", _xludf.WEEKNUM(A359, 2))</f>
        <v/>
      </c>
    </row>
    <row r="360">
      <c r="M360">
        <f>IF(A360="","", _xludf.WEEKNUM(A360, 2))</f>
        <v/>
      </c>
    </row>
    <row r="361">
      <c r="M361">
        <f>IF(A361="","", _xludf.WEEKNUM(A361, 2))</f>
        <v/>
      </c>
    </row>
    <row r="362">
      <c r="M362">
        <f>IF(A362="","", _xludf.WEEKNUM(A362, 2))</f>
        <v/>
      </c>
    </row>
    <row r="363">
      <c r="M363">
        <f>IF(A363="","", _xludf.WEEKNUM(A363, 2))</f>
        <v/>
      </c>
    </row>
    <row r="364">
      <c r="M364">
        <f>IF(A364="","", _xludf.WEEKNUM(A364, 2))</f>
        <v/>
      </c>
    </row>
    <row r="365">
      <c r="M365">
        <f>IF(A365="","", _xludf.WEEKNUM(A365, 2))</f>
        <v/>
      </c>
    </row>
    <row r="366">
      <c r="M366">
        <f>IF(A366="","", _xludf.WEEKNUM(A366, 2))</f>
        <v/>
      </c>
    </row>
    <row r="367">
      <c r="M367">
        <f>IF(A367="","", _xludf.WEEKNUM(A367, 2))</f>
        <v/>
      </c>
    </row>
    <row r="368">
      <c r="M368">
        <f>IF(A368="","", _xludf.WEEKNUM(A368, 2))</f>
        <v/>
      </c>
    </row>
    <row r="369">
      <c r="M369">
        <f>IF(A369="","", _xludf.WEEKNUM(A369, 2))</f>
        <v/>
      </c>
    </row>
    <row r="370">
      <c r="M370">
        <f>IF(A370="","", _xludf.WEEKNUM(A370, 2))</f>
        <v/>
      </c>
    </row>
    <row r="371">
      <c r="M371">
        <f>IF(A371="","", _xludf.WEEKNUM(A371, 2))</f>
        <v/>
      </c>
    </row>
    <row r="372">
      <c r="M372">
        <f>IF(A372="","", _xludf.WEEKNUM(A372, 2))</f>
        <v/>
      </c>
    </row>
    <row r="373">
      <c r="M373">
        <f>IF(A373="","", _xludf.WEEKNUM(A373, 2))</f>
        <v/>
      </c>
    </row>
    <row r="374">
      <c r="M374">
        <f>IF(A374="","", _xludf.WEEKNUM(A374, 2))</f>
        <v/>
      </c>
    </row>
    <row r="375">
      <c r="M375">
        <f>IF(A375="","", _xludf.WEEKNUM(A375, 2))</f>
        <v/>
      </c>
    </row>
    <row r="376">
      <c r="M376">
        <f>IF(A376="","", _xludf.WEEKNUM(A376, 2))</f>
        <v/>
      </c>
    </row>
    <row r="377">
      <c r="M377">
        <f>IF(A377="","", _xludf.WEEKNUM(A377, 2))</f>
        <v/>
      </c>
    </row>
    <row r="378">
      <c r="M378">
        <f>IF(A378="","", _xludf.WEEKNUM(A378, 2))</f>
        <v/>
      </c>
    </row>
    <row r="379">
      <c r="M379">
        <f>IF(A379="","", _xludf.WEEKNUM(A379, 2))</f>
        <v/>
      </c>
    </row>
    <row r="380">
      <c r="M380">
        <f>IF(A380="","", _xludf.WEEKNUM(A380, 2))</f>
        <v/>
      </c>
    </row>
    <row r="381">
      <c r="M381">
        <f>IF(A381="","", _xludf.WEEKNUM(A381, 2))</f>
        <v/>
      </c>
    </row>
    <row r="382">
      <c r="M382">
        <f>IF(A382="","", _xludf.WEEKNUM(A382, 2))</f>
        <v/>
      </c>
    </row>
    <row r="383">
      <c r="M383">
        <f>IF(A383="","", _xludf.WEEKNUM(A383, 2))</f>
        <v/>
      </c>
    </row>
    <row r="384">
      <c r="M384">
        <f>IF(A384="","", _xludf.WEEKNUM(A384, 2))</f>
        <v/>
      </c>
    </row>
    <row r="385">
      <c r="M385">
        <f>IF(A385="","", _xludf.WEEKNUM(A385, 2))</f>
        <v/>
      </c>
    </row>
    <row r="386">
      <c r="M386">
        <f>IF(A386="","", _xludf.WEEKNUM(A386, 2))</f>
        <v/>
      </c>
    </row>
    <row r="387">
      <c r="M387">
        <f>IF(A387="","", _xludf.WEEKNUM(A387, 2))</f>
        <v/>
      </c>
    </row>
    <row r="388">
      <c r="M388">
        <f>IF(A388="","", _xludf.WEEKNUM(A388, 2))</f>
        <v/>
      </c>
    </row>
    <row r="389">
      <c r="M389">
        <f>IF(A389="","", _xludf.WEEKNUM(A389, 2))</f>
        <v/>
      </c>
    </row>
    <row r="390">
      <c r="M390">
        <f>IF(A390="","", _xludf.WEEKNUM(A390, 2))</f>
        <v/>
      </c>
    </row>
    <row r="391">
      <c r="M391">
        <f>IF(A391="","", _xludf.WEEKNUM(A391, 2))</f>
        <v/>
      </c>
    </row>
    <row r="392">
      <c r="M392">
        <f>IF(A392="","", _xludf.WEEKNUM(A392, 2))</f>
        <v/>
      </c>
    </row>
    <row r="393">
      <c r="M393">
        <f>IF(A393="","", _xludf.WEEKNUM(A393, 2))</f>
        <v/>
      </c>
    </row>
    <row r="394">
      <c r="M394">
        <f>IF(A394="","", _xludf.WEEKNUM(A394, 2))</f>
        <v/>
      </c>
    </row>
    <row r="395">
      <c r="M395">
        <f>IF(A395="","", _xludf.WEEKNUM(A395, 2))</f>
        <v/>
      </c>
    </row>
    <row r="396">
      <c r="M396">
        <f>IF(A396="","", _xludf.WEEKNUM(A396, 2))</f>
        <v/>
      </c>
    </row>
    <row r="397">
      <c r="M397">
        <f>IF(A397="","", _xludf.WEEKNUM(A397, 2))</f>
        <v/>
      </c>
    </row>
    <row r="398">
      <c r="M398">
        <f>IF(A398="","", _xludf.WEEKNUM(A398, 2))</f>
        <v/>
      </c>
    </row>
    <row r="399">
      <c r="M399">
        <f>IF(A399="","", _xludf.WEEKNUM(A399, 2))</f>
        <v/>
      </c>
    </row>
    <row r="400">
      <c r="M400">
        <f>IF(A400="","", _xludf.WEEKNUM(A400, 2))</f>
        <v/>
      </c>
    </row>
    <row r="401">
      <c r="M401">
        <f>IF(A401="","", _xludf.WEEKNUM(A401, 2))</f>
        <v/>
      </c>
    </row>
    <row r="402">
      <c r="M402">
        <f>IF(A402="","", _xludf.WEEKNUM(A402, 2))</f>
        <v/>
      </c>
    </row>
    <row r="403">
      <c r="M403">
        <f>IF(A403="","", _xludf.WEEKNUM(A403, 2))</f>
        <v/>
      </c>
    </row>
    <row r="404">
      <c r="M404">
        <f>IF(A404="","", _xludf.WEEKNUM(A404, 2))</f>
        <v/>
      </c>
    </row>
    <row r="405">
      <c r="M405">
        <f>IF(A405="","", _xludf.WEEKNUM(A405, 2))</f>
        <v/>
      </c>
    </row>
    <row r="406">
      <c r="M406">
        <f>IF(A406="","", _xludf.WEEKNUM(A406, 2))</f>
        <v/>
      </c>
    </row>
    <row r="407">
      <c r="M407">
        <f>IF(A407="","", _xludf.WEEKNUM(A407, 2))</f>
        <v/>
      </c>
    </row>
    <row r="408">
      <c r="M408">
        <f>IF(A408="","", _xludf.WEEKNUM(A408, 2))</f>
        <v/>
      </c>
    </row>
    <row r="409">
      <c r="M409">
        <f>IF(A409="","", _xludf.WEEKNUM(A409, 2))</f>
        <v/>
      </c>
    </row>
    <row r="410">
      <c r="M410">
        <f>IF(A410="","", _xludf.WEEKNUM(A410, 2))</f>
        <v/>
      </c>
    </row>
    <row r="411">
      <c r="M411">
        <f>IF(A411="","", _xludf.WEEKNUM(A411, 2))</f>
        <v/>
      </c>
    </row>
    <row r="412">
      <c r="M412">
        <f>IF(A412="","", _xludf.WEEKNUM(A412, 2))</f>
        <v/>
      </c>
    </row>
    <row r="413">
      <c r="M413">
        <f>IF(A413="","", _xludf.WEEKNUM(A413, 2))</f>
        <v/>
      </c>
    </row>
    <row r="414">
      <c r="M414">
        <f>IF(A414="","", _xludf.WEEKNUM(A414, 2))</f>
        <v/>
      </c>
    </row>
    <row r="415">
      <c r="M415">
        <f>IF(A415="","", _xludf.WEEKNUM(A415, 2))</f>
        <v/>
      </c>
    </row>
    <row r="416">
      <c r="M416">
        <f>IF(A416="","", _xludf.WEEKNUM(A416, 2))</f>
        <v/>
      </c>
    </row>
    <row r="417">
      <c r="M417">
        <f>IF(A417="","", _xludf.WEEKNUM(A417, 2))</f>
        <v/>
      </c>
    </row>
    <row r="418">
      <c r="M418">
        <f>IF(A418="","", _xludf.WEEKNUM(A418, 2))</f>
        <v/>
      </c>
    </row>
    <row r="419">
      <c r="M419">
        <f>IF(A419="","", _xludf.WEEKNUM(A419, 2))</f>
        <v/>
      </c>
    </row>
    <row r="420">
      <c r="M420">
        <f>IF(A420="","", _xludf.WEEKNUM(A420, 2))</f>
        <v/>
      </c>
    </row>
    <row r="421">
      <c r="M421">
        <f>IF(A421="","", _xludf.WEEKNUM(A421, 2))</f>
        <v/>
      </c>
    </row>
    <row r="422">
      <c r="M422">
        <f>IF(A422="","", _xludf.WEEKNUM(A422, 2))</f>
        <v/>
      </c>
    </row>
    <row r="423">
      <c r="M423">
        <f>IF(A423="","", _xludf.WEEKNUM(A423, 2))</f>
        <v/>
      </c>
    </row>
    <row r="424">
      <c r="M424">
        <f>IF(A424="","", _xludf.WEEKNUM(A424, 2))</f>
        <v/>
      </c>
    </row>
    <row r="425">
      <c r="M425">
        <f>IF(A425="","", _xludf.WEEKNUM(A425, 2))</f>
        <v/>
      </c>
    </row>
    <row r="426">
      <c r="M426">
        <f>IF(A426="","", _xludf.WEEKNUM(A426, 2))</f>
        <v/>
      </c>
    </row>
    <row r="427">
      <c r="M427">
        <f>IF(A427="","", _xludf.WEEKNUM(A427, 2))</f>
        <v/>
      </c>
    </row>
    <row r="428">
      <c r="M428">
        <f>IF(A428="","", _xludf.WEEKNUM(A428, 2))</f>
        <v/>
      </c>
    </row>
    <row r="429">
      <c r="M429">
        <f>IF(A429="","", _xludf.WEEKNUM(A429, 2))</f>
        <v/>
      </c>
    </row>
    <row r="430">
      <c r="M430">
        <f>IF(A430="","", _xludf.WEEKNUM(A430, 2))</f>
        <v/>
      </c>
    </row>
    <row r="431">
      <c r="M431">
        <f>IF(A431="","", _xludf.WEEKNUM(A431, 2))</f>
        <v/>
      </c>
    </row>
    <row r="432">
      <c r="M432">
        <f>IF(A432="","", _xludf.WEEKNUM(A432, 2))</f>
        <v/>
      </c>
    </row>
    <row r="433">
      <c r="M433">
        <f>IF(A433="","", _xludf.WEEKNUM(A433, 2))</f>
        <v/>
      </c>
    </row>
    <row r="434">
      <c r="M434">
        <f>IF(A434="","", _xludf.WEEKNUM(A434, 2))</f>
        <v/>
      </c>
    </row>
    <row r="435">
      <c r="M435">
        <f>IF(A435="","", _xludf.WEEKNUM(A435, 2))</f>
        <v/>
      </c>
    </row>
    <row r="436">
      <c r="M436">
        <f>IF(A436="","", _xludf.WEEKNUM(A436, 2))</f>
        <v/>
      </c>
    </row>
    <row r="437">
      <c r="M437">
        <f>IF(A437="","", _xludf.WEEKNUM(A437, 2))</f>
        <v/>
      </c>
    </row>
    <row r="438">
      <c r="M438">
        <f>IF(A438="","", _xludf.WEEKNUM(A438, 2))</f>
        <v/>
      </c>
    </row>
    <row r="439">
      <c r="M439">
        <f>IF(A439="","", _xludf.WEEKNUM(A439, 2))</f>
        <v/>
      </c>
    </row>
    <row r="440">
      <c r="M440">
        <f>IF(A440="","", _xludf.WEEKNUM(A440, 2))</f>
        <v/>
      </c>
    </row>
    <row r="441">
      <c r="M441">
        <f>IF(A441="","", _xludf.WEEKNUM(A441, 2))</f>
        <v/>
      </c>
    </row>
    <row r="442">
      <c r="M442">
        <f>IF(A442="","", _xludf.WEEKNUM(A442, 2))</f>
        <v/>
      </c>
    </row>
    <row r="443">
      <c r="M443">
        <f>IF(A443="","", _xludf.WEEKNUM(A443, 2))</f>
        <v/>
      </c>
    </row>
    <row r="444">
      <c r="M444">
        <f>IF(A444="","", _xludf.WEEKNUM(A444, 2))</f>
        <v/>
      </c>
    </row>
    <row r="445">
      <c r="M445">
        <f>IF(A445="","", _xludf.WEEKNUM(A445, 2))</f>
        <v/>
      </c>
    </row>
    <row r="446">
      <c r="M446">
        <f>IF(A446="","", _xludf.WEEKNUM(A446, 2))</f>
        <v/>
      </c>
    </row>
    <row r="447">
      <c r="M447">
        <f>IF(A447="","", _xludf.WEEKNUM(A447, 2))</f>
        <v/>
      </c>
    </row>
    <row r="448">
      <c r="M448">
        <f>IF(A448="","", _xludf.WEEKNUM(A448, 2))</f>
        <v/>
      </c>
    </row>
    <row r="449">
      <c r="M449">
        <f>IF(A449="","", _xludf.WEEKNUM(A449, 2))</f>
        <v/>
      </c>
    </row>
    <row r="450">
      <c r="M450">
        <f>IF(A450="","", _xludf.WEEKNUM(A450, 2))</f>
        <v/>
      </c>
    </row>
    <row r="451">
      <c r="M451">
        <f>IF(A451="","", _xludf.WEEKNUM(A451, 2))</f>
        <v/>
      </c>
    </row>
    <row r="452">
      <c r="M452">
        <f>IF(A452="","", _xludf.WEEKNUM(A452, 2))</f>
        <v/>
      </c>
    </row>
    <row r="453">
      <c r="M453">
        <f>IF(A453="","", _xludf.WEEKNUM(A453, 2))</f>
        <v/>
      </c>
    </row>
    <row r="454">
      <c r="M454">
        <f>IF(A454="","", _xludf.WEEKNUM(A454, 2))</f>
        <v/>
      </c>
    </row>
    <row r="455">
      <c r="M455">
        <f>IF(A455="","", _xludf.WEEKNUM(A455, 2))</f>
        <v/>
      </c>
    </row>
    <row r="456">
      <c r="M456">
        <f>IF(A456="","", _xludf.WEEKNUM(A456, 2))</f>
        <v/>
      </c>
    </row>
    <row r="457">
      <c r="M457">
        <f>IF(A457="","", _xludf.WEEKNUM(A457, 2))</f>
        <v/>
      </c>
    </row>
    <row r="458">
      <c r="M458">
        <f>IF(A458="","", _xludf.WEEKNUM(A458, 2))</f>
        <v/>
      </c>
    </row>
    <row r="459">
      <c r="M459">
        <f>IF(A459="","", _xludf.WEEKNUM(A459, 2))</f>
        <v/>
      </c>
    </row>
    <row r="460">
      <c r="M460">
        <f>IF(A460="","", _xludf.WEEKNUM(A460, 2))</f>
        <v/>
      </c>
    </row>
    <row r="461">
      <c r="M461">
        <f>IF(A461="","", _xludf.WEEKNUM(A461, 2))</f>
        <v/>
      </c>
    </row>
    <row r="462">
      <c r="M462">
        <f>IF(A462="","", _xludf.WEEKNUM(A462, 2))</f>
        <v/>
      </c>
    </row>
    <row r="463">
      <c r="M463">
        <f>IF(A463="","", _xludf.WEEKNUM(A463, 2))</f>
        <v/>
      </c>
    </row>
    <row r="464">
      <c r="M464">
        <f>IF(A464="","", _xludf.WEEKNUM(A464, 2))</f>
        <v/>
      </c>
    </row>
    <row r="465">
      <c r="M465">
        <f>IF(A465="","", _xludf.WEEKNUM(A465, 2))</f>
        <v/>
      </c>
    </row>
    <row r="466">
      <c r="M466">
        <f>IF(A466="","", _xludf.WEEKNUM(A466, 2))</f>
        <v/>
      </c>
    </row>
    <row r="467">
      <c r="M467">
        <f>IF(A467="","", _xludf.WEEKNUM(A467, 2))</f>
        <v/>
      </c>
    </row>
    <row r="468">
      <c r="M468">
        <f>IF(A468="","", _xludf.WEEKNUM(A468, 2))</f>
        <v/>
      </c>
    </row>
    <row r="469">
      <c r="M469">
        <f>IF(A469="","", _xludf.WEEKNUM(A469, 2))</f>
        <v/>
      </c>
    </row>
    <row r="470">
      <c r="M470">
        <f>IF(A470="","", _xludf.WEEKNUM(A470, 2))</f>
        <v/>
      </c>
    </row>
    <row r="471">
      <c r="M471">
        <f>IF(A471="","", _xludf.WEEKNUM(A471, 2))</f>
        <v/>
      </c>
    </row>
    <row r="472">
      <c r="M472">
        <f>IF(A472="","", _xludf.WEEKNUM(A472, 2))</f>
        <v/>
      </c>
    </row>
    <row r="473">
      <c r="M473">
        <f>IF(A473="","", _xludf.WEEKNUM(A473, 2))</f>
        <v/>
      </c>
    </row>
    <row r="474">
      <c r="M474">
        <f>IF(A474="","", _xludf.WEEKNUM(A474, 2))</f>
        <v/>
      </c>
    </row>
    <row r="475">
      <c r="M475">
        <f>IF(A475="","", _xludf.WEEKNUM(A475, 2))</f>
        <v/>
      </c>
    </row>
    <row r="476">
      <c r="M476">
        <f>IF(A476="","", _xludf.WEEKNUM(A476, 2))</f>
        <v/>
      </c>
    </row>
    <row r="477">
      <c r="M477">
        <f>IF(A477="","", _xludf.WEEKNUM(A477, 2))</f>
        <v/>
      </c>
    </row>
    <row r="478">
      <c r="M478">
        <f>IF(A478="","", _xludf.WEEKNUM(A478, 2))</f>
        <v/>
      </c>
    </row>
    <row r="479">
      <c r="M479">
        <f>IF(A479="","", _xludf.WEEKNUM(A479, 2))</f>
        <v/>
      </c>
    </row>
    <row r="480">
      <c r="M480">
        <f>IF(A480="","", _xludf.WEEKNUM(A480, 2))</f>
        <v/>
      </c>
    </row>
    <row r="481">
      <c r="M481">
        <f>IF(A481="","", _xludf.WEEKNUM(A481, 2))</f>
        <v/>
      </c>
    </row>
    <row r="482">
      <c r="M482">
        <f>IF(A482="","", _xludf.WEEKNUM(A482, 2))</f>
        <v/>
      </c>
    </row>
    <row r="483">
      <c r="M483">
        <f>IF(A483="","", _xludf.WEEKNUM(A483, 2))</f>
        <v/>
      </c>
    </row>
    <row r="484">
      <c r="M484">
        <f>IF(A484="","", _xludf.WEEKNUM(A484, 2))</f>
        <v/>
      </c>
    </row>
    <row r="485">
      <c r="M485">
        <f>IF(A485="","", _xludf.WEEKNUM(A485, 2))</f>
        <v/>
      </c>
    </row>
    <row r="486">
      <c r="M486">
        <f>IF(A486="","", _xludf.WEEKNUM(A486, 2))</f>
        <v/>
      </c>
    </row>
    <row r="487">
      <c r="M487">
        <f>IF(A487="","", _xludf.WEEKNUM(A487, 2))</f>
        <v/>
      </c>
    </row>
    <row r="488">
      <c r="M488">
        <f>IF(A488="","", _xludf.WEEKNUM(A488, 2))</f>
        <v/>
      </c>
    </row>
    <row r="489">
      <c r="M489">
        <f>IF(A489="","", _xludf.WEEKNUM(A489, 2))</f>
        <v/>
      </c>
    </row>
    <row r="490">
      <c r="M490">
        <f>IF(A490="","", _xludf.WEEKNUM(A490, 2))</f>
        <v/>
      </c>
    </row>
    <row r="491">
      <c r="M491">
        <f>IF(A491="","", _xludf.WEEKNUM(A491, 2))</f>
        <v/>
      </c>
    </row>
    <row r="492">
      <c r="M492">
        <f>IF(A492="","", _xludf.WEEKNUM(A492, 2))</f>
        <v/>
      </c>
    </row>
    <row r="493">
      <c r="M493">
        <f>IF(A493="","", _xludf.WEEKNUM(A493, 2))</f>
        <v/>
      </c>
    </row>
    <row r="494">
      <c r="M494">
        <f>IF(A494="","", _xludf.WEEKNUM(A494, 2))</f>
        <v/>
      </c>
    </row>
    <row r="495">
      <c r="M495">
        <f>IF(A495="","", _xludf.WEEKNUM(A495, 2))</f>
        <v/>
      </c>
    </row>
    <row r="496">
      <c r="M496">
        <f>IF(A496="","", _xludf.WEEKNUM(A496, 2))</f>
        <v/>
      </c>
    </row>
    <row r="497">
      <c r="M497">
        <f>IF(A497="","", _xludf.WEEKNUM(A497, 2))</f>
        <v/>
      </c>
    </row>
    <row r="498">
      <c r="M498">
        <f>IF(A498="","", _xludf.WEEKNUM(A498, 2))</f>
        <v/>
      </c>
    </row>
    <row r="499">
      <c r="M499">
        <f>IF(A499="","", _xludf.WEEKNUM(A499, 2))</f>
        <v/>
      </c>
    </row>
    <row r="500">
      <c r="M500">
        <f>IF(A500="","", _xludf.WEEKNUM(A500, 2))</f>
        <v/>
      </c>
    </row>
    <row r="501">
      <c r="M501">
        <f>IF(A501="","", _xludf.WEEKNUM(A501, 2))</f>
        <v/>
      </c>
    </row>
    <row r="502">
      <c r="M502">
        <f>IF(A502="","", _xludf.WEEKNUM(A502, 2))</f>
        <v/>
      </c>
    </row>
    <row r="503">
      <c r="M503">
        <f>IF(A503="","", _xludf.WEEKNUM(A503, 2))</f>
        <v/>
      </c>
    </row>
    <row r="504">
      <c r="M504">
        <f>IF(A504="","", _xludf.WEEKNUM(A504, 2))</f>
        <v/>
      </c>
    </row>
    <row r="505">
      <c r="M505">
        <f>IF(A505="","", _xludf.WEEKNUM(A505, 2))</f>
        <v/>
      </c>
    </row>
    <row r="506">
      <c r="M506">
        <f>IF(A506="","", _xludf.WEEKNUM(A506, 2))</f>
        <v/>
      </c>
    </row>
    <row r="507">
      <c r="M507">
        <f>IF(A507="","", _xludf.WEEKNUM(A507, 2))</f>
        <v/>
      </c>
    </row>
    <row r="508">
      <c r="M508">
        <f>IF(A508="","", _xludf.WEEKNUM(A508, 2))</f>
        <v/>
      </c>
    </row>
    <row r="509">
      <c r="M509">
        <f>IF(A509="","", _xludf.WEEKNUM(A509, 2))</f>
        <v/>
      </c>
    </row>
    <row r="510">
      <c r="M510">
        <f>IF(A510="","", _xludf.WEEKNUM(A510, 2))</f>
        <v/>
      </c>
    </row>
    <row r="511">
      <c r="M511">
        <f>IF(A511="","", _xludf.WEEKNUM(A511, 2))</f>
        <v/>
      </c>
    </row>
    <row r="512">
      <c r="M512">
        <f>IF(A512="","", _xludf.WEEKNUM(A512, 2))</f>
        <v/>
      </c>
    </row>
    <row r="513">
      <c r="M513">
        <f>IF(A513="","", _xludf.WEEKNUM(A513, 2))</f>
        <v/>
      </c>
    </row>
    <row r="514">
      <c r="M514">
        <f>IF(A514="","", _xludf.WEEKNUM(A514, 2))</f>
        <v/>
      </c>
    </row>
    <row r="515">
      <c r="M515">
        <f>IF(A515="","", _xludf.WEEKNUM(A515, 2))</f>
        <v/>
      </c>
    </row>
    <row r="516">
      <c r="M516">
        <f>IF(A516="","", _xludf.WEEKNUM(A516, 2))</f>
        <v/>
      </c>
    </row>
    <row r="517">
      <c r="M517">
        <f>IF(A517="","", _xludf.WEEKNUM(A517, 2))</f>
        <v/>
      </c>
    </row>
    <row r="518">
      <c r="M518">
        <f>IF(A518="","", _xludf.WEEKNUM(A518, 2))</f>
        <v/>
      </c>
    </row>
    <row r="519">
      <c r="M519">
        <f>IF(A519="","", _xludf.WEEKNUM(A519, 2))</f>
        <v/>
      </c>
    </row>
    <row r="520">
      <c r="M520">
        <f>IF(A520="","", _xludf.WEEKNUM(A520, 2))</f>
        <v/>
      </c>
    </row>
    <row r="521">
      <c r="M521">
        <f>IF(A521="","", _xludf.WEEKNUM(A521, 2))</f>
        <v/>
      </c>
    </row>
    <row r="522">
      <c r="M522">
        <f>IF(A522="","", _xludf.WEEKNUM(A522, 2))</f>
        <v/>
      </c>
    </row>
    <row r="523">
      <c r="M523">
        <f>IF(A523="","", _xludf.WEEKNUM(A523, 2))</f>
        <v/>
      </c>
    </row>
    <row r="524">
      <c r="M524">
        <f>IF(A524="","", _xludf.WEEKNUM(A524, 2))</f>
        <v/>
      </c>
    </row>
    <row r="525">
      <c r="M525">
        <f>IF(A525="","", _xludf.WEEKNUM(A525, 2))</f>
        <v/>
      </c>
    </row>
    <row r="526">
      <c r="M526">
        <f>IF(A526="","", _xludf.WEEKNUM(A526, 2))</f>
        <v/>
      </c>
    </row>
    <row r="527">
      <c r="M527">
        <f>IF(A527="","", _xludf.WEEKNUM(A527, 2))</f>
        <v/>
      </c>
    </row>
    <row r="528">
      <c r="M528">
        <f>IF(A528="","", _xludf.WEEKNUM(A528, 2))</f>
        <v/>
      </c>
    </row>
    <row r="529">
      <c r="M529">
        <f>IF(A529="","", _xludf.WEEKNUM(A529, 2))</f>
        <v/>
      </c>
    </row>
    <row r="530">
      <c r="M530">
        <f>IF(A530="","", _xludf.WEEKNUM(A530, 2))</f>
        <v/>
      </c>
    </row>
    <row r="531">
      <c r="M531">
        <f>IF(A531="","", _xludf.WEEKNUM(A531, 2))</f>
        <v/>
      </c>
    </row>
    <row r="532">
      <c r="M532">
        <f>IF(A532="","", _xludf.WEEKNUM(A532, 2))</f>
        <v/>
      </c>
    </row>
    <row r="533">
      <c r="M533">
        <f>IF(A533="","", _xludf.WEEKNUM(A533, 2))</f>
        <v/>
      </c>
    </row>
    <row r="534">
      <c r="M534">
        <f>IF(A534="","", _xludf.WEEKNUM(A534, 2))</f>
        <v/>
      </c>
    </row>
    <row r="535">
      <c r="M535">
        <f>IF(A535="","", _xludf.WEEKNUM(A535, 2))</f>
        <v/>
      </c>
    </row>
    <row r="536">
      <c r="M536">
        <f>IF(A536="","", _xludf.WEEKNUM(A536, 2))</f>
        <v/>
      </c>
    </row>
    <row r="537">
      <c r="M537">
        <f>IF(A537="","", _xludf.WEEKNUM(A537, 2))</f>
        <v/>
      </c>
    </row>
    <row r="538">
      <c r="M538">
        <f>IF(A538="","", _xludf.WEEKNUM(A538, 2))</f>
        <v/>
      </c>
    </row>
    <row r="539">
      <c r="M539">
        <f>IF(A539="","", _xludf.WEEKNUM(A539, 2))</f>
        <v/>
      </c>
    </row>
    <row r="540">
      <c r="M540">
        <f>IF(A540="","", _xludf.WEEKNUM(A540, 2))</f>
        <v/>
      </c>
    </row>
    <row r="541">
      <c r="M541">
        <f>IF(A541="","", _xludf.WEEKNUM(A541, 2))</f>
        <v/>
      </c>
    </row>
    <row r="542">
      <c r="M542">
        <f>IF(A542="","", _xludf.WEEKNUM(A542, 2))</f>
        <v/>
      </c>
    </row>
    <row r="543">
      <c r="M543">
        <f>IF(A543="","", _xludf.WEEKNUM(A543, 2))</f>
        <v/>
      </c>
    </row>
    <row r="544">
      <c r="M544">
        <f>IF(A544="","", _xludf.WEEKNUM(A544, 2))</f>
        <v/>
      </c>
    </row>
    <row r="545">
      <c r="M545">
        <f>IF(A545="","", _xludf.WEEKNUM(A545, 2))</f>
        <v/>
      </c>
    </row>
    <row r="546">
      <c r="M546">
        <f>IF(A546="","", _xludf.WEEKNUM(A546, 2))</f>
        <v/>
      </c>
    </row>
    <row r="547">
      <c r="M547">
        <f>IF(A547="","", _xludf.WEEKNUM(A547, 2))</f>
        <v/>
      </c>
    </row>
    <row r="548">
      <c r="M548">
        <f>IF(A548="","", _xludf.WEEKNUM(A548, 2))</f>
        <v/>
      </c>
    </row>
    <row r="549">
      <c r="M549">
        <f>IF(A549="","", _xludf.WEEKNUM(A549, 2))</f>
        <v/>
      </c>
    </row>
    <row r="550">
      <c r="M550">
        <f>IF(A550="","", _xludf.WEEKNUM(A550, 2))</f>
        <v/>
      </c>
    </row>
    <row r="551">
      <c r="M551">
        <f>IF(A551="","", _xludf.WEEKNUM(A551, 2))</f>
        <v/>
      </c>
    </row>
    <row r="552">
      <c r="M552">
        <f>IF(A552="","", _xludf.WEEKNUM(A552, 2))</f>
        <v/>
      </c>
    </row>
    <row r="553">
      <c r="M553">
        <f>IF(A553="","", _xludf.WEEKNUM(A553, 2))</f>
        <v/>
      </c>
    </row>
    <row r="554">
      <c r="M554">
        <f>IF(A554="","", _xludf.WEEKNUM(A554, 2))</f>
        <v/>
      </c>
    </row>
    <row r="555">
      <c r="M555">
        <f>IF(A555="","", _xludf.WEEKNUM(A555, 2))</f>
        <v/>
      </c>
    </row>
    <row r="556">
      <c r="M556">
        <f>IF(A556="","", _xludf.WEEKNUM(A556, 2))</f>
        <v/>
      </c>
    </row>
    <row r="557">
      <c r="M557">
        <f>IF(A557="","", _xludf.WEEKNUM(A557, 2))</f>
        <v/>
      </c>
    </row>
    <row r="558">
      <c r="M558">
        <f>IF(A558="","", _xludf.WEEKNUM(A558, 2))</f>
        <v/>
      </c>
    </row>
    <row r="559">
      <c r="M559">
        <f>IF(A559="","", _xludf.WEEKNUM(A559, 2))</f>
        <v/>
      </c>
    </row>
    <row r="560">
      <c r="M560">
        <f>IF(A560="","", _xludf.WEEKNUM(A560, 2))</f>
        <v/>
      </c>
    </row>
    <row r="561">
      <c r="M561">
        <f>IF(A561="","", _xludf.WEEKNUM(A561, 2))</f>
        <v/>
      </c>
    </row>
    <row r="562">
      <c r="M562">
        <f>IF(A562="","", _xludf.WEEKNUM(A562, 2))</f>
        <v/>
      </c>
    </row>
    <row r="563">
      <c r="M563">
        <f>IF(A563="","", _xludf.WEEKNUM(A563, 2))</f>
        <v/>
      </c>
    </row>
    <row r="564">
      <c r="M564">
        <f>IF(A564="","", _xludf.WEEKNUM(A564, 2))</f>
        <v/>
      </c>
    </row>
    <row r="565">
      <c r="M565">
        <f>IF(A565="","", _xludf.WEEKNUM(A565, 2))</f>
        <v/>
      </c>
    </row>
    <row r="566">
      <c r="M566">
        <f>IF(A566="","", _xludf.WEEKNUM(A566, 2))</f>
        <v/>
      </c>
    </row>
    <row r="567">
      <c r="M567">
        <f>IF(A567="","", _xludf.WEEKNUM(A567, 2))</f>
        <v/>
      </c>
    </row>
    <row r="568">
      <c r="M568">
        <f>IF(A568="","", _xludf.WEEKNUM(A568, 2))</f>
        <v/>
      </c>
    </row>
    <row r="569">
      <c r="M569">
        <f>IF(A569="","", _xludf.WEEKNUM(A569, 2))</f>
        <v/>
      </c>
    </row>
    <row r="570">
      <c r="M570">
        <f>IF(A570="","", _xludf.WEEKNUM(A570, 2))</f>
        <v/>
      </c>
    </row>
    <row r="571">
      <c r="M571">
        <f>IF(A571="","", _xludf.WEEKNUM(A571, 2))</f>
        <v/>
      </c>
    </row>
    <row r="572">
      <c r="M572">
        <f>IF(A572="","", _xludf.WEEKNUM(A572, 2))</f>
        <v/>
      </c>
    </row>
    <row r="573">
      <c r="M573">
        <f>IF(A573="","", _xludf.WEEKNUM(A573, 2))</f>
        <v/>
      </c>
    </row>
    <row r="574">
      <c r="M574">
        <f>IF(A574="","", _xludf.WEEKNUM(A574, 2))</f>
        <v/>
      </c>
    </row>
    <row r="575">
      <c r="M575">
        <f>IF(A575="","", _xludf.WEEKNUM(A575, 2))</f>
        <v/>
      </c>
    </row>
    <row r="576">
      <c r="M576">
        <f>IF(A576="","", _xludf.WEEKNUM(A576, 2))</f>
        <v/>
      </c>
    </row>
    <row r="577">
      <c r="M577">
        <f>IF(A577="","", _xludf.WEEKNUM(A577, 2))</f>
        <v/>
      </c>
    </row>
    <row r="578">
      <c r="M578">
        <f>IF(A578="","", _xludf.WEEKNUM(A578, 2))</f>
        <v/>
      </c>
    </row>
    <row r="579">
      <c r="M579">
        <f>IF(A579="","", _xludf.WEEKNUM(A579, 2))</f>
        <v/>
      </c>
    </row>
    <row r="580">
      <c r="M580">
        <f>IF(A580="","", _xludf.WEEKNUM(A580, 2))</f>
        <v/>
      </c>
    </row>
    <row r="581">
      <c r="M581">
        <f>IF(A581="","", _xludf.WEEKNUM(A581, 2))</f>
        <v/>
      </c>
    </row>
    <row r="582">
      <c r="M582">
        <f>IF(A582="","", _xludf.WEEKNUM(A582, 2))</f>
        <v/>
      </c>
    </row>
    <row r="583">
      <c r="M583">
        <f>IF(A583="","", _xludf.WEEKNUM(A583, 2))</f>
        <v/>
      </c>
    </row>
    <row r="584">
      <c r="M584">
        <f>IF(A584="","", _xludf.WEEKNUM(A584, 2))</f>
        <v/>
      </c>
    </row>
    <row r="585">
      <c r="M585">
        <f>IF(A585="","", _xludf.WEEKNUM(A585, 2))</f>
        <v/>
      </c>
    </row>
    <row r="586">
      <c r="M586">
        <f>IF(A586="","", _xludf.WEEKNUM(A586, 2))</f>
        <v/>
      </c>
    </row>
    <row r="587">
      <c r="M587">
        <f>IF(A587="","", _xludf.WEEKNUM(A587, 2))</f>
        <v/>
      </c>
    </row>
    <row r="588">
      <c r="M588">
        <f>IF(A588="","", _xludf.WEEKNUM(A588, 2))</f>
        <v/>
      </c>
    </row>
    <row r="589">
      <c r="M589">
        <f>IF(A589="","", _xludf.WEEKNUM(A589, 2))</f>
        <v/>
      </c>
    </row>
    <row r="590">
      <c r="M590">
        <f>IF(A590="","", _xludf.WEEKNUM(A590, 2))</f>
        <v/>
      </c>
    </row>
    <row r="591">
      <c r="M591">
        <f>IF(A591="","", _xludf.WEEKNUM(A591, 2))</f>
        <v/>
      </c>
    </row>
    <row r="592">
      <c r="M592">
        <f>IF(A592="","", _xludf.WEEKNUM(A592, 2))</f>
        <v/>
      </c>
    </row>
    <row r="593">
      <c r="M593">
        <f>IF(A593="","", _xludf.WEEKNUM(A593, 2))</f>
        <v/>
      </c>
    </row>
    <row r="594">
      <c r="M594">
        <f>IF(A594="","", _xludf.WEEKNUM(A594, 2))</f>
        <v/>
      </c>
    </row>
    <row r="595">
      <c r="M595">
        <f>IF(A595="","", _xludf.WEEKNUM(A595, 2))</f>
        <v/>
      </c>
    </row>
    <row r="596">
      <c r="M596">
        <f>IF(A596="","", _xludf.WEEKNUM(A596, 2))</f>
        <v/>
      </c>
    </row>
    <row r="597">
      <c r="M597">
        <f>IF(A597="","", _xludf.WEEKNUM(A597, 2))</f>
        <v/>
      </c>
    </row>
    <row r="598">
      <c r="M598">
        <f>IF(A598="","", _xludf.WEEKNUM(A598, 2))</f>
        <v/>
      </c>
    </row>
    <row r="599">
      <c r="M599">
        <f>IF(A599="","", _xludf.WEEKNUM(A599, 2))</f>
        <v/>
      </c>
    </row>
    <row r="600">
      <c r="M600">
        <f>IF(A600="","", _xludf.WEEKNUM(A600, 2))</f>
        <v/>
      </c>
    </row>
    <row r="601">
      <c r="M601">
        <f>IF(A601="","", _xludf.WEEKNUM(A601, 2))</f>
        <v/>
      </c>
    </row>
    <row r="602">
      <c r="M602">
        <f>IF(A602="","", _xludf.WEEKNUM(A602, 2))</f>
        <v/>
      </c>
    </row>
    <row r="603">
      <c r="M603">
        <f>IF(A603="","", _xludf.WEEKNUM(A603, 2))</f>
        <v/>
      </c>
    </row>
    <row r="604">
      <c r="M604">
        <f>IF(A604="","", _xludf.WEEKNUM(A604, 2))</f>
        <v/>
      </c>
    </row>
    <row r="605">
      <c r="M605">
        <f>IF(A605="","", _xludf.WEEKNUM(A605, 2))</f>
        <v/>
      </c>
    </row>
    <row r="606">
      <c r="M606">
        <f>IF(A606="","", _xludf.WEEKNUM(A606, 2))</f>
        <v/>
      </c>
    </row>
    <row r="607">
      <c r="M607">
        <f>IF(A607="","", _xludf.WEEKNUM(A607, 2))</f>
        <v/>
      </c>
    </row>
    <row r="608">
      <c r="M608">
        <f>IF(A608="","", _xludf.WEEKNUM(A608, 2))</f>
        <v/>
      </c>
    </row>
    <row r="609">
      <c r="M609">
        <f>IF(A609="","", _xludf.WEEKNUM(A609, 2))</f>
        <v/>
      </c>
    </row>
    <row r="610">
      <c r="M610">
        <f>IF(A610="","", _xludf.WEEKNUM(A610, 2))</f>
        <v/>
      </c>
    </row>
    <row r="611">
      <c r="M611">
        <f>IF(A611="","", _xludf.WEEKNUM(A611, 2))</f>
        <v/>
      </c>
    </row>
    <row r="612">
      <c r="M612">
        <f>IF(A612="","", _xludf.WEEKNUM(A612, 2))</f>
        <v/>
      </c>
    </row>
    <row r="613">
      <c r="M613">
        <f>IF(A613="","", _xludf.WEEKNUM(A613, 2))</f>
        <v/>
      </c>
    </row>
    <row r="614">
      <c r="M614">
        <f>IF(A614="","", _xludf.WEEKNUM(A614, 2))</f>
        <v/>
      </c>
    </row>
    <row r="615">
      <c r="M615">
        <f>IF(A615="","", _xludf.WEEKNUM(A615, 2))</f>
        <v/>
      </c>
    </row>
    <row r="616">
      <c r="M616">
        <f>IF(A616="","", _xludf.WEEKNUM(A616, 2))</f>
        <v/>
      </c>
    </row>
    <row r="617">
      <c r="M617">
        <f>IF(A617="","", _xludf.WEEKNUM(A617, 2))</f>
        <v/>
      </c>
    </row>
    <row r="618">
      <c r="M618">
        <f>IF(A618="","", _xludf.WEEKNUM(A618, 2))</f>
        <v/>
      </c>
    </row>
    <row r="619">
      <c r="M619">
        <f>IF(A619="","", _xludf.WEEKNUM(A619, 2))</f>
        <v/>
      </c>
    </row>
    <row r="620">
      <c r="M620">
        <f>IF(A620="","", _xludf.WEEKNUM(A620, 2))</f>
        <v/>
      </c>
    </row>
    <row r="621">
      <c r="M621">
        <f>IF(A621="","", _xludf.WEEKNUM(A621, 2))</f>
        <v/>
      </c>
    </row>
    <row r="622">
      <c r="M622">
        <f>IF(A622="","", _xludf.WEEKNUM(A622, 2))</f>
        <v/>
      </c>
    </row>
    <row r="623">
      <c r="M623">
        <f>IF(A623="","", _xludf.WEEKNUM(A623, 2))</f>
        <v/>
      </c>
    </row>
    <row r="624">
      <c r="M624">
        <f>IF(A624="","", _xludf.WEEKNUM(A624, 2))</f>
        <v/>
      </c>
    </row>
    <row r="625">
      <c r="M625">
        <f>IF(A625="","", _xludf.WEEKNUM(A625, 2))</f>
        <v/>
      </c>
    </row>
    <row r="626">
      <c r="M626">
        <f>IF(A626="","", _xludf.WEEKNUM(A626, 2))</f>
        <v/>
      </c>
    </row>
    <row r="627">
      <c r="M627">
        <f>IF(A627="","", _xludf.WEEKNUM(A627, 2))</f>
        <v/>
      </c>
    </row>
    <row r="628">
      <c r="M628">
        <f>IF(A628="","", _xludf.WEEKNUM(A628, 2))</f>
        <v/>
      </c>
    </row>
    <row r="629">
      <c r="M629">
        <f>IF(A629="","", _xludf.WEEKNUM(A629, 2))</f>
        <v/>
      </c>
    </row>
    <row r="630">
      <c r="M630">
        <f>IF(A630="","", _xludf.WEEKNUM(A630, 2))</f>
        <v/>
      </c>
    </row>
    <row r="631">
      <c r="M631">
        <f>IF(A631="","", _xludf.WEEKNUM(A631, 2))</f>
        <v/>
      </c>
    </row>
    <row r="632">
      <c r="M632">
        <f>IF(A632="","", _xludf.WEEKNUM(A632, 2))</f>
        <v/>
      </c>
    </row>
    <row r="633">
      <c r="M633">
        <f>IF(A633="","", _xludf.WEEKNUM(A633, 2))</f>
        <v/>
      </c>
    </row>
    <row r="634">
      <c r="M634">
        <f>IF(A634="","", _xludf.WEEKNUM(A634, 2))</f>
        <v/>
      </c>
    </row>
    <row r="635">
      <c r="M635">
        <f>IF(A635="","", _xludf.WEEKNUM(A635, 2))</f>
        <v/>
      </c>
    </row>
    <row r="636">
      <c r="M636">
        <f>IF(A636="","", _xludf.WEEKNUM(A636, 2))</f>
        <v/>
      </c>
    </row>
    <row r="637">
      <c r="M637">
        <f>IF(A637="","", _xludf.WEEKNUM(A637, 2))</f>
        <v/>
      </c>
    </row>
    <row r="638">
      <c r="M638">
        <f>IF(A638="","", _xludf.WEEKNUM(A638, 2))</f>
        <v/>
      </c>
    </row>
    <row r="639">
      <c r="M639">
        <f>IF(A639="","", _xludf.WEEKNUM(A639, 2))</f>
        <v/>
      </c>
    </row>
    <row r="640">
      <c r="M640">
        <f>IF(A640="","", _xludf.WEEKNUM(A640, 2))</f>
        <v/>
      </c>
    </row>
    <row r="641">
      <c r="M641">
        <f>IF(A641="","", _xludf.WEEKNUM(A641, 2))</f>
        <v/>
      </c>
    </row>
    <row r="642">
      <c r="M642">
        <f>IF(A642="","", _xludf.WEEKNUM(A642, 2))</f>
        <v/>
      </c>
    </row>
    <row r="643">
      <c r="M643">
        <f>IF(A643="","", _xludf.WEEKNUM(A643, 2))</f>
        <v/>
      </c>
    </row>
    <row r="644">
      <c r="M644">
        <f>IF(A644="","", _xludf.WEEKNUM(A644, 2))</f>
        <v/>
      </c>
    </row>
    <row r="645">
      <c r="M645">
        <f>IF(A645="","", _xludf.WEEKNUM(A645, 2))</f>
        <v/>
      </c>
    </row>
    <row r="646">
      <c r="M646">
        <f>IF(A646="","", _xludf.WEEKNUM(A646, 2))</f>
        <v/>
      </c>
    </row>
    <row r="647">
      <c r="M647">
        <f>IF(A647="","", _xludf.WEEKNUM(A647, 2))</f>
        <v/>
      </c>
    </row>
    <row r="648">
      <c r="M648">
        <f>IF(A648="","", _xludf.WEEKNUM(A648, 2))</f>
        <v/>
      </c>
    </row>
    <row r="649">
      <c r="M649">
        <f>IF(A649="","", _xludf.WEEKNUM(A649, 2))</f>
        <v/>
      </c>
    </row>
    <row r="650">
      <c r="M650">
        <f>IF(A650="","", _xludf.WEEKNUM(A650, 2))</f>
        <v/>
      </c>
    </row>
    <row r="651">
      <c r="M651">
        <f>IF(A651="","", _xludf.WEEKNUM(A651, 2))</f>
        <v/>
      </c>
    </row>
    <row r="652">
      <c r="M652">
        <f>IF(A652="","", _xludf.WEEKNUM(A652, 2))</f>
        <v/>
      </c>
    </row>
    <row r="653">
      <c r="M653">
        <f>IF(A653="","", _xludf.WEEKNUM(A653, 2))</f>
        <v/>
      </c>
    </row>
    <row r="654">
      <c r="M654">
        <f>IF(A654="","", _xludf.WEEKNUM(A654, 2))</f>
        <v/>
      </c>
    </row>
    <row r="655">
      <c r="M655">
        <f>IF(A655="","", _xludf.WEEKNUM(A655, 2))</f>
        <v/>
      </c>
    </row>
    <row r="656">
      <c r="M656">
        <f>IF(A656="","", _xludf.WEEKNUM(A656, 2))</f>
        <v/>
      </c>
    </row>
    <row r="657">
      <c r="M657">
        <f>IF(A657="","", _xludf.WEEKNUM(A657, 2))</f>
        <v/>
      </c>
    </row>
    <row r="658">
      <c r="M658">
        <f>IF(A658="","", _xludf.WEEKNUM(A658, 2))</f>
        <v/>
      </c>
    </row>
    <row r="659">
      <c r="M659">
        <f>IF(A659="","", _xludf.WEEKNUM(A659, 2))</f>
        <v/>
      </c>
    </row>
    <row r="660">
      <c r="M660">
        <f>IF(A660="","", _xludf.WEEKNUM(A660, 2))</f>
        <v/>
      </c>
    </row>
    <row r="661">
      <c r="M661">
        <f>IF(A661="","", _xludf.WEEKNUM(A661, 2))</f>
        <v/>
      </c>
    </row>
    <row r="662">
      <c r="M662">
        <f>IF(A662="","", _xludf.WEEKNUM(A662, 2))</f>
        <v/>
      </c>
    </row>
    <row r="663">
      <c r="M663">
        <f>IF(A663="","", _xludf.WEEKNUM(A663, 2))</f>
        <v/>
      </c>
    </row>
    <row r="664">
      <c r="M664">
        <f>IF(A664="","", _xludf.WEEKNUM(A664, 2))</f>
        <v/>
      </c>
    </row>
    <row r="665">
      <c r="M665">
        <f>IF(A665="","", _xludf.WEEKNUM(A665, 2))</f>
        <v/>
      </c>
    </row>
    <row r="666">
      <c r="M666">
        <f>IF(A666="","", _xludf.WEEKNUM(A666, 2))</f>
        <v/>
      </c>
    </row>
    <row r="667">
      <c r="M667">
        <f>IF(A667="","", _xludf.WEEKNUM(A667, 2))</f>
        <v/>
      </c>
    </row>
    <row r="668">
      <c r="M668">
        <f>IF(A668="","", _xludf.WEEKNUM(A668, 2))</f>
        <v/>
      </c>
    </row>
    <row r="669">
      <c r="M669">
        <f>IF(A669="","", _xludf.WEEKNUM(A669, 2))</f>
        <v/>
      </c>
    </row>
    <row r="670">
      <c r="M670">
        <f>IF(A670="","", _xludf.WEEKNUM(A670, 2))</f>
        <v/>
      </c>
    </row>
    <row r="671">
      <c r="M671">
        <f>IF(A671="","", _xludf.WEEKNUM(A671, 2))</f>
        <v/>
      </c>
    </row>
    <row r="672">
      <c r="M672">
        <f>IF(A672="","", _xludf.WEEKNUM(A672, 2))</f>
        <v/>
      </c>
    </row>
    <row r="673">
      <c r="M673">
        <f>IF(A673="","", _xludf.WEEKNUM(A673, 2))</f>
        <v/>
      </c>
    </row>
    <row r="674">
      <c r="M674">
        <f>IF(A674="","", _xludf.WEEKNUM(A674, 2))</f>
        <v/>
      </c>
    </row>
    <row r="675">
      <c r="M675">
        <f>IF(A675="","", _xludf.WEEKNUM(A675, 2))</f>
        <v/>
      </c>
    </row>
    <row r="676">
      <c r="M676">
        <f>IF(A676="","", _xludf.WEEKNUM(A676, 2))</f>
        <v/>
      </c>
    </row>
    <row r="677">
      <c r="M677">
        <f>IF(A677="","", _xludf.WEEKNUM(A677, 2))</f>
        <v/>
      </c>
    </row>
    <row r="678">
      <c r="M678">
        <f>IF(A678="","", _xludf.WEEKNUM(A678, 2))</f>
        <v/>
      </c>
    </row>
    <row r="679">
      <c r="M679">
        <f>IF(A679="","", _xludf.WEEKNUM(A679, 2))</f>
        <v/>
      </c>
    </row>
    <row r="680">
      <c r="M680">
        <f>IF(A680="","", _xludf.WEEKNUM(A680, 2))</f>
        <v/>
      </c>
    </row>
    <row r="681">
      <c r="M681">
        <f>IF(A681="","", _xludf.WEEKNUM(A681, 2))</f>
        <v/>
      </c>
    </row>
    <row r="682">
      <c r="M682">
        <f>IF(A682="","", _xludf.WEEKNUM(A682, 2))</f>
        <v/>
      </c>
    </row>
    <row r="683">
      <c r="M683">
        <f>IF(A683="","", _xludf.WEEKNUM(A683, 2))</f>
        <v/>
      </c>
    </row>
    <row r="684">
      <c r="M684">
        <f>IF(A684="","", _xludf.WEEKNUM(A684, 2))</f>
        <v/>
      </c>
    </row>
    <row r="685">
      <c r="M685">
        <f>IF(A685="","", _xludf.WEEKNUM(A685, 2))</f>
        <v/>
      </c>
    </row>
    <row r="686">
      <c r="M686">
        <f>IF(A686="","", _xludf.WEEKNUM(A686, 2))</f>
        <v/>
      </c>
    </row>
    <row r="687">
      <c r="M687">
        <f>IF(A687="","", _xludf.WEEKNUM(A687, 2))</f>
        <v/>
      </c>
    </row>
    <row r="688">
      <c r="M688">
        <f>IF(A688="","", _xludf.WEEKNUM(A688, 2))</f>
        <v/>
      </c>
    </row>
    <row r="689">
      <c r="M689">
        <f>IF(A689="","", _xludf.WEEKNUM(A689, 2))</f>
        <v/>
      </c>
    </row>
    <row r="690">
      <c r="M690">
        <f>IF(A690="","", _xludf.WEEKNUM(A690, 2))</f>
        <v/>
      </c>
    </row>
    <row r="691">
      <c r="M691">
        <f>IF(A691="","", _xludf.WEEKNUM(A691, 2))</f>
        <v/>
      </c>
    </row>
    <row r="692">
      <c r="M692">
        <f>IF(A692="","", _xludf.WEEKNUM(A692, 2))</f>
        <v/>
      </c>
    </row>
    <row r="693">
      <c r="M693">
        <f>IF(A693="","", _xludf.WEEKNUM(A693, 2))</f>
        <v/>
      </c>
    </row>
    <row r="694">
      <c r="M694">
        <f>IF(A694="","", _xludf.WEEKNUM(A694, 2))</f>
        <v/>
      </c>
    </row>
    <row r="695">
      <c r="M695">
        <f>IF(A695="","", _xludf.WEEKNUM(A695, 2))</f>
        <v/>
      </c>
    </row>
    <row r="696">
      <c r="M696">
        <f>IF(A696="","", _xludf.WEEKNUM(A696, 2))</f>
        <v/>
      </c>
    </row>
    <row r="697">
      <c r="M697">
        <f>IF(A697="","", _xludf.WEEKNUM(A697, 2))</f>
        <v/>
      </c>
    </row>
    <row r="698">
      <c r="M698">
        <f>IF(A698="","", _xludf.WEEKNUM(A698, 2))</f>
        <v/>
      </c>
    </row>
    <row r="699">
      <c r="M699">
        <f>IF(A699="","", _xludf.WEEKNUM(A699, 2))</f>
        <v/>
      </c>
    </row>
    <row r="700">
      <c r="M700">
        <f>IF(A700="","", _xludf.WEEKNUM(A700, 2))</f>
        <v/>
      </c>
    </row>
    <row r="701">
      <c r="M701">
        <f>IF(A701="","", _xludf.WEEKNUM(A701, 2))</f>
        <v/>
      </c>
    </row>
    <row r="702">
      <c r="M702">
        <f>IF(A702="","", _xludf.WEEKNUM(A702, 2))</f>
        <v/>
      </c>
    </row>
    <row r="703">
      <c r="M703">
        <f>IF(A703="","", _xludf.WEEKNUM(A703, 2))</f>
        <v/>
      </c>
    </row>
    <row r="704">
      <c r="M704">
        <f>IF(A704="","", _xludf.WEEKNUM(A704, 2))</f>
        <v/>
      </c>
    </row>
    <row r="705">
      <c r="M705">
        <f>IF(A705="","", _xludf.WEEKNUM(A705, 2))</f>
        <v/>
      </c>
    </row>
    <row r="706">
      <c r="M706">
        <f>IF(A706="","", _xludf.WEEKNUM(A706, 2))</f>
        <v/>
      </c>
    </row>
    <row r="707">
      <c r="M707">
        <f>IF(A707="","", _xludf.WEEKNUM(A707, 2))</f>
        <v/>
      </c>
    </row>
    <row r="708">
      <c r="M708">
        <f>IF(A708="","", _xludf.WEEKNUM(A708, 2))</f>
        <v/>
      </c>
    </row>
    <row r="709">
      <c r="M709">
        <f>IF(A709="","", _xludf.WEEKNUM(A709, 2))</f>
        <v/>
      </c>
    </row>
    <row r="710">
      <c r="M710">
        <f>IF(A710="","", _xludf.WEEKNUM(A710, 2))</f>
        <v/>
      </c>
    </row>
    <row r="711">
      <c r="M711">
        <f>IF(A711="","", _xludf.WEEKNUM(A711, 2))</f>
        <v/>
      </c>
    </row>
    <row r="712">
      <c r="M712">
        <f>IF(A712="","", _xludf.WEEKNUM(A712, 2))</f>
        <v/>
      </c>
    </row>
    <row r="713">
      <c r="M713">
        <f>IF(A713="","", _xludf.WEEKNUM(A713, 2))</f>
        <v/>
      </c>
    </row>
    <row r="714">
      <c r="M714">
        <f>IF(A714="","", _xludf.WEEKNUM(A714, 2))</f>
        <v/>
      </c>
    </row>
    <row r="715">
      <c r="M715">
        <f>IF(A715="","", _xludf.WEEKNUM(A715, 2))</f>
        <v/>
      </c>
    </row>
    <row r="716">
      <c r="M716">
        <f>IF(A716="","", _xludf.WEEKNUM(A716, 2))</f>
        <v/>
      </c>
    </row>
    <row r="717">
      <c r="M717">
        <f>IF(A717="","", _xludf.WEEKNUM(A717, 2))</f>
        <v/>
      </c>
    </row>
    <row r="718">
      <c r="M718">
        <f>IF(A718="","", _xludf.WEEKNUM(A718, 2))</f>
        <v/>
      </c>
    </row>
    <row r="719">
      <c r="M719">
        <f>IF(A719="","", _xludf.WEEKNUM(A719, 2))</f>
        <v/>
      </c>
    </row>
    <row r="720">
      <c r="M720">
        <f>IF(A720="","", _xludf.WEEKNUM(A720, 2))</f>
        <v/>
      </c>
    </row>
    <row r="721">
      <c r="M721">
        <f>IF(A721="","", _xludf.WEEKNUM(A721, 2))</f>
        <v/>
      </c>
    </row>
    <row r="722">
      <c r="M722">
        <f>IF(A722="","", _xludf.WEEKNUM(A722, 2))</f>
        <v/>
      </c>
    </row>
    <row r="723">
      <c r="M723">
        <f>IF(A723="","", _xludf.WEEKNUM(A723, 2))</f>
        <v/>
      </c>
    </row>
    <row r="724">
      <c r="M724">
        <f>IF(A724="","", _xludf.WEEKNUM(A724, 2))</f>
        <v/>
      </c>
    </row>
    <row r="725">
      <c r="M725">
        <f>IF(A725="","", _xludf.WEEKNUM(A725, 2))</f>
        <v/>
      </c>
    </row>
    <row r="726">
      <c r="M726">
        <f>IF(A726="","", _xludf.WEEKNUM(A726, 2))</f>
        <v/>
      </c>
    </row>
    <row r="727">
      <c r="M727">
        <f>IF(A727="","", _xludf.WEEKNUM(A727, 2))</f>
        <v/>
      </c>
    </row>
    <row r="728">
      <c r="M728">
        <f>IF(A728="","", _xludf.WEEKNUM(A728, 2))</f>
        <v/>
      </c>
    </row>
    <row r="729">
      <c r="M729">
        <f>IF(A729="","", _xludf.WEEKNUM(A729, 2))</f>
        <v/>
      </c>
    </row>
    <row r="730">
      <c r="M730">
        <f>IF(A730="","", _xludf.WEEKNUM(A730, 2))</f>
        <v/>
      </c>
    </row>
    <row r="731">
      <c r="M731">
        <f>IF(A731="","", _xludf.WEEKNUM(A731, 2))</f>
        <v/>
      </c>
    </row>
    <row r="732">
      <c r="M732">
        <f>IF(A732="","", _xludf.WEEKNUM(A732, 2))</f>
        <v/>
      </c>
    </row>
    <row r="733">
      <c r="M733">
        <f>IF(A733="","", _xludf.WEEKNUM(A733, 2))</f>
        <v/>
      </c>
    </row>
    <row r="734">
      <c r="M734">
        <f>IF(A734="","", _xludf.WEEKNUM(A734, 2))</f>
        <v/>
      </c>
    </row>
    <row r="735">
      <c r="M735">
        <f>IF(A735="","", _xludf.WEEKNUM(A735, 2))</f>
        <v/>
      </c>
    </row>
    <row r="736">
      <c r="M736">
        <f>IF(A736="","", _xludf.WEEKNUM(A736, 2))</f>
        <v/>
      </c>
    </row>
    <row r="737">
      <c r="M737">
        <f>IF(A737="","", _xludf.WEEKNUM(A737, 2))</f>
        <v/>
      </c>
    </row>
    <row r="738">
      <c r="M738">
        <f>IF(A738="","", _xludf.WEEKNUM(A738, 2))</f>
        <v/>
      </c>
    </row>
    <row r="739">
      <c r="M739">
        <f>IF(A739="","", _xludf.WEEKNUM(A739, 2))</f>
        <v/>
      </c>
    </row>
    <row r="740">
      <c r="M740">
        <f>IF(A740="","", _xludf.WEEKNUM(A740, 2))</f>
        <v/>
      </c>
    </row>
    <row r="741">
      <c r="M741">
        <f>IF(A741="","", _xludf.WEEKNUM(A741, 2))</f>
        <v/>
      </c>
    </row>
    <row r="742">
      <c r="M742">
        <f>IF(A742="","", _xludf.WEEKNUM(A742, 2))</f>
        <v/>
      </c>
    </row>
    <row r="743">
      <c r="M743">
        <f>IF(A743="","", _xludf.WEEKNUM(A743, 2))</f>
        <v/>
      </c>
    </row>
    <row r="744">
      <c r="M744">
        <f>IF(A744="","", _xludf.WEEKNUM(A744, 2))</f>
        <v/>
      </c>
    </row>
    <row r="745">
      <c r="M745">
        <f>IF(A745="","", _xludf.WEEKNUM(A745, 2))</f>
        <v/>
      </c>
    </row>
    <row r="746">
      <c r="M746">
        <f>IF(A746="","", _xludf.WEEKNUM(A746, 2))</f>
        <v/>
      </c>
    </row>
    <row r="747">
      <c r="M747">
        <f>IF(A747="","", _xludf.WEEKNUM(A747, 2))</f>
        <v/>
      </c>
    </row>
    <row r="748">
      <c r="M748">
        <f>IF(A748="","", _xludf.WEEKNUM(A748, 2))</f>
        <v/>
      </c>
    </row>
    <row r="749">
      <c r="M749">
        <f>IF(A749="","", _xludf.WEEKNUM(A749, 2))</f>
        <v/>
      </c>
    </row>
    <row r="750">
      <c r="M750">
        <f>IF(A750="","", _xludf.WEEKNUM(A750, 2))</f>
        <v/>
      </c>
    </row>
    <row r="751">
      <c r="M751">
        <f>IF(A751="","", _xludf.WEEKNUM(A751, 2))</f>
        <v/>
      </c>
    </row>
    <row r="752">
      <c r="M752">
        <f>IF(A752="","", _xludf.WEEKNUM(A752, 2))</f>
        <v/>
      </c>
    </row>
    <row r="753">
      <c r="M753">
        <f>IF(A753="","", _xludf.WEEKNUM(A753, 2))</f>
        <v/>
      </c>
    </row>
    <row r="754">
      <c r="M754">
        <f>IF(A754="","", _xludf.WEEKNUM(A754, 2))</f>
        <v/>
      </c>
    </row>
    <row r="755">
      <c r="M755">
        <f>IF(A755="","", _xludf.WEEKNUM(A755, 2))</f>
        <v/>
      </c>
    </row>
    <row r="756">
      <c r="M756">
        <f>IF(A756="","", _xludf.WEEKNUM(A756, 2))</f>
        <v/>
      </c>
    </row>
    <row r="757">
      <c r="M757">
        <f>IF(A757="","", _xludf.WEEKNUM(A757, 2))</f>
        <v/>
      </c>
    </row>
    <row r="758">
      <c r="M758">
        <f>IF(A758="","", _xludf.WEEKNUM(A758, 2))</f>
        <v/>
      </c>
    </row>
    <row r="759">
      <c r="M759">
        <f>IF(A759="","", _xludf.WEEKNUM(A759, 2))</f>
        <v/>
      </c>
    </row>
    <row r="760">
      <c r="M760">
        <f>IF(A760="","", _xludf.WEEKNUM(A760, 2))</f>
        <v/>
      </c>
    </row>
    <row r="761">
      <c r="M761">
        <f>IF(A761="","", _xludf.WEEKNUM(A761, 2))</f>
        <v/>
      </c>
    </row>
    <row r="762">
      <c r="M762">
        <f>IF(A762="","", _xludf.WEEKNUM(A762, 2))</f>
        <v/>
      </c>
    </row>
    <row r="763">
      <c r="M763">
        <f>IF(A763="","", _xludf.WEEKNUM(A763, 2))</f>
        <v/>
      </c>
    </row>
    <row r="764">
      <c r="M764">
        <f>IF(A764="","", _xludf.WEEKNUM(A764, 2))</f>
        <v/>
      </c>
    </row>
    <row r="765">
      <c r="M765">
        <f>IF(A765="","", _xludf.WEEKNUM(A765, 2))</f>
        <v/>
      </c>
    </row>
    <row r="766">
      <c r="M766">
        <f>IF(A766="","", _xludf.WEEKNUM(A766, 2))</f>
        <v/>
      </c>
    </row>
    <row r="767">
      <c r="M767">
        <f>IF(A767="","", _xludf.WEEKNUM(A767, 2))</f>
        <v/>
      </c>
    </row>
    <row r="768">
      <c r="M768">
        <f>IF(A768="","", _xludf.WEEKNUM(A768, 2))</f>
        <v/>
      </c>
    </row>
    <row r="769">
      <c r="M769">
        <f>IF(A769="","", _xludf.WEEKNUM(A769, 2))</f>
        <v/>
      </c>
    </row>
    <row r="770">
      <c r="M770">
        <f>IF(A770="","", _xludf.WEEKNUM(A770, 2))</f>
        <v/>
      </c>
    </row>
    <row r="771">
      <c r="M771">
        <f>IF(A771="","", _xludf.WEEKNUM(A771, 2))</f>
        <v/>
      </c>
    </row>
    <row r="772">
      <c r="M772">
        <f>IF(A772="","", _xludf.WEEKNUM(A772, 2))</f>
        <v/>
      </c>
    </row>
    <row r="773">
      <c r="M773">
        <f>IF(A773="","", _xludf.WEEKNUM(A773, 2))</f>
        <v/>
      </c>
    </row>
    <row r="774">
      <c r="M774">
        <f>IF(A774="","", _xludf.WEEKNUM(A774, 2))</f>
        <v/>
      </c>
    </row>
    <row r="775">
      <c r="M775">
        <f>IF(A775="","", _xludf.WEEKNUM(A775, 2))</f>
        <v/>
      </c>
    </row>
    <row r="776">
      <c r="M776">
        <f>IF(A776="","", _xludf.WEEKNUM(A776, 2))</f>
        <v/>
      </c>
    </row>
    <row r="777">
      <c r="M777">
        <f>IF(A777="","", _xludf.WEEKNUM(A777, 2))</f>
        <v/>
      </c>
    </row>
    <row r="778">
      <c r="M778">
        <f>IF(A778="","", _xludf.WEEKNUM(A778, 2))</f>
        <v/>
      </c>
    </row>
    <row r="779">
      <c r="M779">
        <f>IF(A779="","", _xludf.WEEKNUM(A779, 2))</f>
        <v/>
      </c>
    </row>
    <row r="780">
      <c r="M780">
        <f>IF(A780="","", _xludf.WEEKNUM(A780, 2))</f>
        <v/>
      </c>
    </row>
    <row r="781">
      <c r="M781">
        <f>IF(A781="","", _xludf.WEEKNUM(A781, 2))</f>
        <v/>
      </c>
    </row>
    <row r="782">
      <c r="M782">
        <f>IF(A782="","", _xludf.WEEKNUM(A782, 2))</f>
        <v/>
      </c>
    </row>
    <row r="783">
      <c r="M783">
        <f>IF(A783="","", _xludf.WEEKNUM(A783, 2))</f>
        <v/>
      </c>
    </row>
    <row r="784">
      <c r="M784">
        <f>IF(A784="","", _xludf.WEEKNUM(A784, 2))</f>
        <v/>
      </c>
    </row>
    <row r="785">
      <c r="M785">
        <f>IF(A785="","", _xludf.WEEKNUM(A785, 2))</f>
        <v/>
      </c>
    </row>
    <row r="786">
      <c r="M786">
        <f>IF(A786="","", _xludf.WEEKNUM(A786, 2))</f>
        <v/>
      </c>
    </row>
    <row r="787">
      <c r="M787">
        <f>IF(A787="","", _xludf.WEEKNUM(A787, 2))</f>
        <v/>
      </c>
    </row>
    <row r="788">
      <c r="M788">
        <f>IF(A788="","", _xludf.WEEKNUM(A788, 2))</f>
        <v/>
      </c>
    </row>
    <row r="789">
      <c r="M789">
        <f>IF(A789="","", _xludf.WEEKNUM(A789, 2))</f>
        <v/>
      </c>
    </row>
    <row r="790">
      <c r="M790">
        <f>IF(A790="","", _xludf.WEEKNUM(A790, 2))</f>
        <v/>
      </c>
    </row>
    <row r="791">
      <c r="M791">
        <f>IF(A791="","", _xludf.WEEKNUM(A791, 2))</f>
        <v/>
      </c>
    </row>
    <row r="792">
      <c r="M792">
        <f>IF(A792="","", _xludf.WEEKNUM(A792, 2))</f>
        <v/>
      </c>
    </row>
    <row r="793">
      <c r="M793">
        <f>IF(A793="","", _xludf.WEEKNUM(A793, 2))</f>
        <v/>
      </c>
    </row>
    <row r="794">
      <c r="M794">
        <f>IF(A794="","", _xludf.WEEKNUM(A794, 2))</f>
        <v/>
      </c>
    </row>
    <row r="795">
      <c r="M795">
        <f>IF(A795="","", _xludf.WEEKNUM(A795, 2))</f>
        <v/>
      </c>
    </row>
    <row r="796">
      <c r="M796">
        <f>IF(A796="","", _xludf.WEEKNUM(A796, 2))</f>
        <v/>
      </c>
    </row>
    <row r="797">
      <c r="M797">
        <f>IF(A797="","", _xludf.WEEKNUM(A797, 2))</f>
        <v/>
      </c>
    </row>
    <row r="798">
      <c r="M798">
        <f>IF(A798="","", _xludf.WEEKNUM(A798, 2))</f>
        <v/>
      </c>
    </row>
    <row r="799">
      <c r="M799">
        <f>IF(A799="","", _xludf.WEEKNUM(A799, 2))</f>
        <v/>
      </c>
    </row>
    <row r="800">
      <c r="M800">
        <f>IF(A800="","", _xludf.WEEKNUM(A800, 2))</f>
        <v/>
      </c>
    </row>
    <row r="801">
      <c r="M801">
        <f>IF(A801="","", _xludf.WEEKNUM(A801, 2))</f>
        <v/>
      </c>
    </row>
    <row r="802">
      <c r="M802">
        <f>IF(A802="","", _xludf.WEEKNUM(A802, 2))</f>
        <v/>
      </c>
    </row>
    <row r="803">
      <c r="M803">
        <f>IF(A803="","", _xludf.WEEKNUM(A803, 2))</f>
        <v/>
      </c>
    </row>
    <row r="804">
      <c r="M804">
        <f>IF(A804="","", _xludf.WEEKNUM(A804, 2))</f>
        <v/>
      </c>
    </row>
    <row r="805">
      <c r="M805">
        <f>IF(A805="","", _xludf.WEEKNUM(A805, 2))</f>
        <v/>
      </c>
    </row>
    <row r="806">
      <c r="M806">
        <f>IF(A806="","", _xludf.WEEKNUM(A806, 2))</f>
        <v/>
      </c>
    </row>
    <row r="807">
      <c r="M807">
        <f>IF(A807="","", _xludf.WEEKNUM(A807, 2))</f>
        <v/>
      </c>
    </row>
    <row r="808">
      <c r="M808">
        <f>IF(A808="","", _xludf.WEEKNUM(A808, 2))</f>
        <v/>
      </c>
    </row>
    <row r="809">
      <c r="M809">
        <f>IF(A809="","", _xludf.WEEKNUM(A809, 2))</f>
        <v/>
      </c>
    </row>
    <row r="810">
      <c r="M810">
        <f>IF(A810="","", _xludf.WEEKNUM(A810, 2))</f>
        <v/>
      </c>
    </row>
    <row r="811">
      <c r="M811">
        <f>IF(A811="","", _xludf.WEEKNUM(A811, 2))</f>
        <v/>
      </c>
    </row>
    <row r="812">
      <c r="M812">
        <f>IF(A812="","", _xludf.WEEKNUM(A812, 2))</f>
        <v/>
      </c>
    </row>
    <row r="813">
      <c r="M813">
        <f>IF(A813="","", _xludf.WEEKNUM(A813, 2))</f>
        <v/>
      </c>
    </row>
    <row r="814">
      <c r="M814">
        <f>IF(A814="","", _xludf.WEEKNUM(A814, 2))</f>
        <v/>
      </c>
    </row>
    <row r="815">
      <c r="M815">
        <f>IF(A815="","", _xludf.WEEKNUM(A815, 2))</f>
        <v/>
      </c>
    </row>
    <row r="816">
      <c r="M816">
        <f>IF(A816="","", _xludf.WEEKNUM(A816, 2))</f>
        <v/>
      </c>
    </row>
    <row r="817">
      <c r="M817">
        <f>IF(A817="","", _xludf.WEEKNUM(A817, 2))</f>
        <v/>
      </c>
    </row>
    <row r="818">
      <c r="M818">
        <f>IF(A818="","", _xludf.WEEKNUM(A818, 2))</f>
        <v/>
      </c>
    </row>
    <row r="819">
      <c r="M819">
        <f>IF(A819="","", _xludf.WEEKNUM(A819, 2))</f>
        <v/>
      </c>
    </row>
    <row r="820">
      <c r="M820">
        <f>IF(A820="","", _xludf.WEEKNUM(A820, 2))</f>
        <v/>
      </c>
    </row>
    <row r="821">
      <c r="M821">
        <f>IF(A821="","", _xludf.WEEKNUM(A821, 2))</f>
        <v/>
      </c>
    </row>
    <row r="822">
      <c r="M822">
        <f>IF(A822="","", _xludf.WEEKNUM(A822, 2))</f>
        <v/>
      </c>
    </row>
    <row r="823">
      <c r="M823">
        <f>IF(A823="","", _xludf.WEEKNUM(A823, 2))</f>
        <v/>
      </c>
    </row>
    <row r="824">
      <c r="M824">
        <f>IF(A824="","", _xludf.WEEKNUM(A824, 2))</f>
        <v/>
      </c>
    </row>
    <row r="825">
      <c r="M825">
        <f>IF(A825="","", _xludf.WEEKNUM(A825, 2))</f>
        <v/>
      </c>
    </row>
    <row r="826">
      <c r="M826">
        <f>IF(A826="","", _xludf.WEEKNUM(A826, 2))</f>
        <v/>
      </c>
    </row>
    <row r="827">
      <c r="M827">
        <f>IF(A827="","", _xludf.WEEKNUM(A827, 2))</f>
        <v/>
      </c>
    </row>
    <row r="828">
      <c r="M828">
        <f>IF(A828="","", _xludf.WEEKNUM(A828, 2))</f>
        <v/>
      </c>
    </row>
    <row r="829">
      <c r="M829">
        <f>IF(A829="","", _xludf.WEEKNUM(A829, 2))</f>
        <v/>
      </c>
    </row>
    <row r="830">
      <c r="M830">
        <f>IF(A830="","", _xludf.WEEKNUM(A830, 2))</f>
        <v/>
      </c>
    </row>
    <row r="831">
      <c r="M831">
        <f>IF(A831="","", _xludf.WEEKNUM(A831, 2))</f>
        <v/>
      </c>
    </row>
    <row r="832">
      <c r="M832">
        <f>IF(A832="","", _xludf.WEEKNUM(A832, 2))</f>
        <v/>
      </c>
    </row>
    <row r="833">
      <c r="M833">
        <f>IF(A833="","", _xludf.WEEKNUM(A833, 2))</f>
        <v/>
      </c>
    </row>
    <row r="834">
      <c r="M834">
        <f>IF(A834="","", _xludf.WEEKNUM(A834, 2))</f>
        <v/>
      </c>
    </row>
    <row r="835">
      <c r="M835">
        <f>IF(A835="","", _xludf.WEEKNUM(A835, 2))</f>
        <v/>
      </c>
    </row>
    <row r="836">
      <c r="M836">
        <f>IF(A836="","", _xludf.WEEKNUM(A836, 2))</f>
        <v/>
      </c>
    </row>
    <row r="837">
      <c r="M837">
        <f>IF(A837="","", _xludf.WEEKNUM(A837, 2))</f>
        <v/>
      </c>
    </row>
    <row r="838">
      <c r="M838">
        <f>IF(A838="","", _xludf.WEEKNUM(A838, 2))</f>
        <v/>
      </c>
    </row>
    <row r="839">
      <c r="M839">
        <f>IF(A839="","", _xludf.WEEKNUM(A839, 2))</f>
        <v/>
      </c>
    </row>
    <row r="840">
      <c r="M840">
        <f>IF(A840="","", _xludf.WEEKNUM(A840, 2))</f>
        <v/>
      </c>
    </row>
    <row r="841">
      <c r="M841">
        <f>IF(A841="","", _xludf.WEEKNUM(A841, 2))</f>
        <v/>
      </c>
    </row>
    <row r="842">
      <c r="M842">
        <f>IF(A842="","", _xludf.WEEKNUM(A842, 2))</f>
        <v/>
      </c>
    </row>
    <row r="843">
      <c r="M843">
        <f>IF(A843="","", _xludf.WEEKNUM(A843, 2))</f>
        <v/>
      </c>
    </row>
    <row r="844">
      <c r="M844">
        <f>IF(A844="","", _xludf.WEEKNUM(A844, 2))</f>
        <v/>
      </c>
    </row>
    <row r="845">
      <c r="M845">
        <f>IF(A845="","", _xludf.WEEKNUM(A845, 2))</f>
        <v/>
      </c>
    </row>
    <row r="846">
      <c r="M846">
        <f>IF(A846="","", _xludf.WEEKNUM(A846, 2))</f>
        <v/>
      </c>
    </row>
    <row r="847">
      <c r="M847">
        <f>IF(A847="","", _xludf.WEEKNUM(A847, 2))</f>
        <v/>
      </c>
    </row>
    <row r="848">
      <c r="M848">
        <f>IF(A848="","", _xludf.WEEKNUM(A848, 2))</f>
        <v/>
      </c>
    </row>
    <row r="849">
      <c r="M849">
        <f>IF(A849="","", _xludf.WEEKNUM(A849, 2))</f>
        <v/>
      </c>
    </row>
    <row r="850">
      <c r="M850">
        <f>IF(A850="","", _xludf.WEEKNUM(A850, 2))</f>
        <v/>
      </c>
    </row>
    <row r="851">
      <c r="M851">
        <f>IF(A851="","", _xludf.WEEKNUM(A851, 2))</f>
        <v/>
      </c>
    </row>
    <row r="852">
      <c r="M852">
        <f>IF(A852="","", _xludf.WEEKNUM(A852, 2))</f>
        <v/>
      </c>
    </row>
    <row r="853">
      <c r="M853">
        <f>IF(A853="","", _xludf.WEEKNUM(A853, 2))</f>
        <v/>
      </c>
    </row>
    <row r="854">
      <c r="M854">
        <f>IF(A854="","", _xludf.WEEKNUM(A854, 2))</f>
        <v/>
      </c>
    </row>
    <row r="855">
      <c r="M855">
        <f>IF(A855="","", _xludf.WEEKNUM(A855, 2))</f>
        <v/>
      </c>
    </row>
    <row r="856">
      <c r="M856">
        <f>IF(A856="","", _xludf.WEEKNUM(A856, 2))</f>
        <v/>
      </c>
    </row>
    <row r="857">
      <c r="M857">
        <f>IF(A857="","", _xludf.WEEKNUM(A857, 2))</f>
        <v/>
      </c>
    </row>
    <row r="858">
      <c r="M858">
        <f>IF(A858="","", _xludf.WEEKNUM(A858, 2))</f>
        <v/>
      </c>
    </row>
    <row r="859">
      <c r="M859">
        <f>IF(A859="","", _xludf.WEEKNUM(A859, 2))</f>
        <v/>
      </c>
    </row>
    <row r="860">
      <c r="M860">
        <f>IF(A860="","", _xludf.WEEKNUM(A860, 2))</f>
        <v/>
      </c>
    </row>
    <row r="861">
      <c r="M861">
        <f>IF(A861="","", _xludf.WEEKNUM(A861, 2))</f>
        <v/>
      </c>
    </row>
    <row r="862">
      <c r="M862">
        <f>IF(A862="","", _xludf.WEEKNUM(A862, 2))</f>
        <v/>
      </c>
    </row>
    <row r="863">
      <c r="M863">
        <f>IF(A863="","", _xludf.WEEKNUM(A863, 2))</f>
        <v/>
      </c>
    </row>
    <row r="864">
      <c r="M864">
        <f>IF(A864="","", _xludf.WEEKNUM(A864, 2))</f>
        <v/>
      </c>
    </row>
    <row r="865">
      <c r="M865">
        <f>IF(A865="","", _xludf.WEEKNUM(A865, 2))</f>
        <v/>
      </c>
    </row>
    <row r="866">
      <c r="M866">
        <f>IF(A866="","", _xludf.WEEKNUM(A866, 2))</f>
        <v/>
      </c>
    </row>
    <row r="867">
      <c r="M867">
        <f>IF(A867="","", _xludf.WEEKNUM(A867, 2))</f>
        <v/>
      </c>
    </row>
    <row r="868">
      <c r="M868">
        <f>IF(A868="","", _xludf.WEEKNUM(A868, 2))</f>
        <v/>
      </c>
    </row>
    <row r="869">
      <c r="M869">
        <f>IF(A869="","", _xludf.WEEKNUM(A869, 2))</f>
        <v/>
      </c>
    </row>
    <row r="870">
      <c r="M870">
        <f>IF(A870="","", _xludf.WEEKNUM(A870, 2))</f>
        <v/>
      </c>
    </row>
    <row r="871">
      <c r="M871">
        <f>IF(A871="","", _xludf.WEEKNUM(A871, 2))</f>
        <v/>
      </c>
    </row>
    <row r="872">
      <c r="M872">
        <f>IF(A872="","", _xludf.WEEKNUM(A872, 2))</f>
        <v/>
      </c>
    </row>
    <row r="873">
      <c r="M873">
        <f>IF(A873="","", _xludf.WEEKNUM(A873, 2))</f>
        <v/>
      </c>
    </row>
    <row r="874">
      <c r="M874">
        <f>IF(A874="","", _xludf.WEEKNUM(A874, 2))</f>
        <v/>
      </c>
    </row>
    <row r="875">
      <c r="M875">
        <f>IF(A875="","", _xludf.WEEKNUM(A875, 2))</f>
        <v/>
      </c>
    </row>
    <row r="876">
      <c r="M876">
        <f>IF(A876="","", _xludf.WEEKNUM(A876, 2))</f>
        <v/>
      </c>
    </row>
    <row r="877">
      <c r="M877">
        <f>IF(A877="","", _xludf.WEEKNUM(A877, 2))</f>
        <v/>
      </c>
    </row>
    <row r="878">
      <c r="M878">
        <f>IF(A878="","", _xludf.WEEKNUM(A878, 2))</f>
        <v/>
      </c>
    </row>
    <row r="879">
      <c r="M879">
        <f>IF(A879="","", _xludf.WEEKNUM(A879, 2))</f>
        <v/>
      </c>
    </row>
    <row r="880">
      <c r="M880">
        <f>IF(A880="","", _xludf.WEEKNUM(A880, 2))</f>
        <v/>
      </c>
    </row>
    <row r="881">
      <c r="M881">
        <f>IF(A881="","", _xludf.WEEKNUM(A881, 2))</f>
        <v/>
      </c>
    </row>
    <row r="882">
      <c r="M882">
        <f>IF(A882="","", _xludf.WEEKNUM(A882, 2))</f>
        <v/>
      </c>
    </row>
    <row r="883">
      <c r="M883">
        <f>IF(A883="","", _xludf.WEEKNUM(A883, 2))</f>
        <v/>
      </c>
    </row>
    <row r="884">
      <c r="M884">
        <f>IF(A884="","", _xludf.WEEKNUM(A884, 2))</f>
        <v/>
      </c>
    </row>
    <row r="885">
      <c r="M885">
        <f>IF(A885="","", _xludf.WEEKNUM(A885, 2))</f>
        <v/>
      </c>
    </row>
    <row r="886">
      <c r="M886">
        <f>IF(A886="","", _xludf.WEEKNUM(A886, 2))</f>
        <v/>
      </c>
    </row>
    <row r="887">
      <c r="M887">
        <f>IF(A887="","", _xludf.WEEKNUM(A887, 2))</f>
        <v/>
      </c>
    </row>
    <row r="888">
      <c r="M888">
        <f>IF(A888="","", _xludf.WEEKNUM(A888, 2))</f>
        <v/>
      </c>
    </row>
    <row r="889">
      <c r="M889">
        <f>IF(A889="","", _xludf.WEEKNUM(A889, 2))</f>
        <v/>
      </c>
    </row>
    <row r="890">
      <c r="M890">
        <f>IF(A890="","", _xludf.WEEKNUM(A890, 2))</f>
        <v/>
      </c>
    </row>
    <row r="891">
      <c r="M891">
        <f>IF(A891="","", _xludf.WEEKNUM(A891, 2))</f>
        <v/>
      </c>
    </row>
    <row r="892">
      <c r="M892">
        <f>IF(A892="","", _xludf.WEEKNUM(A892, 2))</f>
        <v/>
      </c>
    </row>
    <row r="893">
      <c r="M893">
        <f>IF(A893="","", _xludf.WEEKNUM(A893, 2))</f>
        <v/>
      </c>
    </row>
    <row r="894">
      <c r="M894">
        <f>IF(A894="","", _xludf.WEEKNUM(A894, 2))</f>
        <v/>
      </c>
    </row>
    <row r="895">
      <c r="M895">
        <f>IF(A895="","", _xludf.WEEKNUM(A895, 2))</f>
        <v/>
      </c>
    </row>
    <row r="896">
      <c r="M896">
        <f>IF(A896="","", _xludf.WEEKNUM(A896, 2))</f>
        <v/>
      </c>
    </row>
    <row r="897">
      <c r="M897">
        <f>IF(A897="","", _xludf.WEEKNUM(A897, 2))</f>
        <v/>
      </c>
    </row>
    <row r="898">
      <c r="M898">
        <f>IF(A898="","", _xludf.WEEKNUM(A898, 2))</f>
        <v/>
      </c>
    </row>
    <row r="899">
      <c r="M899">
        <f>IF(A899="","", _xludf.WEEKNUM(A899, 2))</f>
        <v/>
      </c>
    </row>
    <row r="900">
      <c r="M900">
        <f>IF(A900="","", _xludf.WEEKNUM(A900, 2))</f>
        <v/>
      </c>
    </row>
    <row r="901">
      <c r="M901">
        <f>IF(A901="","", _xludf.WEEKNUM(A901, 2))</f>
        <v/>
      </c>
    </row>
    <row r="902">
      <c r="M902">
        <f>IF(A902="","", _xludf.WEEKNUM(A902, 2))</f>
        <v/>
      </c>
    </row>
    <row r="903">
      <c r="M903">
        <f>IF(A903="","", _xludf.WEEKNUM(A903, 2))</f>
        <v/>
      </c>
    </row>
    <row r="904">
      <c r="M904">
        <f>IF(A904="","", _xludf.WEEKNUM(A904, 2))</f>
        <v/>
      </c>
    </row>
    <row r="905">
      <c r="M905">
        <f>IF(A905="","", _xludf.WEEKNUM(A905, 2))</f>
        <v/>
      </c>
    </row>
    <row r="906">
      <c r="M906">
        <f>IF(A906="","", _xludf.WEEKNUM(A906, 2))</f>
        <v/>
      </c>
    </row>
    <row r="907">
      <c r="M907">
        <f>IF(A907="","", _xludf.WEEKNUM(A907, 2))</f>
        <v/>
      </c>
    </row>
    <row r="908">
      <c r="M908">
        <f>IF(A908="","", _xludf.WEEKNUM(A908, 2))</f>
        <v/>
      </c>
    </row>
    <row r="909">
      <c r="M909">
        <f>IF(A909="","", _xludf.WEEKNUM(A909, 2))</f>
        <v/>
      </c>
    </row>
    <row r="910">
      <c r="M910">
        <f>IF(A910="","", _xludf.WEEKNUM(A910, 2))</f>
        <v/>
      </c>
    </row>
    <row r="911">
      <c r="M911">
        <f>IF(A911="","", _xludf.WEEKNUM(A911, 2))</f>
        <v/>
      </c>
    </row>
    <row r="912">
      <c r="M912">
        <f>IF(A912="","", _xludf.WEEKNUM(A912, 2))</f>
        <v/>
      </c>
    </row>
    <row r="913">
      <c r="M913">
        <f>IF(A913="","", _xludf.WEEKNUM(A913, 2))</f>
        <v/>
      </c>
    </row>
    <row r="914">
      <c r="M914">
        <f>IF(A914="","", _xludf.WEEKNUM(A914, 2))</f>
        <v/>
      </c>
    </row>
    <row r="915">
      <c r="M915">
        <f>IF(A915="","", _xludf.WEEKNUM(A915, 2))</f>
        <v/>
      </c>
    </row>
    <row r="916">
      <c r="M916">
        <f>IF(A916="","", _xludf.WEEKNUM(A916, 2))</f>
        <v/>
      </c>
    </row>
    <row r="917">
      <c r="M917">
        <f>IF(A917="","", _xludf.WEEKNUM(A917, 2))</f>
        <v/>
      </c>
    </row>
    <row r="918">
      <c r="M918">
        <f>IF(A918="","", _xludf.WEEKNUM(A918, 2))</f>
        <v/>
      </c>
    </row>
    <row r="919">
      <c r="M919">
        <f>IF(A919="","", _xludf.WEEKNUM(A919, 2))</f>
        <v/>
      </c>
    </row>
    <row r="920">
      <c r="M920">
        <f>IF(A920="","", _xludf.WEEKNUM(A920, 2))</f>
        <v/>
      </c>
    </row>
    <row r="921">
      <c r="M921">
        <f>IF(A921="","", _xludf.WEEKNUM(A921, 2))</f>
        <v/>
      </c>
    </row>
    <row r="922">
      <c r="M922">
        <f>IF(A922="","", _xludf.WEEKNUM(A922, 2))</f>
        <v/>
      </c>
    </row>
    <row r="923">
      <c r="M923">
        <f>IF(A923="","", _xludf.WEEKNUM(A923, 2))</f>
        <v/>
      </c>
    </row>
    <row r="924">
      <c r="M924">
        <f>IF(A924="","", _xludf.WEEKNUM(A924, 2))</f>
        <v/>
      </c>
    </row>
    <row r="925">
      <c r="M925">
        <f>IF(A925="","", _xludf.WEEKNUM(A925, 2))</f>
        <v/>
      </c>
    </row>
    <row r="926">
      <c r="M926">
        <f>IF(A926="","", _xludf.WEEKNUM(A926, 2))</f>
        <v/>
      </c>
    </row>
    <row r="927">
      <c r="M927">
        <f>IF(A927="","", _xludf.WEEKNUM(A927, 2))</f>
        <v/>
      </c>
    </row>
    <row r="928">
      <c r="M928">
        <f>IF(A928="","", _xludf.WEEKNUM(A928, 2))</f>
        <v/>
      </c>
    </row>
    <row r="929">
      <c r="M929">
        <f>IF(A929="","", _xludf.WEEKNUM(A929, 2))</f>
        <v/>
      </c>
    </row>
    <row r="930">
      <c r="M930">
        <f>IF(A930="","", _xludf.WEEKNUM(A930, 2))</f>
        <v/>
      </c>
    </row>
    <row r="931">
      <c r="M931">
        <f>IF(A931="","", _xludf.WEEKNUM(A931, 2))</f>
        <v/>
      </c>
    </row>
    <row r="932">
      <c r="M932">
        <f>IF(A932="","", _xludf.WEEKNUM(A932, 2))</f>
        <v/>
      </c>
    </row>
    <row r="933">
      <c r="M933">
        <f>IF(A933="","", _xludf.WEEKNUM(A933, 2))</f>
        <v/>
      </c>
    </row>
    <row r="934">
      <c r="M934">
        <f>IF(A934="","", _xludf.WEEKNUM(A934, 2))</f>
        <v/>
      </c>
    </row>
    <row r="935">
      <c r="M935">
        <f>IF(A935="","", _xludf.WEEKNUM(A935, 2))</f>
        <v/>
      </c>
    </row>
    <row r="936">
      <c r="M936">
        <f>IF(A936="","", _xludf.WEEKNUM(A936, 2))</f>
        <v/>
      </c>
    </row>
    <row r="937">
      <c r="M937">
        <f>IF(A937="","", _xludf.WEEKNUM(A937, 2))</f>
        <v/>
      </c>
    </row>
    <row r="938">
      <c r="M938">
        <f>IF(A938="","", _xludf.WEEKNUM(A938, 2))</f>
        <v/>
      </c>
    </row>
    <row r="939">
      <c r="M939">
        <f>IF(A939="","", _xludf.WEEKNUM(A939, 2))</f>
        <v/>
      </c>
    </row>
    <row r="940">
      <c r="M940">
        <f>IF(A940="","", _xludf.WEEKNUM(A940, 2))</f>
        <v/>
      </c>
    </row>
    <row r="941">
      <c r="M941">
        <f>IF(A941="","", _xludf.WEEKNUM(A941, 2))</f>
        <v/>
      </c>
    </row>
    <row r="942">
      <c r="M942">
        <f>IF(A942="","", _xludf.WEEKNUM(A942, 2))</f>
        <v/>
      </c>
    </row>
    <row r="943">
      <c r="M943">
        <f>IF(A943="","", _xludf.WEEKNUM(A943, 2))</f>
        <v/>
      </c>
    </row>
    <row r="944">
      <c r="M944">
        <f>IF(A944="","", _xludf.WEEKNUM(A944, 2))</f>
        <v/>
      </c>
    </row>
    <row r="945">
      <c r="M945">
        <f>IF(A945="","", _xludf.WEEKNUM(A945, 2))</f>
        <v/>
      </c>
    </row>
    <row r="946">
      <c r="M946">
        <f>IF(A946="","", _xludf.WEEKNUM(A946, 2))</f>
        <v/>
      </c>
    </row>
    <row r="947">
      <c r="M947">
        <f>IF(A947="","", _xludf.WEEKNUM(A947, 2))</f>
        <v/>
      </c>
    </row>
    <row r="948">
      <c r="M948">
        <f>IF(A948="","", _xludf.WEEKNUM(A948, 2))</f>
        <v/>
      </c>
    </row>
    <row r="949">
      <c r="M949">
        <f>IF(A949="","", _xludf.WEEKNUM(A949, 2))</f>
        <v/>
      </c>
    </row>
    <row r="950">
      <c r="M950">
        <f>IF(A950="","", _xludf.WEEKNUM(A950, 2))</f>
        <v/>
      </c>
    </row>
    <row r="951">
      <c r="M951">
        <f>IF(A951="","", _xludf.WEEKNUM(A951, 2))</f>
        <v/>
      </c>
    </row>
    <row r="952">
      <c r="M952">
        <f>IF(A952="","", _xludf.WEEKNUM(A952, 2))</f>
        <v/>
      </c>
    </row>
    <row r="953">
      <c r="M953">
        <f>IF(A953="","", _xludf.WEEKNUM(A953, 2))</f>
        <v/>
      </c>
    </row>
    <row r="954">
      <c r="M954">
        <f>IF(A954="","", _xludf.WEEKNUM(A954, 2))</f>
        <v/>
      </c>
    </row>
    <row r="955">
      <c r="M955">
        <f>IF(A955="","", _xludf.WEEKNUM(A955, 2))</f>
        <v/>
      </c>
    </row>
    <row r="956">
      <c r="M956">
        <f>IF(A956="","", _xludf.WEEKNUM(A956, 2))</f>
        <v/>
      </c>
    </row>
    <row r="957">
      <c r="M957">
        <f>IF(A957="","", _xludf.WEEKNUM(A957, 2))</f>
        <v/>
      </c>
    </row>
    <row r="958">
      <c r="M958">
        <f>IF(A958="","", _xludf.WEEKNUM(A958, 2))</f>
        <v/>
      </c>
    </row>
    <row r="959">
      <c r="M959">
        <f>IF(A959="","", _xludf.WEEKNUM(A959, 2))</f>
        <v/>
      </c>
    </row>
    <row r="960">
      <c r="M960">
        <f>IF(A960="","", _xludf.WEEKNUM(A960, 2))</f>
        <v/>
      </c>
    </row>
    <row r="961">
      <c r="M961">
        <f>IF(A961="","", _xludf.WEEKNUM(A961, 2))</f>
        <v/>
      </c>
    </row>
    <row r="962">
      <c r="M962">
        <f>IF(A962="","", _xludf.WEEKNUM(A962, 2))</f>
        <v/>
      </c>
    </row>
    <row r="963">
      <c r="M963">
        <f>IF(A963="","", _xludf.WEEKNUM(A963, 2))</f>
        <v/>
      </c>
    </row>
    <row r="964">
      <c r="M964">
        <f>IF(A964="","", _xludf.WEEKNUM(A964, 2))</f>
        <v/>
      </c>
    </row>
    <row r="965">
      <c r="M965">
        <f>IF(A965="","", _xludf.WEEKNUM(A965, 2))</f>
        <v/>
      </c>
    </row>
    <row r="966">
      <c r="M966">
        <f>IF(A966="","", _xludf.WEEKNUM(A966, 2))</f>
        <v/>
      </c>
    </row>
    <row r="967">
      <c r="M967">
        <f>IF(A967="","", _xludf.WEEKNUM(A967, 2))</f>
        <v/>
      </c>
    </row>
    <row r="968">
      <c r="M968">
        <f>IF(A968="","", _xludf.WEEKNUM(A968, 2))</f>
        <v/>
      </c>
    </row>
    <row r="969">
      <c r="M969">
        <f>IF(A969="","", _xludf.WEEKNUM(A969, 2))</f>
        <v/>
      </c>
    </row>
    <row r="970">
      <c r="M970">
        <f>IF(A970="","", _xludf.WEEKNUM(A970, 2))</f>
        <v/>
      </c>
    </row>
    <row r="971">
      <c r="M971">
        <f>IF(A971="","", _xludf.WEEKNUM(A971, 2))</f>
        <v/>
      </c>
    </row>
    <row r="972">
      <c r="M972">
        <f>IF(A972="","", _xludf.WEEKNUM(A972, 2))</f>
        <v/>
      </c>
    </row>
    <row r="973">
      <c r="M973">
        <f>IF(A973="","", _xludf.WEEKNUM(A973, 2))</f>
        <v/>
      </c>
    </row>
    <row r="974">
      <c r="M974">
        <f>IF(A974="","", _xludf.WEEKNUM(A974, 2))</f>
        <v/>
      </c>
    </row>
    <row r="975">
      <c r="M975">
        <f>IF(A975="","", _xludf.WEEKNUM(A975, 2))</f>
        <v/>
      </c>
    </row>
    <row r="976">
      <c r="M976">
        <f>IF(A976="","", _xludf.WEEKNUM(A976, 2))</f>
        <v/>
      </c>
    </row>
    <row r="977">
      <c r="M977">
        <f>IF(A977="","", _xludf.WEEKNUM(A977, 2))</f>
        <v/>
      </c>
    </row>
    <row r="978">
      <c r="M978">
        <f>IF(A978="","", _xludf.WEEKNUM(A978, 2))</f>
        <v/>
      </c>
    </row>
    <row r="979">
      <c r="M979">
        <f>IF(A979="","", _xludf.WEEKNUM(A979, 2))</f>
        <v/>
      </c>
    </row>
    <row r="980">
      <c r="M980">
        <f>IF(A980="","", _xludf.WEEKNUM(A980, 2))</f>
        <v/>
      </c>
    </row>
    <row r="981">
      <c r="M981">
        <f>IF(A981="","", _xludf.WEEKNUM(A981, 2))</f>
        <v/>
      </c>
    </row>
    <row r="982">
      <c r="M982">
        <f>IF(A982="","", _xludf.WEEKNUM(A982, 2))</f>
        <v/>
      </c>
    </row>
    <row r="983">
      <c r="M983">
        <f>IF(A983="","", _xludf.WEEKNUM(A983, 2))</f>
        <v/>
      </c>
    </row>
    <row r="984">
      <c r="M984">
        <f>IF(A984="","", _xludf.WEEKNUM(A984, 2))</f>
        <v/>
      </c>
    </row>
    <row r="985">
      <c r="M985">
        <f>IF(A985="","", _xludf.WEEKNUM(A985, 2))</f>
        <v/>
      </c>
    </row>
    <row r="986">
      <c r="M986">
        <f>IF(A986="","", _xludf.WEEKNUM(A986, 2))</f>
        <v/>
      </c>
    </row>
    <row r="987">
      <c r="M987">
        <f>IF(A987="","", _xludf.WEEKNUM(A987, 2))</f>
        <v/>
      </c>
    </row>
    <row r="988">
      <c r="M988">
        <f>IF(A988="","", _xludf.WEEKNUM(A988, 2))</f>
        <v/>
      </c>
    </row>
    <row r="989">
      <c r="M989">
        <f>IF(A989="","", _xludf.WEEKNUM(A989, 2))</f>
        <v/>
      </c>
    </row>
    <row r="990">
      <c r="M990">
        <f>IF(A990="","", _xludf.WEEKNUM(A990, 2))</f>
        <v/>
      </c>
    </row>
    <row r="991">
      <c r="M991">
        <f>IF(A991="","", _xludf.WEEKNUM(A991, 2))</f>
        <v/>
      </c>
    </row>
    <row r="992">
      <c r="M992">
        <f>IF(A992="","", _xludf.WEEKNUM(A992, 2))</f>
        <v/>
      </c>
    </row>
    <row r="993">
      <c r="M993">
        <f>IF(A993="","", _xludf.WEEKNUM(A993, 2))</f>
        <v/>
      </c>
    </row>
    <row r="994">
      <c r="M994">
        <f>IF(A994="","", _xludf.WEEKNUM(A994, 2))</f>
        <v/>
      </c>
    </row>
    <row r="995">
      <c r="M995">
        <f>IF(A995="","", _xludf.WEEKNUM(A995, 2))</f>
        <v/>
      </c>
    </row>
    <row r="996">
      <c r="M996">
        <f>IF(A996="","", _xludf.WEEKNUM(A996, 2))</f>
        <v/>
      </c>
    </row>
    <row r="997">
      <c r="M997">
        <f>IF(A997="","", _xludf.WEEKNUM(A997, 2))</f>
        <v/>
      </c>
    </row>
    <row r="998">
      <c r="M998">
        <f>IF(A998="","", _xludf.WEEKNUM(A998, 2))</f>
        <v/>
      </c>
    </row>
    <row r="999">
      <c r="M999">
        <f>IF(A999="","", _xludf.WEEKNUM(A999, 2))</f>
        <v/>
      </c>
    </row>
    <row r="1000">
      <c r="M1000">
        <f>IF(A1000="","", _xludf.WEEKNUM(A1000, 2))</f>
        <v/>
      </c>
    </row>
    <row r="1001">
      <c r="M1001">
        <f>IF(A1001="","", _xludf.WEEKNUM(A1001, 2))</f>
        <v/>
      </c>
    </row>
    <row r="1002">
      <c r="M1002">
        <f>IF(A1002="","", _xludf.WEEKNUM(A1002, 2))</f>
        <v/>
      </c>
    </row>
    <row r="1003">
      <c r="M1003">
        <f>IF(A1003="","", _xludf.WEEKNUM(A1003, 2))</f>
        <v/>
      </c>
    </row>
    <row r="1004">
      <c r="M1004">
        <f>IF(A1004="","", _xludf.WEEKNUM(A1004, 2))</f>
        <v/>
      </c>
    </row>
    <row r="1005">
      <c r="M1005">
        <f>IF(A1005="","", _xludf.WEEKNUM(A1005, 2))</f>
        <v/>
      </c>
    </row>
    <row r="1006">
      <c r="M1006">
        <f>IF(A1006="","", _xludf.WEEKNUM(A1006, 2))</f>
        <v/>
      </c>
    </row>
    <row r="1007">
      <c r="M1007">
        <f>IF(A1007="","", _xludf.WEEKNUM(A1007, 2))</f>
        <v/>
      </c>
    </row>
    <row r="1008">
      <c r="M1008">
        <f>IF(A1008="","", _xludf.WEEKNUM(A1008, 2))</f>
        <v/>
      </c>
    </row>
    <row r="1009">
      <c r="M1009">
        <f>IF(A1009="","", _xludf.WEEKNUM(A1009, 2))</f>
        <v/>
      </c>
    </row>
    <row r="1010">
      <c r="M1010">
        <f>IF(A1010="","", _xludf.WEEKNUM(A1010, 2))</f>
        <v/>
      </c>
    </row>
    <row r="1011">
      <c r="M1011">
        <f>IF(A1011="","", _xludf.WEEKNUM(A1011, 2))</f>
        <v/>
      </c>
    </row>
    <row r="1012">
      <c r="M1012">
        <f>IF(A1012="","", _xludf.WEEKNUM(A1012, 2))</f>
        <v/>
      </c>
    </row>
    <row r="1013">
      <c r="M1013">
        <f>IF(A1013="","", _xludf.WEEKNUM(A1013, 2))</f>
        <v/>
      </c>
    </row>
    <row r="1014">
      <c r="M1014">
        <f>IF(A1014="","", _xludf.WEEKNUM(A1014, 2))</f>
        <v/>
      </c>
    </row>
    <row r="1015">
      <c r="M1015">
        <f>IF(A1015="","", _xludf.WEEKNUM(A1015, 2))</f>
        <v/>
      </c>
    </row>
    <row r="1016">
      <c r="M1016">
        <f>IF(A1016="","", _xludf.WEEKNUM(A1016, 2))</f>
        <v/>
      </c>
    </row>
    <row r="1017">
      <c r="M1017">
        <f>IF(A1017="","", _xludf.WEEKNUM(A1017, 2))</f>
        <v/>
      </c>
    </row>
    <row r="1018">
      <c r="M1018">
        <f>IF(A1018="","", _xludf.WEEKNUM(A1018, 2))</f>
        <v/>
      </c>
    </row>
    <row r="1019">
      <c r="M1019">
        <f>IF(A1019="","", _xludf.WEEKNUM(A1019, 2))</f>
        <v/>
      </c>
    </row>
    <row r="1020">
      <c r="M1020">
        <f>IF(A1020="","", _xludf.WEEKNUM(A1020, 2))</f>
        <v/>
      </c>
    </row>
    <row r="1021">
      <c r="M1021">
        <f>IF(A1021="","", _xludf.WEEKNUM(A1021, 2))</f>
        <v/>
      </c>
    </row>
    <row r="1022">
      <c r="M1022">
        <f>IF(A1022="","", _xludf.WEEKNUM(A1022, 2))</f>
        <v/>
      </c>
    </row>
    <row r="1023">
      <c r="M1023">
        <f>IF(A1023="","", _xludf.WEEKNUM(A1023, 2))</f>
        <v/>
      </c>
    </row>
    <row r="1024">
      <c r="M1024">
        <f>IF(A1024="","", _xludf.WEEKNUM(A1024, 2))</f>
        <v/>
      </c>
    </row>
    <row r="1025">
      <c r="M1025">
        <f>IF(A1025="","", _xludf.WEEKNUM(A1025, 2))</f>
        <v/>
      </c>
    </row>
    <row r="1026">
      <c r="M1026">
        <f>IF(A1026="","", _xludf.WEEKNUM(A1026, 2))</f>
        <v/>
      </c>
    </row>
    <row r="1027">
      <c r="M1027">
        <f>IF(A1027="","", _xludf.WEEKNUM(A1027, 2))</f>
        <v/>
      </c>
    </row>
    <row r="1028">
      <c r="M1028">
        <f>IF(A1028="","", _xludf.WEEKNUM(A1028, 2))</f>
        <v/>
      </c>
    </row>
    <row r="1029">
      <c r="M1029">
        <f>IF(A1029="","", _xludf.WEEKNUM(A1029, 2))</f>
        <v/>
      </c>
    </row>
    <row r="1030">
      <c r="M1030">
        <f>IF(A1030="","", _xludf.WEEKNUM(A1030, 2))</f>
        <v/>
      </c>
    </row>
    <row r="1031">
      <c r="M1031">
        <f>IF(A1031="","", _xludf.WEEKNUM(A1031, 2))</f>
        <v/>
      </c>
    </row>
    <row r="1032">
      <c r="M1032">
        <f>IF(A1032="","", _xludf.WEEKNUM(A1032, 2))</f>
        <v/>
      </c>
    </row>
    <row r="1033">
      <c r="M1033">
        <f>IF(A1033="","", _xludf.WEEKNUM(A1033, 2))</f>
        <v/>
      </c>
    </row>
    <row r="1034">
      <c r="M1034">
        <f>IF(A1034="","", _xludf.WEEKNUM(A1034, 2))</f>
        <v/>
      </c>
    </row>
    <row r="1035">
      <c r="M1035">
        <f>IF(A1035="","", _xludf.WEEKNUM(A1035, 2))</f>
        <v/>
      </c>
    </row>
    <row r="1036">
      <c r="M1036">
        <f>IF(A1036="","", _xludf.WEEKNUM(A1036, 2))</f>
        <v/>
      </c>
    </row>
    <row r="1037">
      <c r="M1037">
        <f>IF(A1037="","", _xludf.WEEKNUM(A1037, 2))</f>
        <v/>
      </c>
    </row>
    <row r="1038">
      <c r="M1038">
        <f>IF(A1038="","", _xludf.WEEKNUM(A1038, 2))</f>
        <v/>
      </c>
    </row>
    <row r="1039">
      <c r="M1039">
        <f>IF(A1039="","", _xludf.WEEKNUM(A1039, 2))</f>
        <v/>
      </c>
    </row>
    <row r="1040">
      <c r="M1040">
        <f>IF(A1040="","", _xludf.WEEKNUM(A1040, 2))</f>
        <v/>
      </c>
    </row>
    <row r="1041">
      <c r="M1041">
        <f>IF(A1041="","", _xludf.WEEKNUM(A1041, 2))</f>
        <v/>
      </c>
    </row>
    <row r="1042">
      <c r="M1042">
        <f>IF(A1042="","", _xludf.WEEKNUM(A1042, 2))</f>
        <v/>
      </c>
    </row>
    <row r="1043">
      <c r="M1043">
        <f>IF(A1043="","", _xludf.WEEKNUM(A1043, 2))</f>
        <v/>
      </c>
    </row>
    <row r="1044">
      <c r="M1044">
        <f>IF(A1044="","", _xludf.WEEKNUM(A1044, 2))</f>
        <v/>
      </c>
    </row>
    <row r="1045">
      <c r="M1045">
        <f>IF(A1045="","", _xludf.WEEKNUM(A1045, 2))</f>
        <v/>
      </c>
    </row>
    <row r="1046">
      <c r="M1046">
        <f>IF(A1046="","", _xludf.WEEKNUM(A1046, 2))</f>
        <v/>
      </c>
    </row>
    <row r="1047">
      <c r="M1047">
        <f>IF(A1047="","", _xludf.WEEKNUM(A1047, 2))</f>
        <v/>
      </c>
    </row>
    <row r="1048">
      <c r="M1048">
        <f>IF(A1048="","", _xludf.WEEKNUM(A1048, 2))</f>
        <v/>
      </c>
    </row>
    <row r="1049">
      <c r="M1049">
        <f>IF(A1049="","", _xludf.WEEKNUM(A1049, 2))</f>
        <v/>
      </c>
    </row>
    <row r="1050">
      <c r="M1050">
        <f>IF(A1050="","", _xludf.WEEKNUM(A1050, 2))</f>
        <v/>
      </c>
    </row>
    <row r="1051">
      <c r="M1051">
        <f>IF(A1051="","", _xludf.WEEKNUM(A1051, 2))</f>
        <v/>
      </c>
    </row>
    <row r="1052">
      <c r="M1052">
        <f>IF(A1052="","", _xludf.WEEKNUM(A1052, 2))</f>
        <v/>
      </c>
    </row>
    <row r="1053">
      <c r="M1053">
        <f>IF(A1053="","", _xludf.WEEKNUM(A1053, 2))</f>
        <v/>
      </c>
    </row>
    <row r="1054">
      <c r="M1054">
        <f>IF(A1054="","", _xludf.WEEKNUM(A1054, 2))</f>
        <v/>
      </c>
    </row>
    <row r="1055">
      <c r="M1055">
        <f>IF(A1055="","", _xludf.WEEKNUM(A1055, 2))</f>
        <v/>
      </c>
    </row>
    <row r="1056">
      <c r="M1056">
        <f>IF(A1056="","", _xludf.WEEKNUM(A1056, 2))</f>
        <v/>
      </c>
    </row>
    <row r="1057">
      <c r="M1057">
        <f>IF(A1057="","", _xludf.WEEKNUM(A1057, 2))</f>
        <v/>
      </c>
    </row>
    <row r="1058">
      <c r="M1058">
        <f>IF(A1058="","", _xludf.WEEKNUM(A1058, 2))</f>
        <v/>
      </c>
    </row>
    <row r="1059">
      <c r="M1059">
        <f>IF(A1059="","", _xludf.WEEKNUM(A1059, 2))</f>
        <v/>
      </c>
    </row>
    <row r="1060">
      <c r="M1060">
        <f>IF(A1060="","", _xludf.WEEKNUM(A1060, 2))</f>
        <v/>
      </c>
    </row>
    <row r="1061">
      <c r="M1061">
        <f>IF(A1061="","", _xludf.WEEKNUM(A1061, 2))</f>
        <v/>
      </c>
    </row>
    <row r="1062">
      <c r="M1062">
        <f>IF(A1062="","", _xludf.WEEKNUM(A1062, 2))</f>
        <v/>
      </c>
    </row>
    <row r="1063">
      <c r="M1063">
        <f>IF(A1063="","", _xludf.WEEKNUM(A1063, 2))</f>
        <v/>
      </c>
    </row>
    <row r="1064">
      <c r="M1064">
        <f>IF(A1064="","", _xludf.WEEKNUM(A1064, 2))</f>
        <v/>
      </c>
    </row>
    <row r="1065">
      <c r="M1065">
        <f>IF(A1065="","", _xludf.WEEKNUM(A1065, 2))</f>
        <v/>
      </c>
    </row>
    <row r="1066">
      <c r="M1066">
        <f>IF(A1066="","", _xludf.WEEKNUM(A1066, 2))</f>
        <v/>
      </c>
    </row>
    <row r="1067">
      <c r="M1067">
        <f>IF(A1067="","", _xludf.WEEKNUM(A1067, 2))</f>
        <v/>
      </c>
    </row>
    <row r="1068">
      <c r="M1068">
        <f>IF(A1068="","", _xludf.WEEKNUM(A1068, 2))</f>
        <v/>
      </c>
    </row>
    <row r="1069">
      <c r="M1069">
        <f>IF(A1069="","", _xludf.WEEKNUM(A1069, 2))</f>
        <v/>
      </c>
    </row>
    <row r="1070">
      <c r="M1070">
        <f>IF(A1070="","", _xludf.WEEKNUM(A1070, 2))</f>
        <v/>
      </c>
    </row>
    <row r="1071">
      <c r="M1071">
        <f>IF(A1071="","", _xludf.WEEKNUM(A1071, 2))</f>
        <v/>
      </c>
    </row>
    <row r="1072">
      <c r="M1072">
        <f>IF(A1072="","", _xludf.WEEKNUM(A1072, 2))</f>
        <v/>
      </c>
    </row>
    <row r="1073">
      <c r="M1073">
        <f>IF(A1073="","", _xludf.WEEKNUM(A1073, 2))</f>
        <v/>
      </c>
    </row>
    <row r="1074">
      <c r="M1074">
        <f>IF(A1074="","", _xludf.WEEKNUM(A1074, 2))</f>
        <v/>
      </c>
    </row>
    <row r="1075">
      <c r="M1075">
        <f>IF(A1075="","", _xludf.WEEKNUM(A1075, 2))</f>
        <v/>
      </c>
    </row>
    <row r="1076">
      <c r="M1076">
        <f>IF(A1076="","", _xludf.WEEKNUM(A1076, 2))</f>
        <v/>
      </c>
    </row>
    <row r="1077">
      <c r="M1077">
        <f>IF(A1077="","", _xludf.WEEKNUM(A1077, 2))</f>
        <v/>
      </c>
    </row>
    <row r="1078">
      <c r="M1078">
        <f>IF(A1078="","", _xludf.WEEKNUM(A1078, 2))</f>
        <v/>
      </c>
    </row>
    <row r="1079">
      <c r="M1079">
        <f>IF(A1079="","", _xludf.WEEKNUM(A1079, 2))</f>
        <v/>
      </c>
    </row>
    <row r="1080">
      <c r="M1080">
        <f>IF(A1080="","", _xludf.WEEKNUM(A1080, 2))</f>
        <v/>
      </c>
    </row>
    <row r="1081">
      <c r="M1081">
        <f>IF(A1081="","", _xludf.WEEKNUM(A1081, 2))</f>
        <v/>
      </c>
    </row>
    <row r="1082">
      <c r="M1082">
        <f>IF(A1082="","", _xludf.WEEKNUM(A1082, 2))</f>
        <v/>
      </c>
    </row>
    <row r="1083">
      <c r="M1083">
        <f>IF(A1083="","", _xludf.WEEKNUM(A1083, 2))</f>
        <v/>
      </c>
    </row>
    <row r="1084">
      <c r="M1084">
        <f>IF(A1084="","", _xludf.WEEKNUM(A1084, 2))</f>
        <v/>
      </c>
    </row>
    <row r="1085">
      <c r="M1085">
        <f>IF(A1085="","", _xludf.WEEKNUM(A1085, 2))</f>
        <v/>
      </c>
    </row>
    <row r="1086">
      <c r="M1086">
        <f>IF(A1086="","", _xludf.WEEKNUM(A1086, 2))</f>
        <v/>
      </c>
    </row>
    <row r="1087">
      <c r="M1087">
        <f>IF(A1087="","", _xludf.WEEKNUM(A1087, 2))</f>
        <v/>
      </c>
    </row>
    <row r="1088">
      <c r="M1088">
        <f>IF(A1088="","", _xludf.WEEKNUM(A1088, 2))</f>
        <v/>
      </c>
    </row>
    <row r="1089">
      <c r="M1089">
        <f>IF(A1089="","", _xludf.WEEKNUM(A1089, 2))</f>
        <v/>
      </c>
    </row>
    <row r="1090">
      <c r="M1090">
        <f>IF(A1090="","", _xludf.WEEKNUM(A1090, 2))</f>
        <v/>
      </c>
    </row>
    <row r="1091">
      <c r="M1091">
        <f>IF(A1091="","", _xludf.WEEKNUM(A1091, 2))</f>
        <v/>
      </c>
    </row>
    <row r="1092">
      <c r="M1092">
        <f>IF(A1092="","", _xludf.WEEKNUM(A1092, 2))</f>
        <v/>
      </c>
    </row>
    <row r="1093">
      <c r="M1093">
        <f>IF(A1093="","", _xludf.WEEKNUM(A1093, 2))</f>
        <v/>
      </c>
    </row>
    <row r="1094">
      <c r="M1094">
        <f>IF(A1094="","", _xludf.WEEKNUM(A1094, 2))</f>
        <v/>
      </c>
    </row>
    <row r="1095">
      <c r="M1095">
        <f>IF(A1095="","", _xludf.WEEKNUM(A1095, 2))</f>
        <v/>
      </c>
    </row>
    <row r="1096">
      <c r="M1096">
        <f>IF(A1096="","", _xludf.WEEKNUM(A1096, 2))</f>
        <v/>
      </c>
    </row>
    <row r="1097">
      <c r="M1097">
        <f>IF(A1097="","", _xludf.WEEKNUM(A1097, 2))</f>
        <v/>
      </c>
    </row>
    <row r="1098">
      <c r="M1098">
        <f>IF(A1098="","", _xludf.WEEKNUM(A1098, 2))</f>
        <v/>
      </c>
    </row>
    <row r="1099">
      <c r="M1099">
        <f>IF(A1099="","", _xludf.WEEKNUM(A1099, 2))</f>
        <v/>
      </c>
    </row>
    <row r="1100">
      <c r="M1100">
        <f>IF(A1100="","", _xludf.WEEKNUM(A1100, 2))</f>
        <v/>
      </c>
    </row>
    <row r="1101">
      <c r="M1101">
        <f>IF(A1101="","", _xludf.WEEKNUM(A1101, 2))</f>
        <v/>
      </c>
    </row>
    <row r="1102">
      <c r="M1102">
        <f>IF(A1102="","", _xludf.WEEKNUM(A1102, 2))</f>
        <v/>
      </c>
    </row>
    <row r="1103">
      <c r="M1103">
        <f>IF(A1103="","", _xludf.WEEKNUM(A1103, 2))</f>
        <v/>
      </c>
    </row>
    <row r="1104">
      <c r="M1104">
        <f>IF(A1104="","", _xludf.WEEKNUM(A1104, 2))</f>
        <v/>
      </c>
    </row>
    <row r="1105">
      <c r="M1105">
        <f>IF(A1105="","", _xludf.WEEKNUM(A1105, 2))</f>
        <v/>
      </c>
    </row>
    <row r="1106">
      <c r="M1106">
        <f>IF(A1106="","", _xludf.WEEKNUM(A1106, 2))</f>
        <v/>
      </c>
    </row>
    <row r="1107">
      <c r="M1107">
        <f>IF(A1107="","", _xludf.WEEKNUM(A1107, 2))</f>
        <v/>
      </c>
    </row>
    <row r="1108">
      <c r="M1108">
        <f>IF(A1108="","", _xludf.WEEKNUM(A1108, 2))</f>
        <v/>
      </c>
    </row>
    <row r="1109">
      <c r="M1109">
        <f>IF(A1109="","", _xludf.WEEKNUM(A1109, 2))</f>
        <v/>
      </c>
    </row>
    <row r="1110">
      <c r="M1110">
        <f>IF(A1110="","", _xludf.WEEKNUM(A1110, 2))</f>
        <v/>
      </c>
    </row>
    <row r="1111">
      <c r="M1111">
        <f>IF(A1111="","", _xludf.WEEKNUM(A1111, 2))</f>
        <v/>
      </c>
    </row>
    <row r="1112">
      <c r="M1112">
        <f>IF(A1112="","", _xludf.WEEKNUM(A1112, 2))</f>
        <v/>
      </c>
    </row>
    <row r="1113">
      <c r="M1113">
        <f>IF(A1113="","", _xludf.WEEKNUM(A1113, 2))</f>
        <v/>
      </c>
    </row>
    <row r="1114">
      <c r="M1114">
        <f>IF(A1114="","", _xludf.WEEKNUM(A1114, 2))</f>
        <v/>
      </c>
    </row>
    <row r="1115">
      <c r="M1115">
        <f>IF(A1115="","", _xludf.WEEKNUM(A1115, 2))</f>
        <v/>
      </c>
    </row>
    <row r="1116">
      <c r="M1116">
        <f>IF(A1116="","", _xludf.WEEKNUM(A1116, 2))</f>
        <v/>
      </c>
    </row>
    <row r="1117">
      <c r="M1117">
        <f>IF(A1117="","", _xludf.WEEKNUM(A1117, 2))</f>
        <v/>
      </c>
    </row>
    <row r="1118">
      <c r="M1118">
        <f>IF(A1118="","", _xludf.WEEKNUM(A1118, 2))</f>
        <v/>
      </c>
    </row>
    <row r="1119">
      <c r="M1119">
        <f>IF(A1119="","", _xludf.WEEKNUM(A1119, 2))</f>
        <v/>
      </c>
    </row>
    <row r="1120">
      <c r="M1120">
        <f>IF(A1120="","", _xludf.WEEKNUM(A1120, 2))</f>
        <v/>
      </c>
    </row>
    <row r="1121">
      <c r="M1121">
        <f>IF(A1121="","", _xludf.WEEKNUM(A1121, 2))</f>
        <v/>
      </c>
    </row>
    <row r="1122">
      <c r="M1122">
        <f>IF(A1122="","", _xludf.WEEKNUM(A1122, 2))</f>
        <v/>
      </c>
    </row>
    <row r="1123">
      <c r="M1123">
        <f>IF(A1123="","", _xludf.WEEKNUM(A1123, 2))</f>
        <v/>
      </c>
    </row>
    <row r="1124">
      <c r="M1124">
        <f>IF(A1124="","", _xludf.WEEKNUM(A1124, 2))</f>
        <v/>
      </c>
    </row>
    <row r="1125">
      <c r="M1125">
        <f>IF(A1125="","", _xludf.WEEKNUM(A1125, 2))</f>
        <v/>
      </c>
    </row>
    <row r="1126">
      <c r="M1126">
        <f>IF(A1126="","", _xludf.WEEKNUM(A1126, 2))</f>
        <v/>
      </c>
    </row>
    <row r="1127">
      <c r="M1127">
        <f>IF(A1127="","", _xludf.WEEKNUM(A1127, 2))</f>
        <v/>
      </c>
    </row>
    <row r="1128">
      <c r="M1128">
        <f>IF(A1128="","", _xludf.WEEKNUM(A1128, 2))</f>
        <v/>
      </c>
    </row>
    <row r="1129">
      <c r="M1129">
        <f>IF(A1129="","", _xludf.WEEKNUM(A1129, 2))</f>
        <v/>
      </c>
    </row>
    <row r="1130">
      <c r="M1130">
        <f>IF(A1130="","", _xludf.WEEKNUM(A1130, 2))</f>
        <v/>
      </c>
    </row>
    <row r="1131">
      <c r="M1131">
        <f>IF(A1131="","", _xludf.WEEKNUM(A1131, 2))</f>
        <v/>
      </c>
    </row>
    <row r="1132">
      <c r="M1132">
        <f>IF(A1132="","", _xludf.WEEKNUM(A1132, 2))</f>
        <v/>
      </c>
    </row>
    <row r="1133">
      <c r="M1133">
        <f>IF(A1133="","", _xludf.WEEKNUM(A1133, 2))</f>
        <v/>
      </c>
    </row>
    <row r="1134">
      <c r="M1134">
        <f>IF(A1134="","", _xludf.WEEKNUM(A1134, 2))</f>
        <v/>
      </c>
    </row>
    <row r="1135">
      <c r="M1135">
        <f>IF(A1135="","", _xludf.WEEKNUM(A1135, 2))</f>
        <v/>
      </c>
    </row>
    <row r="1136">
      <c r="M1136">
        <f>IF(A1136="","", _xludf.WEEKNUM(A1136, 2))</f>
        <v/>
      </c>
    </row>
    <row r="1137">
      <c r="M1137">
        <f>IF(A1137="","", _xludf.WEEKNUM(A1137, 2))</f>
        <v/>
      </c>
    </row>
    <row r="1138">
      <c r="M1138">
        <f>IF(A1138="","", _xludf.WEEKNUM(A1138, 2))</f>
        <v/>
      </c>
    </row>
    <row r="1139">
      <c r="M1139">
        <f>IF(A1139="","", _xludf.WEEKNUM(A1139, 2))</f>
        <v/>
      </c>
    </row>
    <row r="1140">
      <c r="M1140">
        <f>IF(A1140="","", _xludf.WEEKNUM(A1140, 2))</f>
        <v/>
      </c>
    </row>
    <row r="1141">
      <c r="M1141">
        <f>IF(A1141="","", _xludf.WEEKNUM(A1141, 2))</f>
        <v/>
      </c>
    </row>
    <row r="1142">
      <c r="M1142">
        <f>IF(A1142="","", _xludf.WEEKNUM(A1142, 2))</f>
        <v/>
      </c>
    </row>
    <row r="1143">
      <c r="M1143">
        <f>IF(A1143="","", _xludf.WEEKNUM(A1143, 2))</f>
        <v/>
      </c>
    </row>
    <row r="1144">
      <c r="M1144">
        <f>IF(A1144="","", _xludf.WEEKNUM(A1144, 2))</f>
        <v/>
      </c>
    </row>
    <row r="1145">
      <c r="M1145">
        <f>IF(A1145="","", _xludf.WEEKNUM(A1145, 2))</f>
        <v/>
      </c>
    </row>
    <row r="1146">
      <c r="M1146">
        <f>IF(A1146="","", _xludf.WEEKNUM(A1146, 2))</f>
        <v/>
      </c>
    </row>
    <row r="1147">
      <c r="M1147">
        <f>IF(A1147="","", _xludf.WEEKNUM(A1147, 2))</f>
        <v/>
      </c>
    </row>
    <row r="1148">
      <c r="M1148">
        <f>IF(A1148="","", _xludf.WEEKNUM(A1148, 2))</f>
        <v/>
      </c>
    </row>
    <row r="1149">
      <c r="M1149">
        <f>IF(A1149="","", _xludf.WEEKNUM(A1149, 2))</f>
        <v/>
      </c>
    </row>
    <row r="1150">
      <c r="M1150">
        <f>IF(A1150="","", _xludf.WEEKNUM(A1150, 2))</f>
        <v/>
      </c>
    </row>
    <row r="1151">
      <c r="M1151">
        <f>IF(A1151="","", _xludf.WEEKNUM(A1151, 2))</f>
        <v/>
      </c>
    </row>
    <row r="1152">
      <c r="M1152">
        <f>IF(A1152="","", _xludf.WEEKNUM(A1152, 2))</f>
        <v/>
      </c>
    </row>
    <row r="1153">
      <c r="M1153">
        <f>IF(A1153="","", _xludf.WEEKNUM(A1153, 2))</f>
        <v/>
      </c>
    </row>
    <row r="1154">
      <c r="M1154">
        <f>IF(A1154="","", _xludf.WEEKNUM(A1154, 2))</f>
        <v/>
      </c>
    </row>
    <row r="1155">
      <c r="M1155">
        <f>IF(A1155="","", _xludf.WEEKNUM(A1155, 2))</f>
        <v/>
      </c>
    </row>
    <row r="1156">
      <c r="M1156">
        <f>IF(A1156="","", _xludf.WEEKNUM(A1156, 2))</f>
        <v/>
      </c>
    </row>
    <row r="1157">
      <c r="M1157">
        <f>IF(A1157="","", _xludf.WEEKNUM(A1157, 2))</f>
        <v/>
      </c>
    </row>
    <row r="1158">
      <c r="M1158">
        <f>IF(A1158="","", _xludf.WEEKNUM(A1158, 2))</f>
        <v/>
      </c>
    </row>
    <row r="1159">
      <c r="M1159">
        <f>IF(A1159="","", _xludf.WEEKNUM(A1159, 2))</f>
        <v/>
      </c>
    </row>
    <row r="1160">
      <c r="M1160">
        <f>IF(A1160="","", _xludf.WEEKNUM(A1160, 2))</f>
        <v/>
      </c>
    </row>
    <row r="1161">
      <c r="M1161">
        <f>IF(A1161="","", _xludf.WEEKNUM(A1161, 2))</f>
        <v/>
      </c>
    </row>
    <row r="1162">
      <c r="M1162">
        <f>IF(A1162="","", _xludf.WEEKNUM(A1162, 2))</f>
        <v/>
      </c>
    </row>
    <row r="1163">
      <c r="M1163">
        <f>IF(A1163="","", _xludf.WEEKNUM(A1163, 2))</f>
        <v/>
      </c>
    </row>
    <row r="1164">
      <c r="M1164">
        <f>IF(A1164="","", _xludf.WEEKNUM(A1164, 2))</f>
        <v/>
      </c>
    </row>
    <row r="1165">
      <c r="M1165">
        <f>IF(A1165="","", _xludf.WEEKNUM(A1165, 2))</f>
        <v/>
      </c>
    </row>
    <row r="1166">
      <c r="M1166">
        <f>IF(A1166="","", _xludf.WEEKNUM(A1166, 2))</f>
        <v/>
      </c>
    </row>
    <row r="1167">
      <c r="M1167">
        <f>IF(A1167="","", _xludf.WEEKNUM(A1167, 2))</f>
        <v/>
      </c>
    </row>
    <row r="1168">
      <c r="M1168">
        <f>IF(A1168="","", _xludf.WEEKNUM(A1168, 2))</f>
        <v/>
      </c>
    </row>
    <row r="1169">
      <c r="M1169">
        <f>IF(A1169="","", _xludf.WEEKNUM(A1169, 2))</f>
        <v/>
      </c>
    </row>
    <row r="1170">
      <c r="M1170">
        <f>IF(A1170="","", _xludf.WEEKNUM(A1170, 2))</f>
        <v/>
      </c>
    </row>
    <row r="1171">
      <c r="M1171">
        <f>IF(A1171="","", _xludf.WEEKNUM(A1171, 2))</f>
        <v/>
      </c>
    </row>
    <row r="1172">
      <c r="M1172">
        <f>IF(A1172="","", _xludf.WEEKNUM(A1172, 2))</f>
        <v/>
      </c>
    </row>
    <row r="1173">
      <c r="M1173">
        <f>IF(A1173="","", _xludf.WEEKNUM(A1173, 2))</f>
        <v/>
      </c>
    </row>
    <row r="1174">
      <c r="M1174">
        <f>IF(A1174="","", _xludf.WEEKNUM(A1174, 2))</f>
        <v/>
      </c>
    </row>
    <row r="1175">
      <c r="M1175">
        <f>IF(A1175="","", _xludf.WEEKNUM(A1175, 2))</f>
        <v/>
      </c>
    </row>
    <row r="1176">
      <c r="M1176">
        <f>IF(A1176="","", _xludf.WEEKNUM(A1176, 2))</f>
        <v/>
      </c>
    </row>
    <row r="1177">
      <c r="M1177">
        <f>IF(A1177="","", _xludf.WEEKNUM(A1177, 2))</f>
        <v/>
      </c>
    </row>
    <row r="1178">
      <c r="M1178">
        <f>IF(A1178="","", _xludf.WEEKNUM(A1178, 2))</f>
        <v/>
      </c>
    </row>
    <row r="1179">
      <c r="M1179">
        <f>IF(A1179="","", _xludf.WEEKNUM(A1179, 2))</f>
        <v/>
      </c>
    </row>
    <row r="1180">
      <c r="M1180">
        <f>IF(A1180="","", _xludf.WEEKNUM(A1180, 2))</f>
        <v/>
      </c>
    </row>
    <row r="1181">
      <c r="M1181">
        <f>IF(A1181="","", _xludf.WEEKNUM(A1181, 2))</f>
        <v/>
      </c>
    </row>
    <row r="1182">
      <c r="M1182">
        <f>IF(A1182="","", _xludf.WEEKNUM(A1182, 2))</f>
        <v/>
      </c>
    </row>
    <row r="1183">
      <c r="M1183">
        <f>IF(A1183="","", _xludf.WEEKNUM(A1183, 2))</f>
        <v/>
      </c>
    </row>
    <row r="1184">
      <c r="M1184">
        <f>IF(A1184="","", _xludf.WEEKNUM(A1184, 2))</f>
        <v/>
      </c>
    </row>
    <row r="1185">
      <c r="M1185">
        <f>IF(A1185="","", _xludf.WEEKNUM(A1185, 2))</f>
        <v/>
      </c>
    </row>
    <row r="1186">
      <c r="M1186">
        <f>IF(A1186="","", _xludf.WEEKNUM(A1186, 2))</f>
        <v/>
      </c>
    </row>
    <row r="1187">
      <c r="M1187">
        <f>IF(A1187="","", _xludf.WEEKNUM(A1187, 2))</f>
        <v/>
      </c>
    </row>
    <row r="1188">
      <c r="M1188">
        <f>IF(A1188="","", _xludf.WEEKNUM(A1188, 2))</f>
        <v/>
      </c>
    </row>
    <row r="1189">
      <c r="M1189">
        <f>IF(A1189="","", _xludf.WEEKNUM(A1189, 2))</f>
        <v/>
      </c>
    </row>
    <row r="1190">
      <c r="M1190">
        <f>IF(A1190="","", _xludf.WEEKNUM(A1190, 2))</f>
        <v/>
      </c>
    </row>
    <row r="1191">
      <c r="M1191">
        <f>IF(A1191="","", _xludf.WEEKNUM(A1191, 2))</f>
        <v/>
      </c>
    </row>
    <row r="1192">
      <c r="M1192">
        <f>IF(A1192="","", _xludf.WEEKNUM(A1192, 2))</f>
        <v/>
      </c>
    </row>
    <row r="1193">
      <c r="M1193">
        <f>IF(A1193="","", _xludf.WEEKNUM(A1193, 2))</f>
        <v/>
      </c>
    </row>
    <row r="1194">
      <c r="M1194">
        <f>IF(A1194="","", _xludf.WEEKNUM(A1194, 2))</f>
        <v/>
      </c>
    </row>
    <row r="1195">
      <c r="M1195">
        <f>IF(A1195="","", _xludf.WEEKNUM(A1195, 2))</f>
        <v/>
      </c>
    </row>
    <row r="1196">
      <c r="M1196">
        <f>IF(A1196="","", _xludf.WEEKNUM(A1196, 2))</f>
        <v/>
      </c>
    </row>
    <row r="1197">
      <c r="M1197">
        <f>IF(A1197="","", _xludf.WEEKNUM(A1197, 2))</f>
        <v/>
      </c>
    </row>
    <row r="1198">
      <c r="M1198">
        <f>IF(A1198="","", _xludf.WEEKNUM(A1198, 2))</f>
        <v/>
      </c>
    </row>
    <row r="1199">
      <c r="M1199">
        <f>IF(A1199="","", _xludf.WEEKNUM(A1199, 2))</f>
        <v/>
      </c>
    </row>
    <row r="1200">
      <c r="M1200">
        <f>IF(A1200="","", _xludf.WEEKNUM(A1200, 2))</f>
        <v/>
      </c>
    </row>
    <row r="1201">
      <c r="M1201">
        <f>IF(A1201="","", _xludf.WEEKNUM(A1201, 2))</f>
        <v/>
      </c>
    </row>
    <row r="1202">
      <c r="M1202">
        <f>IF(A1202="","", _xludf.WEEKNUM(A1202, 2))</f>
        <v/>
      </c>
    </row>
    <row r="1203">
      <c r="M1203">
        <f>IF(A1203="","", _xludf.WEEKNUM(A1203, 2))</f>
        <v/>
      </c>
    </row>
    <row r="1204">
      <c r="M1204">
        <f>IF(A1204="","", _xludf.WEEKNUM(A1204, 2))</f>
        <v/>
      </c>
    </row>
    <row r="1205">
      <c r="M1205">
        <f>IF(A1205="","", _xludf.WEEKNUM(A1205, 2))</f>
        <v/>
      </c>
    </row>
    <row r="1206">
      <c r="M1206">
        <f>IF(A1206="","", _xludf.WEEKNUM(A1206, 2))</f>
        <v/>
      </c>
    </row>
    <row r="1207">
      <c r="M1207">
        <f>IF(A1207="","", _xludf.WEEKNUM(A1207, 2))</f>
        <v/>
      </c>
    </row>
    <row r="1208">
      <c r="M1208">
        <f>IF(A1208="","", _xludf.WEEKNUM(A1208, 2))</f>
        <v/>
      </c>
    </row>
    <row r="1209">
      <c r="M1209">
        <f>IF(A1209="","", _xludf.WEEKNUM(A1209, 2))</f>
        <v/>
      </c>
    </row>
    <row r="1210">
      <c r="M1210">
        <f>IF(A1210="","", _xludf.WEEKNUM(A1210, 2))</f>
        <v/>
      </c>
    </row>
    <row r="1211">
      <c r="M1211">
        <f>IF(A1211="","", _xludf.WEEKNUM(A1211, 2))</f>
        <v/>
      </c>
    </row>
    <row r="1212">
      <c r="M1212">
        <f>IF(A1212="","", _xludf.WEEKNUM(A1212, 2))</f>
        <v/>
      </c>
    </row>
    <row r="1213">
      <c r="M1213">
        <f>IF(A1213="","", _xludf.WEEKNUM(A1213, 2))</f>
        <v/>
      </c>
    </row>
    <row r="1214">
      <c r="M1214">
        <f>IF(A1214="","", _xludf.WEEKNUM(A1214, 2))</f>
        <v/>
      </c>
    </row>
    <row r="1215">
      <c r="M1215">
        <f>IF(A1215="","", _xludf.WEEKNUM(A1215, 2))</f>
        <v/>
      </c>
    </row>
    <row r="1216">
      <c r="M1216">
        <f>IF(A1216="","", _xludf.WEEKNUM(A1216, 2))</f>
        <v/>
      </c>
    </row>
    <row r="1217">
      <c r="M1217">
        <f>IF(A1217="","", _xludf.WEEKNUM(A1217, 2))</f>
        <v/>
      </c>
    </row>
    <row r="1218">
      <c r="M1218">
        <f>IF(A1218="","", _xludf.WEEKNUM(A1218, 2))</f>
        <v/>
      </c>
    </row>
    <row r="1219">
      <c r="M1219">
        <f>IF(A1219="","", _xludf.WEEKNUM(A1219, 2))</f>
        <v/>
      </c>
    </row>
    <row r="1220">
      <c r="M1220">
        <f>IF(A1220="","", _xludf.WEEKNUM(A1220, 2))</f>
        <v/>
      </c>
    </row>
    <row r="1221">
      <c r="M1221">
        <f>IF(A1221="","", _xludf.WEEKNUM(A1221, 2))</f>
        <v/>
      </c>
    </row>
    <row r="1222">
      <c r="M1222">
        <f>IF(A1222="","", _xludf.WEEKNUM(A1222, 2))</f>
        <v/>
      </c>
    </row>
    <row r="1223">
      <c r="M1223">
        <f>IF(A1223="","", _xludf.WEEKNUM(A1223, 2))</f>
        <v/>
      </c>
    </row>
    <row r="1224">
      <c r="M1224">
        <f>IF(A1224="","", _xludf.WEEKNUM(A1224, 2))</f>
        <v/>
      </c>
    </row>
    <row r="1225">
      <c r="M1225">
        <f>IF(A1225="","", _xludf.WEEKNUM(A1225, 2))</f>
        <v/>
      </c>
    </row>
    <row r="1226">
      <c r="M1226">
        <f>IF(A1226="","", _xludf.WEEKNUM(A1226, 2))</f>
        <v/>
      </c>
    </row>
    <row r="1227">
      <c r="M1227">
        <f>IF(A1227="","", _xludf.WEEKNUM(A1227, 2))</f>
        <v/>
      </c>
    </row>
    <row r="1228">
      <c r="M1228">
        <f>IF(A1228="","", _xludf.WEEKNUM(A1228, 2))</f>
        <v/>
      </c>
    </row>
    <row r="1229">
      <c r="M1229">
        <f>IF(A1229="","", _xludf.WEEKNUM(A1229, 2))</f>
        <v/>
      </c>
    </row>
    <row r="1230">
      <c r="M1230">
        <f>IF(A1230="","", _xludf.WEEKNUM(A1230, 2))</f>
        <v/>
      </c>
    </row>
    <row r="1231">
      <c r="M1231">
        <f>IF(A1231="","", _xludf.WEEKNUM(A1231, 2))</f>
        <v/>
      </c>
    </row>
    <row r="1232">
      <c r="M1232">
        <f>IF(A1232="","", _xludf.WEEKNUM(A1232, 2))</f>
        <v/>
      </c>
    </row>
    <row r="1233">
      <c r="M1233">
        <f>IF(A1233="","", _xludf.WEEKNUM(A1233, 2))</f>
        <v/>
      </c>
    </row>
    <row r="1234">
      <c r="M1234">
        <f>IF(A1234="","", _xludf.WEEKNUM(A1234, 2))</f>
        <v/>
      </c>
    </row>
    <row r="1235">
      <c r="M1235">
        <f>IF(A1235="","", _xludf.WEEKNUM(A1235, 2))</f>
        <v/>
      </c>
    </row>
    <row r="1236">
      <c r="M1236">
        <f>IF(A1236="","", _xludf.WEEKNUM(A1236, 2))</f>
        <v/>
      </c>
    </row>
    <row r="1237">
      <c r="M1237">
        <f>IF(A1237="","", _xludf.WEEKNUM(A1237, 2))</f>
        <v/>
      </c>
    </row>
    <row r="1238">
      <c r="M1238">
        <f>IF(A1238="","", _xludf.WEEKNUM(A1238, 2))</f>
        <v/>
      </c>
    </row>
    <row r="1239">
      <c r="M1239">
        <f>IF(A1239="","", _xludf.WEEKNUM(A1239, 2))</f>
        <v/>
      </c>
    </row>
    <row r="1240">
      <c r="M1240">
        <f>IF(A1240="","", _xludf.WEEKNUM(A1240, 2))</f>
        <v/>
      </c>
    </row>
    <row r="1241">
      <c r="M1241">
        <f>IF(A1241="","", _xludf.WEEKNUM(A1241, 2))</f>
        <v/>
      </c>
    </row>
    <row r="1242">
      <c r="M1242">
        <f>IF(A1242="","", _xludf.WEEKNUM(A1242, 2))</f>
        <v/>
      </c>
    </row>
    <row r="1243">
      <c r="M1243">
        <f>IF(A1243="","", _xludf.WEEKNUM(A1243, 2))</f>
        <v/>
      </c>
    </row>
    <row r="1244">
      <c r="M1244">
        <f>IF(A1244="","", _xludf.WEEKNUM(A1244, 2))</f>
        <v/>
      </c>
    </row>
    <row r="1245">
      <c r="M1245">
        <f>IF(A1245="","", _xludf.WEEKNUM(A1245, 2))</f>
        <v/>
      </c>
    </row>
    <row r="1246">
      <c r="M1246">
        <f>IF(A1246="","", _xludf.WEEKNUM(A1246, 2))</f>
        <v/>
      </c>
    </row>
    <row r="1247">
      <c r="M1247">
        <f>IF(A1247="","", _xludf.WEEKNUM(A1247, 2))</f>
        <v/>
      </c>
    </row>
    <row r="1248">
      <c r="M1248">
        <f>IF(A1248="","", _xludf.WEEKNUM(A1248, 2))</f>
        <v/>
      </c>
    </row>
    <row r="1249">
      <c r="M1249">
        <f>IF(A1249="","", _xludf.WEEKNUM(A1249, 2))</f>
        <v/>
      </c>
    </row>
    <row r="1250">
      <c r="M1250">
        <f>IF(A1250="","", _xludf.WEEKNUM(A1250, 2))</f>
        <v/>
      </c>
    </row>
    <row r="1251">
      <c r="M1251">
        <f>IF(A1251="","", _xludf.WEEKNUM(A1251, 2))</f>
        <v/>
      </c>
    </row>
    <row r="1252">
      <c r="M1252">
        <f>IF(A1252="","", _xludf.WEEKNUM(A1252, 2))</f>
        <v/>
      </c>
    </row>
    <row r="1253">
      <c r="M1253">
        <f>IF(A1253="","", _xludf.WEEKNUM(A1253, 2))</f>
        <v/>
      </c>
    </row>
    <row r="1254">
      <c r="M1254">
        <f>IF(A1254="","", _xludf.WEEKNUM(A1254, 2))</f>
        <v/>
      </c>
    </row>
    <row r="1255">
      <c r="M1255">
        <f>IF(A1255="","", _xludf.WEEKNUM(A1255, 2))</f>
        <v/>
      </c>
    </row>
    <row r="1256">
      <c r="M1256">
        <f>IF(A1256="","", _xludf.WEEKNUM(A1256, 2))</f>
        <v/>
      </c>
    </row>
    <row r="1257">
      <c r="M1257">
        <f>IF(A1257="","", _xludf.WEEKNUM(A1257, 2))</f>
        <v/>
      </c>
    </row>
    <row r="1258">
      <c r="M1258">
        <f>IF(A1258="","", _xludf.WEEKNUM(A1258, 2))</f>
        <v/>
      </c>
    </row>
    <row r="1259">
      <c r="M1259">
        <f>IF(A1259="","", _xludf.WEEKNUM(A1259, 2))</f>
        <v/>
      </c>
    </row>
    <row r="1260">
      <c r="M1260">
        <f>IF(A1260="","", _xludf.WEEKNUM(A1260, 2))</f>
        <v/>
      </c>
    </row>
    <row r="1261">
      <c r="M1261">
        <f>IF(A1261="","", _xludf.WEEKNUM(A1261, 2))</f>
        <v/>
      </c>
    </row>
    <row r="1262">
      <c r="M1262">
        <f>IF(A1262="","", _xludf.WEEKNUM(A1262, 2))</f>
        <v/>
      </c>
    </row>
    <row r="1263">
      <c r="M1263">
        <f>IF(A1263="","", _xludf.WEEKNUM(A1263, 2))</f>
        <v/>
      </c>
    </row>
    <row r="1264">
      <c r="M1264">
        <f>IF(A1264="","", _xludf.WEEKNUM(A1264, 2))</f>
        <v/>
      </c>
    </row>
    <row r="1265">
      <c r="M1265">
        <f>IF(A1265="","", _xludf.WEEKNUM(A1265, 2))</f>
        <v/>
      </c>
    </row>
    <row r="1266">
      <c r="M1266">
        <f>IF(A1266="","", _xludf.WEEKNUM(A1266, 2))</f>
        <v/>
      </c>
    </row>
    <row r="1267">
      <c r="M1267">
        <f>IF(A1267="","", _xludf.WEEKNUM(A1267, 2))</f>
        <v/>
      </c>
    </row>
    <row r="1268">
      <c r="M1268">
        <f>IF(A1268="","", _xludf.WEEKNUM(A1268, 2))</f>
        <v/>
      </c>
    </row>
    <row r="1269">
      <c r="M1269">
        <f>IF(A1269="","", _xludf.WEEKNUM(A1269, 2))</f>
        <v/>
      </c>
    </row>
    <row r="1270">
      <c r="M1270">
        <f>IF(A1270="","", _xludf.WEEKNUM(A1270, 2))</f>
        <v/>
      </c>
    </row>
    <row r="1271">
      <c r="M1271">
        <f>IF(A1271="","", _xludf.WEEKNUM(A1271, 2))</f>
        <v/>
      </c>
    </row>
    <row r="1272">
      <c r="M1272">
        <f>IF(A1272="","", _xludf.WEEKNUM(A1272, 2))</f>
        <v/>
      </c>
    </row>
    <row r="1273">
      <c r="M1273">
        <f>IF(A1273="","", _xludf.WEEKNUM(A1273, 2))</f>
        <v/>
      </c>
    </row>
    <row r="1274">
      <c r="M1274">
        <f>IF(A1274="","", _xludf.WEEKNUM(A1274, 2))</f>
        <v/>
      </c>
    </row>
    <row r="1275">
      <c r="M1275">
        <f>IF(A1275="","", _xludf.WEEKNUM(A1275, 2))</f>
        <v/>
      </c>
    </row>
    <row r="1276">
      <c r="M1276">
        <f>IF(A1276="","", _xludf.WEEKNUM(A1276, 2))</f>
        <v/>
      </c>
    </row>
    <row r="1277">
      <c r="M1277">
        <f>IF(A1277="","", _xludf.WEEKNUM(A1277, 2))</f>
        <v/>
      </c>
    </row>
    <row r="1278">
      <c r="M1278">
        <f>IF(A1278="","", _xludf.WEEKNUM(A1278, 2))</f>
        <v/>
      </c>
    </row>
    <row r="1279">
      <c r="M1279">
        <f>IF(A1279="","", _xludf.WEEKNUM(A1279, 2))</f>
        <v/>
      </c>
    </row>
    <row r="1280">
      <c r="M1280">
        <f>IF(A1280="","", _xludf.WEEKNUM(A1280, 2))</f>
        <v/>
      </c>
    </row>
    <row r="1281">
      <c r="M1281">
        <f>IF(A1281="","", _xludf.WEEKNUM(A1281, 2))</f>
        <v/>
      </c>
    </row>
    <row r="1282">
      <c r="M1282">
        <f>IF(A1282="","", _xludf.WEEKNUM(A1282, 2))</f>
        <v/>
      </c>
    </row>
    <row r="1283">
      <c r="M1283">
        <f>IF(A1283="","", _xludf.WEEKNUM(A1283, 2))</f>
        <v/>
      </c>
    </row>
    <row r="1284">
      <c r="M1284">
        <f>IF(A1284="","", _xludf.WEEKNUM(A1284, 2))</f>
        <v/>
      </c>
    </row>
    <row r="1285">
      <c r="M1285">
        <f>IF(A1285="","", _xludf.WEEKNUM(A1285, 2))</f>
        <v/>
      </c>
    </row>
    <row r="1286">
      <c r="M1286">
        <f>IF(A1286="","", _xludf.WEEKNUM(A1286, 2))</f>
        <v/>
      </c>
    </row>
    <row r="1287">
      <c r="M1287">
        <f>IF(A1287="","", _xludf.WEEKNUM(A1287, 2))</f>
        <v/>
      </c>
    </row>
    <row r="1288">
      <c r="M1288">
        <f>IF(A1288="","", _xludf.WEEKNUM(A1288, 2))</f>
        <v/>
      </c>
    </row>
    <row r="1289">
      <c r="M1289">
        <f>IF(A1289="","", _xludf.WEEKNUM(A1289, 2))</f>
        <v/>
      </c>
    </row>
    <row r="1290">
      <c r="M1290">
        <f>IF(A1290="","", _xludf.WEEKNUM(A1290, 2))</f>
        <v/>
      </c>
    </row>
    <row r="1291">
      <c r="M1291">
        <f>IF(A1291="","", _xludf.WEEKNUM(A1291, 2))</f>
        <v/>
      </c>
    </row>
    <row r="1292">
      <c r="M1292">
        <f>IF(A1292="","", _xludf.WEEKNUM(A1292, 2))</f>
        <v/>
      </c>
    </row>
    <row r="1293">
      <c r="M1293">
        <f>IF(A1293="","", _xludf.WEEKNUM(A1293, 2))</f>
        <v/>
      </c>
    </row>
    <row r="1294">
      <c r="M1294">
        <f>IF(A1294="","", _xludf.WEEKNUM(A1294, 2))</f>
        <v/>
      </c>
    </row>
    <row r="1295">
      <c r="M1295">
        <f>IF(A1295="","", _xludf.WEEKNUM(A1295, 2))</f>
        <v/>
      </c>
    </row>
    <row r="1296">
      <c r="M1296">
        <f>IF(A1296="","", _xludf.WEEKNUM(A1296, 2))</f>
        <v/>
      </c>
    </row>
    <row r="1297">
      <c r="M1297">
        <f>IF(A1297="","", _xludf.WEEKNUM(A1297, 2))</f>
        <v/>
      </c>
    </row>
    <row r="1298">
      <c r="M1298">
        <f>IF(A1298="","", _xludf.WEEKNUM(A1298, 2))</f>
        <v/>
      </c>
    </row>
    <row r="1299">
      <c r="M1299">
        <f>IF(A1299="","", _xludf.WEEKNUM(A1299, 2))</f>
        <v/>
      </c>
    </row>
    <row r="1300">
      <c r="M1300">
        <f>IF(A1300="","", _xludf.WEEKNUM(A1300, 2))</f>
        <v/>
      </c>
    </row>
    <row r="1301">
      <c r="M1301">
        <f>IF(A1301="","", _xludf.WEEKNUM(A1301, 2))</f>
        <v/>
      </c>
    </row>
    <row r="1302">
      <c r="M1302">
        <f>IF(A1302="","", _xludf.WEEKNUM(A1302, 2))</f>
        <v/>
      </c>
    </row>
    <row r="1303">
      <c r="M1303">
        <f>IF(A1303="","", _xludf.WEEKNUM(A1303, 2))</f>
        <v/>
      </c>
    </row>
    <row r="1304">
      <c r="M1304">
        <f>IF(A1304="","", _xludf.WEEKNUM(A1304, 2))</f>
        <v/>
      </c>
    </row>
    <row r="1305">
      <c r="M1305">
        <f>IF(A1305="","", _xludf.WEEKNUM(A1305, 2))</f>
        <v/>
      </c>
    </row>
    <row r="1306">
      <c r="M1306">
        <f>IF(A1306="","", _xludf.WEEKNUM(A1306, 2))</f>
        <v/>
      </c>
    </row>
    <row r="1307">
      <c r="M1307">
        <f>IF(A1307="","", _xludf.WEEKNUM(A1307, 2))</f>
        <v/>
      </c>
    </row>
    <row r="1308">
      <c r="M1308">
        <f>IF(A1308="","", _xludf.WEEKNUM(A1308, 2))</f>
        <v/>
      </c>
    </row>
    <row r="1309">
      <c r="M1309">
        <f>IF(A1309="","", _xludf.WEEKNUM(A1309, 2))</f>
        <v/>
      </c>
    </row>
    <row r="1310">
      <c r="M1310">
        <f>IF(A1310="","", _xludf.WEEKNUM(A1310, 2))</f>
        <v/>
      </c>
    </row>
    <row r="1311">
      <c r="M1311">
        <f>IF(A1311="","", _xludf.WEEKNUM(A1311, 2))</f>
        <v/>
      </c>
    </row>
    <row r="1312">
      <c r="M1312">
        <f>IF(A1312="","", _xludf.WEEKNUM(A1312, 2))</f>
        <v/>
      </c>
    </row>
    <row r="1313">
      <c r="M1313">
        <f>IF(A1313="","", _xludf.WEEKNUM(A1313, 2))</f>
        <v/>
      </c>
    </row>
    <row r="1314">
      <c r="M1314">
        <f>IF(A1314="","", _xludf.WEEKNUM(A1314, 2))</f>
        <v/>
      </c>
    </row>
    <row r="1315">
      <c r="M1315">
        <f>IF(A1315="","", _xludf.WEEKNUM(A1315, 2))</f>
        <v/>
      </c>
    </row>
    <row r="1316">
      <c r="M1316">
        <f>IF(A1316="","", _xludf.WEEKNUM(A1316, 2))</f>
        <v/>
      </c>
    </row>
    <row r="1317">
      <c r="M1317">
        <f>IF(A1317="","", _xludf.WEEKNUM(A1317, 2))</f>
        <v/>
      </c>
    </row>
    <row r="1318">
      <c r="M1318">
        <f>IF(A1318="","", _xludf.WEEKNUM(A1318, 2))</f>
        <v/>
      </c>
    </row>
    <row r="1319">
      <c r="M1319">
        <f>IF(A1319="","", _xludf.WEEKNUM(A1319, 2))</f>
        <v/>
      </c>
    </row>
    <row r="1320">
      <c r="M1320">
        <f>IF(A1320="","", _xludf.WEEKNUM(A1320, 2))</f>
        <v/>
      </c>
    </row>
    <row r="1321">
      <c r="M1321">
        <f>IF(A1321="","", _xludf.WEEKNUM(A1321, 2))</f>
        <v/>
      </c>
    </row>
    <row r="1322">
      <c r="M1322">
        <f>IF(A1322="","", _xludf.WEEKNUM(A1322, 2))</f>
        <v/>
      </c>
    </row>
    <row r="1323">
      <c r="M1323">
        <f>IF(A1323="","", _xludf.WEEKNUM(A1323, 2))</f>
        <v/>
      </c>
    </row>
    <row r="1324">
      <c r="M1324">
        <f>IF(A1324="","", _xludf.WEEKNUM(A1324, 2))</f>
        <v/>
      </c>
    </row>
    <row r="1325">
      <c r="M1325">
        <f>IF(A1325="","", _xludf.WEEKNUM(A1325, 2))</f>
        <v/>
      </c>
    </row>
    <row r="1326">
      <c r="M1326">
        <f>IF(A1326="","", _xludf.WEEKNUM(A1326, 2))</f>
        <v/>
      </c>
    </row>
    <row r="1327">
      <c r="M1327">
        <f>IF(A1327="","", _xludf.WEEKNUM(A1327, 2))</f>
        <v/>
      </c>
    </row>
    <row r="1328">
      <c r="M1328">
        <f>IF(A1328="","", _xludf.WEEKNUM(A1328, 2))</f>
        <v/>
      </c>
    </row>
    <row r="1329">
      <c r="M1329">
        <f>IF(A1329="","", _xludf.WEEKNUM(A1329, 2))</f>
        <v/>
      </c>
    </row>
    <row r="1330">
      <c r="M1330">
        <f>IF(A1330="","", _xludf.WEEKNUM(A1330, 2))</f>
        <v/>
      </c>
    </row>
    <row r="1331">
      <c r="M1331">
        <f>IF(A1331="","", _xludf.WEEKNUM(A1331, 2))</f>
        <v/>
      </c>
    </row>
    <row r="1332">
      <c r="M1332">
        <f>IF(A1332="","", _xludf.WEEKNUM(A1332, 2))</f>
        <v/>
      </c>
    </row>
    <row r="1333">
      <c r="M1333">
        <f>IF(A1333="","", _xludf.WEEKNUM(A1333, 2))</f>
        <v/>
      </c>
    </row>
    <row r="1334">
      <c r="M1334">
        <f>IF(A1334="","", _xludf.WEEKNUM(A1334, 2))</f>
        <v/>
      </c>
    </row>
    <row r="1335">
      <c r="M1335">
        <f>IF(A1335="","", _xludf.WEEKNUM(A1335, 2))</f>
        <v/>
      </c>
    </row>
    <row r="1336">
      <c r="M1336">
        <f>IF(A1336="","", _xludf.WEEKNUM(A1336, 2))</f>
        <v/>
      </c>
    </row>
    <row r="1337">
      <c r="M1337">
        <f>IF(A1337="","", _xludf.WEEKNUM(A1337, 2))</f>
        <v/>
      </c>
    </row>
    <row r="1338">
      <c r="M1338">
        <f>IF(A1338="","", _xludf.WEEKNUM(A1338, 2))</f>
        <v/>
      </c>
    </row>
    <row r="1339">
      <c r="M1339">
        <f>IF(A1339="","", _xludf.WEEKNUM(A1339, 2))</f>
        <v/>
      </c>
    </row>
    <row r="1340">
      <c r="M1340">
        <f>IF(A1340="","", _xludf.WEEKNUM(A1340, 2))</f>
        <v/>
      </c>
    </row>
    <row r="1341">
      <c r="M1341">
        <f>IF(A1341="","", _xludf.WEEKNUM(A1341, 2))</f>
        <v/>
      </c>
    </row>
    <row r="1342">
      <c r="M1342">
        <f>IF(A1342="","", _xludf.WEEKNUM(A1342, 2))</f>
        <v/>
      </c>
    </row>
    <row r="1343">
      <c r="M1343">
        <f>IF(A1343="","", _xludf.WEEKNUM(A1343, 2))</f>
        <v/>
      </c>
    </row>
    <row r="1344">
      <c r="M1344">
        <f>IF(A1344="","", _xludf.WEEKNUM(A1344, 2))</f>
        <v/>
      </c>
    </row>
    <row r="1345">
      <c r="M1345">
        <f>IF(A1345="","", _xludf.WEEKNUM(A1345, 2))</f>
        <v/>
      </c>
    </row>
    <row r="1346">
      <c r="M1346">
        <f>IF(A1346="","", _xludf.WEEKNUM(A1346, 2))</f>
        <v/>
      </c>
    </row>
    <row r="1347">
      <c r="M1347">
        <f>IF(A1347="","", _xludf.WEEKNUM(A1347, 2))</f>
        <v/>
      </c>
    </row>
    <row r="1348">
      <c r="M1348">
        <f>IF(A1348="","", _xludf.WEEKNUM(A1348, 2))</f>
        <v/>
      </c>
    </row>
    <row r="1349">
      <c r="M1349">
        <f>IF(A1349="","", _xludf.WEEKNUM(A1349, 2))</f>
        <v/>
      </c>
    </row>
    <row r="1350">
      <c r="M1350">
        <f>IF(A1350="","", _xludf.WEEKNUM(A1350, 2))</f>
        <v/>
      </c>
    </row>
    <row r="1351">
      <c r="M1351">
        <f>IF(A1351="","", _xludf.WEEKNUM(A1351, 2))</f>
        <v/>
      </c>
    </row>
    <row r="1352">
      <c r="M1352">
        <f>IF(A1352="","", _xludf.WEEKNUM(A1352, 2))</f>
        <v/>
      </c>
    </row>
    <row r="1353">
      <c r="M1353">
        <f>IF(A1353="","", _xludf.WEEKNUM(A1353, 2))</f>
        <v/>
      </c>
    </row>
    <row r="1354">
      <c r="M1354">
        <f>IF(A1354="","", _xludf.WEEKNUM(A1354, 2))</f>
        <v/>
      </c>
    </row>
    <row r="1355">
      <c r="M1355">
        <f>IF(A1355="","", _xludf.WEEKNUM(A1355, 2))</f>
        <v/>
      </c>
    </row>
    <row r="1356">
      <c r="M1356">
        <f>IF(A1356="","", _xludf.WEEKNUM(A1356, 2))</f>
        <v/>
      </c>
    </row>
    <row r="1357">
      <c r="M1357">
        <f>IF(A1357="","", _xludf.WEEKNUM(A1357, 2))</f>
        <v/>
      </c>
    </row>
    <row r="1358">
      <c r="M1358">
        <f>IF(A1358="","", _xludf.WEEKNUM(A1358, 2))</f>
        <v/>
      </c>
    </row>
    <row r="1359">
      <c r="M1359">
        <f>IF(A1359="","", _xludf.WEEKNUM(A1359, 2))</f>
        <v/>
      </c>
    </row>
    <row r="1360">
      <c r="M1360">
        <f>IF(A1360="","", _xludf.WEEKNUM(A1360, 2))</f>
        <v/>
      </c>
    </row>
    <row r="1361">
      <c r="M1361">
        <f>IF(A1361="","", _xludf.WEEKNUM(A1361, 2))</f>
        <v/>
      </c>
    </row>
    <row r="1362">
      <c r="M1362">
        <f>IF(A1362="","", _xludf.WEEKNUM(A1362, 2))</f>
        <v/>
      </c>
    </row>
    <row r="1363">
      <c r="M1363">
        <f>IF(A1363="","", _xludf.WEEKNUM(A1363, 2))</f>
        <v/>
      </c>
    </row>
    <row r="1364">
      <c r="M1364">
        <f>IF(A1364="","", _xludf.WEEKNUM(A1364, 2))</f>
        <v/>
      </c>
    </row>
    <row r="1365">
      <c r="M1365">
        <f>IF(A1365="","", _xludf.WEEKNUM(A1365, 2))</f>
        <v/>
      </c>
    </row>
    <row r="1366">
      <c r="M1366">
        <f>IF(A1366="","", _xludf.WEEKNUM(A1366, 2))</f>
        <v/>
      </c>
    </row>
    <row r="1367">
      <c r="M1367">
        <f>IF(A1367="","", _xludf.WEEKNUM(A1367, 2))</f>
        <v/>
      </c>
    </row>
    <row r="1368">
      <c r="M1368">
        <f>IF(A1368="","", _xludf.WEEKNUM(A1368, 2))</f>
        <v/>
      </c>
    </row>
    <row r="1369">
      <c r="M1369">
        <f>IF(A1369="","", _xludf.WEEKNUM(A1369, 2))</f>
        <v/>
      </c>
    </row>
    <row r="1370">
      <c r="M1370">
        <f>IF(A1370="","", _xludf.WEEKNUM(A1370, 2))</f>
        <v/>
      </c>
    </row>
    <row r="1371">
      <c r="M1371">
        <f>IF(A1371="","", _xludf.WEEKNUM(A1371, 2))</f>
        <v/>
      </c>
    </row>
    <row r="1372">
      <c r="M1372">
        <f>IF(A1372="","", _xludf.WEEKNUM(A1372, 2))</f>
        <v/>
      </c>
    </row>
    <row r="1373">
      <c r="M1373">
        <f>IF(A1373="","", _xludf.WEEKNUM(A1373, 2))</f>
        <v/>
      </c>
    </row>
    <row r="1374">
      <c r="M1374">
        <f>IF(A1374="","", _xludf.WEEKNUM(A1374, 2))</f>
        <v/>
      </c>
    </row>
    <row r="1375">
      <c r="M1375">
        <f>IF(A1375="","", _xludf.WEEKNUM(A1375, 2))</f>
        <v/>
      </c>
    </row>
    <row r="1376">
      <c r="M1376">
        <f>IF(A1376="","", _xludf.WEEKNUM(A1376, 2))</f>
        <v/>
      </c>
    </row>
    <row r="1377">
      <c r="M1377">
        <f>IF(A1377="","", _xludf.WEEKNUM(A1377, 2))</f>
        <v/>
      </c>
    </row>
    <row r="1378">
      <c r="M1378">
        <f>IF(A1378="","", _xludf.WEEKNUM(A1378, 2))</f>
        <v/>
      </c>
    </row>
    <row r="1379">
      <c r="M1379">
        <f>IF(A1379="","", _xludf.WEEKNUM(A1379, 2))</f>
        <v/>
      </c>
    </row>
    <row r="1380">
      <c r="M1380">
        <f>IF(A1380="","", _xludf.WEEKNUM(A1380, 2))</f>
        <v/>
      </c>
    </row>
    <row r="1381">
      <c r="M1381">
        <f>IF(A1381="","", _xludf.WEEKNUM(A1381, 2))</f>
        <v/>
      </c>
    </row>
    <row r="1382">
      <c r="M1382">
        <f>IF(A1382="","", _xludf.WEEKNUM(A1382, 2))</f>
        <v/>
      </c>
    </row>
    <row r="1383">
      <c r="M1383">
        <f>IF(A1383="","", _xludf.WEEKNUM(A1383, 2))</f>
        <v/>
      </c>
    </row>
    <row r="1384">
      <c r="M1384">
        <f>IF(A1384="","", _xludf.WEEKNUM(A1384, 2))</f>
        <v/>
      </c>
    </row>
    <row r="1385">
      <c r="M1385">
        <f>IF(A1385="","", _xludf.WEEKNUM(A1385, 2))</f>
        <v/>
      </c>
    </row>
    <row r="1386">
      <c r="M1386">
        <f>IF(A1386="","", _xludf.WEEKNUM(A1386, 2))</f>
        <v/>
      </c>
    </row>
    <row r="1387">
      <c r="M1387">
        <f>IF(A1387="","", _xludf.WEEKNUM(A1387, 2))</f>
        <v/>
      </c>
    </row>
    <row r="1388">
      <c r="M1388">
        <f>IF(A1388="","", _xludf.WEEKNUM(A1388, 2))</f>
        <v/>
      </c>
    </row>
    <row r="1389">
      <c r="M1389">
        <f>IF(A1389="","", _xludf.WEEKNUM(A1389, 2))</f>
        <v/>
      </c>
    </row>
    <row r="1390">
      <c r="M1390">
        <f>IF(A1390="","", _xludf.WEEKNUM(A1390, 2))</f>
        <v/>
      </c>
    </row>
    <row r="1391">
      <c r="M1391">
        <f>IF(A1391="","", _xludf.WEEKNUM(A1391, 2))</f>
        <v/>
      </c>
    </row>
    <row r="1392">
      <c r="M1392">
        <f>IF(A1392="","", _xludf.WEEKNUM(A1392, 2))</f>
        <v/>
      </c>
    </row>
    <row r="1393">
      <c r="M1393">
        <f>IF(A1393="","", _xludf.WEEKNUM(A1393, 2))</f>
        <v/>
      </c>
    </row>
    <row r="1394">
      <c r="M1394">
        <f>IF(A1394="","", _xludf.WEEKNUM(A1394, 2))</f>
        <v/>
      </c>
    </row>
    <row r="1395">
      <c r="M1395">
        <f>IF(A1395="","", _xludf.WEEKNUM(A1395, 2))</f>
        <v/>
      </c>
    </row>
    <row r="1396">
      <c r="M1396">
        <f>IF(A1396="","", _xludf.WEEKNUM(A1396, 2))</f>
        <v/>
      </c>
    </row>
    <row r="1397">
      <c r="M1397">
        <f>IF(A1397="","", _xludf.WEEKNUM(A1397, 2))</f>
        <v/>
      </c>
    </row>
    <row r="1398">
      <c r="M1398">
        <f>IF(A1398="","", _xludf.WEEKNUM(A1398, 2))</f>
        <v/>
      </c>
    </row>
    <row r="1399">
      <c r="M1399">
        <f>IF(A1399="","", _xludf.WEEKNUM(A1399, 2))</f>
        <v/>
      </c>
    </row>
    <row r="1400">
      <c r="M1400">
        <f>IF(A1400="","", _xludf.WEEKNUM(A1400, 2))</f>
        <v/>
      </c>
    </row>
    <row r="1401">
      <c r="M1401">
        <f>IF(A1401="","", _xludf.WEEKNUM(A1401, 2))</f>
        <v/>
      </c>
    </row>
    <row r="1402">
      <c r="M1402">
        <f>IF(A1402="","", _xludf.WEEKNUM(A1402, 2))</f>
        <v/>
      </c>
    </row>
    <row r="1403">
      <c r="M1403">
        <f>IF(A1403="","", _xludf.WEEKNUM(A1403, 2))</f>
        <v/>
      </c>
    </row>
    <row r="1404">
      <c r="M1404">
        <f>IF(A1404="","", _xludf.WEEKNUM(A1404, 2))</f>
        <v/>
      </c>
    </row>
    <row r="1405">
      <c r="M1405">
        <f>IF(A1405="","", _xludf.WEEKNUM(A1405, 2))</f>
        <v/>
      </c>
    </row>
    <row r="1406">
      <c r="M1406">
        <f>IF(A1406="","", _xludf.WEEKNUM(A1406, 2))</f>
        <v/>
      </c>
    </row>
    <row r="1407">
      <c r="M1407">
        <f>IF(A1407="","", _xludf.WEEKNUM(A1407, 2))</f>
        <v/>
      </c>
    </row>
    <row r="1408">
      <c r="M1408">
        <f>IF(A1408="","", _xludf.WEEKNUM(A1408, 2))</f>
        <v/>
      </c>
    </row>
    <row r="1409">
      <c r="M1409">
        <f>IF(A1409="","", _xludf.WEEKNUM(A1409, 2))</f>
        <v/>
      </c>
    </row>
    <row r="1410">
      <c r="M1410">
        <f>IF(A1410="","", _xludf.WEEKNUM(A1410, 2))</f>
        <v/>
      </c>
    </row>
    <row r="1411">
      <c r="M1411">
        <f>IF(A1411="","", _xludf.WEEKNUM(A1411, 2))</f>
        <v/>
      </c>
    </row>
    <row r="1412">
      <c r="M1412">
        <f>IF(A1412="","", _xludf.WEEKNUM(A1412, 2))</f>
        <v/>
      </c>
    </row>
    <row r="1413">
      <c r="M1413">
        <f>IF(A1413="","", _xludf.WEEKNUM(A1413, 2))</f>
        <v/>
      </c>
    </row>
    <row r="1414">
      <c r="M1414">
        <f>IF(A1414="","", _xludf.WEEKNUM(A1414, 2))</f>
        <v/>
      </c>
    </row>
    <row r="1415">
      <c r="M1415">
        <f>IF(A1415="","", _xludf.WEEKNUM(A1415, 2))</f>
        <v/>
      </c>
    </row>
    <row r="1416">
      <c r="M1416">
        <f>IF(A1416="","", _xludf.WEEKNUM(A1416, 2))</f>
        <v/>
      </c>
    </row>
    <row r="1417">
      <c r="M1417">
        <f>IF(A1417="","", _xludf.WEEKNUM(A1417, 2))</f>
        <v/>
      </c>
    </row>
    <row r="1418">
      <c r="M1418">
        <f>IF(A1418="","", _xludf.WEEKNUM(A1418, 2))</f>
        <v/>
      </c>
    </row>
    <row r="1419">
      <c r="M1419">
        <f>IF(A1419="","", _xludf.WEEKNUM(A1419, 2))</f>
        <v/>
      </c>
    </row>
    <row r="1420">
      <c r="M1420">
        <f>IF(A1420="","", _xludf.WEEKNUM(A1420, 2))</f>
        <v/>
      </c>
    </row>
    <row r="1421">
      <c r="M1421">
        <f>IF(A1421="","", _xludf.WEEKNUM(A1421, 2))</f>
        <v/>
      </c>
    </row>
    <row r="1422">
      <c r="M1422">
        <f>IF(A1422="","", _xludf.WEEKNUM(A1422, 2))</f>
        <v/>
      </c>
    </row>
    <row r="1423">
      <c r="M1423">
        <f>IF(A1423="","", _xludf.WEEKNUM(A1423, 2))</f>
        <v/>
      </c>
    </row>
    <row r="1424">
      <c r="M1424">
        <f>IF(A1424="","", _xludf.WEEKNUM(A1424, 2))</f>
        <v/>
      </c>
    </row>
    <row r="1425">
      <c r="M1425">
        <f>IF(A1425="","", _xludf.WEEKNUM(A1425, 2))</f>
        <v/>
      </c>
    </row>
    <row r="1426">
      <c r="M1426">
        <f>IF(A1426="","", _xludf.WEEKNUM(A1426, 2))</f>
        <v/>
      </c>
    </row>
    <row r="1427">
      <c r="M1427">
        <f>IF(A1427="","", _xludf.WEEKNUM(A1427, 2))</f>
        <v/>
      </c>
    </row>
    <row r="1428">
      <c r="M1428">
        <f>IF(A1428="","", _xludf.WEEKNUM(A1428, 2))</f>
        <v/>
      </c>
    </row>
    <row r="1429">
      <c r="M1429">
        <f>IF(A1429="","", _xludf.WEEKNUM(A1429, 2))</f>
        <v/>
      </c>
    </row>
    <row r="1430">
      <c r="M1430">
        <f>IF(A1430="","", _xludf.WEEKNUM(A1430, 2))</f>
        <v/>
      </c>
    </row>
    <row r="1431">
      <c r="M1431">
        <f>IF(A1431="","", _xludf.WEEKNUM(A1431, 2))</f>
        <v/>
      </c>
    </row>
    <row r="1432">
      <c r="M1432">
        <f>IF(A1432="","", _xludf.WEEKNUM(A1432, 2))</f>
        <v/>
      </c>
    </row>
    <row r="1433">
      <c r="M1433">
        <f>IF(A1433="","", _xludf.WEEKNUM(A1433, 2))</f>
        <v/>
      </c>
    </row>
    <row r="1434">
      <c r="M1434">
        <f>IF(A1434="","", _xludf.WEEKNUM(A1434, 2))</f>
        <v/>
      </c>
    </row>
    <row r="1435">
      <c r="M1435">
        <f>IF(A1435="","", _xludf.WEEKNUM(A1435, 2))</f>
        <v/>
      </c>
    </row>
    <row r="1436">
      <c r="M1436">
        <f>IF(A1436="","", _xludf.WEEKNUM(A1436, 2))</f>
        <v/>
      </c>
    </row>
    <row r="1437">
      <c r="M1437">
        <f>IF(A1437="","", _xludf.WEEKNUM(A1437, 2))</f>
        <v/>
      </c>
    </row>
    <row r="1438">
      <c r="M1438">
        <f>IF(A1438="","", _xludf.WEEKNUM(A1438, 2))</f>
        <v/>
      </c>
    </row>
    <row r="1439">
      <c r="M1439">
        <f>IF(A1439="","", _xludf.WEEKNUM(A1439, 2))</f>
        <v/>
      </c>
    </row>
    <row r="1440">
      <c r="M1440">
        <f>IF(A1440="","", _xludf.WEEKNUM(A1440, 2))</f>
        <v/>
      </c>
    </row>
    <row r="1441">
      <c r="M1441">
        <f>IF(A1441="","", _xludf.WEEKNUM(A1441, 2))</f>
        <v/>
      </c>
    </row>
    <row r="1442">
      <c r="M1442">
        <f>IF(A1442="","", _xludf.WEEKNUM(A1442, 2))</f>
        <v/>
      </c>
    </row>
    <row r="1443">
      <c r="M1443">
        <f>IF(A1443="","", _xludf.WEEKNUM(A1443, 2))</f>
        <v/>
      </c>
    </row>
    <row r="1444">
      <c r="M1444">
        <f>IF(A1444="","", _xludf.WEEKNUM(A1444, 2))</f>
        <v/>
      </c>
    </row>
    <row r="1445">
      <c r="M1445">
        <f>IF(A1445="","", _xludf.WEEKNUM(A1445, 2))</f>
        <v/>
      </c>
    </row>
    <row r="1446">
      <c r="M1446">
        <f>IF(A1446="","", _xludf.WEEKNUM(A1446, 2))</f>
        <v/>
      </c>
    </row>
    <row r="1447">
      <c r="M1447">
        <f>IF(A1447="","", _xludf.WEEKNUM(A1447, 2))</f>
        <v/>
      </c>
    </row>
    <row r="1448">
      <c r="M1448">
        <f>IF(A1448="","", _xludf.WEEKNUM(A1448, 2))</f>
        <v/>
      </c>
    </row>
    <row r="1449">
      <c r="M1449">
        <f>IF(A1449="","", _xludf.WEEKNUM(A1449, 2))</f>
        <v/>
      </c>
    </row>
    <row r="1450">
      <c r="M1450">
        <f>IF(A1450="","", _xludf.WEEKNUM(A1450, 2))</f>
        <v/>
      </c>
    </row>
    <row r="1451">
      <c r="M1451">
        <f>IF(A1451="","", _xludf.WEEKNUM(A1451, 2))</f>
        <v/>
      </c>
    </row>
    <row r="1452">
      <c r="M1452">
        <f>IF(A1452="","", _xludf.WEEKNUM(A1452, 2))</f>
        <v/>
      </c>
    </row>
    <row r="1453">
      <c r="M1453">
        <f>IF(A1453="","", _xludf.WEEKNUM(A1453, 2))</f>
        <v/>
      </c>
    </row>
    <row r="1454">
      <c r="M1454">
        <f>IF(A1454="","", _xludf.WEEKNUM(A1454, 2))</f>
        <v/>
      </c>
    </row>
    <row r="1455">
      <c r="M1455">
        <f>IF(A1455="","", _xludf.WEEKNUM(A1455, 2))</f>
        <v/>
      </c>
    </row>
    <row r="1456">
      <c r="M1456">
        <f>IF(A1456="","", _xludf.WEEKNUM(A1456, 2))</f>
        <v/>
      </c>
    </row>
    <row r="1457">
      <c r="M1457">
        <f>IF(A1457="","", _xludf.WEEKNUM(A1457, 2))</f>
        <v/>
      </c>
    </row>
    <row r="1458">
      <c r="M1458">
        <f>IF(A1458="","", _xludf.WEEKNUM(A1458, 2))</f>
        <v/>
      </c>
    </row>
    <row r="1459">
      <c r="M1459">
        <f>IF(A1459="","", _xludf.WEEKNUM(A1459, 2))</f>
        <v/>
      </c>
    </row>
    <row r="1460">
      <c r="M1460">
        <f>IF(A1460="","", _xludf.WEEKNUM(A1460, 2))</f>
        <v/>
      </c>
    </row>
    <row r="1461">
      <c r="M1461">
        <f>IF(A1461="","", _xludf.WEEKNUM(A1461, 2))</f>
        <v/>
      </c>
    </row>
    <row r="1462">
      <c r="M1462">
        <f>IF(A1462="","", _xludf.WEEKNUM(A1462, 2))</f>
        <v/>
      </c>
    </row>
    <row r="1463">
      <c r="M1463">
        <f>IF(A1463="","", _xludf.WEEKNUM(A1463, 2))</f>
        <v/>
      </c>
    </row>
    <row r="1464">
      <c r="M1464">
        <f>IF(A1464="","", _xludf.WEEKNUM(A1464, 2))</f>
        <v/>
      </c>
    </row>
    <row r="1465">
      <c r="M1465">
        <f>IF(A1465="","", _xludf.WEEKNUM(A1465, 2))</f>
        <v/>
      </c>
    </row>
    <row r="1466">
      <c r="M1466">
        <f>IF(A1466="","", _xludf.WEEKNUM(A1466, 2))</f>
        <v/>
      </c>
    </row>
    <row r="1467">
      <c r="M1467">
        <f>IF(A1467="","", _xludf.WEEKNUM(A1467, 2))</f>
        <v/>
      </c>
    </row>
    <row r="1468">
      <c r="M1468">
        <f>IF(A1468="","", _xludf.WEEKNUM(A1468, 2))</f>
        <v/>
      </c>
    </row>
    <row r="1469">
      <c r="M1469">
        <f>IF(A1469="","", _xludf.WEEKNUM(A1469, 2))</f>
        <v/>
      </c>
    </row>
    <row r="1470">
      <c r="M1470">
        <f>IF(A1470="","", _xludf.WEEKNUM(A1470, 2))</f>
        <v/>
      </c>
    </row>
    <row r="1471">
      <c r="M1471">
        <f>IF(A1471="","", _xludf.WEEKNUM(A1471, 2))</f>
        <v/>
      </c>
    </row>
    <row r="1472">
      <c r="M1472">
        <f>IF(A1472="","", _xludf.WEEKNUM(A1472, 2))</f>
        <v/>
      </c>
    </row>
    <row r="1473">
      <c r="M1473">
        <f>IF(A1473="","", _xludf.WEEKNUM(A1473, 2))</f>
        <v/>
      </c>
    </row>
    <row r="1474">
      <c r="M1474">
        <f>IF(A1474="","", _xludf.WEEKNUM(A1474, 2))</f>
        <v/>
      </c>
    </row>
    <row r="1475">
      <c r="M1475">
        <f>IF(A1475="","", _xludf.WEEKNUM(A1475, 2))</f>
        <v/>
      </c>
    </row>
    <row r="1476">
      <c r="M1476">
        <f>IF(A1476="","", _xludf.WEEKNUM(A1476, 2))</f>
        <v/>
      </c>
    </row>
    <row r="1477">
      <c r="M1477">
        <f>IF(A1477="","", _xludf.WEEKNUM(A1477, 2))</f>
        <v/>
      </c>
    </row>
    <row r="1478">
      <c r="M1478">
        <f>IF(A1478="","", _xludf.WEEKNUM(A1478, 2))</f>
        <v/>
      </c>
    </row>
    <row r="1479">
      <c r="M1479">
        <f>IF(A1479="","", _xludf.WEEKNUM(A1479, 2))</f>
        <v/>
      </c>
    </row>
    <row r="1480">
      <c r="M1480">
        <f>IF(A1480="","", _xludf.WEEKNUM(A1480, 2))</f>
        <v/>
      </c>
    </row>
    <row r="1481">
      <c r="M1481">
        <f>IF(A1481="","", _xludf.WEEKNUM(A1481, 2))</f>
        <v/>
      </c>
    </row>
    <row r="1482">
      <c r="M1482">
        <f>IF(A1482="","", _xludf.WEEKNUM(A1482, 2))</f>
        <v/>
      </c>
    </row>
    <row r="1483">
      <c r="M1483">
        <f>IF(A1483="","", _xludf.WEEKNUM(A1483, 2))</f>
        <v/>
      </c>
    </row>
    <row r="1484">
      <c r="M1484">
        <f>IF(A1484="","", _xludf.WEEKNUM(A1484, 2))</f>
        <v/>
      </c>
    </row>
    <row r="1485">
      <c r="M1485">
        <f>IF(A1485="","", _xludf.WEEKNUM(A1485, 2))</f>
        <v/>
      </c>
    </row>
    <row r="1486">
      <c r="M1486">
        <f>IF(A1486="","", _xludf.WEEKNUM(A1486, 2))</f>
        <v/>
      </c>
    </row>
    <row r="1487">
      <c r="M1487">
        <f>IF(A1487="","", _xludf.WEEKNUM(A1487, 2))</f>
        <v/>
      </c>
    </row>
    <row r="1488">
      <c r="M1488">
        <f>IF(A1488="","", _xludf.WEEKNUM(A1488, 2))</f>
        <v/>
      </c>
    </row>
    <row r="1489">
      <c r="M1489">
        <f>IF(A1489="","", _xludf.WEEKNUM(A1489, 2))</f>
        <v/>
      </c>
    </row>
    <row r="1490">
      <c r="M1490">
        <f>IF(A1490="","", _xludf.WEEKNUM(A1490, 2))</f>
        <v/>
      </c>
    </row>
    <row r="1491">
      <c r="M1491">
        <f>IF(A1491="","", _xludf.WEEKNUM(A1491, 2))</f>
        <v/>
      </c>
    </row>
    <row r="1492">
      <c r="M1492">
        <f>IF(A1492="","", _xludf.WEEKNUM(A1492, 2))</f>
        <v/>
      </c>
    </row>
    <row r="1493">
      <c r="M1493">
        <f>IF(A1493="","", _xludf.WEEKNUM(A1493, 2))</f>
        <v/>
      </c>
    </row>
    <row r="1494">
      <c r="M1494">
        <f>IF(A1494="","", _xludf.WEEKNUM(A1494, 2))</f>
        <v/>
      </c>
    </row>
    <row r="1495">
      <c r="M1495">
        <f>IF(A1495="","", _xludf.WEEKNUM(A1495, 2))</f>
        <v/>
      </c>
    </row>
    <row r="1496">
      <c r="M1496">
        <f>IF(A1496="","", _xludf.WEEKNUM(A1496, 2))</f>
        <v/>
      </c>
    </row>
    <row r="1497">
      <c r="M1497">
        <f>IF(A1497="","", _xludf.WEEKNUM(A1497, 2))</f>
        <v/>
      </c>
    </row>
    <row r="1498">
      <c r="M1498">
        <f>IF(A1498="","", _xludf.WEEKNUM(A1498, 2))</f>
        <v/>
      </c>
    </row>
    <row r="1499">
      <c r="M1499">
        <f>IF(A1499="","", _xludf.WEEKNUM(A1499, 2))</f>
        <v/>
      </c>
    </row>
    <row r="1500">
      <c r="M1500">
        <f>IF(A1500="","", _xludf.WEEKNUM(A1500, 2))</f>
        <v/>
      </c>
    </row>
    <row r="1501">
      <c r="M1501">
        <f>IF(A1501="","", _xludf.WEEKNUM(A1501, 2))</f>
        <v/>
      </c>
    </row>
    <row r="1502">
      <c r="M1502">
        <f>IF(A1502="","", _xludf.WEEKNUM(A1502, 2))</f>
        <v/>
      </c>
    </row>
    <row r="1503">
      <c r="M1503">
        <f>IF(A1503="","", _xludf.WEEKNUM(A1503, 2))</f>
        <v/>
      </c>
    </row>
    <row r="1504">
      <c r="M1504">
        <f>IF(A1504="","", _xludf.WEEKNUM(A1504, 2))</f>
        <v/>
      </c>
    </row>
    <row r="1505">
      <c r="M1505">
        <f>IF(A1505="","", _xludf.WEEKNUM(A1505, 2))</f>
        <v/>
      </c>
    </row>
    <row r="1506">
      <c r="M1506">
        <f>IF(A1506="","", _xludf.WEEKNUM(A1506, 2))</f>
        <v/>
      </c>
    </row>
    <row r="1507">
      <c r="M1507">
        <f>IF(A1507="","", _xludf.WEEKNUM(A1507, 2))</f>
        <v/>
      </c>
    </row>
    <row r="1508">
      <c r="M1508">
        <f>IF(A1508="","", _xludf.WEEKNUM(A1508, 2))</f>
        <v/>
      </c>
    </row>
    <row r="1509">
      <c r="M1509">
        <f>IF(A1509="","", _xludf.WEEKNUM(A1509, 2))</f>
        <v/>
      </c>
    </row>
    <row r="1510">
      <c r="M1510">
        <f>IF(A1510="","", _xludf.WEEKNUM(A1510, 2))</f>
        <v/>
      </c>
    </row>
    <row r="1511">
      <c r="M1511">
        <f>IF(A1511="","", _xludf.WEEKNUM(A1511, 2))</f>
        <v/>
      </c>
    </row>
    <row r="1512">
      <c r="M1512">
        <f>IF(A1512="","", _xludf.WEEKNUM(A1512, 2))</f>
        <v/>
      </c>
    </row>
    <row r="1513">
      <c r="M1513">
        <f>IF(A1513="","", _xludf.WEEKNUM(A1513, 2))</f>
        <v/>
      </c>
    </row>
    <row r="1514">
      <c r="M1514">
        <f>IF(A1514="","", _xludf.WEEKNUM(A1514, 2))</f>
        <v/>
      </c>
    </row>
    <row r="1515">
      <c r="M1515">
        <f>IF(A1515="","", _xludf.WEEKNUM(A1515, 2))</f>
        <v/>
      </c>
    </row>
    <row r="1516">
      <c r="M1516">
        <f>IF(A1516="","", _xludf.WEEKNUM(A1516, 2))</f>
        <v/>
      </c>
    </row>
    <row r="1517">
      <c r="M1517">
        <f>IF(A1517="","", _xludf.WEEKNUM(A1517, 2))</f>
        <v/>
      </c>
    </row>
    <row r="1518">
      <c r="M1518">
        <f>IF(A1518="","", _xludf.WEEKNUM(A1518, 2))</f>
        <v/>
      </c>
    </row>
    <row r="1519">
      <c r="M1519">
        <f>IF(A1519="","", _xludf.WEEKNUM(A1519, 2))</f>
        <v/>
      </c>
    </row>
    <row r="1520">
      <c r="M1520">
        <f>IF(A1520="","", _xludf.WEEKNUM(A1520, 2))</f>
        <v/>
      </c>
    </row>
    <row r="1521">
      <c r="M1521">
        <f>IF(A1521="","", _xludf.WEEKNUM(A1521, 2))</f>
        <v/>
      </c>
    </row>
    <row r="1522">
      <c r="M1522">
        <f>IF(A1522="","", _xludf.WEEKNUM(A1522, 2))</f>
        <v/>
      </c>
    </row>
    <row r="1523">
      <c r="M1523">
        <f>IF(A1523="","", _xludf.WEEKNUM(A1523, 2))</f>
        <v/>
      </c>
    </row>
    <row r="1524">
      <c r="M1524">
        <f>IF(A1524="","", _xludf.WEEKNUM(A1524, 2))</f>
        <v/>
      </c>
    </row>
    <row r="1525">
      <c r="M1525">
        <f>IF(A1525="","", _xludf.WEEKNUM(A1525, 2))</f>
        <v/>
      </c>
    </row>
    <row r="1526">
      <c r="M1526">
        <f>IF(A1526="","", _xludf.WEEKNUM(A1526, 2))</f>
        <v/>
      </c>
    </row>
    <row r="1527">
      <c r="M1527">
        <f>IF(A1527="","", _xludf.WEEKNUM(A1527, 2))</f>
        <v/>
      </c>
    </row>
    <row r="1528">
      <c r="M1528">
        <f>IF(A1528="","", _xludf.WEEKNUM(A1528, 2))</f>
        <v/>
      </c>
    </row>
    <row r="1529">
      <c r="M1529">
        <f>IF(A1529="","", _xludf.WEEKNUM(A1529, 2))</f>
        <v/>
      </c>
    </row>
    <row r="1530">
      <c r="M1530">
        <f>IF(A1530="","", _xludf.WEEKNUM(A1530, 2))</f>
        <v/>
      </c>
    </row>
    <row r="1531">
      <c r="M1531">
        <f>IF(A1531="","", _xludf.WEEKNUM(A1531, 2))</f>
        <v/>
      </c>
    </row>
    <row r="1532">
      <c r="M1532">
        <f>IF(A1532="","", _xludf.WEEKNUM(A1532, 2))</f>
        <v/>
      </c>
    </row>
    <row r="1533">
      <c r="M1533">
        <f>IF(A1533="","", _xludf.WEEKNUM(A1533, 2))</f>
        <v/>
      </c>
    </row>
    <row r="1534">
      <c r="M1534">
        <f>IF(A1534="","", _xludf.WEEKNUM(A1534, 2))</f>
        <v/>
      </c>
    </row>
    <row r="1535">
      <c r="M1535">
        <f>IF(A1535="","", _xludf.WEEKNUM(A1535, 2))</f>
        <v/>
      </c>
    </row>
    <row r="1536">
      <c r="M1536">
        <f>IF(A1536="","", _xludf.WEEKNUM(A1536, 2))</f>
        <v/>
      </c>
    </row>
    <row r="1537">
      <c r="M1537">
        <f>IF(A1537="","", _xludf.WEEKNUM(A1537, 2))</f>
        <v/>
      </c>
    </row>
    <row r="1538">
      <c r="M1538">
        <f>IF(A1538="","", _xludf.WEEKNUM(A1538, 2))</f>
        <v/>
      </c>
    </row>
    <row r="1539">
      <c r="M1539">
        <f>IF(A1539="","", _xludf.WEEKNUM(A1539, 2))</f>
        <v/>
      </c>
    </row>
    <row r="1540">
      <c r="M1540">
        <f>IF(A1540="","", _xludf.WEEKNUM(A1540, 2))</f>
        <v/>
      </c>
    </row>
    <row r="1541">
      <c r="M1541">
        <f>IF(A1541="","", _xludf.WEEKNUM(A1541, 2))</f>
        <v/>
      </c>
    </row>
    <row r="1542">
      <c r="M1542">
        <f>IF(A1542="","", _xludf.WEEKNUM(A1542, 2))</f>
        <v/>
      </c>
    </row>
    <row r="1543">
      <c r="M1543">
        <f>IF(A1543="","", _xludf.WEEKNUM(A1543, 2))</f>
        <v/>
      </c>
    </row>
    <row r="1544">
      <c r="M1544">
        <f>IF(A1544="","", _xludf.WEEKNUM(A1544, 2))</f>
        <v/>
      </c>
    </row>
    <row r="1545">
      <c r="M1545">
        <f>IF(A1545="","", _xludf.WEEKNUM(A1545, 2))</f>
        <v/>
      </c>
    </row>
    <row r="1546">
      <c r="M1546">
        <f>IF(A1546="","", _xludf.WEEKNUM(A1546, 2))</f>
        <v/>
      </c>
    </row>
    <row r="1547">
      <c r="M1547">
        <f>IF(A1547="","", _xludf.WEEKNUM(A1547, 2))</f>
        <v/>
      </c>
    </row>
    <row r="1548">
      <c r="M1548">
        <f>IF(A1548="","", _xludf.WEEKNUM(A1548, 2))</f>
        <v/>
      </c>
    </row>
    <row r="1549">
      <c r="M1549">
        <f>IF(A1549="","", _xludf.WEEKNUM(A1549, 2))</f>
        <v/>
      </c>
    </row>
    <row r="1550">
      <c r="M1550">
        <f>IF(A1550="","", _xludf.WEEKNUM(A1550, 2))</f>
        <v/>
      </c>
    </row>
    <row r="1551">
      <c r="M1551">
        <f>IF(A1551="","", _xludf.WEEKNUM(A1551, 2))</f>
        <v/>
      </c>
    </row>
    <row r="1552">
      <c r="M1552">
        <f>IF(A1552="","", _xludf.WEEKNUM(A1552, 2))</f>
        <v/>
      </c>
    </row>
    <row r="1553">
      <c r="M1553">
        <f>IF(A1553="","", _xludf.WEEKNUM(A1553, 2))</f>
        <v/>
      </c>
    </row>
    <row r="1554">
      <c r="M1554">
        <f>IF(A1554="","", _xludf.WEEKNUM(A1554, 2))</f>
        <v/>
      </c>
    </row>
    <row r="1555">
      <c r="M1555">
        <f>IF(A1555="","", _xludf.WEEKNUM(A1555, 2))</f>
        <v/>
      </c>
    </row>
    <row r="1556">
      <c r="M1556">
        <f>IF(A1556="","", _xludf.WEEKNUM(A1556, 2))</f>
        <v/>
      </c>
    </row>
    <row r="1557">
      <c r="M1557">
        <f>IF(A1557="","", _xludf.WEEKNUM(A1557, 2))</f>
        <v/>
      </c>
    </row>
    <row r="1558">
      <c r="M1558">
        <f>IF(A1558="","", _xludf.WEEKNUM(A1558, 2))</f>
        <v/>
      </c>
    </row>
    <row r="1559">
      <c r="M1559">
        <f>IF(A1559="","", _xludf.WEEKNUM(A1559, 2))</f>
        <v/>
      </c>
    </row>
    <row r="1560">
      <c r="M1560">
        <f>IF(A1560="","", _xludf.WEEKNUM(A1560, 2))</f>
        <v/>
      </c>
    </row>
    <row r="1561">
      <c r="M1561">
        <f>IF(A1561="","", _xludf.WEEKNUM(A1561, 2))</f>
        <v/>
      </c>
    </row>
    <row r="1562">
      <c r="M1562">
        <f>IF(A1562="","", _xludf.WEEKNUM(A1562, 2))</f>
        <v/>
      </c>
    </row>
    <row r="1563">
      <c r="M1563">
        <f>IF(A1563="","", _xludf.WEEKNUM(A1563, 2))</f>
        <v/>
      </c>
    </row>
    <row r="1564">
      <c r="M1564">
        <f>IF(A1564="","", _xludf.WEEKNUM(A1564, 2))</f>
        <v/>
      </c>
    </row>
    <row r="1565">
      <c r="M1565">
        <f>IF(A1565="","", _xludf.WEEKNUM(A1565, 2))</f>
        <v/>
      </c>
    </row>
    <row r="1566">
      <c r="M1566">
        <f>IF(A1566="","", _xludf.WEEKNUM(A1566, 2))</f>
        <v/>
      </c>
    </row>
    <row r="1567">
      <c r="M1567">
        <f>IF(A1567="","", _xludf.WEEKNUM(A1567, 2))</f>
        <v/>
      </c>
    </row>
    <row r="1568">
      <c r="M1568">
        <f>IF(A1568="","", _xludf.WEEKNUM(A1568, 2))</f>
        <v/>
      </c>
    </row>
    <row r="1569">
      <c r="M1569">
        <f>IF(A1569="","", _xludf.WEEKNUM(A1569, 2))</f>
        <v/>
      </c>
    </row>
    <row r="1570">
      <c r="M1570">
        <f>IF(A1570="","", _xludf.WEEKNUM(A1570, 2))</f>
        <v/>
      </c>
    </row>
    <row r="1571">
      <c r="M1571">
        <f>IF(A1571="","", _xludf.WEEKNUM(A1571, 2))</f>
        <v/>
      </c>
    </row>
    <row r="1572">
      <c r="M1572">
        <f>IF(A1572="","", _xludf.WEEKNUM(A1572, 2))</f>
        <v/>
      </c>
    </row>
    <row r="1573">
      <c r="M1573">
        <f>IF(A1573="","", _xludf.WEEKNUM(A1573, 2))</f>
        <v/>
      </c>
    </row>
    <row r="1574">
      <c r="M1574">
        <f>IF(A1574="","", _xludf.WEEKNUM(A1574, 2))</f>
        <v/>
      </c>
    </row>
    <row r="1575">
      <c r="M1575">
        <f>IF(A1575="","", _xludf.WEEKNUM(A1575, 2))</f>
        <v/>
      </c>
    </row>
    <row r="1576">
      <c r="M1576">
        <f>IF(A1576="","", _xludf.WEEKNUM(A1576, 2))</f>
        <v/>
      </c>
    </row>
    <row r="1577">
      <c r="M1577">
        <f>IF(A1577="","", _xludf.WEEKNUM(A1577, 2))</f>
        <v/>
      </c>
    </row>
    <row r="1578">
      <c r="M1578">
        <f>IF(A1578="","", _xludf.WEEKNUM(A1578, 2))</f>
        <v/>
      </c>
    </row>
    <row r="1579">
      <c r="M1579">
        <f>IF(A1579="","", _xludf.WEEKNUM(A1579, 2))</f>
        <v/>
      </c>
    </row>
    <row r="1580">
      <c r="M1580">
        <f>IF(A1580="","", _xludf.WEEKNUM(A1580, 2))</f>
        <v/>
      </c>
    </row>
    <row r="1581">
      <c r="M1581">
        <f>IF(A1581="","", _xludf.WEEKNUM(A1581, 2))</f>
        <v/>
      </c>
    </row>
    <row r="1582">
      <c r="M1582">
        <f>IF(A1582="","", _xludf.WEEKNUM(A1582, 2))</f>
        <v/>
      </c>
    </row>
    <row r="1583">
      <c r="M1583">
        <f>IF(A1583="","", _xludf.WEEKNUM(A1583, 2))</f>
        <v/>
      </c>
    </row>
    <row r="1584">
      <c r="M1584">
        <f>IF(A1584="","", _xludf.WEEKNUM(A1584, 2))</f>
        <v/>
      </c>
    </row>
    <row r="1585">
      <c r="M1585">
        <f>IF(A1585="","", _xludf.WEEKNUM(A1585, 2))</f>
        <v/>
      </c>
    </row>
    <row r="1586">
      <c r="M1586">
        <f>IF(A1586="","", _xludf.WEEKNUM(A1586, 2))</f>
        <v/>
      </c>
    </row>
    <row r="1587">
      <c r="M1587">
        <f>IF(A1587="","", _xludf.WEEKNUM(A1587, 2))</f>
        <v/>
      </c>
    </row>
    <row r="1588">
      <c r="M1588">
        <f>IF(A1588="","", _xludf.WEEKNUM(A1588, 2))</f>
        <v/>
      </c>
    </row>
    <row r="1589">
      <c r="M1589">
        <f>IF(A1589="","", _xludf.WEEKNUM(A1589, 2))</f>
        <v/>
      </c>
    </row>
    <row r="1590">
      <c r="M1590">
        <f>IF(A1590="","", _xludf.WEEKNUM(A1590, 2))</f>
        <v/>
      </c>
    </row>
    <row r="1591">
      <c r="M1591">
        <f>IF(A1591="","", _xludf.WEEKNUM(A1591, 2))</f>
        <v/>
      </c>
    </row>
    <row r="1592">
      <c r="M1592">
        <f>IF(A1592="","", _xludf.WEEKNUM(A1592, 2))</f>
        <v/>
      </c>
    </row>
    <row r="1593">
      <c r="M1593">
        <f>IF(A1593="","", _xludf.WEEKNUM(A1593, 2))</f>
        <v/>
      </c>
    </row>
    <row r="1594">
      <c r="M1594">
        <f>IF(A1594="","", _xludf.WEEKNUM(A1594, 2))</f>
        <v/>
      </c>
    </row>
    <row r="1595">
      <c r="M1595">
        <f>IF(A1595="","", _xludf.WEEKNUM(A1595, 2))</f>
        <v/>
      </c>
    </row>
    <row r="1596">
      <c r="M1596">
        <f>IF(A1596="","", _xludf.WEEKNUM(A1596, 2))</f>
        <v/>
      </c>
    </row>
    <row r="1597">
      <c r="M1597">
        <f>IF(A1597="","", _xludf.WEEKNUM(A1597, 2))</f>
        <v/>
      </c>
    </row>
    <row r="1598">
      <c r="M1598">
        <f>IF(A1598="","", _xludf.WEEKNUM(A1598, 2))</f>
        <v/>
      </c>
    </row>
    <row r="1599">
      <c r="M1599">
        <f>IF(A1599="","", _xludf.WEEKNUM(A1599, 2))</f>
        <v/>
      </c>
    </row>
    <row r="1600">
      <c r="M1600">
        <f>IF(A1600="","", _xludf.WEEKNUM(A1600, 2))</f>
        <v/>
      </c>
    </row>
    <row r="1601">
      <c r="M1601">
        <f>IF(A1601="","", _xludf.WEEKNUM(A1601, 2))</f>
        <v/>
      </c>
    </row>
    <row r="1602">
      <c r="M1602">
        <f>IF(A1602="","", _xludf.WEEKNUM(A1602, 2))</f>
        <v/>
      </c>
    </row>
    <row r="1603">
      <c r="M1603">
        <f>IF(A1603="","", _xludf.WEEKNUM(A1603, 2))</f>
        <v/>
      </c>
    </row>
    <row r="1604">
      <c r="M1604">
        <f>IF(A1604="","", _xludf.WEEKNUM(A1604, 2))</f>
        <v/>
      </c>
    </row>
    <row r="1605">
      <c r="M1605">
        <f>IF(A1605="","", _xludf.WEEKNUM(A1605, 2))</f>
        <v/>
      </c>
    </row>
    <row r="1606">
      <c r="M1606">
        <f>IF(A1606="","", _xludf.WEEKNUM(A1606, 2))</f>
        <v/>
      </c>
    </row>
    <row r="1607">
      <c r="M1607">
        <f>IF(A1607="","", _xludf.WEEKNUM(A1607, 2))</f>
        <v/>
      </c>
    </row>
    <row r="1608">
      <c r="M1608">
        <f>IF(A1608="","", _xludf.WEEKNUM(A1608, 2))</f>
        <v/>
      </c>
    </row>
    <row r="1609">
      <c r="M1609">
        <f>IF(A1609="","", _xludf.WEEKNUM(A1609, 2))</f>
        <v/>
      </c>
    </row>
    <row r="1610">
      <c r="M1610">
        <f>IF(A1610="","", _xludf.WEEKNUM(A1610, 2))</f>
        <v/>
      </c>
    </row>
    <row r="1611">
      <c r="M1611">
        <f>IF(A1611="","", _xludf.WEEKNUM(A1611, 2))</f>
        <v/>
      </c>
    </row>
    <row r="1612">
      <c r="M1612">
        <f>IF(A1612="","", _xludf.WEEKNUM(A1612, 2))</f>
        <v/>
      </c>
    </row>
    <row r="1613">
      <c r="M1613">
        <f>IF(A1613="","", _xludf.WEEKNUM(A1613, 2))</f>
        <v/>
      </c>
    </row>
    <row r="1614">
      <c r="M1614">
        <f>IF(A1614="","", _xludf.WEEKNUM(A1614, 2))</f>
        <v/>
      </c>
    </row>
    <row r="1615">
      <c r="M1615">
        <f>IF(A1615="","", _xludf.WEEKNUM(A1615, 2))</f>
        <v/>
      </c>
    </row>
    <row r="1616">
      <c r="M1616">
        <f>IF(A1616="","", _xludf.WEEKNUM(A1616, 2))</f>
        <v/>
      </c>
    </row>
    <row r="1617">
      <c r="M1617">
        <f>IF(A1617="","", _xludf.WEEKNUM(A1617, 2))</f>
        <v/>
      </c>
    </row>
    <row r="1618">
      <c r="M1618">
        <f>IF(A1618="","", _xludf.WEEKNUM(A1618, 2))</f>
        <v/>
      </c>
    </row>
    <row r="1619">
      <c r="M1619">
        <f>IF(A1619="","", _xludf.WEEKNUM(A1619, 2))</f>
        <v/>
      </c>
    </row>
    <row r="1620">
      <c r="M1620">
        <f>IF(A1620="","", _xludf.WEEKNUM(A1620, 2))</f>
        <v/>
      </c>
    </row>
    <row r="1621">
      <c r="M1621">
        <f>IF(A1621="","", _xludf.WEEKNUM(A1621, 2))</f>
        <v/>
      </c>
    </row>
    <row r="1622">
      <c r="M1622">
        <f>IF(A1622="","", _xludf.WEEKNUM(A1622, 2))</f>
        <v/>
      </c>
    </row>
    <row r="1623">
      <c r="M1623">
        <f>IF(A1623="","", _xludf.WEEKNUM(A1623, 2))</f>
        <v/>
      </c>
    </row>
    <row r="1624">
      <c r="M1624">
        <f>IF(A1624="","", _xludf.WEEKNUM(A1624, 2))</f>
        <v/>
      </c>
    </row>
    <row r="1625">
      <c r="M1625">
        <f>IF(A1625="","", _xludf.WEEKNUM(A1625, 2))</f>
        <v/>
      </c>
    </row>
    <row r="1626">
      <c r="M1626">
        <f>IF(A1626="","", _xludf.WEEKNUM(A1626, 2))</f>
        <v/>
      </c>
    </row>
    <row r="1627">
      <c r="M1627">
        <f>IF(A1627="","", _xludf.WEEKNUM(A1627, 2))</f>
        <v/>
      </c>
    </row>
    <row r="1628">
      <c r="M1628">
        <f>IF(A1628="","", _xludf.WEEKNUM(A1628, 2))</f>
        <v/>
      </c>
    </row>
    <row r="1629">
      <c r="M1629">
        <f>IF(A1629="","", _xludf.WEEKNUM(A1629, 2))</f>
        <v/>
      </c>
    </row>
    <row r="1630">
      <c r="M1630">
        <f>IF(A1630="","", _xludf.WEEKNUM(A1630, 2))</f>
        <v/>
      </c>
    </row>
    <row r="1631">
      <c r="M1631">
        <f>IF(A1631="","", _xludf.WEEKNUM(A1631, 2))</f>
        <v/>
      </c>
    </row>
    <row r="1632">
      <c r="M1632">
        <f>IF(A1632="","", _xludf.WEEKNUM(A1632, 2))</f>
        <v/>
      </c>
    </row>
    <row r="1633">
      <c r="M1633">
        <f>IF(A1633="","", _xludf.WEEKNUM(A1633, 2))</f>
        <v/>
      </c>
    </row>
    <row r="1634">
      <c r="M1634">
        <f>IF(A1634="","", _xludf.WEEKNUM(A1634, 2))</f>
        <v/>
      </c>
    </row>
    <row r="1635">
      <c r="M1635">
        <f>IF(A1635="","", _xludf.WEEKNUM(A1635, 2))</f>
        <v/>
      </c>
    </row>
    <row r="1636">
      <c r="M1636">
        <f>IF(A1636="","", _xludf.WEEKNUM(A1636, 2))</f>
        <v/>
      </c>
    </row>
    <row r="1637">
      <c r="M1637">
        <f>IF(A1637="","", _xludf.WEEKNUM(A1637, 2))</f>
        <v/>
      </c>
    </row>
    <row r="1638">
      <c r="M1638">
        <f>IF(A1638="","", _xludf.WEEKNUM(A1638, 2))</f>
        <v/>
      </c>
    </row>
    <row r="1639">
      <c r="M1639">
        <f>IF(A1639="","", _xludf.WEEKNUM(A1639, 2))</f>
        <v/>
      </c>
    </row>
    <row r="1640">
      <c r="M1640">
        <f>IF(A1640="","", _xludf.WEEKNUM(A1640, 2))</f>
        <v/>
      </c>
    </row>
    <row r="1641">
      <c r="M1641">
        <f>IF(A1641="","", _xludf.WEEKNUM(A1641, 2))</f>
        <v/>
      </c>
    </row>
    <row r="1642">
      <c r="M1642">
        <f>IF(A1642="","", _xludf.WEEKNUM(A1642, 2))</f>
        <v/>
      </c>
    </row>
    <row r="1643">
      <c r="M1643">
        <f>IF(A1643="","", _xludf.WEEKNUM(A1643, 2))</f>
        <v/>
      </c>
    </row>
    <row r="1644">
      <c r="M1644">
        <f>IF(A1644="","", _xludf.WEEKNUM(A1644, 2))</f>
        <v/>
      </c>
    </row>
    <row r="1645">
      <c r="M1645">
        <f>IF(A1645="","", _xludf.WEEKNUM(A1645, 2))</f>
        <v/>
      </c>
    </row>
    <row r="1646">
      <c r="M1646">
        <f>IF(A1646="","", _xludf.WEEKNUM(A1646, 2))</f>
        <v/>
      </c>
    </row>
    <row r="1647">
      <c r="M1647">
        <f>IF(A1647="","", _xludf.WEEKNUM(A1647, 2))</f>
        <v/>
      </c>
    </row>
    <row r="1648">
      <c r="M1648">
        <f>IF(A1648="","", _xludf.WEEKNUM(A1648, 2))</f>
        <v/>
      </c>
    </row>
    <row r="1649">
      <c r="M1649">
        <f>IF(A1649="","", _xludf.WEEKNUM(A1649, 2))</f>
        <v/>
      </c>
    </row>
    <row r="1650">
      <c r="M1650">
        <f>IF(A1650="","", _xludf.WEEKNUM(A1650, 2))</f>
        <v/>
      </c>
    </row>
    <row r="1651">
      <c r="M1651">
        <f>IF(A1651="","", _xludf.WEEKNUM(A1651, 2))</f>
        <v/>
      </c>
    </row>
    <row r="1652">
      <c r="M1652">
        <f>IF(A1652="","", _xludf.WEEKNUM(A1652, 2))</f>
        <v/>
      </c>
    </row>
    <row r="1653">
      <c r="M1653">
        <f>IF(A1653="","", _xludf.WEEKNUM(A1653, 2))</f>
        <v/>
      </c>
    </row>
    <row r="1654">
      <c r="M1654">
        <f>IF(A1654="","", _xludf.WEEKNUM(A1654, 2))</f>
        <v/>
      </c>
    </row>
    <row r="1655">
      <c r="M1655">
        <f>IF(A1655="","", _xludf.WEEKNUM(A1655, 2))</f>
        <v/>
      </c>
    </row>
    <row r="1656">
      <c r="M1656">
        <f>IF(A1656="","", _xludf.WEEKNUM(A1656, 2))</f>
        <v/>
      </c>
    </row>
    <row r="1657">
      <c r="M1657">
        <f>IF(A1657="","", _xludf.WEEKNUM(A1657, 2))</f>
        <v/>
      </c>
    </row>
    <row r="1658">
      <c r="M1658">
        <f>IF(A1658="","", _xludf.WEEKNUM(A1658, 2))</f>
        <v/>
      </c>
    </row>
    <row r="1659">
      <c r="M1659">
        <f>IF(A1659="","", _xludf.WEEKNUM(A1659, 2))</f>
        <v/>
      </c>
    </row>
    <row r="1660">
      <c r="M1660">
        <f>IF(A1660="","", _xludf.WEEKNUM(A1660, 2))</f>
        <v/>
      </c>
    </row>
    <row r="1661">
      <c r="M1661">
        <f>IF(A1661="","", _xludf.WEEKNUM(A1661, 2))</f>
        <v/>
      </c>
    </row>
    <row r="1662">
      <c r="M1662">
        <f>IF(A1662="","", _xludf.WEEKNUM(A1662, 2))</f>
        <v/>
      </c>
    </row>
    <row r="1663">
      <c r="M1663">
        <f>IF(A1663="","", _xludf.WEEKNUM(A1663, 2))</f>
        <v/>
      </c>
    </row>
    <row r="1664">
      <c r="M1664">
        <f>IF(A1664="","", _xludf.WEEKNUM(A1664, 2))</f>
        <v/>
      </c>
    </row>
    <row r="1665">
      <c r="M1665">
        <f>IF(A1665="","", _xludf.WEEKNUM(A1665, 2))</f>
        <v/>
      </c>
    </row>
    <row r="1666">
      <c r="M1666">
        <f>IF(A1666="","", _xludf.WEEKNUM(A1666, 2))</f>
        <v/>
      </c>
    </row>
    <row r="1667">
      <c r="M1667">
        <f>IF(A1667="","", _xludf.WEEKNUM(A1667, 2))</f>
        <v/>
      </c>
    </row>
    <row r="1668">
      <c r="M1668">
        <f>IF(A1668="","", _xludf.WEEKNUM(A1668, 2))</f>
        <v/>
      </c>
    </row>
    <row r="1669">
      <c r="M1669">
        <f>IF(A1669="","", _xludf.WEEKNUM(A1669, 2))</f>
        <v/>
      </c>
    </row>
    <row r="1670">
      <c r="M1670">
        <f>IF(A1670="","", _xludf.WEEKNUM(A1670, 2))</f>
        <v/>
      </c>
    </row>
    <row r="1671">
      <c r="M1671">
        <f>IF(A1671="","", _xludf.WEEKNUM(A1671, 2))</f>
        <v/>
      </c>
    </row>
    <row r="1672">
      <c r="M1672">
        <f>IF(A1672="","", _xludf.WEEKNUM(A1672, 2))</f>
        <v/>
      </c>
    </row>
    <row r="1673">
      <c r="M1673">
        <f>IF(A1673="","", _xludf.WEEKNUM(A1673, 2))</f>
        <v/>
      </c>
    </row>
    <row r="1674">
      <c r="M1674">
        <f>IF(A1674="","", _xludf.WEEKNUM(A1674, 2))</f>
        <v/>
      </c>
    </row>
    <row r="1675">
      <c r="M1675">
        <f>IF(A1675="","", _xludf.WEEKNUM(A1675, 2))</f>
        <v/>
      </c>
    </row>
    <row r="1676">
      <c r="M1676">
        <f>IF(A1676="","", _xludf.WEEKNUM(A1676, 2))</f>
        <v/>
      </c>
    </row>
    <row r="1677">
      <c r="M1677">
        <f>IF(A1677="","", _xludf.WEEKNUM(A1677, 2))</f>
        <v/>
      </c>
    </row>
    <row r="1678">
      <c r="M1678">
        <f>IF(A1678="","", _xludf.WEEKNUM(A1678, 2))</f>
        <v/>
      </c>
    </row>
    <row r="1679">
      <c r="M1679">
        <f>IF(A1679="","", _xludf.WEEKNUM(A1679, 2))</f>
        <v/>
      </c>
    </row>
    <row r="1680">
      <c r="M1680">
        <f>IF(A1680="","", _xludf.WEEKNUM(A1680, 2))</f>
        <v/>
      </c>
    </row>
    <row r="1681">
      <c r="M1681">
        <f>IF(A1681="","", _xludf.WEEKNUM(A1681, 2))</f>
        <v/>
      </c>
    </row>
    <row r="1682">
      <c r="M1682">
        <f>IF(A1682="","", _xludf.WEEKNUM(A1682, 2))</f>
        <v/>
      </c>
    </row>
    <row r="1683">
      <c r="M1683">
        <f>IF(A1683="","", _xludf.WEEKNUM(A1683, 2))</f>
        <v/>
      </c>
    </row>
    <row r="1684">
      <c r="M1684">
        <f>IF(A1684="","", _xludf.WEEKNUM(A1684, 2))</f>
        <v/>
      </c>
    </row>
    <row r="1685">
      <c r="M1685">
        <f>IF(A1685="","", _xludf.WEEKNUM(A1685, 2))</f>
        <v/>
      </c>
    </row>
    <row r="1686">
      <c r="M1686">
        <f>IF(A1686="","", _xludf.WEEKNUM(A1686, 2))</f>
        <v/>
      </c>
    </row>
    <row r="1687">
      <c r="M1687">
        <f>IF(A1687="","", _xludf.WEEKNUM(A1687, 2))</f>
        <v/>
      </c>
    </row>
    <row r="1688">
      <c r="M1688">
        <f>IF(A1688="","", _xludf.WEEKNUM(A1688, 2))</f>
        <v/>
      </c>
    </row>
    <row r="1689">
      <c r="M1689">
        <f>IF(A1689="","", _xludf.WEEKNUM(A1689, 2))</f>
        <v/>
      </c>
    </row>
    <row r="1690">
      <c r="M1690">
        <f>IF(A1690="","", _xludf.WEEKNUM(A1690, 2))</f>
        <v/>
      </c>
    </row>
    <row r="1691">
      <c r="M1691">
        <f>IF(A1691="","", _xludf.WEEKNUM(A1691, 2))</f>
        <v/>
      </c>
    </row>
    <row r="1692">
      <c r="M1692">
        <f>IF(A1692="","", _xludf.WEEKNUM(A1692, 2))</f>
        <v/>
      </c>
    </row>
    <row r="1693">
      <c r="M1693">
        <f>IF(A1693="","", _xludf.WEEKNUM(A1693, 2))</f>
        <v/>
      </c>
    </row>
    <row r="1694">
      <c r="M1694">
        <f>IF(A1694="","", _xludf.WEEKNUM(A1694, 2))</f>
        <v/>
      </c>
    </row>
    <row r="1695">
      <c r="M1695">
        <f>IF(A1695="","", _xludf.WEEKNUM(A1695, 2))</f>
        <v/>
      </c>
    </row>
    <row r="1696">
      <c r="M1696">
        <f>IF(A1696="","", _xludf.WEEKNUM(A1696, 2))</f>
        <v/>
      </c>
    </row>
    <row r="1697">
      <c r="M1697">
        <f>IF(A1697="","", _xludf.WEEKNUM(A1697, 2))</f>
        <v/>
      </c>
    </row>
    <row r="1698">
      <c r="M1698">
        <f>IF(A1698="","", _xludf.WEEKNUM(A1698, 2))</f>
        <v/>
      </c>
    </row>
    <row r="1699">
      <c r="M1699">
        <f>IF(A1699="","", _xludf.WEEKNUM(A1699, 2))</f>
        <v/>
      </c>
    </row>
    <row r="1700">
      <c r="M1700">
        <f>IF(A1700="","", _xludf.WEEKNUM(A1700, 2))</f>
        <v/>
      </c>
    </row>
    <row r="1701">
      <c r="M1701">
        <f>IF(A1701="","", _xludf.WEEKNUM(A1701, 2))</f>
        <v/>
      </c>
    </row>
    <row r="1702">
      <c r="M1702">
        <f>IF(A1702="","", _xludf.WEEKNUM(A1702, 2))</f>
        <v/>
      </c>
    </row>
    <row r="1703">
      <c r="M1703">
        <f>IF(A1703="","", _xludf.WEEKNUM(A1703, 2))</f>
        <v/>
      </c>
    </row>
    <row r="1704">
      <c r="M1704">
        <f>IF(A1704="","", _xludf.WEEKNUM(A1704, 2))</f>
        <v/>
      </c>
    </row>
    <row r="1705">
      <c r="M1705">
        <f>IF(A1705="","", _xludf.WEEKNUM(A1705, 2))</f>
        <v/>
      </c>
    </row>
    <row r="1706">
      <c r="M1706">
        <f>IF(A1706="","", _xludf.WEEKNUM(A1706, 2))</f>
        <v/>
      </c>
    </row>
    <row r="1707">
      <c r="M1707">
        <f>IF(A1707="","", _xludf.WEEKNUM(A1707, 2))</f>
        <v/>
      </c>
    </row>
    <row r="1708">
      <c r="M1708">
        <f>IF(A1708="","", _xludf.WEEKNUM(A1708, 2))</f>
        <v/>
      </c>
    </row>
    <row r="1709">
      <c r="M1709">
        <f>IF(A1709="","", _xludf.WEEKNUM(A1709, 2))</f>
        <v/>
      </c>
    </row>
    <row r="1710">
      <c r="M1710">
        <f>IF(A1710="","", _xludf.WEEKNUM(A1710, 2))</f>
        <v/>
      </c>
    </row>
    <row r="1711">
      <c r="M1711">
        <f>IF(A1711="","", _xludf.WEEKNUM(A1711, 2))</f>
        <v/>
      </c>
    </row>
    <row r="1712">
      <c r="M1712">
        <f>IF(A1712="","", _xludf.WEEKNUM(A1712, 2))</f>
        <v/>
      </c>
    </row>
    <row r="1713">
      <c r="M1713">
        <f>IF(A1713="","", _xludf.WEEKNUM(A1713, 2))</f>
        <v/>
      </c>
    </row>
    <row r="1714">
      <c r="M1714">
        <f>IF(A1714="","", _xludf.WEEKNUM(A1714, 2))</f>
        <v/>
      </c>
    </row>
    <row r="1715">
      <c r="M1715">
        <f>IF(A1715="","", _xludf.WEEKNUM(A1715, 2))</f>
        <v/>
      </c>
    </row>
    <row r="1716">
      <c r="M1716">
        <f>IF(A1716="","", _xludf.WEEKNUM(A1716, 2))</f>
        <v/>
      </c>
    </row>
    <row r="1717">
      <c r="M1717">
        <f>IF(A1717="","", _xludf.WEEKNUM(A1717, 2))</f>
        <v/>
      </c>
    </row>
    <row r="1718">
      <c r="M1718">
        <f>IF(A1718="","", _xludf.WEEKNUM(A1718, 2))</f>
        <v/>
      </c>
    </row>
    <row r="1719">
      <c r="M1719">
        <f>IF(A1719="","", _xludf.WEEKNUM(A1719, 2))</f>
        <v/>
      </c>
    </row>
    <row r="1720">
      <c r="M1720">
        <f>IF(A1720="","", _xludf.WEEKNUM(A1720, 2))</f>
        <v/>
      </c>
    </row>
    <row r="1721">
      <c r="M1721">
        <f>IF(A1721="","", _xludf.WEEKNUM(A1721, 2))</f>
        <v/>
      </c>
    </row>
    <row r="1722">
      <c r="M1722">
        <f>IF(A1722="","", _xludf.WEEKNUM(A1722, 2))</f>
        <v/>
      </c>
    </row>
    <row r="1723">
      <c r="M1723">
        <f>IF(A1723="","", _xludf.WEEKNUM(A1723, 2))</f>
        <v/>
      </c>
    </row>
    <row r="1724">
      <c r="M1724">
        <f>IF(A1724="","", _xludf.WEEKNUM(A1724, 2))</f>
        <v/>
      </c>
    </row>
    <row r="1725">
      <c r="M1725">
        <f>IF(A1725="","", _xludf.WEEKNUM(A1725, 2))</f>
        <v/>
      </c>
    </row>
    <row r="1726">
      <c r="M1726">
        <f>IF(A1726="","", _xludf.WEEKNUM(A1726, 2))</f>
        <v/>
      </c>
    </row>
    <row r="1727">
      <c r="M1727">
        <f>IF(A1727="","", _xludf.WEEKNUM(A1727, 2))</f>
        <v/>
      </c>
    </row>
    <row r="1728">
      <c r="M1728">
        <f>IF(A1728="","", _xludf.WEEKNUM(A1728, 2))</f>
        <v/>
      </c>
    </row>
    <row r="1729">
      <c r="M1729">
        <f>IF(A1729="","", _xludf.WEEKNUM(A1729, 2))</f>
        <v/>
      </c>
    </row>
    <row r="1730">
      <c r="M1730">
        <f>IF(A1730="","", _xludf.WEEKNUM(A1730, 2))</f>
        <v/>
      </c>
    </row>
    <row r="1731">
      <c r="M1731">
        <f>IF(A1731="","", _xludf.WEEKNUM(A1731, 2))</f>
        <v/>
      </c>
    </row>
    <row r="1732">
      <c r="M1732">
        <f>IF(A1732="","", _xludf.WEEKNUM(A1732, 2))</f>
        <v/>
      </c>
    </row>
    <row r="1733">
      <c r="M1733">
        <f>IF(A1733="","", _xludf.WEEKNUM(A1733, 2))</f>
        <v/>
      </c>
    </row>
    <row r="1734">
      <c r="M1734">
        <f>IF(A1734="","", _xludf.WEEKNUM(A1734, 2))</f>
        <v/>
      </c>
    </row>
    <row r="1735">
      <c r="M1735">
        <f>IF(A1735="","", _xludf.WEEKNUM(A1735, 2))</f>
        <v/>
      </c>
    </row>
    <row r="1736">
      <c r="M1736">
        <f>IF(A1736="","", _xludf.WEEKNUM(A1736, 2))</f>
        <v/>
      </c>
    </row>
    <row r="1737">
      <c r="M1737">
        <f>IF(A1737="","", _xludf.WEEKNUM(A1737, 2))</f>
        <v/>
      </c>
    </row>
    <row r="1738">
      <c r="M1738">
        <f>IF(A1738="","", _xludf.WEEKNUM(A1738, 2))</f>
        <v/>
      </c>
    </row>
    <row r="1739">
      <c r="M1739">
        <f>IF(A1739="","", _xludf.WEEKNUM(A1739, 2))</f>
        <v/>
      </c>
    </row>
    <row r="1740">
      <c r="M1740">
        <f>IF(A1740="","", _xludf.WEEKNUM(A1740, 2))</f>
        <v/>
      </c>
    </row>
    <row r="1741">
      <c r="M1741">
        <f>IF(A1741="","", _xludf.WEEKNUM(A1741, 2))</f>
        <v/>
      </c>
    </row>
    <row r="1742">
      <c r="M1742">
        <f>IF(A1742="","", _xludf.WEEKNUM(A1742, 2))</f>
        <v/>
      </c>
    </row>
    <row r="1743">
      <c r="M1743">
        <f>IF(A1743="","", _xludf.WEEKNUM(A1743, 2))</f>
        <v/>
      </c>
    </row>
    <row r="1744">
      <c r="M1744">
        <f>IF(A1744="","", _xludf.WEEKNUM(A1744, 2))</f>
        <v/>
      </c>
    </row>
    <row r="1745">
      <c r="M1745">
        <f>IF(A1745="","", _xludf.WEEKNUM(A1745, 2))</f>
        <v/>
      </c>
    </row>
    <row r="1746">
      <c r="M1746">
        <f>IF(A1746="","", _xludf.WEEKNUM(A1746, 2))</f>
        <v/>
      </c>
    </row>
    <row r="1747">
      <c r="M1747">
        <f>IF(A1747="","", _xludf.WEEKNUM(A1747, 2))</f>
        <v/>
      </c>
    </row>
    <row r="1748">
      <c r="M1748">
        <f>IF(A1748="","", _xludf.WEEKNUM(A1748, 2))</f>
        <v/>
      </c>
    </row>
    <row r="1749">
      <c r="M1749">
        <f>IF(A1749="","", _xludf.WEEKNUM(A1749, 2))</f>
        <v/>
      </c>
    </row>
    <row r="1750">
      <c r="M1750">
        <f>IF(A1750="","", _xludf.WEEKNUM(A1750, 2))</f>
        <v/>
      </c>
    </row>
    <row r="1751">
      <c r="M1751">
        <f>IF(A1751="","", _xludf.WEEKNUM(A1751, 2))</f>
        <v/>
      </c>
    </row>
    <row r="1752">
      <c r="M1752">
        <f>IF(A1752="","", _xludf.WEEKNUM(A1752, 2))</f>
        <v/>
      </c>
    </row>
    <row r="1753">
      <c r="M1753">
        <f>IF(A1753="","", _xludf.WEEKNUM(A1753, 2))</f>
        <v/>
      </c>
    </row>
    <row r="1754">
      <c r="M1754">
        <f>IF(A1754="","", _xludf.WEEKNUM(A1754, 2))</f>
        <v/>
      </c>
    </row>
    <row r="1755">
      <c r="M1755">
        <f>IF(A1755="","", _xludf.WEEKNUM(A1755, 2))</f>
        <v/>
      </c>
    </row>
    <row r="1756">
      <c r="M1756">
        <f>IF(A1756="","", _xludf.WEEKNUM(A1756, 2))</f>
        <v/>
      </c>
    </row>
    <row r="1757">
      <c r="M1757">
        <f>IF(A1757="","", _xludf.WEEKNUM(A1757, 2))</f>
        <v/>
      </c>
    </row>
    <row r="1758">
      <c r="M1758">
        <f>IF(A1758="","", _xludf.WEEKNUM(A1758, 2))</f>
        <v/>
      </c>
    </row>
    <row r="1759">
      <c r="M1759">
        <f>IF(A1759="","", _xludf.WEEKNUM(A1759, 2))</f>
        <v/>
      </c>
    </row>
    <row r="1760">
      <c r="M1760">
        <f>IF(A1760="","", _xludf.WEEKNUM(A1760, 2))</f>
        <v/>
      </c>
    </row>
    <row r="1761">
      <c r="M1761">
        <f>IF(A1761="","", _xludf.WEEKNUM(A1761, 2))</f>
        <v/>
      </c>
    </row>
    <row r="1762">
      <c r="M1762">
        <f>IF(A1762="","", _xludf.WEEKNUM(A1762, 2))</f>
        <v/>
      </c>
    </row>
    <row r="1763">
      <c r="M1763">
        <f>IF(A1763="","", _xludf.WEEKNUM(A1763, 2))</f>
        <v/>
      </c>
    </row>
    <row r="1764">
      <c r="M1764">
        <f>IF(A1764="","", _xludf.WEEKNUM(A1764, 2))</f>
        <v/>
      </c>
    </row>
    <row r="1765">
      <c r="M1765">
        <f>IF(A1765="","", _xludf.WEEKNUM(A1765, 2))</f>
        <v/>
      </c>
    </row>
    <row r="1766">
      <c r="M1766">
        <f>IF(A1766="","", _xludf.WEEKNUM(A1766, 2))</f>
        <v/>
      </c>
    </row>
    <row r="1767">
      <c r="M1767">
        <f>IF(A1767="","", _xludf.WEEKNUM(A1767, 2))</f>
        <v/>
      </c>
    </row>
    <row r="1768">
      <c r="M1768">
        <f>IF(A1768="","", _xludf.WEEKNUM(A1768, 2))</f>
        <v/>
      </c>
    </row>
    <row r="1769">
      <c r="M1769">
        <f>IF(A1769="","", _xludf.WEEKNUM(A1769, 2))</f>
        <v/>
      </c>
    </row>
    <row r="1770">
      <c r="M1770">
        <f>IF(A1770="","", _xludf.WEEKNUM(A1770, 2))</f>
        <v/>
      </c>
    </row>
    <row r="1771">
      <c r="M1771">
        <f>IF(A1771="","", _xludf.WEEKNUM(A1771, 2))</f>
        <v/>
      </c>
    </row>
    <row r="1772">
      <c r="M1772">
        <f>IF(A1772="","", _xludf.WEEKNUM(A1772, 2))</f>
        <v/>
      </c>
    </row>
    <row r="1773">
      <c r="M1773">
        <f>IF(A1773="","", _xludf.WEEKNUM(A1773, 2))</f>
        <v/>
      </c>
    </row>
    <row r="1774">
      <c r="M1774">
        <f>IF(A1774="","", _xludf.WEEKNUM(A1774, 2))</f>
        <v/>
      </c>
    </row>
    <row r="1775">
      <c r="M1775">
        <f>IF(A1775="","", _xludf.WEEKNUM(A1775, 2))</f>
        <v/>
      </c>
    </row>
    <row r="1776">
      <c r="M1776">
        <f>IF(A1776="","", _xludf.WEEKNUM(A1776, 2))</f>
        <v/>
      </c>
    </row>
    <row r="1777">
      <c r="M1777">
        <f>IF(A1777="","", _xludf.WEEKNUM(A1777, 2))</f>
        <v/>
      </c>
    </row>
    <row r="1778">
      <c r="M1778">
        <f>IF(A1778="","", _xludf.WEEKNUM(A1778, 2))</f>
        <v/>
      </c>
    </row>
    <row r="1779">
      <c r="M1779">
        <f>IF(A1779="","", _xludf.WEEKNUM(A1779, 2))</f>
        <v/>
      </c>
    </row>
    <row r="1780">
      <c r="M1780">
        <f>IF(A1780="","", _xludf.WEEKNUM(A1780, 2))</f>
        <v/>
      </c>
    </row>
    <row r="1781">
      <c r="M1781">
        <f>IF(A1781="","", _xludf.WEEKNUM(A1781, 2))</f>
        <v/>
      </c>
    </row>
    <row r="1782">
      <c r="M1782">
        <f>IF(A1782="","", _xludf.WEEKNUM(A1782, 2))</f>
        <v/>
      </c>
    </row>
    <row r="1783">
      <c r="M1783">
        <f>IF(A1783="","", _xludf.WEEKNUM(A1783, 2))</f>
        <v/>
      </c>
    </row>
    <row r="1784">
      <c r="M1784">
        <f>IF(A1784="","", _xludf.WEEKNUM(A1784, 2))</f>
        <v/>
      </c>
    </row>
    <row r="1785">
      <c r="M1785">
        <f>IF(A1785="","", _xludf.WEEKNUM(A1785, 2))</f>
        <v/>
      </c>
    </row>
    <row r="1786">
      <c r="M1786">
        <f>IF(A1786="","", _xludf.WEEKNUM(A1786, 2))</f>
        <v/>
      </c>
    </row>
    <row r="1787">
      <c r="M1787">
        <f>IF(A1787="","", _xludf.WEEKNUM(A1787, 2))</f>
        <v/>
      </c>
    </row>
    <row r="1788">
      <c r="M1788">
        <f>IF(A1788="","", _xludf.WEEKNUM(A1788, 2))</f>
        <v/>
      </c>
    </row>
    <row r="1789">
      <c r="M1789">
        <f>IF(A1789="","", _xludf.WEEKNUM(A1789, 2))</f>
        <v/>
      </c>
    </row>
    <row r="1790">
      <c r="M1790">
        <f>IF(A1790="","", _xludf.WEEKNUM(A1790, 2))</f>
        <v/>
      </c>
    </row>
    <row r="1791">
      <c r="M1791">
        <f>IF(A1791="","", _xludf.WEEKNUM(A1791, 2))</f>
        <v/>
      </c>
    </row>
    <row r="1792">
      <c r="M1792">
        <f>IF(A1792="","", _xludf.WEEKNUM(A1792, 2))</f>
        <v/>
      </c>
    </row>
    <row r="1793">
      <c r="M1793">
        <f>IF(A1793="","", _xludf.WEEKNUM(A1793, 2))</f>
        <v/>
      </c>
    </row>
    <row r="1794">
      <c r="M1794">
        <f>IF(A1794="","", _xludf.WEEKNUM(A1794, 2))</f>
        <v/>
      </c>
    </row>
    <row r="1795">
      <c r="M1795">
        <f>IF(A1795="","", _xludf.WEEKNUM(A1795, 2))</f>
        <v/>
      </c>
    </row>
    <row r="1796">
      <c r="M1796">
        <f>IF(A1796="","", _xludf.WEEKNUM(A1796, 2))</f>
        <v/>
      </c>
    </row>
    <row r="1797">
      <c r="M1797">
        <f>IF(A1797="","", _xludf.WEEKNUM(A1797, 2))</f>
        <v/>
      </c>
    </row>
    <row r="1798">
      <c r="M1798">
        <f>IF(A1798="","", _xludf.WEEKNUM(A1798, 2))</f>
        <v/>
      </c>
    </row>
    <row r="1799">
      <c r="M1799">
        <f>IF(A1799="","", _xludf.WEEKNUM(A1799, 2))</f>
        <v/>
      </c>
    </row>
    <row r="1800">
      <c r="M1800">
        <f>IF(A1800="","", _xludf.WEEKNUM(A1800, 2))</f>
        <v/>
      </c>
    </row>
    <row r="1801">
      <c r="M1801">
        <f>IF(A1801="","", _xludf.WEEKNUM(A1801, 2))</f>
        <v/>
      </c>
    </row>
    <row r="1802">
      <c r="M1802">
        <f>IF(A1802="","", _xludf.WEEKNUM(A1802, 2))</f>
        <v/>
      </c>
    </row>
    <row r="1803">
      <c r="M1803">
        <f>IF(A1803="","", _xludf.WEEKNUM(A1803, 2))</f>
        <v/>
      </c>
    </row>
    <row r="1804">
      <c r="M1804">
        <f>IF(A1804="","", _xludf.WEEKNUM(A1804, 2))</f>
        <v/>
      </c>
    </row>
    <row r="1805">
      <c r="M1805">
        <f>IF(A1805="","", _xludf.WEEKNUM(A1805, 2))</f>
        <v/>
      </c>
    </row>
    <row r="1806">
      <c r="M1806">
        <f>IF(A1806="","", _xludf.WEEKNUM(A1806, 2))</f>
        <v/>
      </c>
    </row>
    <row r="1807">
      <c r="M1807">
        <f>IF(A1807="","", _xludf.WEEKNUM(A1807, 2))</f>
        <v/>
      </c>
    </row>
    <row r="1808">
      <c r="M1808">
        <f>IF(A1808="","", _xludf.WEEKNUM(A1808, 2))</f>
        <v/>
      </c>
    </row>
    <row r="1809">
      <c r="M1809">
        <f>IF(A1809="","", _xludf.WEEKNUM(A1809, 2))</f>
        <v/>
      </c>
    </row>
    <row r="1810">
      <c r="M1810">
        <f>IF(A1810="","", _xludf.WEEKNUM(A1810, 2))</f>
        <v/>
      </c>
    </row>
    <row r="1811">
      <c r="M1811">
        <f>IF(A1811="","", _xludf.WEEKNUM(A1811, 2))</f>
        <v/>
      </c>
    </row>
    <row r="1812">
      <c r="M1812">
        <f>IF(A1812="","", _xludf.WEEKNUM(A1812, 2))</f>
        <v/>
      </c>
    </row>
    <row r="1813">
      <c r="M1813">
        <f>IF(A1813="","", _xludf.WEEKNUM(A1813, 2))</f>
        <v/>
      </c>
    </row>
    <row r="1814">
      <c r="M1814">
        <f>IF(A1814="","", _xludf.WEEKNUM(A1814, 2))</f>
        <v/>
      </c>
    </row>
    <row r="1815">
      <c r="M1815">
        <f>IF(A1815="","", _xludf.WEEKNUM(A1815, 2))</f>
        <v/>
      </c>
    </row>
    <row r="1816">
      <c r="M1816">
        <f>IF(A1816="","", _xludf.WEEKNUM(A1816, 2))</f>
        <v/>
      </c>
    </row>
    <row r="1817">
      <c r="M1817">
        <f>IF(A1817="","", _xludf.WEEKNUM(A1817, 2))</f>
        <v/>
      </c>
    </row>
    <row r="1818">
      <c r="M1818">
        <f>IF(A1818="","", _xludf.WEEKNUM(A1818, 2))</f>
        <v/>
      </c>
    </row>
    <row r="1819">
      <c r="M1819">
        <f>IF(A1819="","", _xludf.WEEKNUM(A1819, 2))</f>
        <v/>
      </c>
    </row>
    <row r="1820">
      <c r="M1820">
        <f>IF(A1820="","", _xludf.WEEKNUM(A1820, 2))</f>
        <v/>
      </c>
    </row>
    <row r="1821">
      <c r="M1821">
        <f>IF(A1821="","", _xludf.WEEKNUM(A1821, 2))</f>
        <v/>
      </c>
    </row>
    <row r="1822">
      <c r="M1822">
        <f>IF(A1822="","", _xludf.WEEKNUM(A1822, 2))</f>
        <v/>
      </c>
    </row>
    <row r="1823">
      <c r="M1823">
        <f>IF(A1823="","", _xludf.WEEKNUM(A1823, 2))</f>
        <v/>
      </c>
    </row>
    <row r="1824">
      <c r="M1824">
        <f>IF(A1824="","", _xludf.WEEKNUM(A1824, 2))</f>
        <v/>
      </c>
    </row>
    <row r="1825">
      <c r="M1825">
        <f>IF(A1825="","", _xludf.WEEKNUM(A1825, 2))</f>
        <v/>
      </c>
    </row>
    <row r="1826">
      <c r="M1826">
        <f>IF(A1826="","", _xludf.WEEKNUM(A1826, 2))</f>
        <v/>
      </c>
    </row>
    <row r="1827">
      <c r="M1827">
        <f>IF(A1827="","", _xludf.WEEKNUM(A1827, 2))</f>
        <v/>
      </c>
    </row>
    <row r="1828">
      <c r="M1828">
        <f>IF(A1828="","", _xludf.WEEKNUM(A1828, 2))</f>
        <v/>
      </c>
    </row>
    <row r="1829">
      <c r="M1829">
        <f>IF(A1829="","", _xludf.WEEKNUM(A1829, 2))</f>
        <v/>
      </c>
    </row>
    <row r="1830">
      <c r="M1830">
        <f>IF(A1830="","", _xludf.WEEKNUM(A1830, 2))</f>
        <v/>
      </c>
    </row>
    <row r="1831">
      <c r="M1831">
        <f>IF(A1831="","", _xludf.WEEKNUM(A1831, 2))</f>
        <v/>
      </c>
    </row>
    <row r="1832">
      <c r="M1832">
        <f>IF(A1832="","", _xludf.WEEKNUM(A1832, 2))</f>
        <v/>
      </c>
    </row>
    <row r="1833">
      <c r="M1833">
        <f>IF(A1833="","", _xludf.WEEKNUM(A1833, 2))</f>
        <v/>
      </c>
    </row>
    <row r="1834">
      <c r="M1834">
        <f>IF(A1834="","", _xludf.WEEKNUM(A1834, 2))</f>
        <v/>
      </c>
    </row>
    <row r="1835">
      <c r="M1835">
        <f>IF(A1835="","", _xludf.WEEKNUM(A1835, 2))</f>
        <v/>
      </c>
    </row>
    <row r="1836">
      <c r="M1836">
        <f>IF(A1836="","", _xludf.WEEKNUM(A1836, 2))</f>
        <v/>
      </c>
    </row>
    <row r="1837">
      <c r="M1837">
        <f>IF(A1837="","", _xludf.WEEKNUM(A1837, 2))</f>
        <v/>
      </c>
    </row>
    <row r="1838">
      <c r="M1838">
        <f>IF(A1838="","", _xludf.WEEKNUM(A1838, 2))</f>
        <v/>
      </c>
    </row>
    <row r="1839">
      <c r="M1839">
        <f>IF(A1839="","", _xludf.WEEKNUM(A1839, 2))</f>
        <v/>
      </c>
    </row>
    <row r="1840">
      <c r="M1840">
        <f>IF(A1840="","", _xludf.WEEKNUM(A1840, 2))</f>
        <v/>
      </c>
    </row>
    <row r="1841">
      <c r="M1841">
        <f>IF(A1841="","", _xludf.WEEKNUM(A1841, 2))</f>
        <v/>
      </c>
    </row>
    <row r="1842">
      <c r="M1842">
        <f>IF(A1842="","", _xludf.WEEKNUM(A1842, 2))</f>
        <v/>
      </c>
    </row>
    <row r="1843">
      <c r="M1843">
        <f>IF(A1843="","", _xludf.WEEKNUM(A1843, 2))</f>
        <v/>
      </c>
    </row>
    <row r="1844">
      <c r="M1844">
        <f>IF(A1844="","", _xludf.WEEKNUM(A1844, 2))</f>
        <v/>
      </c>
    </row>
    <row r="1845">
      <c r="M1845">
        <f>IF(A1845="","", _xludf.WEEKNUM(A1845, 2))</f>
        <v/>
      </c>
    </row>
    <row r="1846">
      <c r="M1846">
        <f>IF(A1846="","", _xludf.WEEKNUM(A1846, 2))</f>
        <v/>
      </c>
    </row>
    <row r="1847">
      <c r="M1847">
        <f>IF(A1847="","", _xludf.WEEKNUM(A1847, 2))</f>
        <v/>
      </c>
    </row>
    <row r="1848">
      <c r="M1848">
        <f>IF(A1848="","", _xludf.WEEKNUM(A1848, 2))</f>
        <v/>
      </c>
    </row>
    <row r="1849">
      <c r="M1849">
        <f>IF(A1849="","", _xludf.WEEKNUM(A1849, 2))</f>
        <v/>
      </c>
    </row>
    <row r="1850">
      <c r="M1850">
        <f>IF(A1850="","", _xludf.WEEKNUM(A1850, 2))</f>
        <v/>
      </c>
    </row>
    <row r="1851">
      <c r="M1851">
        <f>IF(A1851="","", _xludf.WEEKNUM(A1851, 2))</f>
        <v/>
      </c>
    </row>
    <row r="1852">
      <c r="M1852">
        <f>IF(A1852="","", _xludf.WEEKNUM(A1852, 2))</f>
        <v/>
      </c>
    </row>
    <row r="1853">
      <c r="M1853">
        <f>IF(A1853="","", _xludf.WEEKNUM(A1853, 2))</f>
        <v/>
      </c>
    </row>
    <row r="1854">
      <c r="M1854">
        <f>IF(A1854="","", _xludf.WEEKNUM(A1854, 2))</f>
        <v/>
      </c>
    </row>
    <row r="1855">
      <c r="M1855">
        <f>IF(A1855="","", _xludf.WEEKNUM(A1855, 2))</f>
        <v/>
      </c>
    </row>
    <row r="1856">
      <c r="M1856">
        <f>IF(A1856="","", _xludf.WEEKNUM(A1856, 2))</f>
        <v/>
      </c>
    </row>
    <row r="1857">
      <c r="M1857">
        <f>IF(A1857="","", _xludf.WEEKNUM(A1857, 2))</f>
        <v/>
      </c>
    </row>
    <row r="1858">
      <c r="M1858">
        <f>IF(A1858="","", _xludf.WEEKNUM(A1858, 2))</f>
        <v/>
      </c>
    </row>
    <row r="1859">
      <c r="M1859">
        <f>IF(A1859="","", _xludf.WEEKNUM(A1859, 2))</f>
        <v/>
      </c>
    </row>
    <row r="1860">
      <c r="M1860">
        <f>IF(A1860="","", _xludf.WEEKNUM(A1860, 2))</f>
        <v/>
      </c>
    </row>
    <row r="1861">
      <c r="M1861">
        <f>IF(A1861="","", _xludf.WEEKNUM(A1861, 2))</f>
        <v/>
      </c>
    </row>
    <row r="1862">
      <c r="M1862">
        <f>IF(A1862="","", _xludf.WEEKNUM(A1862, 2))</f>
        <v/>
      </c>
    </row>
    <row r="1863">
      <c r="M1863">
        <f>IF(A1863="","", _xludf.WEEKNUM(A1863, 2))</f>
        <v/>
      </c>
    </row>
    <row r="1864">
      <c r="M1864">
        <f>IF(A1864="","", _xludf.WEEKNUM(A1864, 2))</f>
        <v/>
      </c>
    </row>
    <row r="1865">
      <c r="M1865">
        <f>IF(A1865="","", _xludf.WEEKNUM(A1865, 2))</f>
        <v/>
      </c>
    </row>
    <row r="1866">
      <c r="M1866">
        <f>IF(A1866="","", _xludf.WEEKNUM(A1866, 2))</f>
        <v/>
      </c>
    </row>
    <row r="1867">
      <c r="M1867">
        <f>IF(A1867="","", _xludf.WEEKNUM(A1867, 2))</f>
        <v/>
      </c>
    </row>
    <row r="1868">
      <c r="M1868">
        <f>IF(A1868="","", _xludf.WEEKNUM(A1868, 2))</f>
        <v/>
      </c>
    </row>
    <row r="1869">
      <c r="M1869">
        <f>IF(A1869="","", _xludf.WEEKNUM(A1869, 2))</f>
        <v/>
      </c>
    </row>
    <row r="1870">
      <c r="M1870">
        <f>IF(A1870="","", _xludf.WEEKNUM(A1870, 2))</f>
        <v/>
      </c>
    </row>
    <row r="1871">
      <c r="M1871">
        <f>IF(A1871="","", _xludf.WEEKNUM(A1871, 2))</f>
        <v/>
      </c>
    </row>
    <row r="1872">
      <c r="M1872">
        <f>IF(A1872="","", _xludf.WEEKNUM(A1872, 2))</f>
        <v/>
      </c>
    </row>
    <row r="1873">
      <c r="M1873">
        <f>IF(A1873="","", _xludf.WEEKNUM(A1873, 2))</f>
        <v/>
      </c>
    </row>
    <row r="1874">
      <c r="M1874">
        <f>IF(A1874="","", _xludf.WEEKNUM(A1874, 2))</f>
        <v/>
      </c>
    </row>
    <row r="1875">
      <c r="M1875">
        <f>IF(A1875="","", _xludf.WEEKNUM(A1875, 2))</f>
        <v/>
      </c>
    </row>
    <row r="1876">
      <c r="M1876">
        <f>IF(A1876="","", _xludf.WEEKNUM(A1876, 2))</f>
        <v/>
      </c>
    </row>
    <row r="1877">
      <c r="M1877">
        <f>IF(A1877="","", _xludf.WEEKNUM(A1877, 2))</f>
        <v/>
      </c>
    </row>
    <row r="1878">
      <c r="M1878">
        <f>IF(A1878="","", _xludf.WEEKNUM(A1878, 2))</f>
        <v/>
      </c>
    </row>
    <row r="1879">
      <c r="M1879">
        <f>IF(A1879="","", _xludf.WEEKNUM(A1879, 2))</f>
        <v/>
      </c>
    </row>
    <row r="1880">
      <c r="M1880">
        <f>IF(A1880="","", _xludf.WEEKNUM(A1880, 2))</f>
        <v/>
      </c>
    </row>
    <row r="1881">
      <c r="M1881">
        <f>IF(A1881="","", _xludf.WEEKNUM(A1881, 2))</f>
        <v/>
      </c>
    </row>
    <row r="1882">
      <c r="M1882">
        <f>IF(A1882="","", _xludf.WEEKNUM(A1882, 2))</f>
        <v/>
      </c>
    </row>
    <row r="1883">
      <c r="M1883">
        <f>IF(A1883="","", _xludf.WEEKNUM(A1883, 2))</f>
        <v/>
      </c>
    </row>
    <row r="1884">
      <c r="M1884">
        <f>IF(A1884="","", _xludf.WEEKNUM(A1884, 2))</f>
        <v/>
      </c>
    </row>
    <row r="1885">
      <c r="M1885">
        <f>IF(A1885="","", _xludf.WEEKNUM(A1885, 2))</f>
        <v/>
      </c>
    </row>
    <row r="1886">
      <c r="M1886">
        <f>IF(A1886="","", _xludf.WEEKNUM(A1886, 2))</f>
        <v/>
      </c>
    </row>
    <row r="1887">
      <c r="M1887">
        <f>IF(A1887="","", _xludf.WEEKNUM(A1887, 2))</f>
        <v/>
      </c>
    </row>
    <row r="1888">
      <c r="M1888">
        <f>IF(A1888="","", _xludf.WEEKNUM(A1888, 2))</f>
        <v/>
      </c>
    </row>
    <row r="1889">
      <c r="M1889">
        <f>IF(A1889="","", _xludf.WEEKNUM(A1889, 2))</f>
        <v/>
      </c>
    </row>
    <row r="1890">
      <c r="M1890">
        <f>IF(A1890="","", _xludf.WEEKNUM(A1890, 2))</f>
        <v/>
      </c>
    </row>
    <row r="1891">
      <c r="M1891">
        <f>IF(A1891="","", _xludf.WEEKNUM(A1891, 2))</f>
        <v/>
      </c>
    </row>
    <row r="1892">
      <c r="M1892">
        <f>IF(A1892="","", _xludf.WEEKNUM(A1892, 2))</f>
        <v/>
      </c>
    </row>
    <row r="1893">
      <c r="M1893">
        <f>IF(A1893="","", _xludf.WEEKNUM(A1893, 2))</f>
        <v/>
      </c>
    </row>
    <row r="1894">
      <c r="M1894">
        <f>IF(A1894="","", _xludf.WEEKNUM(A1894, 2))</f>
        <v/>
      </c>
    </row>
    <row r="1895">
      <c r="M1895">
        <f>IF(A1895="","", _xludf.WEEKNUM(A1895, 2))</f>
        <v/>
      </c>
    </row>
    <row r="1896">
      <c r="M1896">
        <f>IF(A1896="","", _xludf.WEEKNUM(A1896, 2))</f>
        <v/>
      </c>
    </row>
    <row r="1897">
      <c r="M1897">
        <f>IF(A1897="","", _xludf.WEEKNUM(A1897, 2))</f>
        <v/>
      </c>
    </row>
    <row r="1898">
      <c r="M1898">
        <f>IF(A1898="","", _xludf.WEEKNUM(A1898, 2))</f>
        <v/>
      </c>
    </row>
    <row r="1899">
      <c r="M1899">
        <f>IF(A1899="","", _xludf.WEEKNUM(A1899, 2))</f>
        <v/>
      </c>
    </row>
    <row r="1900">
      <c r="M1900">
        <f>IF(A1900="","", _xludf.WEEKNUM(A1900, 2))</f>
        <v/>
      </c>
    </row>
    <row r="1901">
      <c r="M1901">
        <f>IF(A1901="","", _xludf.WEEKNUM(A1901, 2))</f>
        <v/>
      </c>
    </row>
    <row r="1902">
      <c r="M1902">
        <f>IF(A1902="","", _xludf.WEEKNUM(A1902, 2))</f>
        <v/>
      </c>
    </row>
    <row r="1903">
      <c r="M1903">
        <f>IF(A1903="","", _xludf.WEEKNUM(A1903, 2))</f>
        <v/>
      </c>
    </row>
    <row r="1904">
      <c r="M1904">
        <f>IF(A1904="","", _xludf.WEEKNUM(A1904, 2))</f>
        <v/>
      </c>
    </row>
    <row r="1905">
      <c r="M1905">
        <f>IF(A1905="","", _xludf.WEEKNUM(A1905, 2))</f>
        <v/>
      </c>
    </row>
    <row r="1906">
      <c r="M1906">
        <f>IF(A1906="","", _xludf.WEEKNUM(A1906, 2))</f>
        <v/>
      </c>
    </row>
    <row r="1907">
      <c r="M1907">
        <f>IF(A1907="","", _xludf.WEEKNUM(A1907, 2))</f>
        <v/>
      </c>
    </row>
    <row r="1908">
      <c r="M1908">
        <f>IF(A1908="","", _xludf.WEEKNUM(A1908, 2))</f>
        <v/>
      </c>
    </row>
    <row r="1909">
      <c r="M1909">
        <f>IF(A1909="","", _xludf.WEEKNUM(A1909, 2))</f>
        <v/>
      </c>
    </row>
    <row r="1910">
      <c r="M1910">
        <f>IF(A1910="","", _xludf.WEEKNUM(A1910, 2))</f>
        <v/>
      </c>
    </row>
    <row r="1911">
      <c r="M1911">
        <f>IF(A1911="","", _xludf.WEEKNUM(A1911, 2))</f>
        <v/>
      </c>
    </row>
    <row r="1912">
      <c r="M1912">
        <f>IF(A1912="","", _xludf.WEEKNUM(A1912, 2))</f>
        <v/>
      </c>
    </row>
    <row r="1913">
      <c r="M1913">
        <f>IF(A1913="","", _xludf.WEEKNUM(A1913, 2))</f>
        <v/>
      </c>
    </row>
    <row r="1914">
      <c r="M1914">
        <f>IF(A1914="","", _xludf.WEEKNUM(A1914, 2))</f>
        <v/>
      </c>
    </row>
    <row r="1915">
      <c r="M1915">
        <f>IF(A1915="","", _xludf.WEEKNUM(A1915, 2))</f>
        <v/>
      </c>
    </row>
    <row r="1916">
      <c r="M1916">
        <f>IF(A1916="","", _xludf.WEEKNUM(A1916, 2))</f>
        <v/>
      </c>
    </row>
    <row r="1917">
      <c r="M1917">
        <f>IF(A1917="","", _xludf.WEEKNUM(A1917, 2))</f>
        <v/>
      </c>
    </row>
    <row r="1918">
      <c r="M1918">
        <f>IF(A1918="","", _xludf.WEEKNUM(A1918, 2))</f>
        <v/>
      </c>
    </row>
    <row r="1919">
      <c r="M1919">
        <f>IF(A1919="","", _xludf.WEEKNUM(A1919, 2))</f>
        <v/>
      </c>
    </row>
    <row r="1920">
      <c r="M1920">
        <f>IF(A1920="","", _xludf.WEEKNUM(A1920, 2))</f>
        <v/>
      </c>
    </row>
    <row r="1921">
      <c r="M1921">
        <f>IF(A1921="","", _xludf.WEEKNUM(A1921, 2))</f>
        <v/>
      </c>
    </row>
    <row r="1922">
      <c r="M1922">
        <f>IF(A1922="","", _xludf.WEEKNUM(A1922, 2))</f>
        <v/>
      </c>
    </row>
    <row r="1923">
      <c r="M1923">
        <f>IF(A1923="","", _xludf.WEEKNUM(A1923, 2))</f>
        <v/>
      </c>
    </row>
    <row r="1924">
      <c r="M1924">
        <f>IF(A1924="","", _xludf.WEEKNUM(A1924, 2))</f>
        <v/>
      </c>
    </row>
    <row r="1925">
      <c r="M1925">
        <f>IF(A1925="","", _xludf.WEEKNUM(A1925, 2))</f>
        <v/>
      </c>
    </row>
    <row r="1926">
      <c r="M1926">
        <f>IF(A1926="","", _xludf.WEEKNUM(A1926, 2))</f>
        <v/>
      </c>
    </row>
    <row r="1927">
      <c r="M1927">
        <f>IF(A1927="","", _xludf.WEEKNUM(A1927, 2))</f>
        <v/>
      </c>
    </row>
    <row r="1928">
      <c r="M1928">
        <f>IF(A1928="","", _xludf.WEEKNUM(A1928, 2))</f>
        <v/>
      </c>
    </row>
    <row r="1929">
      <c r="M1929">
        <f>IF(A1929="","", _xludf.WEEKNUM(A1929, 2))</f>
        <v/>
      </c>
    </row>
    <row r="1930">
      <c r="M1930">
        <f>IF(A1930="","", _xludf.WEEKNUM(A1930, 2))</f>
        <v/>
      </c>
    </row>
    <row r="1931">
      <c r="M1931">
        <f>IF(A1931="","", _xludf.WEEKNUM(A1931, 2))</f>
        <v/>
      </c>
    </row>
    <row r="1932">
      <c r="M1932">
        <f>IF(A1932="","", _xludf.WEEKNUM(A1932, 2))</f>
        <v/>
      </c>
    </row>
    <row r="1933">
      <c r="M1933">
        <f>IF(A1933="","", _xludf.WEEKNUM(A1933, 2))</f>
        <v/>
      </c>
    </row>
    <row r="1934">
      <c r="M1934">
        <f>IF(A1934="","", _xludf.WEEKNUM(A1934, 2))</f>
        <v/>
      </c>
    </row>
    <row r="1935">
      <c r="M1935">
        <f>IF(A1935="","", _xludf.WEEKNUM(A1935, 2))</f>
        <v/>
      </c>
    </row>
    <row r="1936">
      <c r="M1936">
        <f>IF(A1936="","", _xludf.WEEKNUM(A1936, 2))</f>
        <v/>
      </c>
    </row>
    <row r="1937">
      <c r="M1937">
        <f>IF(A1937="","", _xludf.WEEKNUM(A1937, 2))</f>
        <v/>
      </c>
    </row>
    <row r="1938">
      <c r="M1938">
        <f>IF(A1938="","", _xludf.WEEKNUM(A1938, 2))</f>
        <v/>
      </c>
    </row>
    <row r="1939">
      <c r="M1939">
        <f>IF(A1939="","", _xludf.WEEKNUM(A1939, 2))</f>
        <v/>
      </c>
    </row>
    <row r="1940">
      <c r="M1940">
        <f>IF(A1940="","", _xludf.WEEKNUM(A1940, 2))</f>
        <v/>
      </c>
    </row>
    <row r="1941">
      <c r="M1941">
        <f>IF(A1941="","", _xludf.WEEKNUM(A1941, 2))</f>
        <v/>
      </c>
    </row>
    <row r="1942">
      <c r="M1942">
        <f>IF(A1942="","", _xludf.WEEKNUM(A1942, 2))</f>
        <v/>
      </c>
    </row>
    <row r="1943">
      <c r="M1943">
        <f>IF(A1943="","", _xludf.WEEKNUM(A1943, 2))</f>
        <v/>
      </c>
    </row>
    <row r="1944">
      <c r="M1944">
        <f>IF(A1944="","", _xludf.WEEKNUM(A1944, 2))</f>
        <v/>
      </c>
    </row>
    <row r="1945">
      <c r="M1945">
        <f>IF(A1945="","", _xludf.WEEKNUM(A1945, 2))</f>
        <v/>
      </c>
    </row>
    <row r="1946">
      <c r="M1946">
        <f>IF(A1946="","", _xludf.WEEKNUM(A1946, 2))</f>
        <v/>
      </c>
    </row>
    <row r="1947">
      <c r="M1947">
        <f>IF(A1947="","", _xludf.WEEKNUM(A1947, 2))</f>
        <v/>
      </c>
    </row>
    <row r="1948">
      <c r="M1948">
        <f>IF(A1948="","", _xludf.WEEKNUM(A1948, 2))</f>
        <v/>
      </c>
    </row>
    <row r="1949">
      <c r="M1949">
        <f>IF(A1949="","", _xludf.WEEKNUM(A1949, 2))</f>
        <v/>
      </c>
    </row>
    <row r="1950">
      <c r="M1950">
        <f>IF(A1950="","", _xludf.WEEKNUM(A1950, 2))</f>
        <v/>
      </c>
    </row>
    <row r="1951">
      <c r="M1951">
        <f>IF(A1951="","", _xludf.WEEKNUM(A1951, 2))</f>
        <v/>
      </c>
    </row>
    <row r="1952">
      <c r="M1952">
        <f>IF(A1952="","", _xludf.WEEKNUM(A1952, 2))</f>
        <v/>
      </c>
    </row>
    <row r="1953">
      <c r="M1953">
        <f>IF(A1953="","", _xludf.WEEKNUM(A1953, 2))</f>
        <v/>
      </c>
    </row>
    <row r="1954">
      <c r="M1954">
        <f>IF(A1954="","", _xludf.WEEKNUM(A1954, 2))</f>
        <v/>
      </c>
    </row>
    <row r="1955">
      <c r="M1955">
        <f>IF(A1955="","", _xludf.WEEKNUM(A1955, 2))</f>
        <v/>
      </c>
    </row>
    <row r="1956">
      <c r="M1956">
        <f>IF(A1956="","", _xludf.WEEKNUM(A1956, 2))</f>
        <v/>
      </c>
    </row>
    <row r="1957">
      <c r="M1957">
        <f>IF(A1957="","", _xludf.WEEKNUM(A1957, 2))</f>
        <v/>
      </c>
    </row>
    <row r="1958">
      <c r="M1958">
        <f>IF(A1958="","", _xludf.WEEKNUM(A1958, 2))</f>
        <v/>
      </c>
    </row>
    <row r="1959">
      <c r="M1959">
        <f>IF(A1959="","", _xludf.WEEKNUM(A1959, 2))</f>
        <v/>
      </c>
    </row>
    <row r="1960">
      <c r="M1960">
        <f>IF(A1960="","", _xludf.WEEKNUM(A1960, 2))</f>
        <v/>
      </c>
    </row>
    <row r="1961">
      <c r="M1961">
        <f>IF(A1961="","", _xludf.WEEKNUM(A1961, 2))</f>
        <v/>
      </c>
    </row>
    <row r="1962">
      <c r="M1962">
        <f>IF(A1962="","", _xludf.WEEKNUM(A1962, 2))</f>
        <v/>
      </c>
    </row>
    <row r="1963">
      <c r="M1963">
        <f>IF(A1963="","", _xludf.WEEKNUM(A1963, 2))</f>
        <v/>
      </c>
    </row>
    <row r="1964">
      <c r="M1964">
        <f>IF(A1964="","", _xludf.WEEKNUM(A1964, 2))</f>
        <v/>
      </c>
    </row>
    <row r="1965">
      <c r="M1965">
        <f>IF(A1965="","", _xludf.WEEKNUM(A1965, 2))</f>
        <v/>
      </c>
    </row>
    <row r="1966">
      <c r="M1966">
        <f>IF(A1966="","", _xludf.WEEKNUM(A1966, 2))</f>
        <v/>
      </c>
    </row>
    <row r="1967">
      <c r="M1967">
        <f>IF(A1967="","", _xludf.WEEKNUM(A1967, 2))</f>
        <v/>
      </c>
    </row>
    <row r="1968">
      <c r="M1968">
        <f>IF(A1968="","", _xludf.WEEKNUM(A1968, 2))</f>
        <v/>
      </c>
    </row>
    <row r="1969">
      <c r="M1969">
        <f>IF(A1969="","", _xludf.WEEKNUM(A1969, 2))</f>
        <v/>
      </c>
    </row>
    <row r="1970">
      <c r="M1970">
        <f>IF(A1970="","", _xludf.WEEKNUM(A1970, 2))</f>
        <v/>
      </c>
    </row>
    <row r="1971">
      <c r="M1971">
        <f>IF(A1971="","", _xludf.WEEKNUM(A1971, 2))</f>
        <v/>
      </c>
    </row>
    <row r="1972">
      <c r="M1972">
        <f>IF(A1972="","", _xludf.WEEKNUM(A1972, 2))</f>
        <v/>
      </c>
    </row>
    <row r="1973">
      <c r="M1973">
        <f>IF(A1973="","", _xludf.WEEKNUM(A1973, 2))</f>
        <v/>
      </c>
    </row>
    <row r="1974">
      <c r="M1974">
        <f>IF(A1974="","", _xludf.WEEKNUM(A1974, 2))</f>
        <v/>
      </c>
    </row>
    <row r="1975">
      <c r="M1975">
        <f>IF(A1975="","", _xludf.WEEKNUM(A1975, 2))</f>
        <v/>
      </c>
    </row>
    <row r="1976">
      <c r="M1976">
        <f>IF(A1976="","", _xludf.WEEKNUM(A1976, 2))</f>
        <v/>
      </c>
    </row>
    <row r="1977">
      <c r="M1977">
        <f>IF(A1977="","", _xludf.WEEKNUM(A1977, 2))</f>
        <v/>
      </c>
    </row>
    <row r="1978">
      <c r="M1978">
        <f>IF(A1978="","", _xludf.WEEKNUM(A1978, 2))</f>
        <v/>
      </c>
    </row>
    <row r="1979">
      <c r="M1979">
        <f>IF(A1979="","", _xludf.WEEKNUM(A1979, 2))</f>
        <v/>
      </c>
    </row>
    <row r="1980">
      <c r="M1980">
        <f>IF(A1980="","", _xludf.WEEKNUM(A1980, 2))</f>
        <v/>
      </c>
    </row>
    <row r="1981">
      <c r="M1981">
        <f>IF(A1981="","", _xludf.WEEKNUM(A1981, 2))</f>
        <v/>
      </c>
    </row>
    <row r="1982">
      <c r="M1982">
        <f>IF(A1982="","", _xludf.WEEKNUM(A1982, 2))</f>
        <v/>
      </c>
    </row>
    <row r="1983">
      <c r="M1983">
        <f>IF(A1983="","", _xludf.WEEKNUM(A1983, 2))</f>
        <v/>
      </c>
    </row>
    <row r="1984">
      <c r="M1984">
        <f>IF(A1984="","", _xludf.WEEKNUM(A1984, 2))</f>
        <v/>
      </c>
    </row>
    <row r="1985">
      <c r="M1985">
        <f>IF(A1985="","", _xludf.WEEKNUM(A1985, 2))</f>
        <v/>
      </c>
    </row>
    <row r="1986">
      <c r="M1986">
        <f>IF(A1986="","", _xludf.WEEKNUM(A1986, 2))</f>
        <v/>
      </c>
    </row>
    <row r="1987">
      <c r="M1987">
        <f>IF(A1987="","", _xludf.WEEKNUM(A1987, 2))</f>
        <v/>
      </c>
    </row>
    <row r="1988">
      <c r="M1988">
        <f>IF(A1988="","", _xludf.WEEKNUM(A1988, 2))</f>
        <v/>
      </c>
    </row>
    <row r="1989">
      <c r="M1989">
        <f>IF(A1989="","", _xludf.WEEKNUM(A1989, 2))</f>
        <v/>
      </c>
    </row>
    <row r="1990">
      <c r="M1990">
        <f>IF(A1990="","", _xludf.WEEKNUM(A1990, 2))</f>
        <v/>
      </c>
    </row>
    <row r="1991">
      <c r="M1991">
        <f>IF(A1991="","", _xludf.WEEKNUM(A1991, 2))</f>
        <v/>
      </c>
    </row>
    <row r="1992">
      <c r="M1992">
        <f>IF(A1992="","", _xludf.WEEKNUM(A1992, 2))</f>
        <v/>
      </c>
    </row>
    <row r="1993">
      <c r="M1993">
        <f>IF(A1993="","", _xludf.WEEKNUM(A1993, 2))</f>
        <v/>
      </c>
    </row>
    <row r="1994">
      <c r="M1994">
        <f>IF(A1994="","", _xludf.WEEKNUM(A1994, 2))</f>
        <v/>
      </c>
    </row>
    <row r="1995">
      <c r="M1995">
        <f>IF(A1995="","", _xludf.WEEKNUM(A1995, 2))</f>
        <v/>
      </c>
    </row>
    <row r="1996">
      <c r="M1996">
        <f>IF(A1996="","", _xludf.WEEKNUM(A1996, 2))</f>
        <v/>
      </c>
    </row>
    <row r="1997">
      <c r="M1997">
        <f>IF(A1997="","", _xludf.WEEKNUM(A1997, 2))</f>
        <v/>
      </c>
    </row>
    <row r="1998">
      <c r="M1998">
        <f>IF(A1998="","", _xludf.WEEKNUM(A1998, 2))</f>
        <v/>
      </c>
    </row>
    <row r="1999">
      <c r="M1999">
        <f>IF(A1999="","", _xludf.WEEKNUM(A1999, 2))</f>
        <v/>
      </c>
    </row>
    <row r="2000">
      <c r="M2000">
        <f>IF(A2000="","", _xludf.WEEKNUM(A2000, 2))</f>
        <v/>
      </c>
    </row>
  </sheetData>
  <mergeCells count="1">
    <mergeCell ref="A1:L1"/>
  </mergeCells>
  <dataValidations count="1">
    <dataValidation sqref="B24:B50" showDropDown="0" showInputMessage="1" showErrorMessage="1" allowBlank="1" prompt="undefined - undefined" type="list">
      <formula1>"Entrada,Salida"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10"/>
  <sheetViews>
    <sheetView zoomScale="71" workbookViewId="0">
      <selection activeCell="N234" sqref="N234"/>
    </sheetView>
  </sheetViews>
  <sheetFormatPr baseColWidth="10" defaultColWidth="8.796875" defaultRowHeight="13.8"/>
  <cols>
    <col width="13" customWidth="1" style="17580" min="1" max="1"/>
    <col width="20" customWidth="1" style="17580" min="2" max="2"/>
    <col width="17" customWidth="1" style="17580" min="3" max="3"/>
    <col width="64.296875" bestFit="1" customWidth="1" style="17580" min="4" max="4"/>
    <col width="14" customWidth="1" style="17580" min="5" max="6"/>
    <col width="12" customWidth="1" style="17580" min="7" max="7"/>
    <col width="14" customWidth="1" style="17580" min="8" max="8"/>
    <col width="25" customWidth="1" style="17580" min="9" max="9"/>
    <col width="16" customWidth="1" style="17580" min="10" max="10"/>
    <col width="30" customWidth="1" style="17580" min="11" max="11"/>
    <col hidden="1" width="13" customWidth="1" style="17580" min="13" max="13"/>
  </cols>
  <sheetData>
    <row r="1" ht="22.35" customHeight="1" s="17580">
      <c r="A1" s="17624" t="inlineStr">
        <is>
          <t>GC-COMB-003 | BITÁCORA DE CONTROL DE COMBUSTIBLE DE OBRA</t>
        </is>
      </c>
    </row>
    <row r="2">
      <c r="A2" t="inlineStr">
        <is>
          <t>Ingeniero:</t>
        </is>
      </c>
      <c r="C2" t="inlineStr">
        <is>
          <t>Semana:</t>
        </is>
      </c>
      <c r="E2" t="inlineStr">
        <is>
          <t>Fecha entrega:</t>
        </is>
      </c>
      <c r="G2" t="inlineStr">
        <is>
          <t>Obra:</t>
        </is>
      </c>
      <c r="I2" t="inlineStr">
        <is>
          <t>Costo/L base:</t>
        </is>
      </c>
    </row>
    <row r="4" ht="27.6" customHeight="1" s="17580">
      <c r="A4" s="1" t="inlineStr">
        <is>
          <t>Fecha</t>
        </is>
      </c>
      <c r="B4" s="1" t="inlineStr">
        <is>
          <t>Obra</t>
        </is>
      </c>
      <c r="C4" s="1" t="inlineStr">
        <is>
          <t>Fuente</t>
        </is>
      </c>
      <c r="D4" s="1" t="inlineStr">
        <is>
          <t>Equipo</t>
        </is>
      </c>
      <c r="E4" s="1" t="inlineStr">
        <is>
          <t>Económico</t>
        </is>
      </c>
      <c r="F4" s="1" t="inlineStr">
        <is>
          <t>Litros Recibidos</t>
        </is>
      </c>
      <c r="G4" s="1" t="inlineStr">
        <is>
          <t>Costo/L</t>
        </is>
      </c>
      <c r="H4" s="1" t="inlineStr">
        <is>
          <t>Importe</t>
        </is>
      </c>
      <c r="I4" s="1" t="inlineStr">
        <is>
          <t>Actividad Ejecutada</t>
        </is>
      </c>
      <c r="J4" s="1" t="inlineStr">
        <is>
          <t>Incidencia</t>
        </is>
      </c>
      <c r="K4" s="1" t="inlineStr">
        <is>
          <t>Observaciones</t>
        </is>
      </c>
      <c r="M4" t="inlineStr">
        <is>
          <t>Semana (Helper)</t>
        </is>
      </c>
      <c r="N4" t="inlineStr">
        <is>
          <t>Folio Ticket (Auto)</t>
        </is>
      </c>
    </row>
    <row r="5">
      <c r="A5" s="17625" t="n">
        <v>46181</v>
      </c>
      <c r="B5" t="inlineStr">
        <is>
          <t>México-Toluca</t>
        </is>
      </c>
      <c r="C5" t="inlineStr">
        <is>
          <t>Marimba M-01</t>
        </is>
      </c>
      <c r="D5" t="inlineStr">
        <is>
          <t>Neuomatico</t>
        </is>
      </c>
      <c r="E5">
        <f>VLOOKUP(TablaObra[[#This Row],[Equipo]],Catalogos!$V$4:$W$64,2,FALSE)</f>
        <v/>
      </c>
      <c r="F5" s="3" t="n">
        <v>30</v>
      </c>
      <c r="G5" s="4" t="n">
        <v>27</v>
      </c>
      <c r="H5" s="4">
        <f>IFERROR(F5*G5,0)</f>
        <v/>
      </c>
      <c r="M5" t="n">
        <v>24</v>
      </c>
      <c r="N5">
        <f>IF(A5="","", "CO-" &amp; IFERROR(VLOOKUP(B5, Catalogos!$Z$4:$AA$20, 2, FALSE), "FOL") &amp; "-" &amp; _xludf.WEEKNUM(A5, 2) &amp; "-" &amp; TEXT(ROW(A1),"000"))</f>
        <v/>
      </c>
    </row>
    <row r="6">
      <c r="A6" s="17625" t="n">
        <v>46181</v>
      </c>
      <c r="B6" t="inlineStr">
        <is>
          <t>México-Toluca</t>
        </is>
      </c>
      <c r="C6" t="inlineStr">
        <is>
          <t>Marimba M-01</t>
        </is>
      </c>
      <c r="D6" t="inlineStr">
        <is>
          <t>Compactador</t>
        </is>
      </c>
      <c r="E6">
        <f>VLOOKUP(TablaObra[[#This Row],[Equipo]],Catalogos!$V$4:$W$64,2,FALSE)</f>
        <v/>
      </c>
      <c r="F6" s="3" t="n">
        <v>32</v>
      </c>
      <c r="G6" s="4" t="n">
        <v>27</v>
      </c>
      <c r="H6" s="4">
        <f>IFERROR(F6*G6,0)</f>
        <v/>
      </c>
      <c r="M6" t="n">
        <v>24</v>
      </c>
      <c r="N6">
        <f>IF(A6="","", "CO-" &amp; IFERROR(VLOOKUP(B6, Catalogos!$Z$4:$AA$20, 2, FALSE), "FOL") &amp; "-" &amp; _xludf.WEEKNUM(A6, 2) &amp; "-" &amp; TEXT(ROW(A2),"000"))</f>
        <v/>
      </c>
    </row>
    <row r="7">
      <c r="A7" s="17625" t="n">
        <v>46181</v>
      </c>
      <c r="B7" t="inlineStr">
        <is>
          <t>México-Toluca</t>
        </is>
      </c>
      <c r="C7" t="inlineStr">
        <is>
          <t>Marimba M-01</t>
        </is>
      </c>
      <c r="D7" t="inlineStr">
        <is>
          <t>Perfiladora</t>
        </is>
      </c>
      <c r="E7">
        <f>VLOOKUP(TablaObra[[#This Row],[Equipo]],Catalogos!$V$4:$W$64,2,FALSE)</f>
        <v/>
      </c>
      <c r="F7" s="3" t="n">
        <v>277</v>
      </c>
      <c r="G7" s="4" t="n">
        <v>27</v>
      </c>
      <c r="H7" s="4">
        <f>IFERROR(F7*G7,0)</f>
        <v/>
      </c>
      <c r="M7" t="n">
        <v>24</v>
      </c>
      <c r="N7">
        <f>IF(A7="","", "CO-" &amp; IFERROR(VLOOKUP(B7, Catalogos!$Z$4:$AA$20, 2, FALSE), "FOL") &amp; "-" &amp; _xludf.WEEKNUM(A7, 2) &amp; "-" &amp; TEXT(ROW(A3),"000"))</f>
        <v/>
      </c>
    </row>
    <row r="8">
      <c r="A8" s="17625" t="n">
        <v>46181</v>
      </c>
      <c r="B8" t="inlineStr">
        <is>
          <t>México-Toluca</t>
        </is>
      </c>
      <c r="C8" t="inlineStr">
        <is>
          <t>Marimba M-01</t>
        </is>
      </c>
      <c r="D8" t="inlineStr">
        <is>
          <t>Retroexcavadora</t>
        </is>
      </c>
      <c r="E8">
        <f>VLOOKUP(TablaObra[[#This Row],[Equipo]],Catalogos!$V$4:$W$64,2,FALSE)</f>
        <v/>
      </c>
      <c r="F8" s="3" t="n">
        <v>30</v>
      </c>
      <c r="G8" s="4" t="n">
        <v>27</v>
      </c>
      <c r="H8" s="4">
        <f>IFERROR(F8*G8,0)</f>
        <v/>
      </c>
      <c r="M8" t="n">
        <v>24</v>
      </c>
      <c r="N8">
        <f>IF(A8="","", "CO-" &amp; IFERROR(VLOOKUP(B8, Catalogos!$Z$4:$AA$20, 2, FALSE), "FOL") &amp; "-" &amp; _xludf.WEEKNUM(A8, 2) &amp; "-" &amp; TEXT(ROW(A4),"000"))</f>
        <v/>
      </c>
    </row>
    <row r="9">
      <c r="A9" s="17625" t="n">
        <v>46181</v>
      </c>
      <c r="B9" t="inlineStr">
        <is>
          <t>Lerma - Tres Marías</t>
        </is>
      </c>
      <c r="C9" t="inlineStr">
        <is>
          <t>Marimba M-01</t>
        </is>
      </c>
      <c r="D9" t="inlineStr">
        <is>
          <t>Vogel</t>
        </is>
      </c>
      <c r="E9">
        <f>VLOOKUP(TablaObra[[#This Row],[Equipo]],Catalogos!$V$4:$W$64,2,FALSE)</f>
        <v/>
      </c>
      <c r="F9" s="3" t="n">
        <v>97</v>
      </c>
      <c r="G9" s="4" t="n">
        <v>27</v>
      </c>
      <c r="H9" s="4">
        <f>IFERROR(F9*G9,0)</f>
        <v/>
      </c>
      <c r="M9" t="n">
        <v>24</v>
      </c>
      <c r="N9">
        <f>IF(A9="","", "CO-" &amp; IFERROR(VLOOKUP(B9, Catalogos!$Z$4:$AA$20, 2, FALSE), "FOL") &amp; "-" &amp; _xludf.WEEKNUM(A9, 2) &amp; "-" &amp; TEXT(ROW(A5),"000"))</f>
        <v/>
      </c>
    </row>
    <row r="10">
      <c r="A10" s="17625" t="n">
        <v>46181</v>
      </c>
      <c r="B10" t="inlineStr">
        <is>
          <t>Chamapa-Lechería</t>
        </is>
      </c>
      <c r="C10" t="inlineStr">
        <is>
          <t>Marimba M-01</t>
        </is>
      </c>
      <c r="D10" t="inlineStr">
        <is>
          <t>Perfiladora Wirgent</t>
        </is>
      </c>
      <c r="E10">
        <f>VLOOKUP(TablaObra[[#This Row],[Equipo]],Catalogos!$V$4:$W$64,2,FALSE)</f>
        <v/>
      </c>
      <c r="F10" s="3" t="n">
        <v>198</v>
      </c>
      <c r="G10" s="4" t="n">
        <v>27</v>
      </c>
      <c r="H10" s="4">
        <f>IFERROR(F10*G10,0)</f>
        <v/>
      </c>
      <c r="M10" t="n">
        <v>24</v>
      </c>
      <c r="N10">
        <f>IF(A10="","", "CO-" &amp; IFERROR(VLOOKUP(B10, Catalogos!$Z$4:$AA$20, 2, FALSE), "FOL") &amp; "-" &amp; _xludf.WEEKNUM(A10, 2) &amp; "-" &amp; TEXT(ROW(A6),"000"))</f>
        <v/>
      </c>
    </row>
    <row r="11">
      <c r="A11" s="17625" t="n">
        <v>46181</v>
      </c>
      <c r="B11" t="inlineStr">
        <is>
          <t>Chamapa-Lechería</t>
        </is>
      </c>
      <c r="C11" t="inlineStr">
        <is>
          <t>Marimba M-01</t>
        </is>
      </c>
      <c r="D11" t="inlineStr">
        <is>
          <t>Maxilihgs</t>
        </is>
      </c>
      <c r="E11">
        <f>VLOOKUP(TablaObra[[#This Row],[Equipo]],Catalogos!$V$4:$W$64,2,FALSE)</f>
        <v/>
      </c>
      <c r="F11" s="3" t="n">
        <v>10</v>
      </c>
      <c r="G11" s="4" t="n">
        <v>27</v>
      </c>
      <c r="H11" s="4">
        <f>IFERROR(F11*G11,0)</f>
        <v/>
      </c>
      <c r="M11" t="n">
        <v>24</v>
      </c>
      <c r="N11">
        <f>IF(A11="","", "CO-" &amp; IFERROR(VLOOKUP(B11, Catalogos!$Z$4:$AA$20, 2, FALSE), "FOL") &amp; "-" &amp; _xludf.WEEKNUM(A11, 2) &amp; "-" &amp; TEXT(ROW(A7),"000"))</f>
        <v/>
      </c>
    </row>
    <row r="12">
      <c r="A12" s="17625" t="n">
        <v>46181</v>
      </c>
      <c r="B12" t="inlineStr">
        <is>
          <t>Chamapa-Lechería</t>
        </is>
      </c>
      <c r="C12" t="inlineStr">
        <is>
          <t>Marimba M-01</t>
        </is>
      </c>
      <c r="D12" t="inlineStr">
        <is>
          <t>Neuomatico Dynapac</t>
        </is>
      </c>
      <c r="E12">
        <f>VLOOKUP(TablaObra[[#This Row],[Equipo]],Catalogos!$V$4:$W$64,2,FALSE)</f>
        <v/>
      </c>
      <c r="F12" s="3" t="n">
        <v>27</v>
      </c>
      <c r="G12" s="4" t="n">
        <v>27</v>
      </c>
      <c r="H12" s="4">
        <f>IFERROR(F12*G12,0)</f>
        <v/>
      </c>
      <c r="M12" t="n">
        <v>24</v>
      </c>
      <c r="N12">
        <f>IF(A12="","", "CO-" &amp; IFERROR(VLOOKUP(B12, Catalogos!$Z$4:$AA$20, 2, FALSE), "FOL") &amp; "-" &amp; _xludf.WEEKNUM(A12, 2) &amp; "-" &amp; TEXT(ROW(A8),"000"))</f>
        <v/>
      </c>
    </row>
    <row r="13">
      <c r="A13" s="17625" t="n">
        <v>46181</v>
      </c>
      <c r="B13" t="inlineStr">
        <is>
          <t>Chamapa-Lechería</t>
        </is>
      </c>
      <c r="C13" t="inlineStr">
        <is>
          <t>Marimba M-01</t>
        </is>
      </c>
      <c r="D13" t="inlineStr">
        <is>
          <t>Compresor</t>
        </is>
      </c>
      <c r="E13">
        <f>VLOOKUP(TablaObra[[#This Row],[Equipo]],Catalogos!$V$4:$W$64,2,FALSE)</f>
        <v/>
      </c>
      <c r="F13" s="3" t="n">
        <v>30</v>
      </c>
      <c r="G13" s="4" t="n">
        <v>27</v>
      </c>
      <c r="H13" s="4">
        <f>IFERROR(F13*G13,0)</f>
        <v/>
      </c>
      <c r="M13" t="n">
        <v>24</v>
      </c>
      <c r="N13">
        <f>IF(A13="","", "CO-" &amp; IFERROR(VLOOKUP(B13, Catalogos!$Z$4:$AA$20, 2, FALSE), "FOL") &amp; "-" &amp; _xludf.WEEKNUM(A13, 2) &amp; "-" &amp; TEXT(ROW(A9),"000"))</f>
        <v/>
      </c>
    </row>
    <row r="14">
      <c r="A14" s="17625" t="n">
        <v>46181</v>
      </c>
      <c r="B14" t="inlineStr">
        <is>
          <t>Chamapa-Lechería</t>
        </is>
      </c>
      <c r="C14" t="inlineStr">
        <is>
          <t>Marimba M-01</t>
        </is>
      </c>
      <c r="D14" t="inlineStr">
        <is>
          <t>Retroexcavadora Jonh Deere</t>
        </is>
      </c>
      <c r="E14">
        <f>VLOOKUP(TablaObra[[#This Row],[Equipo]],Catalogos!$V$4:$W$64,2,FALSE)</f>
        <v/>
      </c>
      <c r="F14" s="3" t="n">
        <v>40</v>
      </c>
      <c r="G14" s="4" t="n">
        <v>27</v>
      </c>
      <c r="H14" s="4">
        <f>IFERROR(F14*G14,0)</f>
        <v/>
      </c>
      <c r="M14" s="3" t="n">
        <v>24</v>
      </c>
      <c r="N14">
        <f>IF(A14="","", "CO-" &amp; IFERROR(VLOOKUP(B14, Catalogos!$Z$4:$AA$20, 2, FALSE), "FOL") &amp; "-" &amp; _xludf.WEEKNUM(A14, 2) &amp; "-" &amp; TEXT(ROW(A10),"000"))</f>
        <v/>
      </c>
    </row>
    <row r="15">
      <c r="A15" s="17625" t="n">
        <v>46181</v>
      </c>
      <c r="B15" t="inlineStr">
        <is>
          <t>Chamapa-Lechería</t>
        </is>
      </c>
      <c r="C15" t="inlineStr">
        <is>
          <t>Marimba M-01</t>
        </is>
      </c>
      <c r="D15" t="inlineStr">
        <is>
          <t>Vogele Guion</t>
        </is>
      </c>
      <c r="E15">
        <f>VLOOKUP(TablaObra[[#This Row],[Equipo]],Catalogos!$V$4:$W$64,2,FALSE)</f>
        <v/>
      </c>
      <c r="F15" s="3" t="n">
        <v>120</v>
      </c>
      <c r="G15" s="4" t="n">
        <v>27</v>
      </c>
      <c r="H15" s="4">
        <f>IFERROR(F15*G15,0)</f>
        <v/>
      </c>
      <c r="M15" t="n">
        <v>24</v>
      </c>
      <c r="N15">
        <f>IF(A15="","", "CO-" &amp; IFERROR(VLOOKUP(B15, Catalogos!$Z$4:$AA$20, 2, FALSE), "FOL") &amp; "-" &amp; _xludf.WEEKNUM(A15, 2) &amp; "-" &amp; TEXT(ROW(A11),"000"))</f>
        <v/>
      </c>
    </row>
    <row r="16">
      <c r="A16" s="17625" t="n">
        <v>46181</v>
      </c>
      <c r="B16" t="inlineStr">
        <is>
          <t>Chamapa-Lechería</t>
        </is>
      </c>
      <c r="C16" t="inlineStr">
        <is>
          <t>Marimba M-01</t>
        </is>
      </c>
      <c r="D16" t="inlineStr">
        <is>
          <t>Petrolizadora Elton</t>
        </is>
      </c>
      <c r="E16">
        <f>VLOOKUP(TablaObra[[#This Row],[Equipo]],Catalogos!$V$4:$W$64,2,FALSE)</f>
        <v/>
      </c>
      <c r="F16" s="3" t="n">
        <v>30</v>
      </c>
      <c r="G16" s="4" t="n">
        <v>27</v>
      </c>
      <c r="H16" s="4">
        <f>IFERROR(F16*G16,0)</f>
        <v/>
      </c>
      <c r="M16" t="n">
        <v>24</v>
      </c>
      <c r="N16">
        <f>IF(A16="","", "CO-" &amp; IFERROR(VLOOKUP(B16, Catalogos!$Z$4:$AA$20, 2, FALSE), "FOL") &amp; "-" &amp; _xludf.WEEKNUM(A16, 2) &amp; "-" &amp; TEXT(ROW(A12),"000"))</f>
        <v/>
      </c>
    </row>
    <row r="17">
      <c r="A17" s="17625" t="n">
        <v>46181</v>
      </c>
      <c r="B17" t="inlineStr">
        <is>
          <t>Bacheo Toluca</t>
        </is>
      </c>
      <c r="C17" t="inlineStr">
        <is>
          <t>Tanque Pegaso</t>
        </is>
      </c>
      <c r="D17" t="inlineStr">
        <is>
          <t>Bidones</t>
        </is>
      </c>
      <c r="E17">
        <f>VLOOKUP(TablaObra[[#This Row],[Equipo]],Catalogos!$V$4:$W$64,2,FALSE)</f>
        <v/>
      </c>
      <c r="F17" s="3" t="n">
        <v>100</v>
      </c>
      <c r="G17" s="4" t="n">
        <v>27</v>
      </c>
      <c r="H17" s="4">
        <f>IFERROR(F17*G17,0)</f>
        <v/>
      </c>
      <c r="M17" t="n">
        <v>24</v>
      </c>
      <c r="N17">
        <f>IF(A17="","", "CO-" &amp; IFERROR(VLOOKUP(B17, Catalogos!$Z$4:$AA$20, 2, FALSE), "FOL") &amp; "-" &amp; _xludf.WEEKNUM(A17, 2) &amp; "-" &amp; TEXT(ROW(A13),"000"))</f>
        <v/>
      </c>
    </row>
    <row r="18">
      <c r="A18" s="17625" t="n">
        <v>46181</v>
      </c>
      <c r="B18" t="inlineStr">
        <is>
          <t>Maquinaria Pegaso</t>
        </is>
      </c>
      <c r="C18" t="inlineStr">
        <is>
          <t>Tanque Pegaso</t>
        </is>
      </c>
      <c r="D18" t="inlineStr">
        <is>
          <t>Bidones</t>
        </is>
      </c>
      <c r="E18">
        <f>VLOOKUP(TablaObra[[#This Row],[Equipo]],Catalogos!$V$4:$W$64,2,FALSE)</f>
        <v/>
      </c>
      <c r="F18" s="3" t="n">
        <v>200</v>
      </c>
      <c r="G18" s="4" t="n">
        <v>27</v>
      </c>
      <c r="H18" s="4">
        <f>IFERROR(F18*G18,0)</f>
        <v/>
      </c>
      <c r="M18" t="n">
        <v>24</v>
      </c>
      <c r="N18">
        <f>IF(A18="","", "CO-" &amp; IFERROR(VLOOKUP(B18, Catalogos!$Z$4:$AA$20, 2, FALSE), "FOL") &amp; "-" &amp; _xludf.WEEKNUM(A18, 2) &amp; "-" &amp; TEXT(ROW(A14),"000"))</f>
        <v/>
      </c>
    </row>
    <row r="19">
      <c r="A19" s="17625" t="n">
        <v>46181</v>
      </c>
      <c r="B19" t="inlineStr">
        <is>
          <t>Maquinaria Pegaso</t>
        </is>
      </c>
      <c r="C19" t="inlineStr">
        <is>
          <t>Tanque Pegaso</t>
        </is>
      </c>
      <c r="D19" t="inlineStr">
        <is>
          <t>Bidones</t>
        </is>
      </c>
      <c r="E19">
        <f>VLOOKUP(TablaObra[[#This Row],[Equipo]],Catalogos!$V$4:$W$64,2,FALSE)</f>
        <v/>
      </c>
      <c r="F19" s="3" t="n">
        <v>209</v>
      </c>
      <c r="G19" s="4" t="n">
        <v>27</v>
      </c>
      <c r="H19" s="4">
        <f>IFERROR(F19*G19,0)</f>
        <v/>
      </c>
      <c r="M19" t="n">
        <v>24</v>
      </c>
      <c r="N19">
        <f>IF(A19="","", "CO-" &amp; IFERROR(VLOOKUP(B19, Catalogos!$Z$4:$AA$20, 2, FALSE), "FOL") &amp; "-" &amp; _xludf.WEEKNUM(A19, 2) &amp; "-" &amp; TEXT(ROW(A15),"000"))</f>
        <v/>
      </c>
    </row>
    <row r="20">
      <c r="A20" s="17625" t="n">
        <v>46182</v>
      </c>
      <c r="B20" t="inlineStr">
        <is>
          <t>Chamapa-Lechería</t>
        </is>
      </c>
      <c r="C20" t="inlineStr">
        <is>
          <t>Marimba M-01</t>
        </is>
      </c>
      <c r="D20" t="inlineStr">
        <is>
          <t>Barredora Broce</t>
        </is>
      </c>
      <c r="E20">
        <f>VLOOKUP(TablaObra[[#This Row],[Equipo]],Catalogos!$V$4:$W$64,2,FALSE)</f>
        <v/>
      </c>
      <c r="F20" s="3" t="n">
        <v>30</v>
      </c>
      <c r="G20" s="4" t="n">
        <v>27</v>
      </c>
      <c r="H20" s="4">
        <f>IFERROR(F20*G20,0)</f>
        <v/>
      </c>
      <c r="M20" t="n">
        <v>24</v>
      </c>
      <c r="N20">
        <f>IF(A20="","", "CO-" &amp; IFERROR(VLOOKUP(B20, Catalogos!$Z$4:$AA$20, 2, FALSE), "FOL") &amp; "-" &amp; _xludf.WEEKNUM(A20, 2) &amp; "-" &amp; TEXT(ROW(A16),"000"))</f>
        <v/>
      </c>
    </row>
    <row r="21">
      <c r="A21" s="17625" t="n">
        <v>46182</v>
      </c>
      <c r="B21" t="inlineStr">
        <is>
          <t>Chamapa-Lechería</t>
        </is>
      </c>
      <c r="C21" t="inlineStr">
        <is>
          <t>Marimba M-01</t>
        </is>
      </c>
      <c r="D21" t="inlineStr">
        <is>
          <t>Buggy Trasnfer</t>
        </is>
      </c>
      <c r="E21">
        <f>VLOOKUP(TablaObra[[#This Row],[Equipo]],Catalogos!$V$4:$W$64,2,FALSE)</f>
        <v/>
      </c>
      <c r="F21" s="3" t="n">
        <v>100</v>
      </c>
      <c r="G21" s="4" t="n">
        <v>27</v>
      </c>
      <c r="H21" s="4">
        <f>IFERROR(F21*G21,0)</f>
        <v/>
      </c>
      <c r="M21" t="n">
        <v>24</v>
      </c>
      <c r="N21">
        <f>IF(A21="","", "CO-" &amp; IFERROR(VLOOKUP(B21, Catalogos!$Z$4:$AA$20, 2, FALSE), "FOL") &amp; "-" &amp; _xludf.WEEKNUM(A21, 2) &amp; "-" &amp; TEXT(ROW(A17),"000"))</f>
        <v/>
      </c>
    </row>
    <row r="22">
      <c r="A22" s="17625" t="n">
        <v>46182</v>
      </c>
      <c r="B22" t="inlineStr">
        <is>
          <t>Chamapa-Lechería</t>
        </is>
      </c>
      <c r="C22" t="inlineStr">
        <is>
          <t>Marimba M-01</t>
        </is>
      </c>
      <c r="D22" t="inlineStr">
        <is>
          <t>Tandem Hamm</t>
        </is>
      </c>
      <c r="E22">
        <f>VLOOKUP(TablaObra[[#This Row],[Equipo]],Catalogos!$V$4:$W$64,2,FALSE)</f>
        <v/>
      </c>
      <c r="F22" s="3" t="n">
        <v>30</v>
      </c>
      <c r="G22" s="4" t="n">
        <v>27</v>
      </c>
      <c r="H22" s="4">
        <f>IFERROR(F22*G22,0)</f>
        <v/>
      </c>
      <c r="M22" t="n">
        <v>24</v>
      </c>
      <c r="N22">
        <f>IF(A22="","", "CO-" &amp; IFERROR(VLOOKUP(B22, Catalogos!$Z$4:$AA$20, 2, FALSE), "FOL") &amp; "-" &amp; _xludf.WEEKNUM(A22, 2) &amp; "-" &amp; TEXT(ROW(A18),"000"))</f>
        <v/>
      </c>
    </row>
    <row r="23">
      <c r="A23" s="17625" t="n">
        <v>46182</v>
      </c>
      <c r="B23" t="inlineStr">
        <is>
          <t>Chamapa-Lechería</t>
        </is>
      </c>
      <c r="C23" t="inlineStr">
        <is>
          <t>Marimba M-01</t>
        </is>
      </c>
      <c r="D23" t="inlineStr">
        <is>
          <t>Perfiladora Wirgent</t>
        </is>
      </c>
      <c r="E23">
        <f>VLOOKUP(TablaObra[[#This Row],[Equipo]],Catalogos!$V$4:$W$64,2,FALSE)</f>
        <v/>
      </c>
      <c r="F23" s="3" t="n">
        <v>150</v>
      </c>
      <c r="G23" s="4" t="n">
        <v>27</v>
      </c>
      <c r="H23" s="4">
        <f>IFERROR(F23*G23,0)</f>
        <v/>
      </c>
      <c r="M23" t="n">
        <v>24</v>
      </c>
      <c r="N23">
        <f>IF(A23="","", "CO-" &amp; IFERROR(VLOOKUP(B23, Catalogos!$Z$4:$AA$20, 2, FALSE), "FOL") &amp; "-" &amp; _xludf.WEEKNUM(A23, 2) &amp; "-" &amp; TEXT(ROW(A19),"000"))</f>
        <v/>
      </c>
    </row>
    <row r="24">
      <c r="A24" s="17625" t="n">
        <v>46182</v>
      </c>
      <c r="B24" t="inlineStr">
        <is>
          <t>Chamapa-Lechería</t>
        </is>
      </c>
      <c r="C24" t="inlineStr">
        <is>
          <t>Marimba M-01</t>
        </is>
      </c>
      <c r="D24" t="inlineStr">
        <is>
          <t>Petrolizadora Elton</t>
        </is>
      </c>
      <c r="E24">
        <f>VLOOKUP(TablaObra[[#This Row],[Equipo]],Catalogos!$V$4:$W$64,2,FALSE)</f>
        <v/>
      </c>
      <c r="F24" s="3" t="n">
        <v>50</v>
      </c>
      <c r="G24" s="4" t="n">
        <v>27</v>
      </c>
      <c r="H24" s="4">
        <f>IFERROR(F24*G24,0)</f>
        <v/>
      </c>
      <c r="M24" t="n">
        <v>24</v>
      </c>
      <c r="N24">
        <f>IF(A24="","", "CO-" &amp; IFERROR(VLOOKUP(B24, Catalogos!$Z$4:$AA$20, 2, FALSE), "FOL") &amp; "-" &amp; _xludf.WEEKNUM(A24, 2) &amp; "-" &amp; TEXT(ROW(A20),"000"))</f>
        <v/>
      </c>
    </row>
    <row r="25">
      <c r="A25" s="17625" t="n">
        <v>46182</v>
      </c>
      <c r="B25" t="inlineStr">
        <is>
          <t>Chamapa-Lechería</t>
        </is>
      </c>
      <c r="C25" t="inlineStr">
        <is>
          <t>Marimba M-01</t>
        </is>
      </c>
      <c r="D25" t="inlineStr">
        <is>
          <t>Vogele Guion</t>
        </is>
      </c>
      <c r="E25">
        <f>VLOOKUP(TablaObra[[#This Row],[Equipo]],Catalogos!$V$4:$W$64,2,FALSE)</f>
        <v/>
      </c>
      <c r="F25" s="3" t="n">
        <v>136</v>
      </c>
      <c r="G25" s="4" t="n">
        <v>27</v>
      </c>
      <c r="H25" s="4">
        <f>IFERROR(F25*G25,0)</f>
        <v/>
      </c>
      <c r="M25" t="n">
        <v>24</v>
      </c>
      <c r="N25">
        <f>IF(A25="","", "CO-" &amp; IFERROR(VLOOKUP(B25, Catalogos!$Z$4:$AA$20, 2, FALSE), "FOL") &amp; "-" &amp; _xludf.WEEKNUM(A25, 2) &amp; "-" &amp; TEXT(ROW(A21),"000"))</f>
        <v/>
      </c>
    </row>
    <row r="26">
      <c r="A26" s="17625" t="n">
        <v>46182</v>
      </c>
      <c r="B26" t="inlineStr">
        <is>
          <t>Chamapa-Lechería</t>
        </is>
      </c>
      <c r="C26" t="inlineStr">
        <is>
          <t>Marimba M-01</t>
        </is>
      </c>
      <c r="D26" t="inlineStr">
        <is>
          <t>Tandem Hamm</t>
        </is>
      </c>
      <c r="E26">
        <f>VLOOKUP(TablaObra[[#This Row],[Equipo]],Catalogos!$V$4:$W$64,2,FALSE)</f>
        <v/>
      </c>
      <c r="F26" s="3" t="n">
        <v>30</v>
      </c>
      <c r="G26" s="4" t="n">
        <v>27</v>
      </c>
      <c r="H26" s="4">
        <f>IFERROR(F26*G26,0)</f>
        <v/>
      </c>
      <c r="M26" t="n">
        <v>24</v>
      </c>
      <c r="N26">
        <f>IF(A26="","", "CO-" &amp; IFERROR(VLOOKUP(B26, Catalogos!$Z$4:$AA$20, 2, FALSE), "FOL") &amp; "-" &amp; _xludf.WEEKNUM(A26, 2) &amp; "-" &amp; TEXT(ROW(A22),"000"))</f>
        <v/>
      </c>
    </row>
    <row r="27">
      <c r="A27" s="17625" t="n">
        <v>46182</v>
      </c>
      <c r="B27" t="inlineStr">
        <is>
          <t>Chamapa-Lechería</t>
        </is>
      </c>
      <c r="C27" t="inlineStr">
        <is>
          <t>Marimba M-01</t>
        </is>
      </c>
      <c r="D27" t="inlineStr">
        <is>
          <t>Neuomatico</t>
        </is>
      </c>
      <c r="E27">
        <f>VLOOKUP(TablaObra[[#This Row],[Equipo]],Catalogos!$V$4:$W$64,2,FALSE)</f>
        <v/>
      </c>
      <c r="F27" s="3" t="n">
        <v>30</v>
      </c>
      <c r="G27" s="4" t="n">
        <v>27</v>
      </c>
      <c r="H27" s="4">
        <f>IFERROR(F27*G27,0)</f>
        <v/>
      </c>
      <c r="M27" t="n">
        <v>24</v>
      </c>
      <c r="N27">
        <f>IF(A27="","", "CO-" &amp; IFERROR(VLOOKUP(B27, Catalogos!$Z$4:$AA$20, 2, FALSE), "FOL") &amp; "-" &amp; _xludf.WEEKNUM(A27, 2) &amp; "-" &amp; TEXT(ROW(A23),"000"))</f>
        <v/>
      </c>
    </row>
    <row r="28">
      <c r="A28" s="17625" t="n">
        <v>46182</v>
      </c>
      <c r="B28" t="inlineStr">
        <is>
          <t>Chamapa-Lechería</t>
        </is>
      </c>
      <c r="C28" t="inlineStr">
        <is>
          <t>Marimba M-01</t>
        </is>
      </c>
      <c r="D28" t="inlineStr">
        <is>
          <t>Buggy Trasnfer</t>
        </is>
      </c>
      <c r="E28">
        <f>VLOOKUP(TablaObra[[#This Row],[Equipo]],Catalogos!$V$4:$W$64,2,FALSE)</f>
        <v/>
      </c>
      <c r="F28" s="3" t="n">
        <v>100</v>
      </c>
      <c r="G28" s="4" t="n">
        <v>27</v>
      </c>
      <c r="H28" s="4">
        <f>IFERROR(F28*G28,0)</f>
        <v/>
      </c>
      <c r="M28" t="n">
        <v>24</v>
      </c>
      <c r="N28">
        <f>IF(A28="","", "CO-" &amp; IFERROR(VLOOKUP(B28, Catalogos!$Z$4:$AA$20, 2, FALSE), "FOL") &amp; "-" &amp; _xludf.WEEKNUM(A28, 2) &amp; "-" &amp; TEXT(ROW(A24),"000"))</f>
        <v/>
      </c>
    </row>
    <row r="29">
      <c r="A29" s="17625" t="n">
        <v>46182</v>
      </c>
      <c r="B29" t="inlineStr">
        <is>
          <t>Chamapa-Lechería</t>
        </is>
      </c>
      <c r="C29" t="inlineStr">
        <is>
          <t>Marimba M-01</t>
        </is>
      </c>
      <c r="D29" t="inlineStr">
        <is>
          <t>Retroexcavadora Jonh Deere</t>
        </is>
      </c>
      <c r="E29">
        <f>VLOOKUP(TablaObra[[#This Row],[Equipo]],Catalogos!$V$4:$W$64,2,FALSE)</f>
        <v/>
      </c>
      <c r="F29" s="3" t="n">
        <v>60</v>
      </c>
      <c r="G29" s="4" t="n">
        <v>27</v>
      </c>
      <c r="H29" s="4">
        <f>IFERROR(F29*G29,0)</f>
        <v/>
      </c>
      <c r="M29" t="n">
        <v>24</v>
      </c>
      <c r="N29">
        <f>IF(A29="","", "CO-" &amp; IFERROR(VLOOKUP(B29, Catalogos!$Z$4:$AA$20, 2, FALSE), "FOL") &amp; "-" &amp; _xludf.WEEKNUM(A29, 2) &amp; "-" &amp; TEXT(ROW(A25),"000"))</f>
        <v/>
      </c>
    </row>
    <row r="30">
      <c r="A30" s="17625" t="n">
        <v>46182</v>
      </c>
      <c r="B30" t="inlineStr">
        <is>
          <t>Chamapa-Lechería</t>
        </is>
      </c>
      <c r="C30" t="inlineStr">
        <is>
          <t>Marimba M-01</t>
        </is>
      </c>
      <c r="D30" t="inlineStr">
        <is>
          <t>Compresor</t>
        </is>
      </c>
      <c r="E30">
        <f>VLOOKUP(TablaObra[[#This Row],[Equipo]],Catalogos!$V$4:$W$64,2,FALSE)</f>
        <v/>
      </c>
      <c r="F30" s="3" t="n">
        <v>20</v>
      </c>
      <c r="G30" s="4" t="n">
        <v>27</v>
      </c>
      <c r="H30" s="4">
        <f>IFERROR(F30*G30,0)</f>
        <v/>
      </c>
      <c r="M30" t="n">
        <v>24</v>
      </c>
      <c r="N30">
        <f>IF(A30="","", "CO-" &amp; IFERROR(VLOOKUP(B30, Catalogos!$Z$4:$AA$20, 2, FALSE), "FOL") &amp; "-" &amp; _xludf.WEEKNUM(A30, 2) &amp; "-" &amp; TEXT(ROW(A26),"000"))</f>
        <v/>
      </c>
    </row>
    <row r="31">
      <c r="A31" s="17625" t="n">
        <v>46182</v>
      </c>
      <c r="B31" t="inlineStr">
        <is>
          <t>Lerma - Tres Marías</t>
        </is>
      </c>
      <c r="C31" t="inlineStr">
        <is>
          <t>Tanque Pegaso</t>
        </is>
      </c>
      <c r="D31" t="inlineStr">
        <is>
          <t>Retroexcavadora</t>
        </is>
      </c>
      <c r="E31">
        <f>VLOOKUP(TablaObra[[#This Row],[Equipo]],Catalogos!$V$4:$W$64,2,FALSE)</f>
        <v/>
      </c>
      <c r="F31" s="3" t="n">
        <v>70</v>
      </c>
      <c r="G31" s="4" t="n">
        <v>27</v>
      </c>
      <c r="H31" s="4">
        <f>IFERROR(F31*G31,0)</f>
        <v/>
      </c>
      <c r="M31" t="n">
        <v>24</v>
      </c>
      <c r="N31">
        <f>IF(A31="","", "CO-" &amp; IFERROR(VLOOKUP(B31, Catalogos!$Z$4:$AA$20, 2, FALSE), "FOL") &amp; "-" &amp; _xludf.WEEKNUM(A31, 2) &amp; "-" &amp; TEXT(ROW(A27),"000"))</f>
        <v/>
      </c>
    </row>
    <row r="32">
      <c r="A32" s="17625" t="n">
        <v>46182</v>
      </c>
      <c r="B32" t="inlineStr">
        <is>
          <t>Lerma - Tres Marías</t>
        </is>
      </c>
      <c r="C32" t="inlineStr">
        <is>
          <t>Tanque Pegaso</t>
        </is>
      </c>
      <c r="D32" t="inlineStr">
        <is>
          <t>Doble Rodillo</t>
        </is>
      </c>
      <c r="E32">
        <f>VLOOKUP(TablaObra[[#This Row],[Equipo]],Catalogos!$V$4:$W$64,2,FALSE)</f>
        <v/>
      </c>
      <c r="F32" s="3" t="n">
        <v>50</v>
      </c>
      <c r="G32" s="4" t="n">
        <v>27</v>
      </c>
      <c r="H32" s="4">
        <f>IFERROR(F32*G32,0)</f>
        <v/>
      </c>
      <c r="M32" t="n">
        <v>24</v>
      </c>
      <c r="N32">
        <f>IF(A32="","", "CO-" &amp; IFERROR(VLOOKUP(B32, Catalogos!$Z$4:$AA$20, 2, FALSE), "FOL") &amp; "-" &amp; _xludf.WEEKNUM(A32, 2) &amp; "-" &amp; TEXT(ROW(A28),"000"))</f>
        <v/>
      </c>
    </row>
    <row r="33">
      <c r="A33" s="17625" t="n">
        <v>46182</v>
      </c>
      <c r="B33" t="inlineStr">
        <is>
          <t>Lerma - Tres Marías</t>
        </is>
      </c>
      <c r="C33" t="inlineStr">
        <is>
          <t>Tanque Pegaso</t>
        </is>
      </c>
      <c r="D33" t="inlineStr">
        <is>
          <t>Petrolizadora</t>
        </is>
      </c>
      <c r="E33">
        <f>VLOOKUP(TablaObra[[#This Row],[Equipo]],Catalogos!$V$4:$W$64,2,FALSE)</f>
        <v/>
      </c>
      <c r="F33" s="3" t="n">
        <v>60</v>
      </c>
      <c r="G33" s="4" t="n">
        <v>27</v>
      </c>
      <c r="H33" s="4">
        <f>IFERROR(F33*G33,0)</f>
        <v/>
      </c>
      <c r="M33" t="n">
        <v>24</v>
      </c>
      <c r="N33">
        <f>IF(A33="","", "CO-" &amp; IFERROR(VLOOKUP(B33, Catalogos!$Z$4:$AA$20, 2, FALSE), "FOL") &amp; "-" &amp; _xludf.WEEKNUM(A33, 2) &amp; "-" &amp; TEXT(ROW(A29),"000"))</f>
        <v/>
      </c>
    </row>
    <row r="34">
      <c r="A34" s="17625" t="n">
        <v>46183</v>
      </c>
      <c r="B34" t="inlineStr">
        <is>
          <t>México-Toluca</t>
        </is>
      </c>
      <c r="C34" t="inlineStr">
        <is>
          <t>Marimba M-01</t>
        </is>
      </c>
      <c r="D34" t="inlineStr">
        <is>
          <t>Barredora</t>
        </is>
      </c>
      <c r="E34">
        <f>VLOOKUP(TablaObra[[#This Row],[Equipo]],Catalogos!$V$4:$W$64,2,FALSE)</f>
        <v/>
      </c>
      <c r="F34" s="3" t="n">
        <v>20</v>
      </c>
      <c r="G34" s="4" t="n">
        <v>27</v>
      </c>
      <c r="H34" s="4">
        <f>IFERROR(F34*G34,0)</f>
        <v/>
      </c>
      <c r="M34" t="n">
        <v>24</v>
      </c>
      <c r="N34">
        <f>IF(A34="","", "CO-" &amp; IFERROR(VLOOKUP(B34, Catalogos!$Z$4:$AA$20, 2, FALSE), "FOL") &amp; "-" &amp; _xludf.WEEKNUM(A34, 2) &amp; "-" &amp; TEXT(ROW(A30),"000"))</f>
        <v/>
      </c>
    </row>
    <row r="35">
      <c r="A35" s="17625" t="n">
        <v>46183</v>
      </c>
      <c r="B35" t="inlineStr">
        <is>
          <t>México-Toluca</t>
        </is>
      </c>
      <c r="C35" t="inlineStr">
        <is>
          <t>Marimba M-01</t>
        </is>
      </c>
      <c r="D35" t="inlineStr">
        <is>
          <t>Perfiladora</t>
        </is>
      </c>
      <c r="E35">
        <f>VLOOKUP(TablaObra[[#This Row],[Equipo]],Catalogos!$V$4:$W$64,2,FALSE)</f>
        <v/>
      </c>
      <c r="F35" s="3" t="n">
        <v>250</v>
      </c>
      <c r="G35" s="4" t="n">
        <v>27</v>
      </c>
      <c r="H35" s="4">
        <f>IFERROR(F35*G35,0)</f>
        <v/>
      </c>
      <c r="M35" t="n">
        <v>24</v>
      </c>
      <c r="N35">
        <f>IF(A35="","", "CO-" &amp; IFERROR(VLOOKUP(B35, Catalogos!$Z$4:$AA$20, 2, FALSE), "FOL") &amp; "-" &amp; _xludf.WEEKNUM(A35, 2) &amp; "-" &amp; TEXT(ROW(A31),"000"))</f>
        <v/>
      </c>
    </row>
    <row r="36">
      <c r="A36" s="17625" t="n">
        <v>46183</v>
      </c>
      <c r="B36" t="inlineStr">
        <is>
          <t>México-Toluca</t>
        </is>
      </c>
      <c r="C36" t="inlineStr">
        <is>
          <t>Marimba M-01</t>
        </is>
      </c>
      <c r="D36" t="inlineStr">
        <is>
          <t>Retroexcavadora</t>
        </is>
      </c>
      <c r="E36">
        <f>VLOOKUP(TablaObra[[#This Row],[Equipo]],Catalogos!$V$4:$W$64,2,FALSE)</f>
        <v/>
      </c>
      <c r="F36" s="3" t="n">
        <v>30</v>
      </c>
      <c r="G36" s="4" t="n">
        <v>27</v>
      </c>
      <c r="H36" s="4">
        <f>IFERROR(F36*G36,0)</f>
        <v/>
      </c>
      <c r="M36" t="n">
        <v>24</v>
      </c>
      <c r="N36">
        <f>IF(A36="","", "CO-" &amp; IFERROR(VLOOKUP(B36, Catalogos!$Z$4:$AA$20, 2, FALSE), "FOL") &amp; "-" &amp; _xludf.WEEKNUM(A36, 2) &amp; "-" &amp; TEXT(ROW(A32),"000"))</f>
        <v/>
      </c>
    </row>
    <row r="37">
      <c r="A37" s="17625" t="n">
        <v>46183</v>
      </c>
      <c r="B37" t="inlineStr">
        <is>
          <t>Bacheo Toluca</t>
        </is>
      </c>
      <c r="C37" t="inlineStr">
        <is>
          <t>Tanque Pegaso</t>
        </is>
      </c>
      <c r="D37" t="inlineStr">
        <is>
          <t>Bidones</t>
        </is>
      </c>
      <c r="E37">
        <f>VLOOKUP(TablaObra[[#This Row],[Equipo]],Catalogos!$V$4:$W$64,2,FALSE)</f>
        <v/>
      </c>
      <c r="F37" s="3" t="n">
        <v>100</v>
      </c>
      <c r="G37" s="4" t="n">
        <v>27</v>
      </c>
      <c r="H37" s="4">
        <f>IFERROR(F37*G37,0)</f>
        <v/>
      </c>
      <c r="M37" t="n">
        <v>24</v>
      </c>
      <c r="N37">
        <f>IF(A37="","", "CO-" &amp; IFERROR(VLOOKUP(B37, Catalogos!$Z$4:$AA$20, 2, FALSE), "FOL") &amp; "-" &amp; _xludf.WEEKNUM(A37, 2) &amp; "-" &amp; TEXT(ROW(A33),"000"))</f>
        <v/>
      </c>
    </row>
    <row r="38">
      <c r="A38" s="17625" t="n">
        <v>46184</v>
      </c>
      <c r="B38" t="inlineStr">
        <is>
          <t>México-Toluca</t>
        </is>
      </c>
      <c r="C38" t="inlineStr">
        <is>
          <t>Marimba M-01</t>
        </is>
      </c>
      <c r="D38" t="inlineStr">
        <is>
          <t>Compactador</t>
        </is>
      </c>
      <c r="E38">
        <f>VLOOKUP(TablaObra[[#This Row],[Equipo]],Catalogos!$V$4:$W$64,2,FALSE)</f>
        <v/>
      </c>
      <c r="F38" s="3" t="n">
        <v>30</v>
      </c>
      <c r="G38" s="4" t="n">
        <v>27</v>
      </c>
      <c r="H38" s="4">
        <f>IFERROR(F38*G38,0)</f>
        <v/>
      </c>
      <c r="K38" t="inlineStr">
        <is>
          <t>Cuerpo a (Pausada)</t>
        </is>
      </c>
      <c r="M38" t="n">
        <v>24</v>
      </c>
      <c r="N38">
        <f>IF(A38="","", "CO-" &amp; IFERROR(VLOOKUP(B38, Catalogos!$Z$4:$AA$20, 2, FALSE), "FOL") &amp; "-" &amp; _xludf.WEEKNUM(A38, 2) &amp; "-" &amp; TEXT(ROW(A34),"000"))</f>
        <v/>
      </c>
    </row>
    <row r="39">
      <c r="A39" s="17625" t="n">
        <v>46184</v>
      </c>
      <c r="B39" t="inlineStr">
        <is>
          <t>México-Toluca</t>
        </is>
      </c>
      <c r="C39" t="inlineStr">
        <is>
          <t>Marimba M-01</t>
        </is>
      </c>
      <c r="D39" t="inlineStr">
        <is>
          <t>Neuomatico</t>
        </is>
      </c>
      <c r="E39">
        <f>VLOOKUP(TablaObra[[#This Row],[Equipo]],Catalogos!$V$4:$W$64,2,FALSE)</f>
        <v/>
      </c>
      <c r="F39" s="3" t="n">
        <v>30</v>
      </c>
      <c r="G39" s="4" t="n">
        <v>27</v>
      </c>
      <c r="H39" s="4">
        <f>IFERROR(F39*G39,0)</f>
        <v/>
      </c>
      <c r="K39" t="inlineStr">
        <is>
          <t>Cuerpo a (Pausada)</t>
        </is>
      </c>
      <c r="M39" t="n">
        <v>24</v>
      </c>
      <c r="N39">
        <f>IF(A39="","", "CO-" &amp; IFERROR(VLOOKUP(B39, Catalogos!$Z$4:$AA$20, 2, FALSE), "FOL") &amp; "-" &amp; _xludf.WEEKNUM(A39, 2) &amp; "-" &amp; TEXT(ROW(A35),"000"))</f>
        <v/>
      </c>
    </row>
    <row r="40">
      <c r="A40" s="17625" t="n">
        <v>46184</v>
      </c>
      <c r="B40" t="inlineStr">
        <is>
          <t>México-Toluca</t>
        </is>
      </c>
      <c r="C40" t="inlineStr">
        <is>
          <t>Marimba M-01</t>
        </is>
      </c>
      <c r="D40" t="inlineStr">
        <is>
          <t>Vogel</t>
        </is>
      </c>
      <c r="E40">
        <f>VLOOKUP(TablaObra[[#This Row],[Equipo]],Catalogos!$V$4:$W$64,2,FALSE)</f>
        <v/>
      </c>
      <c r="F40" s="3" t="n">
        <v>136</v>
      </c>
      <c r="G40" s="4" t="n">
        <v>27</v>
      </c>
      <c r="H40" s="4">
        <f>IFERROR(F40*G40,0)</f>
        <v/>
      </c>
      <c r="K40" t="inlineStr">
        <is>
          <t>Cuerpo a (Pausada)</t>
        </is>
      </c>
      <c r="M40" t="n">
        <v>24</v>
      </c>
      <c r="N40">
        <f>IF(A40="","", "CO-" &amp; IFERROR(VLOOKUP(B40, Catalogos!$Z$4:$AA$20, 2, FALSE), "FOL") &amp; "-" &amp; _xludf.WEEKNUM(A40, 2) &amp; "-" &amp; TEXT(ROW(A36),"000"))</f>
        <v/>
      </c>
    </row>
    <row r="41">
      <c r="A41" s="17625" t="n">
        <v>46184</v>
      </c>
      <c r="B41" t="inlineStr">
        <is>
          <t>México-Toluca</t>
        </is>
      </c>
      <c r="C41" t="inlineStr">
        <is>
          <t>Marimba M-01</t>
        </is>
      </c>
      <c r="D41" t="inlineStr">
        <is>
          <t>Barredora</t>
        </is>
      </c>
      <c r="E41">
        <f>VLOOKUP(TablaObra[[#This Row],[Equipo]],Catalogos!$V$4:$W$64,2,FALSE)</f>
        <v/>
      </c>
      <c r="F41" s="3" t="n">
        <v>20</v>
      </c>
      <c r="G41" s="4" t="n">
        <v>27</v>
      </c>
      <c r="H41" s="4">
        <f>IFERROR(F41*G41,0)</f>
        <v/>
      </c>
      <c r="K41" t="inlineStr">
        <is>
          <t>Cuerpo a (Pausada)</t>
        </is>
      </c>
      <c r="M41" t="n">
        <v>24</v>
      </c>
      <c r="N41">
        <f>IF(A41="","", "CO-" &amp; IFERROR(VLOOKUP(B41, Catalogos!$Z$4:$AA$20, 2, FALSE), "FOL") &amp; "-" &amp; _xludf.WEEKNUM(A41, 2) &amp; "-" &amp; TEXT(ROW(A37),"000"))</f>
        <v/>
      </c>
    </row>
    <row r="42">
      <c r="A42" s="17625" t="n">
        <v>46184</v>
      </c>
      <c r="B42" t="inlineStr">
        <is>
          <t>México-Toluca</t>
        </is>
      </c>
      <c r="C42" t="inlineStr">
        <is>
          <t>Marimba M-01</t>
        </is>
      </c>
      <c r="D42" t="inlineStr">
        <is>
          <t>Retroexcavadora</t>
        </is>
      </c>
      <c r="E42">
        <f>VLOOKUP(TablaObra[[#This Row],[Equipo]],Catalogos!$V$4:$W$64,2,FALSE)</f>
        <v/>
      </c>
      <c r="F42" s="3" t="n">
        <v>20</v>
      </c>
      <c r="G42" s="4" t="n">
        <v>27</v>
      </c>
      <c r="H42" s="4">
        <f>IFERROR(F42*G42,0)</f>
        <v/>
      </c>
      <c r="K42" t="inlineStr">
        <is>
          <t>Cuerpo a (Pausada)</t>
        </is>
      </c>
      <c r="M42" t="n">
        <v>24</v>
      </c>
      <c r="N42">
        <f>IF(A42="","", "CO-" &amp; IFERROR(VLOOKUP(B42, Catalogos!$Z$4:$AA$20, 2, FALSE), "FOL") &amp; "-" &amp; _xludf.WEEKNUM(A42, 2) &amp; "-" &amp; TEXT(ROW(A38),"000"))</f>
        <v/>
      </c>
    </row>
    <row r="43">
      <c r="A43" s="17625" t="n">
        <v>46184</v>
      </c>
      <c r="B43" t="inlineStr">
        <is>
          <t>México-Toluca</t>
        </is>
      </c>
      <c r="C43" t="inlineStr">
        <is>
          <t>Marimba M-01</t>
        </is>
      </c>
      <c r="D43" t="inlineStr">
        <is>
          <t>Maxilihgs</t>
        </is>
      </c>
      <c r="E43">
        <f>VLOOKUP(TablaObra[[#This Row],[Equipo]],Catalogos!$V$4:$W$64,2,FALSE)</f>
        <v/>
      </c>
      <c r="F43" s="3" t="n">
        <v>20</v>
      </c>
      <c r="G43" s="4" t="n">
        <v>27</v>
      </c>
      <c r="H43" s="4">
        <f>IFERROR(F43*G43,0)</f>
        <v/>
      </c>
      <c r="K43" t="inlineStr">
        <is>
          <t>Cuerpo a (Pausada)</t>
        </is>
      </c>
      <c r="M43" t="n">
        <v>24</v>
      </c>
      <c r="N43">
        <f>IF(A43="","", "CO-" &amp; IFERROR(VLOOKUP(B43, Catalogos!$Z$4:$AA$20, 2, FALSE), "FOL") &amp; "-" &amp; _xludf.WEEKNUM(A43, 2) &amp; "-" &amp; TEXT(ROW(A39),"000"))</f>
        <v/>
      </c>
    </row>
    <row r="44">
      <c r="A44" s="17625" t="n">
        <v>46184</v>
      </c>
      <c r="B44" t="inlineStr">
        <is>
          <t>Maquinaria Pegaso</t>
        </is>
      </c>
      <c r="C44" t="inlineStr">
        <is>
          <t>Tanque Pegaso</t>
        </is>
      </c>
      <c r="D44" t="inlineStr">
        <is>
          <t>PayLoder</t>
        </is>
      </c>
      <c r="E44">
        <f>VLOOKUP(TablaObra[[#This Row],[Equipo]],Catalogos!$V$4:$W$64,2,FALSE)</f>
        <v/>
      </c>
      <c r="F44" s="3" t="n">
        <v>238</v>
      </c>
      <c r="G44" s="4" t="n">
        <v>27</v>
      </c>
      <c r="H44" s="4">
        <f>IFERROR(F44*G44,0)</f>
        <v/>
      </c>
      <c r="M44" t="n">
        <v>24</v>
      </c>
      <c r="N44">
        <f>IF(A44="","", "CO-" &amp; IFERROR(VLOOKUP(B44, Catalogos!$Z$4:$AA$20, 2, FALSE), "FOL") &amp; "-" &amp; _xludf.WEEKNUM(A44, 2) &amp; "-" &amp; TEXT(ROW(A40),"000"))</f>
        <v/>
      </c>
    </row>
    <row r="45">
      <c r="A45" s="17625" t="n">
        <v>46184</v>
      </c>
      <c r="B45" t="inlineStr">
        <is>
          <t>Lerma - Tres Marías</t>
        </is>
      </c>
      <c r="C45" t="inlineStr">
        <is>
          <t>Tanque Pegaso</t>
        </is>
      </c>
      <c r="D45" t="inlineStr">
        <is>
          <t>Petrolizadora</t>
        </is>
      </c>
      <c r="E45">
        <f>VLOOKUP(TablaObra[[#This Row],[Equipo]],Catalogos!$V$4:$W$64,2,FALSE)</f>
        <v/>
      </c>
      <c r="F45" s="3" t="n">
        <v>80</v>
      </c>
      <c r="G45" s="4" t="n">
        <v>27</v>
      </c>
      <c r="H45" s="4">
        <f>IFERROR(F45*G45,0)</f>
        <v/>
      </c>
      <c r="M45" t="n">
        <v>24</v>
      </c>
      <c r="N45">
        <f>IF(A45="","", "CO-" &amp; IFERROR(VLOOKUP(B45, Catalogos!$Z$4:$AA$20, 2, FALSE), "FOL") &amp; "-" &amp; _xludf.WEEKNUM(A45, 2) &amp; "-" &amp; TEXT(ROW(A41),"000"))</f>
        <v/>
      </c>
    </row>
    <row r="46">
      <c r="A46" s="17625" t="n">
        <v>46184</v>
      </c>
      <c r="B46" t="inlineStr">
        <is>
          <t>Lerma - Tres Marías</t>
        </is>
      </c>
      <c r="C46" t="inlineStr">
        <is>
          <t>Tanque Pegaso</t>
        </is>
      </c>
      <c r="D46" t="inlineStr">
        <is>
          <t>Compresor</t>
        </is>
      </c>
      <c r="E46">
        <f>VLOOKUP(TablaObra[[#This Row],[Equipo]],Catalogos!$V$4:$W$64,2,FALSE)</f>
        <v/>
      </c>
      <c r="F46" s="3" t="n">
        <v>50</v>
      </c>
      <c r="G46" s="4" t="n">
        <v>27</v>
      </c>
      <c r="H46" s="4">
        <f>IFERROR(F46*G46,0)</f>
        <v/>
      </c>
      <c r="M46" t="n">
        <v>24</v>
      </c>
      <c r="N46">
        <f>IF(A46="","", "CO-" &amp; IFERROR(VLOOKUP(B46, Catalogos!$Z$4:$AA$20, 2, FALSE), "FOL") &amp; "-" &amp; _xludf.WEEKNUM(A46, 2) &amp; "-" &amp; TEXT(ROW(A42),"000"))</f>
        <v/>
      </c>
    </row>
    <row r="47">
      <c r="A47" s="17625" t="n">
        <v>46184</v>
      </c>
      <c r="B47" t="inlineStr">
        <is>
          <t>Lerma - Tres Marías</t>
        </is>
      </c>
      <c r="C47" t="inlineStr">
        <is>
          <t>Tanque Pegaso</t>
        </is>
      </c>
      <c r="D47" t="inlineStr">
        <is>
          <t>Retroexcavadora</t>
        </is>
      </c>
      <c r="E47">
        <f>VLOOKUP(TablaObra[[#This Row],[Equipo]],Catalogos!$V$4:$W$64,2,FALSE)</f>
        <v/>
      </c>
      <c r="F47" s="3" t="n">
        <v>70</v>
      </c>
      <c r="G47" s="4" t="n">
        <v>27</v>
      </c>
      <c r="H47" s="4">
        <f>IFERROR(F47*G47,0)</f>
        <v/>
      </c>
      <c r="M47" t="n">
        <v>24</v>
      </c>
      <c r="N47">
        <f>IF(A47="","", "CO-" &amp; IFERROR(VLOOKUP(B47, Catalogos!$Z$4:$AA$20, 2, FALSE), "FOL") &amp; "-" &amp; _xludf.WEEKNUM(A47, 2) &amp; "-" &amp; TEXT(ROW(A43),"000"))</f>
        <v/>
      </c>
    </row>
    <row r="48">
      <c r="A48" s="17625" t="n">
        <v>46184</v>
      </c>
      <c r="B48" t="inlineStr">
        <is>
          <t>Lerma - Tres Marías</t>
        </is>
      </c>
      <c r="C48" t="inlineStr">
        <is>
          <t>Tanque Pegaso</t>
        </is>
      </c>
      <c r="D48" t="inlineStr">
        <is>
          <t>Camion de Impacto</t>
        </is>
      </c>
      <c r="E48">
        <f>VLOOKUP(TablaObra[[#This Row],[Equipo]],Catalogos!$V$4:$W$64,2,FALSE)</f>
        <v/>
      </c>
      <c r="F48" s="3" t="n">
        <v>80</v>
      </c>
      <c r="G48" s="4" t="n">
        <v>27</v>
      </c>
      <c r="H48" s="4">
        <f>IFERROR(F48*G48,0)</f>
        <v/>
      </c>
      <c r="M48" t="n">
        <v>24</v>
      </c>
      <c r="N48">
        <f>IF(A48="","", "CO-" &amp; IFERROR(VLOOKUP(B48, Catalogos!$Z$4:$AA$20, 2, FALSE), "FOL") &amp; "-" &amp; _xludf.WEEKNUM(A48, 2) &amp; "-" &amp; TEXT(ROW(A44),"000"))</f>
        <v/>
      </c>
    </row>
    <row r="49">
      <c r="A49" s="17625" t="n">
        <v>46184</v>
      </c>
      <c r="B49" t="inlineStr">
        <is>
          <t>Lerma - Tres Marías</t>
        </is>
      </c>
      <c r="C49" t="inlineStr">
        <is>
          <t>Tanque Pegaso</t>
        </is>
      </c>
      <c r="D49" t="inlineStr">
        <is>
          <t>Vogel</t>
        </is>
      </c>
      <c r="E49">
        <f>VLOOKUP(TablaObra[[#This Row],[Equipo]],Catalogos!$V$4:$W$64,2,FALSE)</f>
        <v/>
      </c>
      <c r="F49" s="3" t="n">
        <v>185</v>
      </c>
      <c r="G49" s="4" t="n">
        <v>27</v>
      </c>
      <c r="H49" s="4">
        <f>IFERROR(F49*G49,0)</f>
        <v/>
      </c>
      <c r="M49" t="n">
        <v>24</v>
      </c>
      <c r="N49">
        <f>IF(A49="","", "CO-" &amp; IFERROR(VLOOKUP(B49, Catalogos!$Z$4:$AA$20, 2, FALSE), "FOL") &amp; "-" &amp; _xludf.WEEKNUM(A49, 2) &amp; "-" &amp; TEXT(ROW(A45),"000"))</f>
        <v/>
      </c>
    </row>
    <row r="50">
      <c r="A50" s="17625" t="n">
        <v>46184</v>
      </c>
      <c r="B50" t="inlineStr">
        <is>
          <t>Lerma - Tres Marías</t>
        </is>
      </c>
      <c r="C50" t="inlineStr">
        <is>
          <t>Tanque Pegaso</t>
        </is>
      </c>
      <c r="D50" t="inlineStr">
        <is>
          <t>Doble Rodillo</t>
        </is>
      </c>
      <c r="E50">
        <f>VLOOKUP(TablaObra[[#This Row],[Equipo]],Catalogos!$V$4:$W$64,2,FALSE)</f>
        <v/>
      </c>
      <c r="F50" s="3" t="n">
        <v>50</v>
      </c>
      <c r="G50" s="4" t="n">
        <v>27</v>
      </c>
      <c r="H50" s="4">
        <f>IFERROR(F50*G50,0)</f>
        <v/>
      </c>
      <c r="M50" t="n">
        <v>24</v>
      </c>
      <c r="N50">
        <f>IF(A50="","", "CO-" &amp; IFERROR(VLOOKUP(B50, Catalogos!$Z$4:$AA$20, 2, FALSE), "FOL") &amp; "-" &amp; _xludf.WEEKNUM(A50, 2) &amp; "-" &amp; TEXT(ROW(A46),"000"))</f>
        <v/>
      </c>
    </row>
    <row r="51">
      <c r="A51" s="17625" t="n">
        <v>46184</v>
      </c>
      <c r="B51" t="inlineStr">
        <is>
          <t>Lerma - Tres Marías</t>
        </is>
      </c>
      <c r="C51" t="inlineStr">
        <is>
          <t>Tanque Pegaso</t>
        </is>
      </c>
      <c r="D51" t="inlineStr">
        <is>
          <t>Doble Rodillo</t>
        </is>
      </c>
      <c r="E51">
        <f>VLOOKUP(TablaObra[[#This Row],[Equipo]],Catalogos!$V$4:$W$64,2,FALSE)</f>
        <v/>
      </c>
      <c r="F51" s="3" t="n">
        <v>40</v>
      </c>
      <c r="G51" s="4" t="n">
        <v>27</v>
      </c>
      <c r="H51" s="4">
        <f>IFERROR(F51*G51,0)</f>
        <v/>
      </c>
      <c r="M51" t="n">
        <v>24</v>
      </c>
      <c r="N51">
        <f>IF(A51="","", "CO-" &amp; IFERROR(VLOOKUP(B51, Catalogos!$Z$4:$AA$20, 2, FALSE), "FOL") &amp; "-" &amp; _xludf.WEEKNUM(A51, 2) &amp; "-" &amp; TEXT(ROW(A47),"000"))</f>
        <v/>
      </c>
    </row>
    <row r="52">
      <c r="A52" s="17625" t="n">
        <v>46184</v>
      </c>
      <c r="B52" t="inlineStr">
        <is>
          <t>Lerma - Tres Marías</t>
        </is>
      </c>
      <c r="C52" t="inlineStr">
        <is>
          <t>Tanque Pegaso</t>
        </is>
      </c>
      <c r="D52" t="inlineStr">
        <is>
          <t>Neuomatico</t>
        </is>
      </c>
      <c r="E52">
        <f>VLOOKUP(TablaObra[[#This Row],[Equipo]],Catalogos!$V$4:$W$64,2,FALSE)</f>
        <v/>
      </c>
      <c r="F52" s="3" t="n">
        <v>40</v>
      </c>
      <c r="G52" s="4" t="n">
        <v>27</v>
      </c>
      <c r="H52" s="4">
        <f>IFERROR(F52*G52,0)</f>
        <v/>
      </c>
      <c r="M52" t="n">
        <v>24</v>
      </c>
      <c r="N52">
        <f>IF(A52="","", "CO-" &amp; IFERROR(VLOOKUP(B52, Catalogos!$Z$4:$AA$20, 2, FALSE), "FOL") &amp; "-" &amp; _xludf.WEEKNUM(A52, 2) &amp; "-" &amp; TEXT(ROW(A48),"000"))</f>
        <v/>
      </c>
    </row>
    <row r="53">
      <c r="A53" s="17625" t="n">
        <v>46185</v>
      </c>
      <c r="B53" t="inlineStr">
        <is>
          <t>Chamapa-Lechería</t>
        </is>
      </c>
      <c r="C53" t="inlineStr">
        <is>
          <t>Marimba M-01</t>
        </is>
      </c>
      <c r="D53" t="inlineStr">
        <is>
          <t>Tandem Hamm</t>
        </is>
      </c>
      <c r="E53">
        <f>VLOOKUP(TablaObra[[#This Row],[Equipo]],Catalogos!$V$4:$W$64,2,FALSE)</f>
        <v/>
      </c>
      <c r="F53" s="3" t="n">
        <v>32</v>
      </c>
      <c r="G53" s="4" t="n">
        <v>27</v>
      </c>
      <c r="H53" s="4">
        <f>IFERROR(F53*G53,0)</f>
        <v/>
      </c>
      <c r="M53" t="n">
        <v>24</v>
      </c>
      <c r="N53">
        <f>IF(A53="","", "CO-" &amp; IFERROR(VLOOKUP(B53, Catalogos!$Z$4:$AA$20, 2, FALSE), "FOL") &amp; "-" &amp; _xludf.WEEKNUM(A53, 2) &amp; "-" &amp; TEXT(ROW(A49),"000"))</f>
        <v/>
      </c>
    </row>
    <row r="54">
      <c r="A54" s="17625" t="n">
        <v>46185</v>
      </c>
      <c r="B54" t="inlineStr">
        <is>
          <t>Chamapa-Lechería</t>
        </is>
      </c>
      <c r="C54" t="inlineStr">
        <is>
          <t>Marimba M-01</t>
        </is>
      </c>
      <c r="D54" t="inlineStr">
        <is>
          <t>Neuomatico Dynapac</t>
        </is>
      </c>
      <c r="E54">
        <f>VLOOKUP(TablaObra[[#This Row],[Equipo]],Catalogos!$V$4:$W$64,2,FALSE)</f>
        <v/>
      </c>
      <c r="F54" s="3" t="n">
        <v>30</v>
      </c>
      <c r="G54" s="4" t="n">
        <v>27</v>
      </c>
      <c r="H54" s="4">
        <f>IFERROR(F54*G54,0)</f>
        <v/>
      </c>
      <c r="M54" t="n">
        <v>24</v>
      </c>
      <c r="N54">
        <f>IF(A54="","", "CO-" &amp; IFERROR(VLOOKUP(B54, Catalogos!$Z$4:$AA$20, 2, FALSE), "FOL") &amp; "-" &amp; _xludf.WEEKNUM(A54, 2) &amp; "-" &amp; TEXT(ROW(A50),"000"))</f>
        <v/>
      </c>
    </row>
    <row r="55">
      <c r="A55" s="17625" t="n">
        <v>46185</v>
      </c>
      <c r="B55" t="inlineStr">
        <is>
          <t>Chamapa-Lechería</t>
        </is>
      </c>
      <c r="C55" t="inlineStr">
        <is>
          <t>Marimba M-01</t>
        </is>
      </c>
      <c r="D55" t="inlineStr">
        <is>
          <t>Barredora Broce</t>
        </is>
      </c>
      <c r="E55">
        <f>VLOOKUP(TablaObra[[#This Row],[Equipo]],Catalogos!$V$4:$W$64,2,FALSE)</f>
        <v/>
      </c>
      <c r="F55" s="3" t="n">
        <v>30</v>
      </c>
      <c r="G55" s="4" t="n">
        <v>27</v>
      </c>
      <c r="H55" s="4">
        <f>IFERROR(F55*G55,0)</f>
        <v/>
      </c>
      <c r="M55" t="n">
        <v>24</v>
      </c>
      <c r="N55">
        <f>IF(A55="","", "CO-" &amp; IFERROR(VLOOKUP(B55, Catalogos!$Z$4:$AA$20, 2, FALSE), "FOL") &amp; "-" &amp; _xludf.WEEKNUM(A55, 2) &amp; "-" &amp; TEXT(ROW(A51),"000"))</f>
        <v/>
      </c>
    </row>
    <row r="56">
      <c r="A56" s="17625" t="n">
        <v>46185</v>
      </c>
      <c r="B56" t="inlineStr">
        <is>
          <t>Chamapa-Lechería</t>
        </is>
      </c>
      <c r="C56" t="inlineStr">
        <is>
          <t>Marimba M-01</t>
        </is>
      </c>
      <c r="D56" t="inlineStr">
        <is>
          <t>Retroexcavadora Jonh Deere</t>
        </is>
      </c>
      <c r="E56">
        <f>VLOOKUP(TablaObra[[#This Row],[Equipo]],Catalogos!$V$4:$W$64,2,FALSE)</f>
        <v/>
      </c>
      <c r="F56" s="3" t="n">
        <v>50</v>
      </c>
      <c r="G56" s="4" t="n">
        <v>27</v>
      </c>
      <c r="H56" s="4">
        <f>IFERROR(F56*G56,0)</f>
        <v/>
      </c>
      <c r="M56" t="n">
        <v>24</v>
      </c>
      <c r="N56">
        <f>IF(A56="","", "CO-" &amp; IFERROR(VLOOKUP(B56, Catalogos!$Z$4:$AA$20, 2, FALSE), "FOL") &amp; "-" &amp; _xludf.WEEKNUM(A56, 2) &amp; "-" &amp; TEXT(ROW(A52),"000"))</f>
        <v/>
      </c>
    </row>
    <row r="57">
      <c r="A57" s="17625" t="n">
        <v>46185</v>
      </c>
      <c r="B57" t="inlineStr">
        <is>
          <t>Chamapa-Lechería</t>
        </is>
      </c>
      <c r="C57" t="inlineStr">
        <is>
          <t>Marimba M-01</t>
        </is>
      </c>
      <c r="D57" t="inlineStr">
        <is>
          <t>Vogele Guion</t>
        </is>
      </c>
      <c r="E57">
        <f>VLOOKUP(TablaObra[[#This Row],[Equipo]],Catalogos!$V$4:$W$64,2,FALSE)</f>
        <v/>
      </c>
      <c r="F57" s="3" t="n">
        <v>120</v>
      </c>
      <c r="G57" s="4" t="n">
        <v>27</v>
      </c>
      <c r="H57" s="4">
        <f>IFERROR(F57*G57,0)</f>
        <v/>
      </c>
      <c r="M57" t="n">
        <v>24</v>
      </c>
      <c r="N57">
        <f>IF(A57="","", "CO-" &amp; IFERROR(VLOOKUP(B57, Catalogos!$Z$4:$AA$20, 2, FALSE), "FOL") &amp; "-" &amp; _xludf.WEEKNUM(A57, 2) &amp; "-" &amp; TEXT(ROW(A53),"000"))</f>
        <v/>
      </c>
    </row>
    <row r="58">
      <c r="A58" s="17625" t="n">
        <v>46185</v>
      </c>
      <c r="B58" t="inlineStr">
        <is>
          <t>Chamapa-Lechería</t>
        </is>
      </c>
      <c r="C58" t="inlineStr">
        <is>
          <t>Marimba M-01</t>
        </is>
      </c>
      <c r="D58" t="inlineStr">
        <is>
          <t>Petrolizadora Elton</t>
        </is>
      </c>
      <c r="E58">
        <f>VLOOKUP(TablaObra[[#This Row],[Equipo]],Catalogos!$V$4:$W$64,2,FALSE)</f>
        <v/>
      </c>
      <c r="F58" s="3" t="n">
        <v>40</v>
      </c>
      <c r="G58" s="4" t="n">
        <v>27</v>
      </c>
      <c r="H58" s="4">
        <f>IFERROR(F58*G58,0)</f>
        <v/>
      </c>
      <c r="M58" t="n">
        <v>24</v>
      </c>
      <c r="N58">
        <f>IF(A58="","", "CO-" &amp; IFERROR(VLOOKUP(B58, Catalogos!$Z$4:$AA$20, 2, FALSE), "FOL") &amp; "-" &amp; _xludf.WEEKNUM(A58, 2) &amp; "-" &amp; TEXT(ROW(A54),"000"))</f>
        <v/>
      </c>
    </row>
    <row r="59">
      <c r="A59" s="17625" t="n">
        <v>46185</v>
      </c>
      <c r="B59" t="inlineStr">
        <is>
          <t>Chamapa-Lechería</t>
        </is>
      </c>
      <c r="C59" t="inlineStr">
        <is>
          <t>Marimba M-01</t>
        </is>
      </c>
      <c r="D59" t="inlineStr">
        <is>
          <t>Perfiladora Wirgent</t>
        </is>
      </c>
      <c r="E59">
        <f>VLOOKUP(TablaObra[[#This Row],[Equipo]],Catalogos!$V$4:$W$64,2,FALSE)</f>
        <v/>
      </c>
      <c r="F59" s="3" t="n">
        <v>200</v>
      </c>
      <c r="G59" s="4" t="n">
        <v>27</v>
      </c>
      <c r="H59" s="4">
        <f>IFERROR(F59*G59,0)</f>
        <v/>
      </c>
      <c r="M59" t="n">
        <v>24</v>
      </c>
      <c r="N59">
        <f>IF(A59="","", "CO-" &amp; IFERROR(VLOOKUP(B59, Catalogos!$Z$4:$AA$20, 2, FALSE), "FOL") &amp; "-" &amp; _xludf.WEEKNUM(A59, 2) &amp; "-" &amp; TEXT(ROW(A55),"000"))</f>
        <v/>
      </c>
    </row>
    <row r="60">
      <c r="A60" s="17625" t="n">
        <v>46185</v>
      </c>
      <c r="B60" t="inlineStr">
        <is>
          <t>México-Toluca</t>
        </is>
      </c>
      <c r="C60" t="inlineStr">
        <is>
          <t>Marimba M-01</t>
        </is>
      </c>
      <c r="D60" t="inlineStr">
        <is>
          <t>Barredora</t>
        </is>
      </c>
      <c r="E60">
        <f>VLOOKUP(TablaObra[[#This Row],[Equipo]],Catalogos!$V$4:$W$64,2,FALSE)</f>
        <v/>
      </c>
      <c r="F60" s="3" t="n">
        <v>20</v>
      </c>
      <c r="G60" s="4" t="n">
        <v>27</v>
      </c>
      <c r="H60" s="4">
        <f>IFERROR(F60*G60,0)</f>
        <v/>
      </c>
      <c r="M60" t="n">
        <v>24</v>
      </c>
      <c r="N60">
        <f>IF(A60="","", "CO-" &amp; IFERROR(VLOOKUP(B60, Catalogos!$Z$4:$AA$20, 2, FALSE), "FOL") &amp; "-" &amp; _xludf.WEEKNUM(A60, 2) &amp; "-" &amp; TEXT(ROW(A56),"000"))</f>
        <v/>
      </c>
    </row>
    <row r="61">
      <c r="A61" s="17625" t="n">
        <v>46185</v>
      </c>
      <c r="B61" t="inlineStr">
        <is>
          <t>México-Toluca</t>
        </is>
      </c>
      <c r="C61" t="inlineStr">
        <is>
          <t>Marimba M-01</t>
        </is>
      </c>
      <c r="D61" t="inlineStr">
        <is>
          <t>Neuomatico</t>
        </is>
      </c>
      <c r="E61">
        <f>VLOOKUP(TablaObra[[#This Row],[Equipo]],Catalogos!$V$4:$W$64,2,FALSE)</f>
        <v/>
      </c>
      <c r="F61" s="3" t="n">
        <v>30</v>
      </c>
      <c r="G61" s="4" t="n">
        <v>27</v>
      </c>
      <c r="H61" s="4">
        <f>IFERROR(F61*G61,0)</f>
        <v/>
      </c>
      <c r="M61" t="n">
        <v>24</v>
      </c>
      <c r="N61">
        <f>IF(A61="","", "CO-" &amp; IFERROR(VLOOKUP(B61, Catalogos!$Z$4:$AA$20, 2, FALSE), "FOL") &amp; "-" &amp; _xludf.WEEKNUM(A61, 2) &amp; "-" &amp; TEXT(ROW(A57),"000"))</f>
        <v/>
      </c>
    </row>
    <row r="62">
      <c r="A62" s="17625" t="n">
        <v>46185</v>
      </c>
      <c r="B62" t="inlineStr">
        <is>
          <t>México-Toluca</t>
        </is>
      </c>
      <c r="C62" t="inlineStr">
        <is>
          <t>Marimba M-01</t>
        </is>
      </c>
      <c r="D62" t="inlineStr">
        <is>
          <t>Maxilihgs</t>
        </is>
      </c>
      <c r="E62">
        <f>VLOOKUP(TablaObra[[#This Row],[Equipo]],Catalogos!$V$4:$W$64,2,FALSE)</f>
        <v/>
      </c>
      <c r="F62" s="3" t="n">
        <v>20</v>
      </c>
      <c r="G62" s="4" t="n">
        <v>27</v>
      </c>
      <c r="H62" s="4">
        <f>IFERROR(F62*G62,0)</f>
        <v/>
      </c>
      <c r="M62" t="n">
        <v>24</v>
      </c>
      <c r="N62">
        <f>IF(A62="","", "CO-" &amp; IFERROR(VLOOKUP(B62, Catalogos!$Z$4:$AA$20, 2, FALSE), "FOL") &amp; "-" &amp; _xludf.WEEKNUM(A62, 2) &amp; "-" &amp; TEXT(ROW(A58),"000"))</f>
        <v/>
      </c>
    </row>
    <row r="63">
      <c r="A63" s="17625" t="n">
        <v>46185</v>
      </c>
      <c r="B63" t="inlineStr">
        <is>
          <t>México-Toluca</t>
        </is>
      </c>
      <c r="C63" t="inlineStr">
        <is>
          <t>Marimba M-01</t>
        </is>
      </c>
      <c r="D63" t="inlineStr">
        <is>
          <t>Compactador</t>
        </is>
      </c>
      <c r="E63">
        <f>VLOOKUP(TablaObra[[#This Row],[Equipo]],Catalogos!$V$4:$W$64,2,FALSE)</f>
        <v/>
      </c>
      <c r="F63" s="3" t="n">
        <v>40</v>
      </c>
      <c r="G63" s="4" t="n">
        <v>27</v>
      </c>
      <c r="H63" s="4">
        <f>IFERROR(F63*G63,0)</f>
        <v/>
      </c>
      <c r="M63" t="n">
        <v>24</v>
      </c>
      <c r="N63">
        <f>IF(A63="","", "CO-" &amp; IFERROR(VLOOKUP(B63, Catalogos!$Z$4:$AA$20, 2, FALSE), "FOL") &amp; "-" &amp; _xludf.WEEKNUM(A63, 2) &amp; "-" &amp; TEXT(ROW(A59),"000"))</f>
        <v/>
      </c>
    </row>
    <row r="64">
      <c r="A64" s="17625" t="n">
        <v>46185</v>
      </c>
      <c r="B64" t="inlineStr">
        <is>
          <t>México-Toluca</t>
        </is>
      </c>
      <c r="C64" t="inlineStr">
        <is>
          <t>Marimba M-01</t>
        </is>
      </c>
      <c r="D64" t="inlineStr">
        <is>
          <t>Perfiladora</t>
        </is>
      </c>
      <c r="E64">
        <f>VLOOKUP(TablaObra[[#This Row],[Equipo]],Catalogos!$V$4:$W$64,2,FALSE)</f>
        <v/>
      </c>
      <c r="F64" s="3" t="n">
        <v>250</v>
      </c>
      <c r="G64" s="4" t="n">
        <v>27</v>
      </c>
      <c r="H64" s="4">
        <f>IFERROR(F64*G64,0)</f>
        <v/>
      </c>
      <c r="M64" t="n">
        <v>24</v>
      </c>
      <c r="N64">
        <f>IF(A64="","", "CO-" &amp; IFERROR(VLOOKUP(B64, Catalogos!$Z$4:$AA$20, 2, FALSE), "FOL") &amp; "-" &amp; _xludf.WEEKNUM(A64, 2) &amp; "-" &amp; TEXT(ROW(A60),"000"))</f>
        <v/>
      </c>
    </row>
    <row r="65">
      <c r="A65" s="17625" t="n">
        <v>46188</v>
      </c>
      <c r="B65" t="inlineStr">
        <is>
          <t>México-Toluca</t>
        </is>
      </c>
      <c r="C65" t="inlineStr">
        <is>
          <t>Marimba M-01</t>
        </is>
      </c>
      <c r="D65" t="inlineStr">
        <is>
          <t>PERFILADORA WIRGENT-W200i</t>
        </is>
      </c>
      <c r="E65">
        <f>VLOOKUP(TablaObra[[#This Row],[Equipo]],Catalogos!$V$4:$W$64,2,FALSE)</f>
        <v/>
      </c>
      <c r="F65" s="3" t="n">
        <v>200</v>
      </c>
      <c r="G65" s="4" t="n">
        <v>27</v>
      </c>
      <c r="H65" s="4">
        <f>IFERROR(F65*G65,0)</f>
        <v/>
      </c>
      <c r="M65" t="n">
        <v>25</v>
      </c>
      <c r="N65">
        <f>IF(A65="","", "CO-" &amp; IFERROR(VLOOKUP(B65, Catalogos!$Z$4:$AA$20, 2, FALSE), "FOL") &amp; "-" &amp; _xludf.WEEKNUM(A65, 2) &amp; "-" &amp; TEXT(ROW(A61),"000"))</f>
        <v/>
      </c>
    </row>
    <row r="66">
      <c r="A66" s="17625" t="n">
        <v>46188</v>
      </c>
      <c r="B66" t="inlineStr">
        <is>
          <t>México-Toluca</t>
        </is>
      </c>
      <c r="C66" t="inlineStr">
        <is>
          <t>Marimba M-01</t>
        </is>
      </c>
      <c r="D66" t="inlineStr">
        <is>
          <t>RETROEXCAVADORA JHONDEREE 310SK</t>
        </is>
      </c>
      <c r="E66">
        <f>VLOOKUP(TablaObra[[#This Row],[Equipo]],Catalogos!$V$4:$W$64,2,FALSE)</f>
        <v/>
      </c>
      <c r="F66" s="3" t="n">
        <v>40</v>
      </c>
      <c r="G66" s="4" t="n">
        <v>27</v>
      </c>
      <c r="H66" s="4">
        <f>IFERROR(F66*G66,0)</f>
        <v/>
      </c>
      <c r="M66" t="n">
        <v>25</v>
      </c>
      <c r="N66">
        <f>IF(A66="","", "CO-" &amp; IFERROR(VLOOKUP(B66, Catalogos!$Z$4:$AA$20, 2, FALSE), "FOL") &amp; "-" &amp; _xludf.WEEKNUM(A66, 2) &amp; "-" &amp; TEXT(ROW(A62),"000"))</f>
        <v/>
      </c>
    </row>
    <row r="67">
      <c r="A67" s="17625" t="n">
        <v>46188</v>
      </c>
      <c r="B67" t="inlineStr">
        <is>
          <t>México-Toluca</t>
        </is>
      </c>
      <c r="C67" t="inlineStr">
        <is>
          <t>Marimba M-01</t>
        </is>
      </c>
      <c r="D67" t="inlineStr">
        <is>
          <t>TANDEM DOBLE RODILLO / VIBROCOMPACTOR RODILLO CAT CB54</t>
        </is>
      </c>
      <c r="E67">
        <f>VLOOKUP(TablaObra[[#This Row],[Equipo]],Catalogos!$V$4:$W$64,2,FALSE)</f>
        <v/>
      </c>
      <c r="F67" s="3" t="n">
        <v>30</v>
      </c>
      <c r="G67" s="4" t="n">
        <v>27</v>
      </c>
      <c r="H67" s="4">
        <f>IFERROR(F67*G67,0)</f>
        <v/>
      </c>
      <c r="M67" t="n">
        <v>25</v>
      </c>
      <c r="N67">
        <f>IF(A67="","", "CO-" &amp; IFERROR(VLOOKUP(B67, Catalogos!$Z$4:$AA$20, 2, FALSE), "FOL") &amp; "-" &amp; _xludf.WEEKNUM(A67, 2) &amp; "-" &amp; TEXT(ROW(A63),"000"))</f>
        <v/>
      </c>
    </row>
    <row r="68">
      <c r="A68" s="17625" t="n">
        <v>46188</v>
      </c>
      <c r="B68" t="inlineStr">
        <is>
          <t>México-Toluca</t>
        </is>
      </c>
      <c r="C68" t="inlineStr">
        <is>
          <t>Marimba M-01</t>
        </is>
      </c>
      <c r="D68" t="inlineStr">
        <is>
          <t>NEUMATICO VOLVO PT-240R</t>
        </is>
      </c>
      <c r="E68">
        <f>VLOOKUP(TablaObra[[#This Row],[Equipo]],Catalogos!$V$4:$W$64,2,FALSE)</f>
        <v/>
      </c>
      <c r="F68" s="3" t="n">
        <v>50</v>
      </c>
      <c r="G68" s="4" t="n">
        <v>27</v>
      </c>
      <c r="H68" s="4">
        <f>IFERROR(F68*G68,0)</f>
        <v/>
      </c>
      <c r="M68" t="n">
        <v>25</v>
      </c>
      <c r="N68">
        <f>IF(A68="","", "CO-" &amp; IFERROR(VLOOKUP(B68, Catalogos!$Z$4:$AA$20, 2, FALSE), "FOL") &amp; "-" &amp; _xludf.WEEKNUM(A68, 2) &amp; "-" &amp; TEXT(ROW(A64),"000"))</f>
        <v/>
      </c>
    </row>
    <row r="69">
      <c r="A69" s="3807" t="n">
        <v>46188</v>
      </c>
      <c r="B69" s="3808" t="inlineStr">
        <is>
          <t>Lerma - Tres Marías</t>
        </is>
      </c>
      <c r="C69" s="3808" t="inlineStr">
        <is>
          <t>Marimba M-01</t>
        </is>
      </c>
      <c r="D69" s="3808" t="inlineStr">
        <is>
          <t>PAVIMENTADORA  VOGELE 1800-3 i</t>
        </is>
      </c>
      <c r="E69" s="3808">
        <f>VLOOKUP(TablaObra[[#This Row],[Equipo]],Catalogos!$V$4:$W$64,2,FALSE)</f>
        <v/>
      </c>
      <c r="F69" s="3809" t="n">
        <v>73</v>
      </c>
      <c r="G69" s="4" t="n">
        <v>27</v>
      </c>
      <c r="H69" s="3811">
        <f>IFERROR(F69*G69,0)</f>
        <v/>
      </c>
      <c r="I69" s="3808" t="n"/>
      <c r="J69" s="3808" t="n"/>
      <c r="K69" s="3808" t="inlineStr">
        <is>
          <t>*</t>
        </is>
      </c>
      <c r="L69" s="3808" t="n"/>
      <c r="M69" s="3808" t="n">
        <v>25</v>
      </c>
      <c r="N69" s="3808">
        <f>IF(A69="","", "CO-" &amp; IFERROR(VLOOKUP(B69, Catalogos!$Z$4:$AA$20, 2, FALSE), "FOL") &amp; "-" &amp; _xludf.WEEKNUM(A69, 2) &amp; "-" &amp; TEXT(ROW(A65),"000"))</f>
        <v/>
      </c>
      <c r="O69" s="3808" t="n"/>
    </row>
    <row r="70">
      <c r="A70" s="17625" t="n">
        <v>46188</v>
      </c>
      <c r="B70" t="inlineStr">
        <is>
          <t>México-Toluca</t>
        </is>
      </c>
      <c r="C70" t="inlineStr">
        <is>
          <t>Marimba M-01</t>
        </is>
      </c>
      <c r="D70" t="inlineStr">
        <is>
          <t>PAVIMENTADORA  VOGELE SJ 1800-3</t>
        </is>
      </c>
      <c r="E70">
        <f>VLOOKUP(TablaObra[[#This Row],[Equipo]],Catalogos!$V$4:$W$64,2,FALSE)</f>
        <v/>
      </c>
      <c r="F70" s="3" t="n">
        <v>99</v>
      </c>
      <c r="G70" s="4" t="n">
        <v>27</v>
      </c>
      <c r="H70" s="4">
        <f>IFERROR(F70*G70,0)</f>
        <v/>
      </c>
      <c r="M70" t="n">
        <v>25</v>
      </c>
      <c r="N70">
        <f>IF(A70="","", "CO-" &amp; IFERROR(VLOOKUP(B70, Catalogos!$Z$4:$AA$20, 2, FALSE), "FOL") &amp; "-" &amp; _xludf.WEEKNUM(A70, 2) &amp; "-" &amp; TEXT(ROW(A66),"000"))</f>
        <v/>
      </c>
    </row>
    <row r="71">
      <c r="A71" s="17625" t="n">
        <v>46188</v>
      </c>
      <c r="B71" t="inlineStr">
        <is>
          <t>México-Toluca</t>
        </is>
      </c>
      <c r="C71" t="inlineStr">
        <is>
          <t>Marimba M-01</t>
        </is>
      </c>
      <c r="D71" t="inlineStr">
        <is>
          <t>PETROLIZADORA    INTERNATIONAL</t>
        </is>
      </c>
      <c r="E71">
        <f>VLOOKUP(TablaObra[[#This Row],[Equipo]],Catalogos!$V$4:$W$64,2,FALSE)</f>
        <v/>
      </c>
      <c r="F71" s="3" t="n">
        <v>50</v>
      </c>
      <c r="G71" s="4" t="n">
        <v>27</v>
      </c>
      <c r="H71" s="4">
        <f>IFERROR(F71*G71,0)</f>
        <v/>
      </c>
      <c r="M71" t="n">
        <v>25</v>
      </c>
      <c r="N71">
        <f>IF(A71="","", "CO-" &amp; IFERROR(VLOOKUP(B71, Catalogos!$Z$4:$AA$20, 2, FALSE), "FOL") &amp; "-" &amp; _xludf.WEEKNUM(A71, 2) &amp; "-" &amp; TEXT(ROW(A67),"000"))</f>
        <v/>
      </c>
    </row>
    <row r="72">
      <c r="A72" s="17625" t="n">
        <v>46188</v>
      </c>
      <c r="B72" t="inlineStr">
        <is>
          <t>Bacheo Toluca</t>
        </is>
      </c>
      <c r="C72" t="inlineStr">
        <is>
          <t>Tanque Pegaso</t>
        </is>
      </c>
      <c r="D72" t="inlineStr">
        <is>
          <t>Bidones</t>
        </is>
      </c>
      <c r="E72">
        <f>VLOOKUP(TablaObra[[#This Row],[Equipo]],Catalogos!$V$4:$W$64,2,FALSE)</f>
        <v/>
      </c>
      <c r="F72" s="3" t="n">
        <v>70</v>
      </c>
      <c r="G72" s="4" t="n">
        <v>27</v>
      </c>
      <c r="H72" s="4">
        <f>IFERROR(F72*G72,0)</f>
        <v/>
      </c>
      <c r="M72" t="n">
        <v>25</v>
      </c>
      <c r="N72">
        <f>IF(A72="","", "CO-" &amp; IFERROR(VLOOKUP(B72, Catalogos!$Z$4:$AA$20, 2, FALSE), "FOL") &amp; "-" &amp; _xludf.WEEKNUM(A72, 2) &amp; "-" &amp; TEXT(ROW(A68),"000"))</f>
        <v/>
      </c>
    </row>
    <row r="73">
      <c r="A73" s="17625" t="n">
        <v>46188</v>
      </c>
      <c r="B73" t="inlineStr">
        <is>
          <t>Lerma - Tres Marías</t>
        </is>
      </c>
      <c r="C73" t="inlineStr">
        <is>
          <t>Tanque Pegaso</t>
        </is>
      </c>
      <c r="D73" t="inlineStr">
        <is>
          <t>TANDEM DOBLE RODILLO / VIBROCOMPACTOR RODILLO CAT CB54</t>
        </is>
      </c>
      <c r="E73">
        <f>VLOOKUP(TablaObra[[#This Row],[Equipo]],Catalogos!$V$4:$W$64,2,FALSE)</f>
        <v/>
      </c>
      <c r="F73" s="3" t="n">
        <v>24</v>
      </c>
      <c r="G73" s="4" t="n">
        <v>27</v>
      </c>
      <c r="H73" s="4">
        <f>IFERROR(F73*G73,0)</f>
        <v/>
      </c>
      <c r="M73" t="n">
        <v>25</v>
      </c>
      <c r="N73">
        <f>IF(A73="","", "CO-" &amp; IFERROR(VLOOKUP(B73, Catalogos!$Z$4:$AA$20, 2, FALSE), "FOL") &amp; "-" &amp; _xludf.WEEKNUM(A73, 2) &amp; "-" &amp; TEXT(ROW(A69),"000"))</f>
        <v/>
      </c>
    </row>
    <row r="74">
      <c r="A74" s="17625" t="n">
        <v>46188</v>
      </c>
      <c r="B74" t="inlineStr">
        <is>
          <t>Maquinaria Pegaso</t>
        </is>
      </c>
      <c r="C74" t="inlineStr">
        <is>
          <t>Tanque Pegaso</t>
        </is>
      </c>
      <c r="D74" t="inlineStr">
        <is>
          <t>PayLoder</t>
        </is>
      </c>
      <c r="E74">
        <f>VLOOKUP(TablaObra[[#This Row],[Equipo]],Catalogos!$V$4:$W$64,2,FALSE)</f>
        <v/>
      </c>
      <c r="F74" s="3" t="n">
        <v>265</v>
      </c>
      <c r="G74" s="4" t="n">
        <v>27</v>
      </c>
      <c r="H74" s="4">
        <f>IFERROR(F74*G74,0)</f>
        <v/>
      </c>
      <c r="M74" t="n">
        <v>25</v>
      </c>
      <c r="N74">
        <f>IF(A74="","", "CO-" &amp; IFERROR(VLOOKUP(B74, Catalogos!$Z$4:$AA$20, 2, FALSE), "FOL") &amp; "-" &amp; _xludf.WEEKNUM(A74, 2) &amp; "-" &amp; TEXT(ROW(A70),"000"))</f>
        <v/>
      </c>
    </row>
    <row r="75">
      <c r="A75" s="17625" t="n">
        <v>46188</v>
      </c>
      <c r="B75" t="inlineStr">
        <is>
          <t>Bacheo Toluca</t>
        </is>
      </c>
      <c r="C75" t="inlineStr">
        <is>
          <t>Tanque Pegaso</t>
        </is>
      </c>
      <c r="D75" t="inlineStr">
        <is>
          <t>DOBLE RODILLO/VIBROCOMPACTADOR DE RODILLOS HAMM 140HD</t>
        </is>
      </c>
      <c r="E75">
        <f>VLOOKUP(TablaObra[[#This Row],[Equipo]],Catalogos!$V$4:$W$64,2,FALSE)</f>
        <v/>
      </c>
      <c r="F75" s="3" t="n">
        <v>33</v>
      </c>
      <c r="G75" s="4" t="n">
        <v>27</v>
      </c>
      <c r="H75" s="4">
        <f>IFERROR(F75*G75,0)</f>
        <v/>
      </c>
      <c r="M75" t="n">
        <v>25</v>
      </c>
      <c r="N75">
        <f>IF(A75="","", "CO-" &amp; IFERROR(VLOOKUP(B75, Catalogos!$Z$4:$AA$20, 2, FALSE), "FOL") &amp; "-" &amp; _xludf.WEEKNUM(A75, 2) &amp; "-" &amp; TEXT(ROW(A71),"000"))</f>
        <v/>
      </c>
    </row>
    <row r="76">
      <c r="A76" s="17625" t="n">
        <v>46188</v>
      </c>
      <c r="B76" t="inlineStr">
        <is>
          <t>Lerma - Tres Marías</t>
        </is>
      </c>
      <c r="C76" t="inlineStr">
        <is>
          <t>Tanque Pegaso</t>
        </is>
      </c>
      <c r="D76" t="inlineStr">
        <is>
          <t>PETROLIZADORA    INTERNATIONAL</t>
        </is>
      </c>
      <c r="E76">
        <f>VLOOKUP(TablaObra[[#This Row],[Equipo]],Catalogos!$V$4:$W$64,2,FALSE)</f>
        <v/>
      </c>
      <c r="F76" s="3" t="n">
        <v>60</v>
      </c>
      <c r="G76" s="4" t="n">
        <v>27</v>
      </c>
      <c r="H76" s="4">
        <f>IFERROR(F76*G76,0)</f>
        <v/>
      </c>
      <c r="M76" t="n">
        <v>25</v>
      </c>
      <c r="N76">
        <f>IF(A76="","", "CO-" &amp; IFERROR(VLOOKUP(B76, Catalogos!$Z$4:$AA$20, 2, FALSE), "FOL") &amp; "-" &amp; _xludf.WEEKNUM(A76, 2) &amp; "-" &amp; TEXT(ROW(A72),"000"))</f>
        <v/>
      </c>
    </row>
    <row r="77">
      <c r="A77" s="17625" t="n">
        <v>46188</v>
      </c>
      <c r="B77" t="inlineStr">
        <is>
          <t>Lerma - Tres Marías</t>
        </is>
      </c>
      <c r="C77" t="inlineStr">
        <is>
          <t>Tanque Pegaso</t>
        </is>
      </c>
      <c r="D77" t="inlineStr">
        <is>
          <t>BARREDORA LAYMOR SM400</t>
        </is>
      </c>
      <c r="E77">
        <f>VLOOKUP(TablaObra[[#This Row],[Equipo]],Catalogos!$V$4:$W$64,2,FALSE)</f>
        <v/>
      </c>
      <c r="F77" s="3" t="n">
        <v>52</v>
      </c>
      <c r="G77" s="4" t="n">
        <v>27</v>
      </c>
      <c r="H77" s="4">
        <f>IFERROR(F77*G77,0)</f>
        <v/>
      </c>
      <c r="M77" t="n">
        <v>25</v>
      </c>
      <c r="N77">
        <f>IF(A77="","", "CO-" &amp; IFERROR(VLOOKUP(B77, Catalogos!$Z$4:$AA$20, 2, FALSE), "FOL") &amp; "-" &amp; _xludf.WEEKNUM(A77, 2) &amp; "-" &amp; TEXT(ROW(A73),"000"))</f>
        <v/>
      </c>
    </row>
    <row r="78">
      <c r="A78" s="17625" t="n">
        <v>46188</v>
      </c>
      <c r="B78" t="inlineStr">
        <is>
          <t>Lerma - Tres Marías</t>
        </is>
      </c>
      <c r="C78" t="inlineStr">
        <is>
          <t>Tanque Pegaso</t>
        </is>
      </c>
      <c r="D78" t="inlineStr">
        <is>
          <t>Limpieza</t>
        </is>
      </c>
      <c r="E78">
        <f>VLOOKUP(TablaObra[[#This Row],[Equipo]],Catalogos!$V$4:$W$64,2,FALSE)</f>
        <v/>
      </c>
      <c r="F78" s="3" t="n">
        <v>25</v>
      </c>
      <c r="G78" s="4" t="n">
        <v>27</v>
      </c>
      <c r="H78" s="4">
        <f>IFERROR(F78*G78,0)</f>
        <v/>
      </c>
      <c r="M78" t="n">
        <v>25</v>
      </c>
      <c r="N78">
        <f>IF(A78="","", "CO-" &amp; IFERROR(VLOOKUP(B78, Catalogos!$Z$4:$AA$20, 2, FALSE), "FOL") &amp; "-" &amp; _xludf.WEEKNUM(A78, 2) &amp; "-" &amp; TEXT(ROW(A74),"000"))</f>
        <v/>
      </c>
    </row>
    <row r="79">
      <c r="A79" s="17625" t="n">
        <v>46188</v>
      </c>
      <c r="B79" t="inlineStr">
        <is>
          <t>Lerma - Tres Marías</t>
        </is>
      </c>
      <c r="C79" t="inlineStr">
        <is>
          <t>Tanque Pegaso</t>
        </is>
      </c>
      <c r="D79" t="inlineStr">
        <is>
          <t>RETROEXCAVADORA JHONDEREE 310SK</t>
        </is>
      </c>
      <c r="E79">
        <f>VLOOKUP(TablaObra[[#This Row],[Equipo]],Catalogos!$V$4:$W$64,2,FALSE)</f>
        <v/>
      </c>
      <c r="F79" s="3" t="n">
        <v>55</v>
      </c>
      <c r="G79" s="4" t="n">
        <v>27</v>
      </c>
      <c r="H79" s="4">
        <f>IFERROR(F79*G79,0)</f>
        <v/>
      </c>
      <c r="M79" t="n">
        <v>25</v>
      </c>
      <c r="N79">
        <f>IF(A79="","", "CO-" &amp; IFERROR(VLOOKUP(B79, Catalogos!$Z$4:$AA$20, 2, FALSE), "FOL") &amp; "-" &amp; _xludf.WEEKNUM(A79, 2) &amp; "-" &amp; TEXT(ROW(A75),"000"))</f>
        <v/>
      </c>
    </row>
    <row r="80">
      <c r="A80" s="17625" t="n">
        <v>46188</v>
      </c>
      <c r="B80" t="inlineStr">
        <is>
          <t>Bacheo Toluca</t>
        </is>
      </c>
      <c r="C80" t="inlineStr">
        <is>
          <t>Tanque Pegaso</t>
        </is>
      </c>
      <c r="D80" t="inlineStr">
        <is>
          <t>PERFILADORA RODATEC RX600E</t>
        </is>
      </c>
      <c r="E80">
        <f>VLOOKUP(TablaObra[[#This Row],[Equipo]],Catalogos!$V$4:$W$64,2,FALSE)</f>
        <v/>
      </c>
      <c r="F80" s="3" t="n">
        <v>200</v>
      </c>
      <c r="G80" s="4" t="n">
        <v>27</v>
      </c>
      <c r="H80" s="4">
        <f>IFERROR(F80*G80,0)</f>
        <v/>
      </c>
      <c r="M80" t="n">
        <v>25</v>
      </c>
      <c r="N80">
        <f>IF(A80="","", "CO-" &amp; IFERROR(VLOOKUP(B80, Catalogos!$Z$4:$AA$20, 2, FALSE), "FOL") &amp; "-" &amp; _xludf.WEEKNUM(A80, 2) &amp; "-" &amp; TEXT(ROW(A76),"000"))</f>
        <v/>
      </c>
    </row>
    <row r="81">
      <c r="A81" s="17625" t="n">
        <v>46188</v>
      </c>
      <c r="B81" t="inlineStr">
        <is>
          <t>Planta Asflato Huixquilucan</t>
        </is>
      </c>
      <c r="C81" t="inlineStr">
        <is>
          <t>BIDONES</t>
        </is>
      </c>
      <c r="D81" t="inlineStr">
        <is>
          <t>GENERADOR</t>
        </is>
      </c>
      <c r="E81">
        <f>VLOOKUP(TablaObra[[#This Row],[Equipo]],Catalogos!$V$4:$W$64,2,FALSE)</f>
        <v/>
      </c>
      <c r="F81" s="3" t="n">
        <v>300</v>
      </c>
      <c r="G81" s="4" t="n">
        <v>27</v>
      </c>
      <c r="H81" s="4">
        <f>IFERROR(F81*G81,0)</f>
        <v/>
      </c>
      <c r="M81" t="n">
        <v>25</v>
      </c>
      <c r="N81">
        <f>IF(A81="","", "CO-" &amp; IFERROR(VLOOKUP(B81, Catalogos!$Z$4:$AA$20, 2, FALSE), "FOL") &amp; "-" &amp; _xludf.WEEKNUM(A81, 2) &amp; "-" &amp; TEXT(ROW(A77),"000"))</f>
        <v/>
      </c>
    </row>
    <row r="82">
      <c r="A82" s="17625" t="n">
        <v>46188</v>
      </c>
      <c r="B82" t="inlineStr">
        <is>
          <t>Planta Asflato Huixquilucan</t>
        </is>
      </c>
      <c r="C82" t="inlineStr">
        <is>
          <t>BIDONES</t>
        </is>
      </c>
      <c r="D82" t="inlineStr">
        <is>
          <t>PAYLODER</t>
        </is>
      </c>
      <c r="E82">
        <f>VLOOKUP(TablaObra[[#This Row],[Equipo]],Catalogos!$V$4:$W$64,2,FALSE)</f>
        <v/>
      </c>
      <c r="F82" s="3" t="n">
        <v>100</v>
      </c>
      <c r="G82" s="4" t="n">
        <v>27</v>
      </c>
      <c r="H82" s="4">
        <f>IFERROR(F82*G82,0)</f>
        <v/>
      </c>
      <c r="M82" t="n">
        <v>25</v>
      </c>
      <c r="N82">
        <f>IF(A82="","", "CO-" &amp; IFERROR(VLOOKUP(B82, Catalogos!$Z$4:$AA$20, 2, FALSE), "FOL") &amp; "-" &amp; _xludf.WEEKNUM(A82, 2) &amp; "-" &amp; TEXT(ROW(A78),"000"))</f>
        <v/>
      </c>
    </row>
    <row r="83">
      <c r="A83" s="17625" t="n">
        <v>46188</v>
      </c>
      <c r="B83" t="inlineStr">
        <is>
          <t>Planta Asflato Huixquilucan</t>
        </is>
      </c>
      <c r="C83" t="inlineStr">
        <is>
          <t>BIDONES</t>
        </is>
      </c>
      <c r="D83" t="inlineStr">
        <is>
          <t>GENERADOR AMMANN</t>
        </is>
      </c>
      <c r="E83">
        <f>VLOOKUP(TablaObra[[#This Row],[Equipo]],Catalogos!$V$4:$W$64,2,FALSE)</f>
        <v/>
      </c>
      <c r="F83" s="3" t="n">
        <v>400</v>
      </c>
      <c r="G83" s="4" t="n">
        <v>27</v>
      </c>
      <c r="H83" s="4">
        <f>IFERROR(F83*G83,0)</f>
        <v/>
      </c>
      <c r="M83" t="n">
        <v>25</v>
      </c>
      <c r="N83">
        <f>IF(A83="","", "CO-" &amp; IFERROR(VLOOKUP(B83, Catalogos!$Z$4:$AA$20, 2, FALSE), "FOL") &amp; "-" &amp; _xludf.WEEKNUM(A83, 2) &amp; "-" &amp; TEXT(ROW(A79),"000"))</f>
        <v/>
      </c>
    </row>
    <row r="84">
      <c r="A84" s="17625" t="n">
        <v>46189</v>
      </c>
      <c r="B84" t="inlineStr">
        <is>
          <t>México-Toluca</t>
        </is>
      </c>
      <c r="C84" t="inlineStr">
        <is>
          <t>Marimba M-01</t>
        </is>
      </c>
      <c r="D84" t="inlineStr">
        <is>
          <t>PERFILADORA WIRGENT-W200i</t>
        </is>
      </c>
      <c r="E84">
        <f>VLOOKUP(TablaObra[[#This Row],[Equipo]],Catalogos!$V$4:$W$64,2,FALSE)</f>
        <v/>
      </c>
      <c r="F84" s="3" t="n">
        <v>200</v>
      </c>
      <c r="G84" s="4" t="n">
        <v>27</v>
      </c>
      <c r="H84" s="4">
        <f>IFERROR(F84*G84,0)</f>
        <v/>
      </c>
      <c r="M84" t="n">
        <v>25</v>
      </c>
      <c r="N84">
        <f>IF(A84="","", "CO-" &amp; IFERROR(VLOOKUP(B84, Catalogos!$Z$4:$AA$20, 2, FALSE), "FOL") &amp; "-" &amp; _xludf.WEEKNUM(A84, 2) &amp; "-" &amp; TEXT(ROW(A80),"000"))</f>
        <v/>
      </c>
    </row>
    <row r="85">
      <c r="A85" s="17625" t="n">
        <v>46189</v>
      </c>
      <c r="B85" t="inlineStr">
        <is>
          <t>México-Toluca</t>
        </is>
      </c>
      <c r="C85" t="inlineStr">
        <is>
          <t>Marimba M-01</t>
        </is>
      </c>
      <c r="D85" t="inlineStr">
        <is>
          <t>TANDEM DOBLE RODILLO / VIBROCOMPACTOR RODILLO CAT CB54</t>
        </is>
      </c>
      <c r="E85">
        <f>VLOOKUP(TablaObra[[#This Row],[Equipo]],Catalogos!$V$4:$W$64,2,FALSE)</f>
        <v/>
      </c>
      <c r="F85" s="3" t="n">
        <v>32</v>
      </c>
      <c r="G85" s="4" t="n">
        <v>27</v>
      </c>
      <c r="H85" s="4">
        <f>IFERROR(F85*G85,0)</f>
        <v/>
      </c>
      <c r="M85" t="n">
        <v>25</v>
      </c>
      <c r="N85">
        <f>IF(A85="","", "CO-" &amp; IFERROR(VLOOKUP(B85, Catalogos!$Z$4:$AA$20, 2, FALSE), "FOL") &amp; "-" &amp; _xludf.WEEKNUM(A85, 2) &amp; "-" &amp; TEXT(ROW(A81),"000"))</f>
        <v/>
      </c>
    </row>
    <row r="86">
      <c r="A86" s="17625" t="n">
        <v>46189</v>
      </c>
      <c r="B86" t="inlineStr">
        <is>
          <t>México-Toluca</t>
        </is>
      </c>
      <c r="C86" t="inlineStr">
        <is>
          <t>Marimba M-01</t>
        </is>
      </c>
      <c r="D86" t="inlineStr">
        <is>
          <t>NEUMATICO VOLVO PT-240R</t>
        </is>
      </c>
      <c r="E86">
        <f>VLOOKUP(TablaObra[[#This Row],[Equipo]],Catalogos!$V$4:$W$64,2,FALSE)</f>
        <v/>
      </c>
      <c r="F86" s="3" t="n">
        <v>30</v>
      </c>
      <c r="G86" s="4" t="n">
        <v>27</v>
      </c>
      <c r="H86" s="4">
        <f>IFERROR(F86*G86,0)</f>
        <v/>
      </c>
      <c r="M86" t="n">
        <v>25</v>
      </c>
      <c r="N86">
        <f>IF(A86="","", "CO-" &amp; IFERROR(VLOOKUP(B86, Catalogos!$Z$4:$AA$20, 2, FALSE), "FOL") &amp; "-" &amp; _xludf.WEEKNUM(A86, 2) &amp; "-" &amp; TEXT(ROW(A82),"000"))</f>
        <v/>
      </c>
    </row>
    <row r="87">
      <c r="A87" s="17625" t="n">
        <v>46189</v>
      </c>
      <c r="B87" t="inlineStr">
        <is>
          <t>México-Toluca</t>
        </is>
      </c>
      <c r="C87" t="inlineStr">
        <is>
          <t>Marimba M-01</t>
        </is>
      </c>
      <c r="D87" t="inlineStr">
        <is>
          <t>BARREDORA BROCE RJ350</t>
        </is>
      </c>
      <c r="E87">
        <f>VLOOKUP(TablaObra[[#This Row],[Equipo]],Catalogos!$V$4:$W$64,2,FALSE)</f>
        <v/>
      </c>
      <c r="F87" s="3" t="n">
        <v>30</v>
      </c>
      <c r="G87" s="4" t="n">
        <v>27</v>
      </c>
      <c r="H87" s="4">
        <f>IFERROR(F87*G87,0)</f>
        <v/>
      </c>
      <c r="M87" t="n">
        <v>25</v>
      </c>
      <c r="N87">
        <f>IF(A87="","", "CO-" &amp; IFERROR(VLOOKUP(B87, Catalogos!$Z$4:$AA$20, 2, FALSE), "FOL") &amp; "-" &amp; _xludf.WEEKNUM(A87, 2) &amp; "-" &amp; TEXT(ROW(A83),"000"))</f>
        <v/>
      </c>
    </row>
    <row r="88">
      <c r="A88" s="17625" t="n">
        <v>46189</v>
      </c>
      <c r="B88" t="inlineStr">
        <is>
          <t>México-Toluca</t>
        </is>
      </c>
      <c r="C88" t="inlineStr">
        <is>
          <t>Marimba M-01</t>
        </is>
      </c>
      <c r="D88" t="inlineStr">
        <is>
          <t>PAVIMENTADORA  VOGELE SJ 1800-3</t>
        </is>
      </c>
      <c r="E88">
        <f>VLOOKUP(TablaObra[[#This Row],[Equipo]],Catalogos!$V$4:$W$64,2,FALSE)</f>
        <v/>
      </c>
      <c r="F88" s="3" t="n">
        <v>107</v>
      </c>
      <c r="G88" s="4" t="n">
        <v>27</v>
      </c>
      <c r="H88" s="4">
        <f>IFERROR(F88*G88,0)</f>
        <v/>
      </c>
      <c r="M88" t="n">
        <v>25</v>
      </c>
      <c r="N88">
        <f>IF(A88="","", "CO-" &amp; IFERROR(VLOOKUP(B88, Catalogos!$Z$4:$AA$20, 2, FALSE), "FOL") &amp; "-" &amp; _xludf.WEEKNUM(A88, 2) &amp; "-" &amp; TEXT(ROW(A84),"000"))</f>
        <v/>
      </c>
    </row>
    <row r="89">
      <c r="A89" s="17625" t="n">
        <v>46189</v>
      </c>
      <c r="B89" t="inlineStr">
        <is>
          <t>México-Toluca</t>
        </is>
      </c>
      <c r="C89" t="inlineStr">
        <is>
          <t>Marimba M-01</t>
        </is>
      </c>
      <c r="D89" t="inlineStr">
        <is>
          <t>RETROEXCAVADORA JHONDEREE 310SK</t>
        </is>
      </c>
      <c r="E89">
        <f>VLOOKUP(TablaObra[[#This Row],[Equipo]],Catalogos!$V$4:$W$64,2,FALSE)</f>
        <v/>
      </c>
      <c r="F89" s="3" t="n">
        <v>40</v>
      </c>
      <c r="G89" s="4" t="n">
        <v>27</v>
      </c>
      <c r="H89" s="4">
        <f>IFERROR(F89*G89,0)</f>
        <v/>
      </c>
      <c r="M89" t="n">
        <v>25</v>
      </c>
      <c r="N89">
        <f>IF(A89="","", "CO-" &amp; IFERROR(VLOOKUP(B89, Catalogos!$Z$4:$AA$20, 2, FALSE), "FOL") &amp; "-" &amp; _xludf.WEEKNUM(A89, 2) &amp; "-" &amp; TEXT(ROW(A85),"000"))</f>
        <v/>
      </c>
    </row>
    <row r="90">
      <c r="A90" s="17625" t="n">
        <v>46189</v>
      </c>
      <c r="B90" t="inlineStr">
        <is>
          <t>México-Toluca</t>
        </is>
      </c>
      <c r="C90" t="inlineStr">
        <is>
          <t>Marimba M-01</t>
        </is>
      </c>
      <c r="D90" t="inlineStr">
        <is>
          <t>PETROLIZADORA    INTERNATIONAL</t>
        </is>
      </c>
      <c r="E90">
        <f>VLOOKUP(TablaObra[[#This Row],[Equipo]],Catalogos!$V$4:$W$64,2,FALSE)</f>
        <v/>
      </c>
      <c r="F90" s="3" t="n">
        <v>50</v>
      </c>
      <c r="G90" s="4" t="n">
        <v>27</v>
      </c>
      <c r="H90" s="4">
        <f>IFERROR(F90*G90,0)</f>
        <v/>
      </c>
      <c r="M90" t="n">
        <v>25</v>
      </c>
      <c r="N90">
        <f>IF(A90="","", "CO-" &amp; IFERROR(VLOOKUP(B90, Catalogos!$Z$4:$AA$20, 2, FALSE), "FOL") &amp; "-" &amp; _xludf.WEEKNUM(A90, 2) &amp; "-" &amp; TEXT(ROW(A86),"000"))</f>
        <v/>
      </c>
    </row>
    <row r="91">
      <c r="A91" s="17625" t="n">
        <v>46189</v>
      </c>
      <c r="B91" t="inlineStr">
        <is>
          <t>Lerma - Tres Marías</t>
        </is>
      </c>
      <c r="C91" t="inlineStr">
        <is>
          <t>Tanque Pegaso</t>
        </is>
      </c>
      <c r="D91" t="inlineStr">
        <is>
          <t>PIPA DE AGUA (IMPACTO 01) FORD</t>
        </is>
      </c>
      <c r="E91">
        <f>VLOOKUP(TablaObra[[#This Row],[Equipo]],Catalogos!$V$4:$W$64,2,FALSE)</f>
        <v/>
      </c>
      <c r="F91" s="3" t="n">
        <v>50</v>
      </c>
      <c r="G91" s="4" t="n">
        <v>27</v>
      </c>
      <c r="H91" s="4">
        <f>IFERROR(F91*G91,0)</f>
        <v/>
      </c>
      <c r="M91" t="n">
        <v>25</v>
      </c>
      <c r="N91">
        <f>IF(A91="","", "CO-" &amp; IFERROR(VLOOKUP(B91, Catalogos!$Z$4:$AA$20, 2, FALSE), "FOL") &amp; "-" &amp; _xludf.WEEKNUM(A91, 2) &amp; "-" &amp; TEXT(ROW(A87),"000"))</f>
        <v/>
      </c>
    </row>
    <row r="92">
      <c r="A92" s="17625" t="n">
        <v>46189</v>
      </c>
      <c r="B92" t="inlineStr">
        <is>
          <t>Maquinaria Pegaso</t>
        </is>
      </c>
      <c r="C92" t="inlineStr">
        <is>
          <t>Tanque Pegaso</t>
        </is>
      </c>
      <c r="D92" t="inlineStr">
        <is>
          <t>PETROLIZADORA    INTERNATIONAL</t>
        </is>
      </c>
      <c r="E92">
        <f>VLOOKUP(TablaObra[[#This Row],[Equipo]],Catalogos!$V$4:$W$64,2,FALSE)</f>
        <v/>
      </c>
      <c r="F92" s="3" t="n">
        <v>50</v>
      </c>
      <c r="G92" s="4" t="n">
        <v>27</v>
      </c>
      <c r="H92" s="4">
        <f>IFERROR(F92*G92,0)</f>
        <v/>
      </c>
      <c r="M92" t="n">
        <v>25</v>
      </c>
      <c r="N92">
        <f>IF(A92="","", "CO-" &amp; IFERROR(VLOOKUP(B92, Catalogos!$Z$4:$AA$20, 2, FALSE), "FOL") &amp; "-" &amp; _xludf.WEEKNUM(A92, 2) &amp; "-" &amp; TEXT(ROW(A88),"000"))</f>
        <v/>
      </c>
    </row>
    <row r="93">
      <c r="A93" s="17625" t="n">
        <v>46189</v>
      </c>
      <c r="B93" t="inlineStr">
        <is>
          <t>Maquinaria Pegaso</t>
        </is>
      </c>
      <c r="C93" t="inlineStr">
        <is>
          <t>Tanque Pegaso</t>
        </is>
      </c>
      <c r="D93" t="inlineStr">
        <is>
          <t>Bidones</t>
        </is>
      </c>
      <c r="E93">
        <f>VLOOKUP(TablaObra[[#This Row],[Equipo]],Catalogos!$V$4:$W$64,2,FALSE)</f>
        <v/>
      </c>
      <c r="F93" s="3" t="n">
        <v>1001</v>
      </c>
      <c r="G93" s="4" t="n">
        <v>27</v>
      </c>
      <c r="H93" s="4">
        <f>IFERROR(F93*G93,0)</f>
        <v/>
      </c>
      <c r="M93" t="n">
        <v>25</v>
      </c>
      <c r="N93">
        <f>IF(A93="","", "CO-" &amp; IFERROR(VLOOKUP(B93, Catalogos!$Z$4:$AA$20, 2, FALSE), "FOL") &amp; "-" &amp; _xludf.WEEKNUM(A93, 2) &amp; "-" &amp; TEXT(ROW(A89),"000"))</f>
        <v/>
      </c>
    </row>
    <row r="94">
      <c r="A94" s="17625" t="n">
        <v>46189</v>
      </c>
      <c r="B94" t="inlineStr">
        <is>
          <t>Lerma - Tres Marías</t>
        </is>
      </c>
      <c r="C94" t="inlineStr">
        <is>
          <t>Tanque Pegaso</t>
        </is>
      </c>
      <c r="D94" t="inlineStr">
        <is>
          <t>PERFILADORA RODATEC RX600-4-4008</t>
        </is>
      </c>
      <c r="E94">
        <f>VLOOKUP(TablaObra[[#This Row],[Equipo]],Catalogos!$V$4:$W$64,2,FALSE)</f>
        <v/>
      </c>
      <c r="F94" s="3" t="n">
        <v>350</v>
      </c>
      <c r="G94" s="4" t="n">
        <v>27</v>
      </c>
      <c r="H94" s="4">
        <f>IFERROR(F94*G94,0)</f>
        <v/>
      </c>
      <c r="M94" t="n">
        <v>25</v>
      </c>
      <c r="N94">
        <f>IF(A94="","", "CO-" &amp; IFERROR(VLOOKUP(B94, Catalogos!$Z$4:$AA$20, 2, FALSE), "FOL") &amp; "-" &amp; _xludf.WEEKNUM(A94, 2) &amp; "-" &amp; TEXT(ROW(A90),"000"))</f>
        <v/>
      </c>
    </row>
    <row r="95">
      <c r="A95" s="17625" t="n">
        <v>46189</v>
      </c>
      <c r="B95" t="inlineStr">
        <is>
          <t>Bacheo Toluca</t>
        </is>
      </c>
      <c r="C95" t="inlineStr">
        <is>
          <t>Tanque Pegaso</t>
        </is>
      </c>
      <c r="D95" t="inlineStr">
        <is>
          <t>PERFILADORA RODATEC RX600-4-4008</t>
        </is>
      </c>
      <c r="E95">
        <f>VLOOKUP(TablaObra[[#This Row],[Equipo]],Catalogos!$V$4:$W$64,2,FALSE)</f>
        <v/>
      </c>
      <c r="F95" s="3" t="n">
        <v>200</v>
      </c>
      <c r="G95" s="4" t="n">
        <v>27</v>
      </c>
      <c r="H95" s="4">
        <f>IFERROR(F95*G95,0)</f>
        <v/>
      </c>
      <c r="M95" t="n">
        <v>25</v>
      </c>
      <c r="N95">
        <f>IF(A95="","", "CO-" &amp; IFERROR(VLOOKUP(B95, Catalogos!$Z$4:$AA$20, 2, FALSE), "FOL") &amp; "-" &amp; _xludf.WEEKNUM(A95, 2) &amp; "-" &amp; TEXT(ROW(A91),"000"))</f>
        <v/>
      </c>
    </row>
    <row r="96">
      <c r="A96" s="17625" t="n">
        <v>46189</v>
      </c>
      <c r="B96" t="inlineStr">
        <is>
          <t>Lerma - Tres Marías</t>
        </is>
      </c>
      <c r="C96" t="inlineStr">
        <is>
          <t>Tanque Pegaso</t>
        </is>
      </c>
      <c r="D96" t="inlineStr">
        <is>
          <t>PIPA DE AGUA (IMPACTO 01) FORD</t>
        </is>
      </c>
      <c r="E96">
        <f>VLOOKUP(TablaObra[[#This Row],[Equipo]],Catalogos!$V$4:$W$64,2,FALSE)</f>
        <v/>
      </c>
      <c r="F96" s="3" t="n">
        <v>50</v>
      </c>
      <c r="G96" s="4" t="n">
        <v>27</v>
      </c>
      <c r="H96" s="4">
        <f>IFERROR(F96*G96,0)</f>
        <v/>
      </c>
      <c r="M96" t="n">
        <v>25</v>
      </c>
      <c r="N96">
        <f>IF(A96="","", "CO-" &amp; IFERROR(VLOOKUP(B96, Catalogos!$Z$4:$AA$20, 2, FALSE), "FOL") &amp; "-" &amp; _xludf.WEEKNUM(A96, 2) &amp; "-" &amp; TEXT(ROW(A92),"000"))</f>
        <v/>
      </c>
    </row>
    <row r="97">
      <c r="A97" s="17625" t="n">
        <v>46189</v>
      </c>
      <c r="B97" t="inlineStr">
        <is>
          <t>Lerma - Tres Marías</t>
        </is>
      </c>
      <c r="C97" t="inlineStr">
        <is>
          <t>Tanque Pegaso</t>
        </is>
      </c>
      <c r="D97" t="inlineStr">
        <is>
          <t>PAVIMENTADORA  VOGELE 1800-3 i</t>
        </is>
      </c>
      <c r="E97">
        <f>VLOOKUP(TablaObra[[#This Row],[Equipo]],Catalogos!$V$4:$W$64,2,FALSE)</f>
        <v/>
      </c>
      <c r="F97" s="3" t="n">
        <v>165</v>
      </c>
      <c r="G97" s="4" t="n">
        <v>27</v>
      </c>
      <c r="H97" s="4">
        <f>IFERROR(F97*G97,0)</f>
        <v/>
      </c>
      <c r="M97" t="n">
        <v>25</v>
      </c>
      <c r="N97">
        <f>IF(A97="","", "CO-" &amp; IFERROR(VLOOKUP(B97, Catalogos!$Z$4:$AA$20, 2, FALSE), "FOL") &amp; "-" &amp; _xludf.WEEKNUM(A97, 2) &amp; "-" &amp; TEXT(ROW(A93),"000"))</f>
        <v/>
      </c>
    </row>
    <row r="98">
      <c r="A98" s="17625" t="n">
        <v>46190</v>
      </c>
      <c r="B98" t="inlineStr">
        <is>
          <t>México-Toluca</t>
        </is>
      </c>
      <c r="C98" t="inlineStr">
        <is>
          <t>Marimba M-01</t>
        </is>
      </c>
      <c r="D98" t="inlineStr">
        <is>
          <t>PERFILADORA WIRGENT-W200i</t>
        </is>
      </c>
      <c r="E98">
        <f>VLOOKUP(TablaObra[[#This Row],[Equipo]],Catalogos!$V$4:$W$64,2,FALSE)</f>
        <v/>
      </c>
      <c r="F98" s="3" t="n">
        <v>200</v>
      </c>
      <c r="G98" s="4" t="n">
        <v>27</v>
      </c>
      <c r="H98" s="4">
        <f>IFERROR(F98*G98,0)</f>
        <v/>
      </c>
      <c r="M98" t="n">
        <v>25</v>
      </c>
      <c r="N98">
        <f>IF(A98="","", "CO-" &amp; IFERROR(VLOOKUP(B98, Catalogos!$Z$4:$AA$20, 2, FALSE), "FOL") &amp; "-" &amp; _xludf.WEEKNUM(A98, 2) &amp; "-" &amp; TEXT(ROW(A94),"000"))</f>
        <v/>
      </c>
    </row>
    <row r="99">
      <c r="A99" s="17625" t="n">
        <v>46190</v>
      </c>
      <c r="B99" t="inlineStr">
        <is>
          <t>México-Toluca</t>
        </is>
      </c>
      <c r="C99" t="inlineStr">
        <is>
          <t>Marimba M-01</t>
        </is>
      </c>
      <c r="D99" t="inlineStr">
        <is>
          <t>PAVIMENTADORA  VOGELE SJ 1800-3</t>
        </is>
      </c>
      <c r="E99">
        <f>VLOOKUP(TablaObra[[#This Row],[Equipo]],Catalogos!$V$4:$W$64,2,FALSE)</f>
        <v/>
      </c>
      <c r="F99" s="3" t="n">
        <v>120</v>
      </c>
      <c r="G99" s="4" t="n">
        <v>27</v>
      </c>
      <c r="H99" s="4">
        <f>IFERROR(F99*G99,0)</f>
        <v/>
      </c>
      <c r="M99" t="n">
        <v>25</v>
      </c>
      <c r="N99">
        <f>IF(A99="","", "CO-" &amp; IFERROR(VLOOKUP(B99, Catalogos!$Z$4:$AA$20, 2, FALSE), "FOL") &amp; "-" &amp; _xludf.WEEKNUM(A99, 2) &amp; "-" &amp; TEXT(ROW(A95),"000"))</f>
        <v/>
      </c>
    </row>
    <row r="100">
      <c r="A100" s="17625" t="n">
        <v>46190</v>
      </c>
      <c r="B100" t="inlineStr">
        <is>
          <t>México-Toluca</t>
        </is>
      </c>
      <c r="C100" t="inlineStr">
        <is>
          <t>Marimba M-01</t>
        </is>
      </c>
      <c r="D100" t="inlineStr">
        <is>
          <t>TANDEM DOBLE RODILLO / VIBROCOMPACTOR RODILLO CAT CB54</t>
        </is>
      </c>
      <c r="E100">
        <f>VLOOKUP(TablaObra[[#This Row],[Equipo]],Catalogos!$V$4:$W$64,2,FALSE)</f>
        <v/>
      </c>
      <c r="F100" s="3" t="n">
        <v>30</v>
      </c>
      <c r="G100" s="4" t="n">
        <v>27</v>
      </c>
      <c r="H100" s="4">
        <f>IFERROR(F100*G100,0)</f>
        <v/>
      </c>
      <c r="M100" t="n">
        <v>25</v>
      </c>
      <c r="N100">
        <f>IF(A100="","", "CO-" &amp; IFERROR(VLOOKUP(B100, Catalogos!$Z$4:$AA$20, 2, FALSE), "FOL") &amp; "-" &amp; _xludf.WEEKNUM(A100, 2) &amp; "-" &amp; TEXT(ROW(A96),"000"))</f>
        <v/>
      </c>
    </row>
    <row r="101">
      <c r="A101" s="17625" t="n">
        <v>46190</v>
      </c>
      <c r="B101" t="inlineStr">
        <is>
          <t>México-Toluca</t>
        </is>
      </c>
      <c r="C101" t="inlineStr">
        <is>
          <t>Marimba M-01</t>
        </is>
      </c>
      <c r="D101" t="inlineStr">
        <is>
          <t>NEUMATICO VOLVO PT-240R</t>
        </is>
      </c>
      <c r="E101">
        <f>VLOOKUP(TablaObra[[#This Row],[Equipo]],Catalogos!$V$4:$W$64,2,FALSE)</f>
        <v/>
      </c>
      <c r="F101" s="3" t="n">
        <v>30</v>
      </c>
      <c r="G101" s="4" t="n">
        <v>27</v>
      </c>
      <c r="H101" s="4">
        <f>IFERROR(F101*G101,0)</f>
        <v/>
      </c>
      <c r="M101" t="n">
        <v>25</v>
      </c>
      <c r="N101">
        <f>IF(A101="","", "CO-" &amp; IFERROR(VLOOKUP(B101, Catalogos!$Z$4:$AA$20, 2, FALSE), "FOL") &amp; "-" &amp; _xludf.WEEKNUM(A101, 2) &amp; "-" &amp; TEXT(ROW(A97),"000"))</f>
        <v/>
      </c>
    </row>
    <row r="102">
      <c r="A102" s="17625" t="n">
        <v>46190</v>
      </c>
      <c r="B102" t="inlineStr">
        <is>
          <t>México-Toluca</t>
        </is>
      </c>
      <c r="C102" t="inlineStr">
        <is>
          <t>Marimba M-01</t>
        </is>
      </c>
      <c r="D102" t="inlineStr">
        <is>
          <t>BARREDORA BROCE RJ350</t>
        </is>
      </c>
      <c r="E102">
        <f>VLOOKUP(TablaObra[[#This Row],[Equipo]],Catalogos!$V$4:$W$64,2,FALSE)</f>
        <v/>
      </c>
      <c r="F102" s="3" t="n">
        <v>28</v>
      </c>
      <c r="G102" s="4" t="n">
        <v>27</v>
      </c>
      <c r="H102" s="4">
        <f>IFERROR(F102*G102,0)</f>
        <v/>
      </c>
      <c r="M102" t="n">
        <v>25</v>
      </c>
      <c r="N102">
        <f>IF(A102="","", "CO-" &amp; IFERROR(VLOOKUP(B102, Catalogos!$Z$4:$AA$20, 2, FALSE), "FOL") &amp; "-" &amp; _xludf.WEEKNUM(A102, 2) &amp; "-" &amp; TEXT(ROW(A98),"000"))</f>
        <v/>
      </c>
    </row>
    <row r="103">
      <c r="A103" s="17625" t="n">
        <v>46190</v>
      </c>
      <c r="B103" t="inlineStr">
        <is>
          <t>México-Toluca</t>
        </is>
      </c>
      <c r="C103" t="inlineStr">
        <is>
          <t>Marimba M-01</t>
        </is>
      </c>
      <c r="D103" t="inlineStr">
        <is>
          <t>RETROEXCAVADORA JHONDEREE 310SK</t>
        </is>
      </c>
      <c r="E103">
        <f>VLOOKUP(TablaObra[[#This Row],[Equipo]],Catalogos!$V$4:$W$64,2,FALSE)</f>
        <v/>
      </c>
      <c r="F103" s="3" t="n">
        <v>60</v>
      </c>
      <c r="G103" s="4" t="n">
        <v>27</v>
      </c>
      <c r="H103" s="4">
        <f>IFERROR(F103*G103,0)</f>
        <v/>
      </c>
      <c r="M103" t="n">
        <v>25</v>
      </c>
      <c r="N103">
        <f>IF(A103="","", "CO-" &amp; IFERROR(VLOOKUP(B103, Catalogos!$Z$4:$AA$20, 2, FALSE), "FOL") &amp; "-" &amp; _xludf.WEEKNUM(A103, 2) &amp; "-" &amp; TEXT(ROW(A99),"000"))</f>
        <v/>
      </c>
    </row>
    <row r="104">
      <c r="A104" s="17625" t="n">
        <v>46190</v>
      </c>
      <c r="B104" t="inlineStr">
        <is>
          <t>Lerma - Tres Marías</t>
        </is>
      </c>
      <c r="C104" t="inlineStr">
        <is>
          <t>Tanque Pegaso</t>
        </is>
      </c>
      <c r="D104" t="inlineStr">
        <is>
          <t>IMPACTO FORD 4300</t>
        </is>
      </c>
      <c r="E104">
        <f>VLOOKUP(TablaObra[[#This Row],[Equipo]],Catalogos!$V$4:$W$64,2,FALSE)</f>
        <v/>
      </c>
      <c r="F104" s="3" t="n">
        <v>80</v>
      </c>
      <c r="G104" s="4" t="n">
        <v>27</v>
      </c>
      <c r="H104" s="4">
        <f>IFERROR(F104*G104,0)</f>
        <v/>
      </c>
      <c r="M104" t="n">
        <v>25</v>
      </c>
      <c r="N104">
        <f>IF(A104="","", "CO-" &amp; IFERROR(VLOOKUP(B104, Catalogos!$Z$4:$AA$20, 2, FALSE), "FOL") &amp; "-" &amp; _xludf.WEEKNUM(A104, 2) &amp; "-" &amp; TEXT(ROW(A100),"000"))</f>
        <v/>
      </c>
    </row>
    <row r="105">
      <c r="A105" s="17625" t="n">
        <v>46190</v>
      </c>
      <c r="B105" t="inlineStr">
        <is>
          <t>Bacheo Toluca</t>
        </is>
      </c>
      <c r="C105" t="inlineStr">
        <is>
          <t>Tanque Pegaso</t>
        </is>
      </c>
      <c r="D105" t="inlineStr">
        <is>
          <t>TANDEM DOBLE RODILLO / VIBROCOMPACTOR RODILLO CAT CB54</t>
        </is>
      </c>
      <c r="E105">
        <f>VLOOKUP(TablaObra[[#This Row],[Equipo]],Catalogos!$V$4:$W$64,2,FALSE)</f>
        <v/>
      </c>
      <c r="F105" s="3" t="n">
        <v>20</v>
      </c>
      <c r="G105" s="4" t="n">
        <v>27</v>
      </c>
      <c r="H105" s="4">
        <f>IFERROR(F105*G105,0)</f>
        <v/>
      </c>
      <c r="M105" t="n">
        <v>25</v>
      </c>
      <c r="N105">
        <f>IF(A105="","", "CO-" &amp; IFERROR(VLOOKUP(B105, Catalogos!$Z$4:$AA$20, 2, FALSE), "FOL") &amp; "-" &amp; _xludf.WEEKNUM(A105, 2) &amp; "-" &amp; TEXT(ROW(A101),"000"))</f>
        <v/>
      </c>
    </row>
    <row r="106">
      <c r="A106" s="17625" t="n">
        <v>46190</v>
      </c>
      <c r="B106" t="inlineStr">
        <is>
          <t>Planta Asflato Huixquilucan</t>
        </is>
      </c>
      <c r="C106" t="inlineStr">
        <is>
          <t>BIDONES</t>
        </is>
      </c>
      <c r="D106" t="inlineStr">
        <is>
          <t>GENERADOR</t>
        </is>
      </c>
      <c r="E106">
        <f>VLOOKUP(TablaObra[[#This Row],[Equipo]],Catalogos!$V$4:$W$64,2,FALSE)</f>
        <v/>
      </c>
      <c r="F106" s="3" t="n">
        <v>100</v>
      </c>
      <c r="G106" s="4" t="n">
        <v>27</v>
      </c>
      <c r="H106" s="4">
        <f>IFERROR(F106*G106,0)</f>
        <v/>
      </c>
      <c r="M106" t="n">
        <v>25</v>
      </c>
      <c r="N106">
        <f>IF(A106="","", "CO-" &amp; IFERROR(VLOOKUP(B106, Catalogos!$Z$4:$AA$20, 2, FALSE), "FOL") &amp; "-" &amp; _xludf.WEEKNUM(A106, 2) &amp; "-" &amp; TEXT(ROW(A102),"000"))</f>
        <v/>
      </c>
    </row>
    <row r="107">
      <c r="A107" s="17625" t="n">
        <v>46190</v>
      </c>
      <c r="B107" t="inlineStr">
        <is>
          <t>Planta Asflato Huixquilucan</t>
        </is>
      </c>
      <c r="C107" t="inlineStr">
        <is>
          <t>BIDONES</t>
        </is>
      </c>
      <c r="D107" t="inlineStr">
        <is>
          <t>GENERADOR AMMANN</t>
        </is>
      </c>
      <c r="E107">
        <f>VLOOKUP(TablaObra[[#This Row],[Equipo]],Catalogos!$V$4:$W$64,2,FALSE)</f>
        <v/>
      </c>
      <c r="F107" s="3" t="n">
        <v>200</v>
      </c>
      <c r="G107" s="4" t="n">
        <v>27</v>
      </c>
      <c r="H107" s="4">
        <f>IFERROR(F107*G107,0)</f>
        <v/>
      </c>
      <c r="M107" t="n">
        <v>25</v>
      </c>
      <c r="N107">
        <f>IF(A107="","", "CO-" &amp; IFERROR(VLOOKUP(B107, Catalogos!$Z$4:$AA$20, 2, FALSE), "FOL") &amp; "-" &amp; _xludf.WEEKNUM(A107, 2) &amp; "-" &amp; TEXT(ROW(A103),"000"))</f>
        <v/>
      </c>
    </row>
    <row r="108">
      <c r="A108" s="17625" t="n">
        <v>46191</v>
      </c>
      <c r="B108" t="inlineStr">
        <is>
          <t>México-Toluca</t>
        </is>
      </c>
      <c r="C108" t="inlineStr">
        <is>
          <t>Marimba M-01</t>
        </is>
      </c>
      <c r="D108" t="inlineStr">
        <is>
          <t>PERFILADORA WIRGENT-W200i</t>
        </is>
      </c>
      <c r="E108">
        <f>VLOOKUP(TablaObra[[#This Row],[Equipo]],Catalogos!$V$4:$W$64,2,FALSE)</f>
        <v/>
      </c>
      <c r="F108" s="3" t="n">
        <v>200</v>
      </c>
      <c r="G108" s="4" t="n">
        <v>27</v>
      </c>
      <c r="H108" s="4">
        <f>IFERROR(F108*G108,0)</f>
        <v/>
      </c>
      <c r="M108" t="n">
        <v>25</v>
      </c>
      <c r="N108">
        <f>IF(A108="","", "CO-" &amp; IFERROR(VLOOKUP(B108, Catalogos!$Z$4:$AA$20, 2, FALSE), "FOL") &amp; "-" &amp; _xludf.WEEKNUM(A108, 2) &amp; "-" &amp; TEXT(ROW(A104),"000"))</f>
        <v/>
      </c>
    </row>
    <row r="109">
      <c r="A109" s="17625" t="n">
        <v>46191</v>
      </c>
      <c r="B109" t="inlineStr">
        <is>
          <t>México-Toluca</t>
        </is>
      </c>
      <c r="C109" t="inlineStr">
        <is>
          <t>Marimba M-01</t>
        </is>
      </c>
      <c r="D109" t="inlineStr">
        <is>
          <t>PAVIMENTADORA  VOGELE SJ 1800-3</t>
        </is>
      </c>
      <c r="E109">
        <f>VLOOKUP(TablaObra[[#This Row],[Equipo]],Catalogos!$V$4:$W$64,2,FALSE)</f>
        <v/>
      </c>
      <c r="F109" s="3" t="n">
        <v>115</v>
      </c>
      <c r="G109" s="4" t="n">
        <v>27</v>
      </c>
      <c r="H109" s="4">
        <f>IFERROR(F109*G109,0)</f>
        <v/>
      </c>
      <c r="M109" t="n">
        <v>25</v>
      </c>
      <c r="N109">
        <f>IF(A109="","", "CO-" &amp; IFERROR(VLOOKUP(B109, Catalogos!$Z$4:$AA$20, 2, FALSE), "FOL") &amp; "-" &amp; _xludf.WEEKNUM(A109, 2) &amp; "-" &amp; TEXT(ROW(A105),"000"))</f>
        <v/>
      </c>
    </row>
    <row r="110">
      <c r="A110" s="17625" t="n">
        <v>46191</v>
      </c>
      <c r="B110" t="inlineStr">
        <is>
          <t>México-Toluca</t>
        </is>
      </c>
      <c r="C110" t="inlineStr">
        <is>
          <t>Marimba M-01</t>
        </is>
      </c>
      <c r="D110" t="inlineStr">
        <is>
          <t>NEUMATICO VOLVO PT-240R</t>
        </is>
      </c>
      <c r="E110">
        <f>VLOOKUP(TablaObra[[#This Row],[Equipo]],Catalogos!$V$4:$W$64,2,FALSE)</f>
        <v/>
      </c>
      <c r="F110" s="3" t="n">
        <v>30</v>
      </c>
      <c r="G110" s="4" t="n">
        <v>27</v>
      </c>
      <c r="H110" s="4">
        <f>IFERROR(F110*G110,0)</f>
        <v/>
      </c>
      <c r="M110" t="n">
        <v>25</v>
      </c>
      <c r="N110">
        <f>IF(A110="","", "CO-" &amp; IFERROR(VLOOKUP(B110, Catalogos!$Z$4:$AA$20, 2, FALSE), "FOL") &amp; "-" &amp; _xludf.WEEKNUM(A110, 2) &amp; "-" &amp; TEXT(ROW(A106),"000"))</f>
        <v/>
      </c>
    </row>
    <row r="111">
      <c r="A111" s="17625" t="n">
        <v>46191</v>
      </c>
      <c r="B111" t="inlineStr">
        <is>
          <t>México-Toluca</t>
        </is>
      </c>
      <c r="C111" t="inlineStr">
        <is>
          <t>Marimba M-01</t>
        </is>
      </c>
      <c r="D111" t="inlineStr">
        <is>
          <t>TANDEM DOBLE RODILLO / VIBROCOMPACTOR RODILLO CAT CB54</t>
        </is>
      </c>
      <c r="E111">
        <f>VLOOKUP(TablaObra[[#This Row],[Equipo]],Catalogos!$V$4:$W$64,2,FALSE)</f>
        <v/>
      </c>
      <c r="F111" s="3" t="n">
        <v>30</v>
      </c>
      <c r="G111" s="4" t="n">
        <v>27</v>
      </c>
      <c r="H111" s="4">
        <f>IFERROR(F111*G111,0)</f>
        <v/>
      </c>
      <c r="M111" t="n">
        <v>25</v>
      </c>
      <c r="N111">
        <f>IF(A111="","", "CO-" &amp; IFERROR(VLOOKUP(B111, Catalogos!$Z$4:$AA$20, 2, FALSE), "FOL") &amp; "-" &amp; _xludf.WEEKNUM(A111, 2) &amp; "-" &amp; TEXT(ROW(A107),"000"))</f>
        <v/>
      </c>
    </row>
    <row r="112">
      <c r="A112" s="17625" t="n">
        <v>46191</v>
      </c>
      <c r="B112" t="inlineStr">
        <is>
          <t>México-Toluca</t>
        </is>
      </c>
      <c r="C112" t="inlineStr">
        <is>
          <t>Marimba M-01</t>
        </is>
      </c>
      <c r="D112" t="inlineStr">
        <is>
          <t>RETROEXCAVADORA JHONDEREE 310SK</t>
        </is>
      </c>
      <c r="E112">
        <f>VLOOKUP(TablaObra[[#This Row],[Equipo]],Catalogos!$V$4:$W$64,2,FALSE)</f>
        <v/>
      </c>
      <c r="F112" s="3" t="n">
        <v>30</v>
      </c>
      <c r="G112" s="4" t="n">
        <v>27</v>
      </c>
      <c r="H112" s="4">
        <f>IFERROR(F112*G112,0)</f>
        <v/>
      </c>
      <c r="M112" t="n">
        <v>25</v>
      </c>
      <c r="N112">
        <f>IF(A112="","", "CO-" &amp; IFERROR(VLOOKUP(B112, Catalogos!$Z$4:$AA$20, 2, FALSE), "FOL") &amp; "-" &amp; _xludf.WEEKNUM(A112, 2) &amp; "-" &amp; TEXT(ROW(A108),"000"))</f>
        <v/>
      </c>
    </row>
    <row r="113">
      <c r="A113" s="17625" t="n">
        <v>46191</v>
      </c>
      <c r="B113" t="inlineStr">
        <is>
          <t>México-Toluca</t>
        </is>
      </c>
      <c r="C113" t="inlineStr">
        <is>
          <t>Marimba M-01</t>
        </is>
      </c>
      <c r="D113" t="inlineStr">
        <is>
          <t>PETROLIZADORA    INTERNATIONAL</t>
        </is>
      </c>
      <c r="E113">
        <f>VLOOKUP(TablaObra[[#This Row],[Equipo]],Catalogos!$V$4:$W$64,2,FALSE)</f>
        <v/>
      </c>
      <c r="F113" s="3" t="n">
        <v>50</v>
      </c>
      <c r="G113" s="4" t="n">
        <v>27</v>
      </c>
      <c r="H113" s="4">
        <f>IFERROR(F113*G113,0)</f>
        <v/>
      </c>
      <c r="M113" t="n">
        <v>25</v>
      </c>
      <c r="N113">
        <f>IF(A113="","", "CO-" &amp; IFERROR(VLOOKUP(B113, Catalogos!$Z$4:$AA$20, 2, FALSE), "FOL") &amp; "-" &amp; _xludf.WEEKNUM(A113, 2) &amp; "-" &amp; TEXT(ROW(A109),"000"))</f>
        <v/>
      </c>
    </row>
    <row r="114">
      <c r="A114" s="17625" t="n">
        <v>46191</v>
      </c>
      <c r="B114" t="inlineStr">
        <is>
          <t>Planta Asflato Huixquilucan</t>
        </is>
      </c>
      <c r="C114" t="inlineStr">
        <is>
          <t>BIDONES</t>
        </is>
      </c>
      <c r="D114" t="inlineStr">
        <is>
          <t>GENERADOR</t>
        </is>
      </c>
      <c r="E114">
        <f>VLOOKUP(TablaObra[[#This Row],[Equipo]],Catalogos!$V$4:$W$64,2,FALSE)</f>
        <v/>
      </c>
      <c r="F114" s="3" t="n">
        <v>200</v>
      </c>
      <c r="G114" s="4" t="n">
        <v>27</v>
      </c>
      <c r="H114" s="4">
        <f>IFERROR(F114*G114,0)</f>
        <v/>
      </c>
      <c r="M114" t="n">
        <v>25</v>
      </c>
      <c r="N114">
        <f>IF(A114="","", "CO-" &amp; IFERROR(VLOOKUP(B114, Catalogos!$Z$4:$AA$20, 2, FALSE), "FOL") &amp; "-" &amp; _xludf.WEEKNUM(A114, 2) &amp; "-" &amp; TEXT(ROW(A110),"000"))</f>
        <v/>
      </c>
    </row>
    <row r="115">
      <c r="A115" s="17625" t="n">
        <v>46191</v>
      </c>
      <c r="B115" t="inlineStr">
        <is>
          <t>Planta Asflato Huixquilucan</t>
        </is>
      </c>
      <c r="C115" t="inlineStr">
        <is>
          <t>BIDONES</t>
        </is>
      </c>
      <c r="D115" t="inlineStr">
        <is>
          <t>MAXILIGHT</t>
        </is>
      </c>
      <c r="E115">
        <f>VLOOKUP(TablaObra[[#This Row],[Equipo]],Catalogos!$V$4:$W$64,2,FALSE)</f>
        <v/>
      </c>
      <c r="F115" s="3" t="n">
        <v>100</v>
      </c>
      <c r="G115" s="4" t="n">
        <v>27</v>
      </c>
      <c r="H115" s="4">
        <f>IFERROR(F115*G115,0)</f>
        <v/>
      </c>
      <c r="M115" t="n">
        <v>25</v>
      </c>
      <c r="N115">
        <f>IF(A115="","", "CO-" &amp; IFERROR(VLOOKUP(B115, Catalogos!$Z$4:$AA$20, 2, FALSE), "FOL") &amp; "-" &amp; _xludf.WEEKNUM(A115, 2) &amp; "-" &amp; TEXT(ROW(A111),"000"))</f>
        <v/>
      </c>
    </row>
    <row r="116">
      <c r="A116" s="17625" t="n">
        <v>46191</v>
      </c>
      <c r="B116" t="inlineStr">
        <is>
          <t>Planta Asflato Huixquilucan</t>
        </is>
      </c>
      <c r="C116" t="inlineStr">
        <is>
          <t>BIDONES</t>
        </is>
      </c>
      <c r="D116" t="inlineStr">
        <is>
          <t>CRIBA ROJA</t>
        </is>
      </c>
      <c r="E116">
        <f>VLOOKUP(TablaObra[[#This Row],[Equipo]],Catalogos!$V$4:$W$64,2,FALSE)</f>
        <v/>
      </c>
      <c r="F116" s="3" t="n">
        <v>100</v>
      </c>
      <c r="G116" s="4" t="n">
        <v>27</v>
      </c>
      <c r="H116" s="4">
        <f>IFERROR(F116*G116,0)</f>
        <v/>
      </c>
      <c r="M116" t="n">
        <v>25</v>
      </c>
      <c r="N116">
        <f>IF(A116="","", "CO-" &amp; IFERROR(VLOOKUP(B116, Catalogos!$Z$4:$AA$20, 2, FALSE), "FOL") &amp; "-" &amp; _xludf.WEEKNUM(A116, 2) &amp; "-" &amp; TEXT(ROW(A112),"000"))</f>
        <v/>
      </c>
    </row>
    <row r="117">
      <c r="A117" s="17625" t="n">
        <v>46191</v>
      </c>
      <c r="B117" t="inlineStr">
        <is>
          <t>Planta Asflato Huixquilucan</t>
        </is>
      </c>
      <c r="C117" t="inlineStr">
        <is>
          <t>BIDONES</t>
        </is>
      </c>
      <c r="D117" t="inlineStr">
        <is>
          <t>PAYLODER</t>
        </is>
      </c>
      <c r="E117">
        <f>VLOOKUP(TablaObra[[#This Row],[Equipo]],Catalogos!$V$4:$W$64,2,FALSE)</f>
        <v/>
      </c>
      <c r="F117" s="3" t="n">
        <v>100</v>
      </c>
      <c r="G117" s="4" t="n">
        <v>27</v>
      </c>
      <c r="H117" s="4">
        <f>IFERROR(F117*G117,0)</f>
        <v/>
      </c>
      <c r="M117" t="n">
        <v>25</v>
      </c>
      <c r="N117">
        <f>IF(A117="","", "CO-" &amp; IFERROR(VLOOKUP(B117, Catalogos!$Z$4:$AA$20, 2, FALSE), "FOL") &amp; "-" &amp; _xludf.WEEKNUM(A117, 2) &amp; "-" &amp; TEXT(ROW(A113),"000"))</f>
        <v/>
      </c>
    </row>
    <row r="118">
      <c r="A118" s="17625" t="n">
        <v>46192</v>
      </c>
      <c r="B118" t="inlineStr">
        <is>
          <t>Lerma - Tres Marías</t>
        </is>
      </c>
      <c r="C118" t="inlineStr">
        <is>
          <t>Tanque Pegaso</t>
        </is>
      </c>
      <c r="D118" t="inlineStr">
        <is>
          <t>PETROLIZADORA    INTERNATIONAL</t>
        </is>
      </c>
      <c r="E118">
        <f>VLOOKUP(TablaObra[[#This Row],[Equipo]],Catalogos!$V$4:$W$64,2,FALSE)</f>
        <v/>
      </c>
      <c r="F118" s="3" t="n">
        <v>40</v>
      </c>
      <c r="G118" s="4" t="n">
        <v>27</v>
      </c>
      <c r="H118" s="4">
        <f>IFERROR(F118*G118,0)</f>
        <v/>
      </c>
      <c r="M118" t="n">
        <v>25</v>
      </c>
      <c r="N118">
        <f>IF(A118="","", "CO-" &amp; IFERROR(VLOOKUP(B118, Catalogos!$Z$4:$AA$20, 2, FALSE), "FOL") &amp; "-" &amp; _xludf.WEEKNUM(A118, 2) &amp; "-" &amp; TEXT(ROW(A114),"000"))</f>
        <v/>
      </c>
    </row>
    <row r="119">
      <c r="A119" s="17625" t="n">
        <v>46192</v>
      </c>
      <c r="B119" t="inlineStr">
        <is>
          <t>Dragones</t>
        </is>
      </c>
      <c r="C119" t="inlineStr">
        <is>
          <t>Tanque Pegaso</t>
        </is>
      </c>
      <c r="D119" t="inlineStr">
        <is>
          <t>PETROLIZADORA    INTERNATIONAL</t>
        </is>
      </c>
      <c r="E119">
        <f>VLOOKUP(TablaObra[[#This Row],[Equipo]],Catalogos!$V$4:$W$64,2,FALSE)</f>
        <v/>
      </c>
      <c r="F119" s="3" t="n">
        <v>40</v>
      </c>
      <c r="G119" s="4" t="n">
        <v>27</v>
      </c>
      <c r="H119" s="4">
        <f>IFERROR(F119*G119,0)</f>
        <v/>
      </c>
      <c r="M119" t="n">
        <v>25</v>
      </c>
      <c r="N119">
        <f>IF(A119="","", "CO-" &amp; IFERROR(VLOOKUP(B119, Catalogos!$Z$4:$AA$20, 2, FALSE), "FOL") &amp; "-" &amp; _xludf.WEEKNUM(A119, 2) &amp; "-" &amp; TEXT(ROW(A115),"000"))</f>
        <v/>
      </c>
    </row>
    <row r="120">
      <c r="A120" s="17625" t="n">
        <v>46192</v>
      </c>
      <c r="B120" t="inlineStr">
        <is>
          <t>Lerma - Tres Marías</t>
        </is>
      </c>
      <c r="C120" t="inlineStr">
        <is>
          <t>Tanque Pegaso</t>
        </is>
      </c>
      <c r="D120" t="inlineStr">
        <is>
          <t>BARREDORA LAYMOR SM400</t>
        </is>
      </c>
      <c r="E120">
        <f>VLOOKUP(TablaObra[[#This Row],[Equipo]],Catalogos!$V$4:$W$64,2,FALSE)</f>
        <v/>
      </c>
      <c r="F120" s="3" t="n">
        <v>43</v>
      </c>
      <c r="G120" s="4" t="n">
        <v>27</v>
      </c>
      <c r="H120" s="4">
        <f>IFERROR(F120*G120,0)</f>
        <v/>
      </c>
      <c r="M120" t="n">
        <v>25</v>
      </c>
      <c r="N120">
        <f>IF(A120="","", "CO-" &amp; IFERROR(VLOOKUP(B120, Catalogos!$Z$4:$AA$20, 2, FALSE), "FOL") &amp; "-" &amp; _xludf.WEEKNUM(A120, 2) &amp; "-" &amp; TEXT(ROW(A116),"000"))</f>
        <v/>
      </c>
    </row>
    <row r="121">
      <c r="A121" s="17625" t="n">
        <v>46192</v>
      </c>
      <c r="B121" t="inlineStr">
        <is>
          <t>Lerma - Tres Marías</t>
        </is>
      </c>
      <c r="C121" t="inlineStr">
        <is>
          <t>Tanque Pegaso</t>
        </is>
      </c>
      <c r="D121" t="inlineStr">
        <is>
          <t>TANDEM DOBLE RODILLO / VIBROCOMPACTOR RODILLO CAT CB54</t>
        </is>
      </c>
      <c r="E121">
        <f>VLOOKUP(TablaObra[[#This Row],[Equipo]],Catalogos!$V$4:$W$64,2,FALSE)</f>
        <v/>
      </c>
      <c r="F121" s="3" t="n">
        <v>50</v>
      </c>
      <c r="G121" s="4" t="n">
        <v>27</v>
      </c>
      <c r="H121" s="4">
        <f>IFERROR(F121*G121,0)</f>
        <v/>
      </c>
      <c r="M121" t="n">
        <v>25</v>
      </c>
      <c r="N121">
        <f>IF(A121="","", "CO-" &amp; IFERROR(VLOOKUP(B121, Catalogos!$Z$4:$AA$20, 2, FALSE), "FOL") &amp; "-" &amp; _xludf.WEEKNUM(A121, 2) &amp; "-" &amp; TEXT(ROW(A117),"000"))</f>
        <v/>
      </c>
    </row>
    <row r="122">
      <c r="A122" s="17625" t="n">
        <v>46192</v>
      </c>
      <c r="B122" t="inlineStr">
        <is>
          <t>Lerma - Tres Marías</t>
        </is>
      </c>
      <c r="C122" t="inlineStr">
        <is>
          <t>Tanque Pegaso</t>
        </is>
      </c>
      <c r="D122" t="inlineStr">
        <is>
          <t>RETROEXCAVADORA JHONDEREE 310SK</t>
        </is>
      </c>
      <c r="E122">
        <f>VLOOKUP(TablaObra[[#This Row],[Equipo]],Catalogos!$V$4:$W$64,2,FALSE)</f>
        <v/>
      </c>
      <c r="F122" s="3" t="n">
        <v>80</v>
      </c>
      <c r="G122" s="4" t="n">
        <v>27</v>
      </c>
      <c r="H122" s="4">
        <f>IFERROR(F122*G122,0)</f>
        <v/>
      </c>
      <c r="M122" t="n">
        <v>25</v>
      </c>
      <c r="N122">
        <f>IF(A122="","", "CO-" &amp; IFERROR(VLOOKUP(B122, Catalogos!$Z$4:$AA$20, 2, FALSE), "FOL") &amp; "-" &amp; _xludf.WEEKNUM(A122, 2) &amp; "-" &amp; TEXT(ROW(A118),"000"))</f>
        <v/>
      </c>
    </row>
    <row r="123">
      <c r="A123" s="17625" t="n">
        <v>46192</v>
      </c>
      <c r="B123" t="inlineStr">
        <is>
          <t>Lerma - Tres Marías</t>
        </is>
      </c>
      <c r="C123" t="inlineStr">
        <is>
          <t>Tanque Pegaso</t>
        </is>
      </c>
      <c r="D123" t="inlineStr">
        <is>
          <t>NEUMATICO / COMPACTADOR DE NEUMATICOS DINAPAC CP271</t>
        </is>
      </c>
      <c r="E123">
        <f>VLOOKUP(TablaObra[[#This Row],[Equipo]],Catalogos!$V$4:$W$64,2,FALSE)</f>
        <v/>
      </c>
      <c r="F123" s="3" t="n">
        <v>30</v>
      </c>
      <c r="G123" s="4" t="n">
        <v>27</v>
      </c>
      <c r="H123" s="4">
        <f>IFERROR(F123*G123,0)</f>
        <v/>
      </c>
      <c r="M123" t="n">
        <v>25</v>
      </c>
      <c r="N123">
        <f>IF(A123="","", "CO-" &amp; IFERROR(VLOOKUP(B123, Catalogos!$Z$4:$AA$20, 2, FALSE), "FOL") &amp; "-" &amp; _xludf.WEEKNUM(A123, 2) &amp; "-" &amp; TEXT(ROW(A119),"000"))</f>
        <v/>
      </c>
    </row>
    <row r="124">
      <c r="A124" s="17625" t="n">
        <v>46192</v>
      </c>
      <c r="B124" t="inlineStr">
        <is>
          <t>Lerma - Tres Marías</t>
        </is>
      </c>
      <c r="C124" t="inlineStr">
        <is>
          <t>Tanque Pegaso</t>
        </is>
      </c>
      <c r="D124" t="inlineStr">
        <is>
          <t>PAVIMENTADORA  VOGELE 1800-3 i</t>
        </is>
      </c>
      <c r="E124">
        <f>VLOOKUP(TablaObra[[#This Row],[Equipo]],Catalogos!$V$4:$W$64,2,FALSE)</f>
        <v/>
      </c>
      <c r="F124" s="3" t="n">
        <v>160</v>
      </c>
      <c r="G124" s="4" t="n">
        <v>27</v>
      </c>
      <c r="H124" s="4">
        <f>IFERROR(F124*G124,0)</f>
        <v/>
      </c>
      <c r="M124" t="n">
        <v>25</v>
      </c>
      <c r="N124">
        <f>IF(A124="","", "CO-" &amp; IFERROR(VLOOKUP(B124, Catalogos!$Z$4:$AA$20, 2, FALSE), "FOL") &amp; "-" &amp; _xludf.WEEKNUM(A124, 2) &amp; "-" &amp; TEXT(ROW(A120),"000"))</f>
        <v/>
      </c>
    </row>
    <row r="125">
      <c r="A125" s="17625" t="n">
        <v>46192</v>
      </c>
      <c r="B125" t="inlineStr">
        <is>
          <t>Lerma - Tres Marías</t>
        </is>
      </c>
      <c r="C125" t="inlineStr">
        <is>
          <t>Tanque Pegaso</t>
        </is>
      </c>
      <c r="D125" t="inlineStr">
        <is>
          <t>PIPA DE AGUA (IMPACTO 01) FORD</t>
        </is>
      </c>
      <c r="E125">
        <f>VLOOKUP(TablaObra[[#This Row],[Equipo]],Catalogos!$V$4:$W$64,2,FALSE)</f>
        <v/>
      </c>
      <c r="F125" s="3" t="n">
        <v>50</v>
      </c>
      <c r="G125" s="4" t="n">
        <v>27</v>
      </c>
      <c r="H125" s="4">
        <f>IFERROR(F125*G125,0)</f>
        <v/>
      </c>
      <c r="M125" t="n">
        <v>25</v>
      </c>
      <c r="N125">
        <f>IF(A125="","", "CO-" &amp; IFERROR(VLOOKUP(B125, Catalogos!$Z$4:$AA$20, 2, FALSE), "FOL") &amp; "-" &amp; _xludf.WEEKNUM(A125, 2) &amp; "-" &amp; TEXT(ROW(A121),"000"))</f>
        <v/>
      </c>
    </row>
    <row r="126">
      <c r="A126" s="17625" t="n">
        <v>46192</v>
      </c>
      <c r="B126" t="inlineStr">
        <is>
          <t>Bacheo Toluca</t>
        </is>
      </c>
      <c r="C126" t="inlineStr">
        <is>
          <t>Tanque Pegaso</t>
        </is>
      </c>
      <c r="D126" t="inlineStr">
        <is>
          <t>RETROEXCAVADORA CASE 580 N</t>
        </is>
      </c>
      <c r="E126">
        <f>VLOOKUP(TablaObra[[#This Row],[Equipo]],Catalogos!$V$4:$W$64,2,FALSE)</f>
        <v/>
      </c>
      <c r="F126" s="3" t="n">
        <v>60</v>
      </c>
      <c r="G126" s="4" t="n">
        <v>27</v>
      </c>
      <c r="H126" s="4">
        <f>IFERROR(F126*G126,0)</f>
        <v/>
      </c>
      <c r="M126" t="n">
        <v>25</v>
      </c>
      <c r="N126">
        <f>IF(A126="","", "CO-" &amp; IFERROR(VLOOKUP(B126, Catalogos!$Z$4:$AA$20, 2, FALSE), "FOL") &amp; "-" &amp; _xludf.WEEKNUM(A126, 2) &amp; "-" &amp; TEXT(ROW(A122),"000"))</f>
        <v/>
      </c>
    </row>
    <row r="127">
      <c r="A127" s="17625" t="n">
        <v>46192</v>
      </c>
      <c r="B127" t="inlineStr">
        <is>
          <t>México-Toluca</t>
        </is>
      </c>
      <c r="C127" t="inlineStr">
        <is>
          <t>Marimba M-01</t>
        </is>
      </c>
      <c r="D127" t="inlineStr">
        <is>
          <t>PAVIMENTADORA  VOGELE SJ 1800-3</t>
        </is>
      </c>
      <c r="E127">
        <f>VLOOKUP(TablaObra[[#This Row],[Equipo]],Catalogos!$V$4:$W$64,2,FALSE)</f>
        <v/>
      </c>
      <c r="F127" s="3" t="n">
        <v>120</v>
      </c>
      <c r="G127" s="4" t="n">
        <v>27</v>
      </c>
      <c r="H127" s="4">
        <f>IFERROR(F127*G127,0)</f>
        <v/>
      </c>
      <c r="M127" t="n">
        <v>25</v>
      </c>
      <c r="N127">
        <f>IF(A127="","", "CO-" &amp; IFERROR(VLOOKUP(B127, Catalogos!$Z$4:$AA$20, 2, FALSE), "FOL") &amp; "-" &amp; _xludf.WEEKNUM(A127, 2) &amp; "-" &amp; TEXT(ROW(A123),"000"))</f>
        <v/>
      </c>
    </row>
    <row r="128">
      <c r="A128" s="17625" t="n">
        <v>46192</v>
      </c>
      <c r="B128" t="inlineStr">
        <is>
          <t>México-Toluca</t>
        </is>
      </c>
      <c r="C128" t="inlineStr">
        <is>
          <t>Marimba M-01</t>
        </is>
      </c>
      <c r="D128" t="inlineStr">
        <is>
          <t>TANDEM DOBLE RODILLO / VIBROCOMPACTOR RODILLO CAT CB54</t>
        </is>
      </c>
      <c r="E128">
        <f>VLOOKUP(TablaObra[[#This Row],[Equipo]],Catalogos!$V$4:$W$64,2,FALSE)</f>
        <v/>
      </c>
      <c r="F128" s="3" t="n">
        <v>30</v>
      </c>
      <c r="G128" s="4" t="n">
        <v>27</v>
      </c>
      <c r="H128" s="4">
        <f>IFERROR(F128*G128,0)</f>
        <v/>
      </c>
      <c r="M128" t="n">
        <v>25</v>
      </c>
      <c r="N128">
        <f>IF(A128="","", "CO-" &amp; IFERROR(VLOOKUP(B128, Catalogos!$Z$4:$AA$20, 2, FALSE), "FOL") &amp; "-" &amp; _xludf.WEEKNUM(A128, 2) &amp; "-" &amp; TEXT(ROW(A124),"000"))</f>
        <v/>
      </c>
    </row>
    <row r="129">
      <c r="A129" s="17625" t="n">
        <v>46192</v>
      </c>
      <c r="B129" t="inlineStr">
        <is>
          <t>México-Toluca</t>
        </is>
      </c>
      <c r="C129" t="inlineStr">
        <is>
          <t>Marimba M-01</t>
        </is>
      </c>
      <c r="D129" t="inlineStr">
        <is>
          <t>NEUMATICO VOLVO PT-240R</t>
        </is>
      </c>
      <c r="E129">
        <f>VLOOKUP(TablaObra[[#This Row],[Equipo]],Catalogos!$V$4:$W$64,2,FALSE)</f>
        <v/>
      </c>
      <c r="F129" s="3" t="n">
        <v>84</v>
      </c>
      <c r="G129" s="4" t="n">
        <v>27</v>
      </c>
      <c r="H129" s="4">
        <f>IFERROR(F129*G129,0)</f>
        <v/>
      </c>
      <c r="M129" t="n">
        <v>25</v>
      </c>
      <c r="N129">
        <f>IF(A129="","", "CO-" &amp; IFERROR(VLOOKUP(B129, Catalogos!$Z$4:$AA$20, 2, FALSE), "FOL") &amp; "-" &amp; _xludf.WEEKNUM(A129, 2) &amp; "-" &amp; TEXT(ROW(A125),"000"))</f>
        <v/>
      </c>
    </row>
    <row r="130">
      <c r="A130" s="17625" t="n">
        <v>46192</v>
      </c>
      <c r="B130" t="inlineStr">
        <is>
          <t>México-Toluca</t>
        </is>
      </c>
      <c r="C130" t="inlineStr">
        <is>
          <t>Marimba M-01</t>
        </is>
      </c>
      <c r="D130" t="inlineStr">
        <is>
          <t>RETROEXCAVADORA JHONDEREE 310SK</t>
        </is>
      </c>
      <c r="E130">
        <f>VLOOKUP(TablaObra[[#This Row],[Equipo]],Catalogos!$V$4:$W$64,2,FALSE)</f>
        <v/>
      </c>
      <c r="F130" s="3" t="n">
        <v>40</v>
      </c>
      <c r="G130" s="4" t="n">
        <v>27</v>
      </c>
      <c r="H130" s="4">
        <f>IFERROR(F130*G130,0)</f>
        <v/>
      </c>
      <c r="M130" t="n">
        <v>25</v>
      </c>
      <c r="N130">
        <f>IF(A130="","", "CO-" &amp; IFERROR(VLOOKUP(B130, Catalogos!$Z$4:$AA$20, 2, FALSE), "FOL") &amp; "-" &amp; _xludf.WEEKNUM(A130, 2) &amp; "-" &amp; TEXT(ROW(A126),"000"))</f>
        <v/>
      </c>
    </row>
    <row r="131">
      <c r="A131" s="17625" t="n">
        <v>46192</v>
      </c>
      <c r="B131" t="inlineStr">
        <is>
          <t>México-Toluca</t>
        </is>
      </c>
      <c r="C131" t="inlineStr">
        <is>
          <t>Marimba M-01</t>
        </is>
      </c>
      <c r="D131" t="inlineStr">
        <is>
          <t>BARREDORA BROCE RJ350</t>
        </is>
      </c>
      <c r="E131">
        <f>VLOOKUP(TablaObra[[#This Row],[Equipo]],Catalogos!$V$4:$W$64,2,FALSE)</f>
        <v/>
      </c>
      <c r="F131" s="3" t="n">
        <v>30</v>
      </c>
      <c r="G131" s="4" t="n">
        <v>27</v>
      </c>
      <c r="H131" s="4">
        <f>IFERROR(F131*G131,0)</f>
        <v/>
      </c>
      <c r="M131" t="n">
        <v>25</v>
      </c>
      <c r="N131">
        <f>IF(A131="","", "CO-" &amp; IFERROR(VLOOKUP(B131, Catalogos!$Z$4:$AA$20, 2, FALSE), "FOL") &amp; "-" &amp; _xludf.WEEKNUM(A131, 2) &amp; "-" &amp; TEXT(ROW(A127),"000"))</f>
        <v/>
      </c>
    </row>
    <row r="132">
      <c r="A132" s="17625" t="n">
        <v>46192</v>
      </c>
      <c r="B132" t="inlineStr">
        <is>
          <t>Bacheo Toluca</t>
        </is>
      </c>
      <c r="C132" t="inlineStr">
        <is>
          <t>Tanque Pegaso</t>
        </is>
      </c>
      <c r="D132" t="inlineStr">
        <is>
          <t>RETROEXCAVADORA CASE 580 N</t>
        </is>
      </c>
      <c r="E132">
        <f>VLOOKUP(TablaObra[[#This Row],[Equipo]],Catalogos!$V$4:$W$64,2,FALSE)</f>
        <v/>
      </c>
      <c r="F132" s="3" t="n">
        <v>50</v>
      </c>
      <c r="G132" s="4" t="n">
        <v>27</v>
      </c>
      <c r="H132" s="4">
        <f>IFERROR(F132*G132,0)</f>
        <v/>
      </c>
      <c r="M132" t="n">
        <v>25</v>
      </c>
      <c r="N132">
        <f>IF(A132="","", "CO-" &amp; IFERROR(VLOOKUP(B132, Catalogos!$Z$4:$AA$20, 2, FALSE), "FOL") &amp; "-" &amp; _xludf.WEEKNUM(A132, 2) &amp; "-" &amp; TEXT(ROW(A128),"000"))</f>
        <v/>
      </c>
    </row>
    <row r="133">
      <c r="A133" s="17625" t="n">
        <v>46192</v>
      </c>
      <c r="B133" t="inlineStr">
        <is>
          <t>Bacheo Toluca</t>
        </is>
      </c>
      <c r="C133" t="inlineStr">
        <is>
          <t>Tanque Pegaso</t>
        </is>
      </c>
      <c r="D133" t="inlineStr">
        <is>
          <t>HOMBRE A BORDO</t>
        </is>
      </c>
      <c r="E133">
        <f>VLOOKUP(TablaObra[[#This Row],[Equipo]],Catalogos!$V$4:$W$64,2,FALSE)</f>
        <v/>
      </c>
      <c r="F133" s="3" t="n">
        <v>10</v>
      </c>
      <c r="G133" s="4" t="n">
        <v>27</v>
      </c>
      <c r="H133" s="4">
        <f>IFERROR(F133*G133,0)</f>
        <v/>
      </c>
      <c r="M133" t="n">
        <v>25</v>
      </c>
      <c r="N133">
        <f>IF(A133="","", "CO-" &amp; IFERROR(VLOOKUP(B133, Catalogos!$Z$4:$AA$20, 2, FALSE), "FOL") &amp; "-" &amp; _xludf.WEEKNUM(A133, 2) &amp; "-" &amp; TEXT(ROW(A129),"000"))</f>
        <v/>
      </c>
    </row>
    <row r="134">
      <c r="A134" s="17625" t="n">
        <v>46195</v>
      </c>
      <c r="B134" t="inlineStr">
        <is>
          <t>México-Toluca</t>
        </is>
      </c>
      <c r="C134" t="inlineStr">
        <is>
          <t>Marimba M-01</t>
        </is>
      </c>
      <c r="D134" t="inlineStr">
        <is>
          <t>PAVIMENTADORA VOGELE 1800-3 I</t>
        </is>
      </c>
      <c r="E134">
        <f>VLOOKUP(TablaObra[[#This Row],[Equipo]],Catalogos!$V$4:$W$64,2,FALSE)</f>
        <v/>
      </c>
      <c r="F134" s="3" t="n">
        <v>106</v>
      </c>
      <c r="G134" s="4" t="n">
        <v>27</v>
      </c>
      <c r="H134" s="4">
        <f>IFERROR(F134*G134,0)</f>
        <v/>
      </c>
      <c r="M134" t="n">
        <v>26</v>
      </c>
      <c r="N134">
        <f>IF(A134="","", "CO-" &amp; IFERROR(VLOOKUP(B134, Catalogos!$Z$4:$AA$20, 2, FALSE), "FOL") &amp; "-" &amp; _xludf.WEEKNUM(A134, 2) &amp; "-" &amp; TEXT(ROW(A130),"000"))</f>
        <v/>
      </c>
    </row>
    <row r="135">
      <c r="A135" s="17625" t="n">
        <v>46195</v>
      </c>
      <c r="B135" t="inlineStr">
        <is>
          <t>México-Toluca</t>
        </is>
      </c>
      <c r="C135" t="inlineStr">
        <is>
          <t>Marimba M-01</t>
        </is>
      </c>
      <c r="D135" t="inlineStr">
        <is>
          <t>NEUMATICO VOLVO PT-240R</t>
        </is>
      </c>
      <c r="E135">
        <f>VLOOKUP(TablaObra[[#This Row],[Equipo]],Catalogos!$V$4:$W$64,2,FALSE)</f>
        <v/>
      </c>
      <c r="F135" s="3" t="n">
        <v>50</v>
      </c>
      <c r="G135" s="4" t="n">
        <v>27</v>
      </c>
      <c r="H135" s="4">
        <f>IFERROR(F135*G135,0)</f>
        <v/>
      </c>
      <c r="M135" t="n">
        <v>26</v>
      </c>
      <c r="N135">
        <f>IF(A135="","", "CO-" &amp; IFERROR(VLOOKUP(B135, Catalogos!$Z$4:$AA$20, 2, FALSE), "FOL") &amp; "-" &amp; _xludf.WEEKNUM(A135, 2) &amp; "-" &amp; TEXT(ROW(A131),"000"))</f>
        <v/>
      </c>
    </row>
    <row r="136">
      <c r="A136" s="17625" t="n">
        <v>46195</v>
      </c>
      <c r="B136" t="inlineStr">
        <is>
          <t>México-Toluca</t>
        </is>
      </c>
      <c r="C136" t="inlineStr">
        <is>
          <t>Marimba M-01</t>
        </is>
      </c>
      <c r="D136" t="inlineStr">
        <is>
          <t>DOBLE RODILLO/VIBROCOMPACTADOR DE RODILLOS HAMM 120HD VV</t>
        </is>
      </c>
      <c r="E136">
        <f>VLOOKUP(TablaObra[[#This Row],[Equipo]],Catalogos!$V$4:$W$64,2,FALSE)</f>
        <v/>
      </c>
      <c r="F136" s="3" t="n">
        <v>50</v>
      </c>
      <c r="G136" s="4" t="n">
        <v>27</v>
      </c>
      <c r="H136" s="4">
        <f>IFERROR(F136*G136,0)</f>
        <v/>
      </c>
      <c r="M136" t="n">
        <v>26</v>
      </c>
      <c r="N136">
        <f>IF(A136="","", "CO-" &amp; IFERROR(VLOOKUP(B136, Catalogos!$Z$4:$AA$20, 2, FALSE), "FOL") &amp; "-" &amp; _xludf.WEEKNUM(A136, 2) &amp; "-" &amp; TEXT(ROW(A132),"000"))</f>
        <v/>
      </c>
    </row>
    <row r="137">
      <c r="A137" s="17625" t="n">
        <v>46195</v>
      </c>
      <c r="B137" t="inlineStr">
        <is>
          <t>México-Toluca</t>
        </is>
      </c>
      <c r="C137" t="inlineStr">
        <is>
          <t>Marimba M-01</t>
        </is>
      </c>
      <c r="D137" t="inlineStr">
        <is>
          <t>RETROEXCAVADORA JHONDEREE 310 K</t>
        </is>
      </c>
      <c r="E137">
        <f>VLOOKUP(TablaObra[[#This Row],[Equipo]],Catalogos!$V$4:$W$64,2,FALSE)</f>
        <v/>
      </c>
      <c r="F137" s="3" t="n">
        <v>60</v>
      </c>
      <c r="G137" s="4" t="n">
        <v>27</v>
      </c>
      <c r="H137" s="4">
        <f>IFERROR(F137*G137,0)</f>
        <v/>
      </c>
      <c r="M137" t="n">
        <v>26</v>
      </c>
      <c r="N137">
        <f>IF(A137="","", "CO-" &amp; IFERROR(VLOOKUP(B137, Catalogos!$Z$4:$AA$20, 2, FALSE), "FOL") &amp; "-" &amp; _xludf.WEEKNUM(A137, 2) &amp; "-" &amp; TEXT(ROW(A133),"000"))</f>
        <v/>
      </c>
    </row>
    <row r="138">
      <c r="A138" s="17625" t="n">
        <v>46195</v>
      </c>
      <c r="B138" t="inlineStr">
        <is>
          <t>México-Toluca</t>
        </is>
      </c>
      <c r="C138" t="inlineStr">
        <is>
          <t>Marimba M-01</t>
        </is>
      </c>
      <c r="D138" t="inlineStr">
        <is>
          <t>PERFILADORA RODATEC RX600-4-4008</t>
        </is>
      </c>
      <c r="E138">
        <f>VLOOKUP(TablaObra[[#This Row],[Equipo]],Catalogos!$V$4:$W$64,2,FALSE)</f>
        <v/>
      </c>
      <c r="F138" s="3" t="n">
        <v>250</v>
      </c>
      <c r="G138" s="4" t="n">
        <v>27</v>
      </c>
      <c r="H138" s="4">
        <f>IFERROR(F138*G138,0)</f>
        <v/>
      </c>
      <c r="M138" t="n">
        <v>26</v>
      </c>
      <c r="N138">
        <f>IF(A138="","", "CO-" &amp; IFERROR(VLOOKUP(B138, Catalogos!$Z$4:$AA$20, 2, FALSE), "FOL") &amp; "-" &amp; _xludf.WEEKNUM(A138, 2) &amp; "-" &amp; TEXT(ROW(A134),"000"))</f>
        <v/>
      </c>
    </row>
    <row r="139">
      <c r="A139" s="17625" t="n">
        <v>46195</v>
      </c>
      <c r="B139" t="inlineStr">
        <is>
          <t>Lerma - Tres Marías</t>
        </is>
      </c>
      <c r="C139" t="inlineStr">
        <is>
          <t>Tanque Pegaso</t>
        </is>
      </c>
      <c r="D139" t="inlineStr">
        <is>
          <t>PETROLIZADORA INTERNATIONAL</t>
        </is>
      </c>
      <c r="E139">
        <f>VLOOKUP(TablaObra[[#This Row],[Equipo]],Catalogos!$V$4:$W$64,2,FALSE)</f>
        <v/>
      </c>
      <c r="F139" s="3" t="n">
        <v>40</v>
      </c>
      <c r="G139" s="4" t="n">
        <v>27</v>
      </c>
      <c r="H139" s="4">
        <f>IFERROR(F139*G139,0)</f>
        <v/>
      </c>
      <c r="M139" t="n">
        <v>26</v>
      </c>
      <c r="N139">
        <f>IF(A139="","", "CO-" &amp; IFERROR(VLOOKUP(B139, Catalogos!$Z$4:$AA$20, 2, FALSE), "FOL") &amp; "-" &amp; _xludf.WEEKNUM(A139, 2) &amp; "-" &amp; TEXT(ROW(A135),"000"))</f>
        <v/>
      </c>
    </row>
    <row r="140">
      <c r="A140" s="17625" t="n">
        <v>46195</v>
      </c>
      <c r="B140" t="inlineStr">
        <is>
          <t>Dragones</t>
        </is>
      </c>
      <c r="C140" t="inlineStr">
        <is>
          <t>Tanque Pegaso</t>
        </is>
      </c>
      <c r="D140" t="inlineStr">
        <is>
          <t>PETROLIZADORA INTERNATIONAL</t>
        </is>
      </c>
      <c r="E140">
        <f>VLOOKUP(TablaObra[[#This Row],[Equipo]],Catalogos!$V$4:$W$64,2,FALSE)</f>
        <v/>
      </c>
      <c r="F140" s="3" t="n">
        <v>40</v>
      </c>
      <c r="G140" s="4" t="n">
        <v>27</v>
      </c>
      <c r="H140" s="4">
        <f>IFERROR(F140*G140,0)</f>
        <v/>
      </c>
      <c r="M140" t="n">
        <v>26</v>
      </c>
      <c r="N140">
        <f>IF(A140="","", "CO-" &amp; IFERROR(VLOOKUP(B140, Catalogos!$Z$4:$AA$20, 2, FALSE), "FOL") &amp; "-" &amp; _xludf.WEEKNUM(A140, 2) &amp; "-" &amp; TEXT(ROW(A136),"000"))</f>
        <v/>
      </c>
    </row>
    <row r="141">
      <c r="A141" s="17625" t="n">
        <v>46195</v>
      </c>
      <c r="B141" t="inlineStr">
        <is>
          <t>Bacheo Toluca</t>
        </is>
      </c>
      <c r="C141" t="inlineStr">
        <is>
          <t>Tanque Pegaso</t>
        </is>
      </c>
      <c r="D141" t="inlineStr">
        <is>
          <t>BIDONES</t>
        </is>
      </c>
      <c r="E141">
        <f>VLOOKUP(TablaObra[[#This Row],[Equipo]],Catalogos!$V$4:$W$64,2,FALSE)</f>
        <v/>
      </c>
      <c r="F141" s="3" t="n">
        <v>110</v>
      </c>
      <c r="G141" s="4" t="n">
        <v>27</v>
      </c>
      <c r="H141" s="4">
        <f>IFERROR(F141*G141,0)</f>
        <v/>
      </c>
      <c r="M141" t="n">
        <v>26</v>
      </c>
      <c r="N141">
        <f>IF(A141="","", "CO-" &amp; IFERROR(VLOOKUP(B141, Catalogos!$Z$4:$AA$20, 2, FALSE), "FOL") &amp; "-" &amp; _xludf.WEEKNUM(A141, 2) &amp; "-" &amp; TEXT(ROW(A137),"000"))</f>
        <v/>
      </c>
    </row>
    <row r="142">
      <c r="A142" s="17625" t="n">
        <v>46195</v>
      </c>
      <c r="B142" t="inlineStr">
        <is>
          <t>Lerma - Tres Marías</t>
        </is>
      </c>
      <c r="C142" t="inlineStr">
        <is>
          <t>Tanque Pegaso</t>
        </is>
      </c>
      <c r="D142" t="inlineStr">
        <is>
          <t>VIBROCOMPACTADOR CATERPILLAR CB66B</t>
        </is>
      </c>
      <c r="E142">
        <f>VLOOKUP(TablaObra[[#This Row],[Equipo]],Catalogos!$V$4:$W$64,2,FALSE)</f>
        <v/>
      </c>
      <c r="F142" s="3" t="n">
        <v>50</v>
      </c>
      <c r="G142" s="4" t="n">
        <v>27</v>
      </c>
      <c r="H142" s="4">
        <f>IFERROR(F142*G142,0)</f>
        <v/>
      </c>
      <c r="M142" t="n">
        <v>26</v>
      </c>
      <c r="N142">
        <f>IF(A142="","", "CO-" &amp; IFERROR(VLOOKUP(B142, Catalogos!$Z$4:$AA$20, 2, FALSE), "FOL") &amp; "-" &amp; _xludf.WEEKNUM(A142, 2) &amp; "-" &amp; TEXT(ROW(A138),"000"))</f>
        <v/>
      </c>
    </row>
    <row r="143">
      <c r="A143" s="17625" t="n">
        <v>46195</v>
      </c>
      <c r="B143" t="inlineStr">
        <is>
          <t>México-Toluca</t>
        </is>
      </c>
      <c r="C143" t="inlineStr">
        <is>
          <t>Marimba M-01</t>
        </is>
      </c>
      <c r="D143" t="inlineStr">
        <is>
          <t>PERFILADORA RODATEC RX600E</t>
        </is>
      </c>
      <c r="E143">
        <f>VLOOKUP(TablaObra[[#This Row],[Equipo]],Catalogos!$V$4:$W$64,2,FALSE)</f>
        <v/>
      </c>
      <c r="F143" s="3" t="n">
        <v>250</v>
      </c>
      <c r="G143" s="4" t="n">
        <v>27</v>
      </c>
      <c r="H143" s="4">
        <f>IFERROR(F143*G143,0)</f>
        <v/>
      </c>
      <c r="M143" t="n">
        <v>26</v>
      </c>
      <c r="N143">
        <f>IF(A143="","", "CO-" &amp; IFERROR(VLOOKUP(B143, Catalogos!$Z$4:$AA$20, 2, FALSE), "FOL") &amp; "-" &amp; _xludf.WEEKNUM(A143, 2) &amp; "-" &amp; TEXT(ROW(A139),"000"))</f>
        <v/>
      </c>
    </row>
    <row r="144">
      <c r="A144" s="17625" t="n">
        <v>46195</v>
      </c>
      <c r="B144" t="inlineStr">
        <is>
          <t>Lerma - Tres Marías</t>
        </is>
      </c>
      <c r="C144" t="inlineStr">
        <is>
          <t>Tanque Pegaso</t>
        </is>
      </c>
      <c r="D144" t="inlineStr">
        <is>
          <t>NEUMATICO / COMPACTADOR DE NEUMATICOS DINAPAC CP271</t>
        </is>
      </c>
      <c r="E144">
        <f>VLOOKUP(TablaObra[[#This Row],[Equipo]],Catalogos!$V$4:$W$64,2,FALSE)</f>
        <v/>
      </c>
      <c r="F144" s="3" t="n">
        <v>50</v>
      </c>
      <c r="G144" s="4" t="n">
        <v>27</v>
      </c>
      <c r="H144" s="4">
        <f>IFERROR(F144*G144,0)</f>
        <v/>
      </c>
      <c r="M144" t="n">
        <v>26</v>
      </c>
      <c r="N144">
        <f>IF(A144="","", "CO-" &amp; IFERROR(VLOOKUP(B144, Catalogos!$Z$4:$AA$20, 2, FALSE), "FOL") &amp; "-" &amp; _xludf.WEEKNUM(A144, 2) &amp; "-" &amp; TEXT(ROW(A140),"000"))</f>
        <v/>
      </c>
    </row>
    <row r="145">
      <c r="A145" s="17625" t="n">
        <v>46195</v>
      </c>
      <c r="B145" t="inlineStr">
        <is>
          <t>Lerma - Tres Marías</t>
        </is>
      </c>
      <c r="C145" t="inlineStr">
        <is>
          <t>Tanque Pegaso</t>
        </is>
      </c>
      <c r="D145" t="inlineStr">
        <is>
          <t>PAVIMENTADORA VOGELE SJ 1800-3</t>
        </is>
      </c>
      <c r="E145">
        <f>VLOOKUP(TablaObra[[#This Row],[Equipo]],Catalogos!$V$4:$W$64,2,FALSE)</f>
        <v/>
      </c>
      <c r="F145" s="3" t="n">
        <v>162</v>
      </c>
      <c r="G145" s="4" t="n">
        <v>27</v>
      </c>
      <c r="H145" s="4">
        <f>IFERROR(F145*G145,0)</f>
        <v/>
      </c>
      <c r="M145" t="n">
        <v>26</v>
      </c>
      <c r="N145">
        <f>IF(A145="","", "CO-" &amp; IFERROR(VLOOKUP(B145, Catalogos!$Z$4:$AA$20, 2, FALSE), "FOL") &amp; "-" &amp; _xludf.WEEKNUM(A145, 2) &amp; "-" &amp; TEXT(ROW(A141),"000"))</f>
        <v/>
      </c>
    </row>
    <row r="146">
      <c r="A146" s="17625" t="n">
        <v>46195</v>
      </c>
      <c r="B146" t="inlineStr">
        <is>
          <t>Lerma - Tres Marías</t>
        </is>
      </c>
      <c r="C146" t="inlineStr">
        <is>
          <t>Tanque Pegaso</t>
        </is>
      </c>
      <c r="D146" t="inlineStr">
        <is>
          <t>PIPA DE AGUA (IMPACTO 01) FORD</t>
        </is>
      </c>
      <c r="E146">
        <f>VLOOKUP(TablaObra[[#This Row],[Equipo]],Catalogos!$V$4:$W$64,2,FALSE)</f>
        <v/>
      </c>
      <c r="F146" s="3" t="n">
        <v>50</v>
      </c>
      <c r="G146" s="4" t="n">
        <v>27</v>
      </c>
      <c r="H146" s="4">
        <f>IFERROR(F146*G146,0)</f>
        <v/>
      </c>
      <c r="M146" t="n">
        <v>26</v>
      </c>
      <c r="N146">
        <f>IF(A146="","", "CO-" &amp; IFERROR(VLOOKUP(B146, Catalogos!$Z$4:$AA$20, 2, FALSE), "FOL") &amp; "-" &amp; _xludf.WEEKNUM(A146, 2) &amp; "-" &amp; TEXT(ROW(A142),"000"))</f>
        <v/>
      </c>
    </row>
    <row r="147">
      <c r="A147" s="17625" t="n">
        <v>46195</v>
      </c>
      <c r="B147" t="inlineStr">
        <is>
          <t>Lerma - Tres Marías</t>
        </is>
      </c>
      <c r="C147" t="inlineStr">
        <is>
          <t>Tanque Pegaso</t>
        </is>
      </c>
      <c r="D147" t="inlineStr">
        <is>
          <t>NEUMATICO / COMPACTADOR DE NEUMATICOS DINAPAC CP271</t>
        </is>
      </c>
      <c r="E147">
        <f>VLOOKUP(TablaObra[[#This Row],[Equipo]],Catalogos!$V$4:$W$64,2,FALSE)</f>
        <v/>
      </c>
      <c r="F147" s="3" t="n">
        <v>50</v>
      </c>
      <c r="G147" s="4" t="n">
        <v>27</v>
      </c>
      <c r="H147" s="4">
        <f>IFERROR(F147*G147,0)</f>
        <v/>
      </c>
      <c r="M147" t="n">
        <v>26</v>
      </c>
      <c r="N147">
        <f>IF(A147="","", "CO-" &amp; IFERROR(VLOOKUP(B147, Catalogos!$Z$4:$AA$20, 2, FALSE), "FOL") &amp; "-" &amp; _xludf.WEEKNUM(A147, 2) &amp; "-" &amp; TEXT(ROW(A143),"000"))</f>
        <v/>
      </c>
    </row>
    <row r="148">
      <c r="A148" s="17625" t="n">
        <v>46196</v>
      </c>
      <c r="B148" t="inlineStr">
        <is>
          <t>Maquinaria Pegaso</t>
        </is>
      </c>
      <c r="C148" t="inlineStr">
        <is>
          <t>Tanque Pegaso</t>
        </is>
      </c>
      <c r="D148" t="inlineStr">
        <is>
          <t>PAYLODER</t>
        </is>
      </c>
      <c r="E148">
        <f>VLOOKUP(TablaObra[[#This Row],[Equipo]],Catalogos!$V$4:$W$64,2,FALSE)</f>
        <v/>
      </c>
      <c r="F148" s="3" t="n">
        <v>275</v>
      </c>
      <c r="G148" s="4" t="n">
        <v>27</v>
      </c>
      <c r="H148" s="4">
        <f>IFERROR(F148*G148,0)</f>
        <v/>
      </c>
      <c r="M148" t="n">
        <v>26</v>
      </c>
      <c r="N148">
        <f>IF(A148="","", "CO-" &amp; IFERROR(VLOOKUP(B148, Catalogos!$Z$4:$AA$20, 2, FALSE), "FOL") &amp; "-" &amp; _xludf.WEEKNUM(A148, 2) &amp; "-" &amp; TEXT(ROW(A144),"000"))</f>
        <v/>
      </c>
    </row>
    <row r="149">
      <c r="A149" s="17625" t="n">
        <v>46196</v>
      </c>
      <c r="B149" t="inlineStr">
        <is>
          <t>Maquinaria Pegaso</t>
        </is>
      </c>
      <c r="C149" t="inlineStr">
        <is>
          <t>Tanque Pegaso</t>
        </is>
      </c>
      <c r="D149" t="inlineStr">
        <is>
          <t>LIMPIEZA</t>
        </is>
      </c>
      <c r="E149">
        <f>VLOOKUP(TablaObra[[#This Row],[Equipo]],Catalogos!$V$4:$W$64,2,FALSE)</f>
        <v/>
      </c>
      <c r="F149" s="3" t="n">
        <v>20</v>
      </c>
      <c r="G149" s="4" t="n">
        <v>27</v>
      </c>
      <c r="H149" s="4">
        <f>IFERROR(F149*G149,0)</f>
        <v/>
      </c>
      <c r="M149" t="n">
        <v>26</v>
      </c>
      <c r="N149">
        <f>IF(A149="","", "CO-" &amp; IFERROR(VLOOKUP(B149, Catalogos!$Z$4:$AA$20, 2, FALSE), "FOL") &amp; "-" &amp; _xludf.WEEKNUM(A149, 2) &amp; "-" &amp; TEXT(ROW(A145),"000"))</f>
        <v/>
      </c>
    </row>
    <row r="150">
      <c r="A150" s="17625" t="n">
        <v>46196</v>
      </c>
      <c r="B150" t="inlineStr">
        <is>
          <t>Bacheo Toluca</t>
        </is>
      </c>
      <c r="C150" t="inlineStr">
        <is>
          <t>Tanque Pegaso</t>
        </is>
      </c>
      <c r="D150" t="inlineStr">
        <is>
          <t>BIDONES</t>
        </is>
      </c>
      <c r="E150">
        <f>VLOOKUP(TablaObra[[#This Row],[Equipo]],Catalogos!$V$4:$W$64,2,FALSE)</f>
        <v/>
      </c>
      <c r="F150" s="3" t="n">
        <v>110</v>
      </c>
      <c r="G150" s="4" t="n">
        <v>27</v>
      </c>
      <c r="H150" s="4">
        <f>IFERROR(F150*G150,0)</f>
        <v/>
      </c>
      <c r="M150" t="n">
        <v>26</v>
      </c>
      <c r="N150">
        <f>IF(A150="","", "CO-" &amp; IFERROR(VLOOKUP(B150, Catalogos!$Z$4:$AA$20, 2, FALSE), "FOL") &amp; "-" &amp; _xludf.WEEKNUM(A150, 2) &amp; "-" &amp; TEXT(ROW(A146),"000"))</f>
        <v/>
      </c>
    </row>
    <row r="151">
      <c r="A151" s="17625" t="n">
        <v>46196</v>
      </c>
      <c r="B151" t="inlineStr">
        <is>
          <t>Maquinaria Pegaso</t>
        </is>
      </c>
      <c r="C151" t="inlineStr">
        <is>
          <t>Tanque Pegaso</t>
        </is>
      </c>
      <c r="D151" t="inlineStr">
        <is>
          <t>PAVIMENTADORA VOGELE 1800-2 SJ</t>
        </is>
      </c>
      <c r="E151">
        <f>VLOOKUP(TablaObra[[#This Row],[Equipo]],Catalogos!$V$4:$W$64,2,FALSE)</f>
        <v/>
      </c>
      <c r="F151" s="3" t="n">
        <v>100</v>
      </c>
      <c r="G151" s="4" t="n">
        <v>27</v>
      </c>
      <c r="H151" s="4">
        <f>IFERROR(F151*G151,0)</f>
        <v/>
      </c>
      <c r="M151" t="n">
        <v>26</v>
      </c>
      <c r="N151">
        <f>IF(A151="","", "CO-" &amp; IFERROR(VLOOKUP(B151, Catalogos!$Z$4:$AA$20, 2, FALSE), "FOL") &amp; "-" &amp; _xludf.WEEKNUM(A151, 2) &amp; "-" &amp; TEXT(ROW(A147),"000"))</f>
        <v/>
      </c>
    </row>
    <row r="152">
      <c r="A152" s="17625" t="n">
        <v>46196</v>
      </c>
      <c r="B152" t="inlineStr">
        <is>
          <t>Lerma - Tres Marías</t>
        </is>
      </c>
      <c r="C152" t="inlineStr">
        <is>
          <t>Tanque Pegaso</t>
        </is>
      </c>
      <c r="D152" t="inlineStr">
        <is>
          <t>RETROEXCAVADORA JHONDEREE 310 K</t>
        </is>
      </c>
      <c r="E152">
        <f>VLOOKUP(TablaObra[[#This Row],[Equipo]],Catalogos!$V$4:$W$64,2,FALSE)</f>
        <v/>
      </c>
      <c r="F152" s="3" t="n">
        <v>50</v>
      </c>
      <c r="G152" s="4" t="n">
        <v>27</v>
      </c>
      <c r="H152" s="4">
        <f>IFERROR(F152*G152,0)</f>
        <v/>
      </c>
      <c r="M152" t="n">
        <v>26</v>
      </c>
      <c r="N152">
        <f>IF(A152="","", "CO-" &amp; IFERROR(VLOOKUP(B152, Catalogos!$Z$4:$AA$20, 2, FALSE), "FOL") &amp; "-" &amp; _xludf.WEEKNUM(A152, 2) &amp; "-" &amp; TEXT(ROW(A148),"000"))</f>
        <v/>
      </c>
    </row>
    <row r="153">
      <c r="A153" s="17625" t="n">
        <v>46196</v>
      </c>
      <c r="B153" t="inlineStr">
        <is>
          <t>Bacheo Toluca</t>
        </is>
      </c>
      <c r="C153" t="inlineStr">
        <is>
          <t>Tanque Pegaso</t>
        </is>
      </c>
      <c r="D153" t="inlineStr">
        <is>
          <t>PERFILADORA RODATEC RX600E</t>
        </is>
      </c>
      <c r="E153">
        <f>VLOOKUP(TablaObra[[#This Row],[Equipo]],Catalogos!$V$4:$W$64,2,FALSE)</f>
        <v/>
      </c>
      <c r="F153" s="3" t="n">
        <v>96</v>
      </c>
      <c r="G153" s="4" t="n">
        <v>27</v>
      </c>
      <c r="H153" s="4">
        <f>IFERROR(F153*G153,0)</f>
        <v/>
      </c>
      <c r="M153" t="n">
        <v>26</v>
      </c>
      <c r="N153">
        <f>IF(A153="","", "CO-" &amp; IFERROR(VLOOKUP(B153, Catalogos!$Z$4:$AA$20, 2, FALSE), "FOL") &amp; "-" &amp; _xludf.WEEKNUM(A153, 2) &amp; "-" &amp; TEXT(ROW(A149),"000"))</f>
        <v/>
      </c>
    </row>
    <row r="154">
      <c r="A154" s="17625" t="n">
        <v>46196</v>
      </c>
      <c r="B154" t="inlineStr">
        <is>
          <t>México-Toluca</t>
        </is>
      </c>
      <c r="C154" t="inlineStr">
        <is>
          <t>Marimba M-01</t>
        </is>
      </c>
      <c r="D154" t="inlineStr">
        <is>
          <t>PAVIMENTADORA  VOGELE SJ 1800-3</t>
        </is>
      </c>
      <c r="E154">
        <f>VLOOKUP(TablaObra[[#This Row],[Equipo]],Catalogos!$V$4:$W$64,2,FALSE)</f>
        <v/>
      </c>
      <c r="F154" s="3" t="n">
        <v>21</v>
      </c>
      <c r="G154" s="4" t="n">
        <v>27</v>
      </c>
      <c r="H154" s="4">
        <f>IFERROR(#REF!*G154,0)</f>
        <v/>
      </c>
      <c r="M154" t="n">
        <v>26</v>
      </c>
      <c r="N154">
        <f>IF(A154="","", "CO-" &amp; IFERROR(VLOOKUP(B154, Catalogos!$Z$4:$AA$20, 2, FALSE), "FOL") &amp; "-" &amp; _xludf.WEEKNUM(A154, 2) &amp; "-" &amp; TEXT(ROW(A150),"000"))</f>
        <v/>
      </c>
    </row>
    <row r="155">
      <c r="A155" s="17625" t="n">
        <v>46196</v>
      </c>
      <c r="B155" t="inlineStr">
        <is>
          <t>México-Toluca</t>
        </is>
      </c>
      <c r="C155" t="inlineStr">
        <is>
          <t>Marimba M-01</t>
        </is>
      </c>
      <c r="D155" t="inlineStr">
        <is>
          <t>RETROEXCAVADORA JHONDEREE 310SK</t>
        </is>
      </c>
      <c r="E155">
        <f>VLOOKUP(TablaObra[[#This Row],[Equipo]],Catalogos!$V$4:$W$64,2,FALSE)</f>
        <v/>
      </c>
      <c r="F155" s="3" t="n">
        <v>50</v>
      </c>
      <c r="G155" s="4" t="n">
        <v>27</v>
      </c>
      <c r="H155" s="4">
        <f>IFERROR(#REF!*G155,0)</f>
        <v/>
      </c>
      <c r="M155" t="n">
        <v>26</v>
      </c>
      <c r="N155">
        <f>IF(A155="","", "CO-" &amp; IFERROR(VLOOKUP(B155, Catalogos!$Z$4:$AA$20, 2, FALSE), "FOL") &amp; "-" &amp; _xludf.WEEKNUM(A155, 2) &amp; "-" &amp; TEXT(ROW(A151),"000"))</f>
        <v/>
      </c>
    </row>
    <row r="156">
      <c r="A156" s="17625" t="n">
        <v>46196</v>
      </c>
      <c r="B156" t="inlineStr">
        <is>
          <t>México-Toluca</t>
        </is>
      </c>
      <c r="C156" t="inlineStr">
        <is>
          <t>Marimba M-01</t>
        </is>
      </c>
      <c r="D156" t="inlineStr">
        <is>
          <t>BARREDORA BROCE RJ350</t>
        </is>
      </c>
      <c r="E156">
        <f>VLOOKUP(TablaObra[[#This Row],[Equipo]],Catalogos!$V$4:$W$64,2,FALSE)</f>
        <v/>
      </c>
      <c r="F156" s="3" t="n">
        <v>31</v>
      </c>
      <c r="G156" s="4" t="n">
        <v>27</v>
      </c>
      <c r="H156" s="4">
        <f>IFERROR(F156*G156,0)</f>
        <v/>
      </c>
      <c r="M156" t="n">
        <v>26</v>
      </c>
      <c r="N156">
        <f>IF(A156="","", "CO-" &amp; IFERROR(VLOOKUP(B156, Catalogos!$Z$4:$AA$20, 2, FALSE), "FOL") &amp; "-" &amp; _xludf.WEEKNUM(A156, 2) &amp; "-" &amp; TEXT(ROW(A152),"000"))</f>
        <v/>
      </c>
    </row>
    <row r="157">
      <c r="A157" s="17625" t="n">
        <v>46196</v>
      </c>
      <c r="B157" t="inlineStr">
        <is>
          <t>Planta Asflato Huixquilucan</t>
        </is>
      </c>
      <c r="C157" t="inlineStr">
        <is>
          <t>BIDONES</t>
        </is>
      </c>
      <c r="D157" t="inlineStr">
        <is>
          <t>GENERADOR AMMANN</t>
        </is>
      </c>
      <c r="E157">
        <f>VLOOKUP(TablaObra[[#This Row],[Equipo]],Catalogos!$V$4:$W$64,2,FALSE)</f>
        <v/>
      </c>
      <c r="F157" s="3" t="n">
        <v>100</v>
      </c>
      <c r="G157" s="4" t="n">
        <v>27</v>
      </c>
      <c r="H157" s="4">
        <f>IFERROR(F157*G157,0)</f>
        <v/>
      </c>
      <c r="M157" t="n">
        <v>26</v>
      </c>
      <c r="N157">
        <f>IF(A157="","", "CO-" &amp; IFERROR(VLOOKUP(B157, Catalogos!$Z$4:$AA$20, 2, FALSE), "FOL") &amp; "-" &amp; _xludf.WEEKNUM(A157, 2) &amp; "-" &amp; TEXT(ROW(A153),"000"))</f>
        <v/>
      </c>
    </row>
    <row r="158">
      <c r="A158" s="17625" t="n">
        <v>46196</v>
      </c>
      <c r="B158" t="inlineStr">
        <is>
          <t>Planta Asflato Huixquilucan</t>
        </is>
      </c>
      <c r="C158" t="inlineStr">
        <is>
          <t>BIDONES</t>
        </is>
      </c>
      <c r="D158" t="inlineStr">
        <is>
          <t>MAXILIGHT</t>
        </is>
      </c>
      <c r="E158">
        <f>VLOOKUP(TablaObra[[#This Row],[Equipo]],Catalogos!$V$4:$W$64,2,FALSE)</f>
        <v/>
      </c>
      <c r="F158" s="3" t="n">
        <v>50</v>
      </c>
      <c r="G158" s="4" t="n">
        <v>27</v>
      </c>
      <c r="H158" s="4">
        <f>IFERROR(F158*G158,0)</f>
        <v/>
      </c>
      <c r="M158" t="n">
        <v>26</v>
      </c>
      <c r="N158">
        <f>IF(A158="","", "CO-" &amp; IFERROR(VLOOKUP(B158, Catalogos!$Z$4:$AA$20, 2, FALSE), "FOL") &amp; "-" &amp; _xludf.WEEKNUM(A158, 2) &amp; "-" &amp; TEXT(ROW(A154),"000"))</f>
        <v/>
      </c>
    </row>
    <row r="159">
      <c r="A159" s="17625" t="n">
        <v>46197</v>
      </c>
      <c r="B159" t="inlineStr">
        <is>
          <t>México-Toluca</t>
        </is>
      </c>
      <c r="C159" t="inlineStr">
        <is>
          <t>Marimba M-01</t>
        </is>
      </c>
      <c r="D159" t="inlineStr">
        <is>
          <t>TANDEM DOBLE RODILLO / VIBROCOMPACTOR RODILLO CAT CB54</t>
        </is>
      </c>
      <c r="E159">
        <f>VLOOKUP(TablaObra[[#This Row],[Equipo]],Catalogos!$V$4:$W$64,2,FALSE)</f>
        <v/>
      </c>
      <c r="F159" s="3" t="n">
        <v>35</v>
      </c>
      <c r="G159" s="4" t="n">
        <v>27</v>
      </c>
      <c r="H159" s="4">
        <f>IFERROR(F159*G159,0)</f>
        <v/>
      </c>
      <c r="M159" t="n">
        <v>26</v>
      </c>
      <c r="N159">
        <f>IF(A159="","", "CO-" &amp; IFERROR(VLOOKUP(B159, Catalogos!$Z$4:$AA$20, 2, FALSE), "FOL") &amp; "-" &amp; _xludf.WEEKNUM(A159, 2) &amp; "-" &amp; TEXT(ROW(A155),"000"))</f>
        <v/>
      </c>
    </row>
    <row r="160">
      <c r="A160" s="17625" t="n">
        <v>46197</v>
      </c>
      <c r="B160" t="inlineStr">
        <is>
          <t>México-Toluca</t>
        </is>
      </c>
      <c r="C160" t="inlineStr">
        <is>
          <t>Marimba M-01</t>
        </is>
      </c>
      <c r="D160" t="inlineStr">
        <is>
          <t>PAVIMENTADORA VOGELE SJ 1800-3</t>
        </is>
      </c>
      <c r="E160">
        <f>VLOOKUP(TablaObra[[#This Row],[Equipo]],Catalogos!$V$4:$W$64,2,FALSE)</f>
        <v/>
      </c>
      <c r="F160" s="3" t="n">
        <v>76</v>
      </c>
      <c r="G160" s="4" t="n">
        <v>27</v>
      </c>
      <c r="H160" s="4">
        <f>IFERROR(F160*G160,0)</f>
        <v/>
      </c>
      <c r="M160" t="n">
        <v>26</v>
      </c>
      <c r="N160">
        <f>IF(A160="","", "CO-" &amp; IFERROR(VLOOKUP(B160, Catalogos!$Z$4:$AA$20, 2, FALSE), "FOL") &amp; "-" &amp; _xludf.WEEKNUM(A160, 2) &amp; "-" &amp; TEXT(ROW(A156),"000"))</f>
        <v/>
      </c>
    </row>
    <row r="161">
      <c r="A161" s="17625" t="n">
        <v>46197</v>
      </c>
      <c r="B161" t="inlineStr">
        <is>
          <t>México-Toluca</t>
        </is>
      </c>
      <c r="C161" t="inlineStr">
        <is>
          <t>Marimba M-01</t>
        </is>
      </c>
      <c r="D161" t="inlineStr">
        <is>
          <t>TANDEM DOBLE RODILLO / VIBROCOMPACTOR RODILLO CAT CB54</t>
        </is>
      </c>
      <c r="E161">
        <f>VLOOKUP(TablaObra[[#This Row],[Equipo]],Catalogos!$V$4:$W$64,2,FALSE)</f>
        <v/>
      </c>
      <c r="F161" s="3" t="n">
        <v>40</v>
      </c>
      <c r="G161" s="4" t="n">
        <v>27</v>
      </c>
      <c r="H161" s="4">
        <f>IFERROR(F161*G161,0)</f>
        <v/>
      </c>
      <c r="M161" t="n">
        <v>26</v>
      </c>
      <c r="N161">
        <f>IF(A161="","", "CO-" &amp; IFERROR(VLOOKUP(B161, Catalogos!$Z$4:$AA$20, 2, FALSE), "FOL") &amp; "-" &amp; _xludf.WEEKNUM(A161, 2) &amp; "-" &amp; TEXT(ROW(A157),"000"))</f>
        <v/>
      </c>
    </row>
    <row r="162">
      <c r="A162" s="17625" t="n">
        <v>46197</v>
      </c>
      <c r="B162" t="inlineStr">
        <is>
          <t>México-Toluca</t>
        </is>
      </c>
      <c r="C162" t="inlineStr">
        <is>
          <t>Marimba M-01</t>
        </is>
      </c>
      <c r="D162" t="inlineStr">
        <is>
          <t>RETROEXCAVADORA JHONDEREE 310SK</t>
        </is>
      </c>
      <c r="E162">
        <f>VLOOKUP(TablaObra[[#This Row],[Equipo]],Catalogos!$V$4:$W$64,2,FALSE)</f>
        <v/>
      </c>
      <c r="F162" s="3" t="n">
        <v>40</v>
      </c>
      <c r="G162" s="4" t="n">
        <v>27</v>
      </c>
      <c r="H162" s="4">
        <f>IFERROR(F162*G162,0)</f>
        <v/>
      </c>
      <c r="M162" t="n">
        <v>26</v>
      </c>
      <c r="N162">
        <f>IF(A162="","", "CO-" &amp; IFERROR(VLOOKUP(B162, Catalogos!$Z$4:$AA$20, 2, FALSE), "FOL") &amp; "-" &amp; _xludf.WEEKNUM(A162, 2) &amp; "-" &amp; TEXT(ROW(A158),"000"))</f>
        <v/>
      </c>
    </row>
    <row r="163">
      <c r="A163" s="17625" t="n">
        <v>46197</v>
      </c>
      <c r="B163" t="inlineStr">
        <is>
          <t>México-Toluca</t>
        </is>
      </c>
      <c r="C163" t="inlineStr">
        <is>
          <t>Marimba M-01</t>
        </is>
      </c>
      <c r="D163" t="inlineStr">
        <is>
          <t>PERFILADORA RODATEC RX600-4-4008</t>
        </is>
      </c>
      <c r="E163">
        <f>VLOOKUP(TablaObra[[#This Row],[Equipo]],Catalogos!$V$4:$W$64,2,FALSE)</f>
        <v/>
      </c>
      <c r="F163" s="3" t="n">
        <v>200</v>
      </c>
      <c r="G163" s="4" t="n">
        <v>27</v>
      </c>
      <c r="H163" s="4">
        <f>IFERROR(F163*G163,0)</f>
        <v/>
      </c>
      <c r="M163" t="n">
        <v>26</v>
      </c>
      <c r="N163">
        <f>IF(A163="","", "CO-" &amp; IFERROR(VLOOKUP(B163, Catalogos!$Z$4:$AA$20, 2, FALSE), "FOL") &amp; "-" &amp; _xludf.WEEKNUM(A163, 2) &amp; "-" &amp; TEXT(ROW(A159),"000"))</f>
        <v/>
      </c>
    </row>
    <row r="164">
      <c r="A164" s="17625" t="n">
        <v>46197</v>
      </c>
      <c r="B164" t="inlineStr">
        <is>
          <t>Bacheo Toluca</t>
        </is>
      </c>
      <c r="C164" t="inlineStr">
        <is>
          <t>Tanque Pegaso</t>
        </is>
      </c>
      <c r="D164" t="inlineStr">
        <is>
          <t>BIDONES</t>
        </is>
      </c>
      <c r="E164">
        <f>VLOOKUP(TablaObra[[#This Row],[Equipo]],Catalogos!$V$4:$W$64,2,FALSE)</f>
        <v/>
      </c>
      <c r="F164" s="3" t="n">
        <v>120</v>
      </c>
      <c r="G164" s="4" t="n">
        <v>27</v>
      </c>
      <c r="H164" s="4">
        <f>IFERROR(F164*G164,0)</f>
        <v/>
      </c>
      <c r="M164" t="n">
        <v>26</v>
      </c>
      <c r="N164">
        <f>IF(A164="","", "CO-" &amp; IFERROR(VLOOKUP(B164, Catalogos!$Z$4:$AA$20, 2, FALSE), "FOL") &amp; "-" &amp; _xludf.WEEKNUM(A164, 2) &amp; "-" &amp; TEXT(ROW(A160),"000"))</f>
        <v/>
      </c>
    </row>
    <row r="165">
      <c r="A165" s="17625" t="n">
        <v>46197</v>
      </c>
      <c r="B165" t="inlineStr">
        <is>
          <t>México-Toluca</t>
        </is>
      </c>
      <c r="C165" t="inlineStr">
        <is>
          <t>Marimba M-01</t>
        </is>
      </c>
      <c r="D165" t="inlineStr">
        <is>
          <t>NEUMATICO VOLVO PT-240R</t>
        </is>
      </c>
      <c r="E165">
        <f>VLOOKUP(TablaObra[[#This Row],[Equipo]],Catalogos!$V$4:$W$64,2,FALSE)</f>
        <v/>
      </c>
      <c r="F165" s="3" t="n">
        <v>50</v>
      </c>
      <c r="G165" s="4" t="n">
        <v>27</v>
      </c>
      <c r="H165" s="4">
        <f>IFERROR(F165*G165,0)</f>
        <v/>
      </c>
      <c r="M165" t="n">
        <v>26</v>
      </c>
      <c r="N165">
        <f>IF(A165="","", "CO-" &amp; IFERROR(VLOOKUP(B165, Catalogos!$Z$4:$AA$20, 2, FALSE), "FOL") &amp; "-" &amp; _xludf.WEEKNUM(A165, 2) &amp; "-" &amp; TEXT(ROW(A161),"000"))</f>
        <v/>
      </c>
    </row>
    <row r="166">
      <c r="A166" s="17625" t="n">
        <v>46197</v>
      </c>
      <c r="B166" t="inlineStr">
        <is>
          <t>México-Toluca</t>
        </is>
      </c>
      <c r="C166" t="inlineStr">
        <is>
          <t>Marimba M-01</t>
        </is>
      </c>
      <c r="D166" t="inlineStr">
        <is>
          <t>NEUMATICO / COMPACTADOR DE NEUMATICOS DINAPAC CP271</t>
        </is>
      </c>
      <c r="E166">
        <f>VLOOKUP(TablaObra[[#This Row],[Equipo]],Catalogos!$V$4:$W$64,2,FALSE)</f>
        <v/>
      </c>
      <c r="F166" s="3" t="n">
        <v>30</v>
      </c>
      <c r="G166" s="4" t="n">
        <v>27</v>
      </c>
      <c r="H166" s="4">
        <f>IFERROR(F166*G166,0)</f>
        <v/>
      </c>
      <c r="M166" t="n">
        <v>26</v>
      </c>
      <c r="N166">
        <f>IF(A166="","", "CO-" &amp; IFERROR(VLOOKUP(B166, Catalogos!$Z$4:$AA$20, 2, FALSE), "FOL") &amp; "-" &amp; _xludf.WEEKNUM(A166, 2) &amp; "-" &amp; TEXT(ROW(A162),"000"))</f>
        <v/>
      </c>
    </row>
    <row r="167">
      <c r="A167" s="17625" t="n">
        <v>46197</v>
      </c>
      <c r="B167" t="inlineStr">
        <is>
          <t>Lerma - Tres Marías</t>
        </is>
      </c>
      <c r="C167" t="inlineStr">
        <is>
          <t>Tanque Pegaso</t>
        </is>
      </c>
      <c r="D167" t="inlineStr">
        <is>
          <t>IMPACTO FORD 4300</t>
        </is>
      </c>
      <c r="E167">
        <f>VLOOKUP(TablaObra[[#This Row],[Equipo]],Catalogos!$V$4:$W$64,2,FALSE)</f>
        <v/>
      </c>
      <c r="F167" s="3" t="n">
        <v>129</v>
      </c>
      <c r="G167" s="4" t="n">
        <v>27</v>
      </c>
      <c r="H167" s="4">
        <f>IFERROR(F167*G167,0)</f>
        <v/>
      </c>
      <c r="M167" t="n">
        <v>26</v>
      </c>
      <c r="N167">
        <f>IF(A167="","", "CO-" &amp; IFERROR(VLOOKUP(B167, Catalogos!$Z$4:$AA$20, 2, FALSE), "FOL") &amp; "-" &amp; _xludf.WEEKNUM(A167, 2) &amp; "-" &amp; TEXT(ROW(A163),"000"))</f>
        <v/>
      </c>
    </row>
    <row r="168">
      <c r="A168" s="17625" t="n">
        <v>46197</v>
      </c>
      <c r="B168" t="inlineStr">
        <is>
          <t>Lerma - Tres Marías</t>
        </is>
      </c>
      <c r="C168" t="inlineStr">
        <is>
          <t>Tanque Pegaso</t>
        </is>
      </c>
      <c r="D168" t="inlineStr">
        <is>
          <t>COMPRESOR  SULLIVAN PALATEK D2010</t>
        </is>
      </c>
      <c r="E168">
        <f>VLOOKUP(TablaObra[[#This Row],[Equipo]],Catalogos!$V$4:$W$64,2,FALSE)</f>
        <v/>
      </c>
      <c r="F168" s="3" t="n">
        <v>88</v>
      </c>
      <c r="G168" s="4" t="n">
        <v>27</v>
      </c>
      <c r="H168" s="4">
        <f>IFERROR(F168*G168,0)</f>
        <v/>
      </c>
      <c r="M168" t="n">
        <v>26</v>
      </c>
      <c r="N168">
        <f>IF(A168="","", "CO-" &amp; IFERROR(VLOOKUP(B168, Catalogos!$Z$4:$AA$20, 2, FALSE), "FOL") &amp; "-" &amp; _xludf.WEEKNUM(A168, 2) &amp; "-" &amp; TEXT(ROW(A164),"000"))</f>
        <v/>
      </c>
    </row>
    <row r="169">
      <c r="A169" s="17625" t="n">
        <v>46197</v>
      </c>
      <c r="B169" t="inlineStr">
        <is>
          <t>Lerma - Tres Marías</t>
        </is>
      </c>
      <c r="C169" t="inlineStr">
        <is>
          <t>Tanque Pegaso</t>
        </is>
      </c>
      <c r="D169" t="inlineStr">
        <is>
          <t>PIPA DE AGUA (IMPACTO 01) FORD</t>
        </is>
      </c>
      <c r="E169">
        <f>VLOOKUP(TablaObra[[#This Row],[Equipo]],Catalogos!$V$4:$W$64,2,FALSE)</f>
        <v/>
      </c>
      <c r="F169" s="3" t="n">
        <v>90</v>
      </c>
      <c r="G169" s="4" t="n">
        <v>27</v>
      </c>
      <c r="H169" s="4">
        <f>IFERROR(F169*G169,0)</f>
        <v/>
      </c>
      <c r="M169" t="n">
        <v>26</v>
      </c>
      <c r="N169">
        <f>IF(A169="","", "CO-" &amp; IFERROR(VLOOKUP(B169, Catalogos!$Z$4:$AA$20, 2, FALSE), "FOL") &amp; "-" &amp; _xludf.WEEKNUM(A169, 2) &amp; "-" &amp; TEXT(ROW(A165),"000"))</f>
        <v/>
      </c>
    </row>
    <row r="170">
      <c r="A170" s="17625" t="n">
        <v>46197</v>
      </c>
      <c r="B170" t="inlineStr">
        <is>
          <t>Lerma - Tres Marías</t>
        </is>
      </c>
      <c r="C170" t="inlineStr">
        <is>
          <t>Tanque Pegaso</t>
        </is>
      </c>
      <c r="D170" t="inlineStr">
        <is>
          <t>PETROLIZADORA    INTERNATIONAL</t>
        </is>
      </c>
      <c r="E170">
        <f>VLOOKUP(TablaObra[[#This Row],[Equipo]],Catalogos!$V$4:$W$64,2,FALSE)</f>
        <v/>
      </c>
      <c r="F170" s="3" t="n">
        <v>62</v>
      </c>
      <c r="G170" s="4" t="n">
        <v>27</v>
      </c>
      <c r="H170" s="4">
        <f>IFERROR(F170*G170,0)</f>
        <v/>
      </c>
      <c r="M170" t="n">
        <v>26</v>
      </c>
      <c r="N170">
        <f>IF(A170="","", "CO-" &amp; IFERROR(VLOOKUP(B170, Catalogos!$Z$4:$AA$20, 2, FALSE), "FOL") &amp; "-" &amp; _xludf.WEEKNUM(A170, 2) &amp; "-" &amp; TEXT(ROW(A166),"000"))</f>
        <v/>
      </c>
    </row>
    <row r="171">
      <c r="A171" s="17625" t="n">
        <v>46197</v>
      </c>
      <c r="B171" t="inlineStr">
        <is>
          <t>Dragones</t>
        </is>
      </c>
      <c r="C171" t="inlineStr">
        <is>
          <t>Tanque Pegaso</t>
        </is>
      </c>
      <c r="D171" t="inlineStr">
        <is>
          <t>PETROLIZADORA    INTERNATIONAL</t>
        </is>
      </c>
      <c r="E171">
        <f>VLOOKUP(TablaObra[[#This Row],[Equipo]],Catalogos!$V$4:$W$64,2,FALSE)</f>
        <v/>
      </c>
      <c r="F171" s="3" t="n">
        <v>62</v>
      </c>
      <c r="G171" s="4" t="n">
        <v>27</v>
      </c>
      <c r="H171" s="4">
        <f>IFERROR(F171*G171,0)</f>
        <v/>
      </c>
      <c r="M171" t="n">
        <v>26</v>
      </c>
      <c r="N171">
        <f>IF(A171="","", "CO-" &amp; IFERROR(VLOOKUP(B171, Catalogos!$Z$4:$AA$20, 2, FALSE), "FOL") &amp; "-" &amp; _xludf.WEEKNUM(A171, 2) &amp; "-" &amp; TEXT(ROW(A167),"000"))</f>
        <v/>
      </c>
    </row>
    <row r="172">
      <c r="A172" s="17625" t="n">
        <v>46198</v>
      </c>
      <c r="B172" t="inlineStr">
        <is>
          <t>México-Toluca</t>
        </is>
      </c>
      <c r="C172" t="inlineStr">
        <is>
          <t>Marimba M-01</t>
        </is>
      </c>
      <c r="D172" t="inlineStr">
        <is>
          <t>BARREDORA BROCE RJ350</t>
        </is>
      </c>
      <c r="E172">
        <f>VLOOKUP(TablaObra[[#This Row],[Equipo]],Catalogos!$V$4:$W$64,2,FALSE)</f>
        <v/>
      </c>
      <c r="F172" s="3" t="n">
        <v>26</v>
      </c>
      <c r="G172" s="4" t="n">
        <v>27</v>
      </c>
      <c r="H172" s="4">
        <f>IFERROR(F172*G172,0)</f>
        <v/>
      </c>
      <c r="M172" t="n">
        <v>26</v>
      </c>
      <c r="N172">
        <f>IF(A172="","", "CO-" &amp; IFERROR(VLOOKUP(B172, Catalogos!$Z$4:$AA$20, 2, FALSE), "FOL") &amp; "-" &amp; _xludf.WEEKNUM(A172, 2) &amp; "-" &amp; TEXT(ROW(A168),"000"))</f>
        <v/>
      </c>
    </row>
    <row r="173">
      <c r="A173" s="17625" t="n">
        <v>46198</v>
      </c>
      <c r="B173" t="inlineStr">
        <is>
          <t>México-Toluca</t>
        </is>
      </c>
      <c r="C173" t="inlineStr">
        <is>
          <t>Marimba M-01</t>
        </is>
      </c>
      <c r="D173" t="inlineStr">
        <is>
          <t>PETROLIZADORA    INTERNATIONAL</t>
        </is>
      </c>
      <c r="E173">
        <f>VLOOKUP(TablaObra[[#This Row],[Equipo]],Catalogos!$V$4:$W$64,2,FALSE)</f>
        <v/>
      </c>
      <c r="F173" s="3" t="n">
        <v>50</v>
      </c>
      <c r="G173" s="4" t="n">
        <v>27</v>
      </c>
      <c r="H173" s="4">
        <f>IFERROR(F173*G173,0)</f>
        <v/>
      </c>
      <c r="M173" t="n">
        <v>26</v>
      </c>
      <c r="N173">
        <f>IF(A173="","", "CO-" &amp; IFERROR(VLOOKUP(B173, Catalogos!$Z$4:$AA$20, 2, FALSE), "FOL") &amp; "-" &amp; _xludf.WEEKNUM(A173, 2) &amp; "-" &amp; TEXT(ROW(A169),"000"))</f>
        <v/>
      </c>
    </row>
    <row r="174">
      <c r="A174" s="17625" t="n">
        <v>46198</v>
      </c>
      <c r="B174" t="inlineStr">
        <is>
          <t>México-Toluca</t>
        </is>
      </c>
      <c r="C174" t="inlineStr">
        <is>
          <t>Marimba M-01</t>
        </is>
      </c>
      <c r="D174" t="inlineStr">
        <is>
          <t>TANDEM DOBLE RODILLO / VIBROCOMPACTOR RODILLO CAT CB54</t>
        </is>
      </c>
      <c r="E174">
        <f>VLOOKUP(TablaObra[[#This Row],[Equipo]],Catalogos!$V$4:$W$64,2,FALSE)</f>
        <v/>
      </c>
      <c r="F174" s="3" t="n">
        <v>30</v>
      </c>
      <c r="G174" s="4" t="n">
        <v>27</v>
      </c>
      <c r="H174" s="4">
        <f>IFERROR(F174*G174,0)</f>
        <v/>
      </c>
      <c r="M174" t="n">
        <v>26</v>
      </c>
      <c r="N174">
        <f>IF(A174="","", "CO-" &amp; IFERROR(VLOOKUP(B174, Catalogos!$Z$4:$AA$20, 2, FALSE), "FOL") &amp; "-" &amp; _xludf.WEEKNUM(A174, 2) &amp; "-" &amp; TEXT(ROW(A170),"000"))</f>
        <v/>
      </c>
    </row>
    <row r="175">
      <c r="A175" s="17625" t="n">
        <v>46198</v>
      </c>
      <c r="B175" t="inlineStr">
        <is>
          <t>México-Toluca</t>
        </is>
      </c>
      <c r="C175" t="inlineStr">
        <is>
          <t>Marimba M-01</t>
        </is>
      </c>
      <c r="D175" t="inlineStr">
        <is>
          <t>NEUMATICO / COMPACTADOR DE NEUMATICOS DINAPAC CP271</t>
        </is>
      </c>
      <c r="E175">
        <f>VLOOKUP(TablaObra[[#This Row],[Equipo]],Catalogos!$V$4:$W$64,2,FALSE)</f>
        <v/>
      </c>
      <c r="F175" s="3" t="n">
        <v>14</v>
      </c>
      <c r="G175" s="4" t="n">
        <v>27</v>
      </c>
      <c r="H175" s="4">
        <f>IFERROR(F175*G175,0)</f>
        <v/>
      </c>
      <c r="M175" t="n">
        <v>26</v>
      </c>
      <c r="N175">
        <f>IF(A175="","", "CO-" &amp; IFERROR(VLOOKUP(B175, Catalogos!$Z$4:$AA$20, 2, FALSE), "FOL") &amp; "-" &amp; _xludf.WEEKNUM(A175, 2) &amp; "-" &amp; TEXT(ROW(A171),"000"))</f>
        <v/>
      </c>
    </row>
    <row r="176">
      <c r="A176" s="17625" t="n">
        <v>46198</v>
      </c>
      <c r="B176" t="inlineStr">
        <is>
          <t>México-Toluca</t>
        </is>
      </c>
      <c r="C176" t="inlineStr">
        <is>
          <t>Marimba M-01</t>
        </is>
      </c>
      <c r="D176" t="inlineStr">
        <is>
          <t>NEUMATICO VOLVO PT-240R</t>
        </is>
      </c>
      <c r="E176">
        <f>VLOOKUP(TablaObra[[#This Row],[Equipo]],Catalogos!$V$4:$W$64,2,FALSE)</f>
        <v/>
      </c>
      <c r="F176" s="3" t="n">
        <v>30</v>
      </c>
      <c r="G176" s="4" t="n">
        <v>27</v>
      </c>
      <c r="H176" s="4">
        <f>IFERROR(F176*G176,0)</f>
        <v/>
      </c>
      <c r="M176" t="n">
        <v>26</v>
      </c>
      <c r="N176">
        <f>IF(A176="","", "CO-" &amp; IFERROR(VLOOKUP(B176, Catalogos!$Z$4:$AA$20, 2, FALSE), "FOL") &amp; "-" &amp; _xludf.WEEKNUM(A176, 2) &amp; "-" &amp; TEXT(ROW(A172),"000"))</f>
        <v/>
      </c>
    </row>
    <row r="177">
      <c r="A177" s="17625" t="n">
        <v>46198</v>
      </c>
      <c r="B177" t="inlineStr">
        <is>
          <t>Bacheo Toluca</t>
        </is>
      </c>
      <c r="C177" t="inlineStr">
        <is>
          <t>Tanque Pegaso</t>
        </is>
      </c>
      <c r="D177" t="inlineStr">
        <is>
          <t>BIDONES</t>
        </is>
      </c>
      <c r="E177">
        <f>VLOOKUP(TablaObra[[#This Row],[Equipo]],Catalogos!$V$4:$W$64,2,FALSE)</f>
        <v/>
      </c>
      <c r="F177" s="3" t="n">
        <v>120</v>
      </c>
      <c r="G177" s="4" t="n">
        <v>27</v>
      </c>
      <c r="H177" s="4">
        <f>IFERROR(F177*G177,0)</f>
        <v/>
      </c>
      <c r="M177" t="n">
        <v>26</v>
      </c>
      <c r="N177">
        <f>IF(A177="","", "CO-" &amp; IFERROR(VLOOKUP(B177, Catalogos!$Z$4:$AA$20, 2, FALSE), "FOL") &amp; "-" &amp; _xludf.WEEKNUM(A177, 2) &amp; "-" &amp; TEXT(ROW(A173),"000"))</f>
        <v/>
      </c>
    </row>
    <row r="178">
      <c r="A178" s="17625" t="n">
        <v>46198</v>
      </c>
      <c r="B178" t="inlineStr">
        <is>
          <t>Maquinaria Pegaso</t>
        </is>
      </c>
      <c r="C178" t="inlineStr">
        <is>
          <t>Tanque Pegaso</t>
        </is>
      </c>
      <c r="D178" t="inlineStr">
        <is>
          <t>PETROLIZADORA    INTERNATIONAL</t>
        </is>
      </c>
      <c r="E178">
        <f>VLOOKUP(TablaObra[[#This Row],[Equipo]],Catalogos!$V$4:$W$64,2,FALSE)</f>
        <v/>
      </c>
      <c r="F178" s="3" t="n">
        <v>160</v>
      </c>
      <c r="G178" s="4" t="n">
        <v>27</v>
      </c>
      <c r="H178" s="4">
        <f>IFERROR(F178*G178,0)</f>
        <v/>
      </c>
      <c r="M178" t="n">
        <v>26</v>
      </c>
      <c r="N178">
        <f>IF(A178="","", "CO-" &amp; IFERROR(VLOOKUP(B178, Catalogos!$Z$4:$AA$20, 2, FALSE), "FOL") &amp; "-" &amp; _xludf.WEEKNUM(A178, 2) &amp; "-" &amp; TEXT(ROW(A174),"000"))</f>
        <v/>
      </c>
    </row>
    <row r="179">
      <c r="A179" s="17625" t="n">
        <v>46198</v>
      </c>
      <c r="B179" t="inlineStr">
        <is>
          <t>Lerma - Tres Marías</t>
        </is>
      </c>
      <c r="C179" t="inlineStr">
        <is>
          <t>Tanque Pegaso</t>
        </is>
      </c>
      <c r="D179" t="inlineStr">
        <is>
          <t>PERFILADORA RODATEC RX600-4-4008</t>
        </is>
      </c>
      <c r="E179">
        <f>VLOOKUP(TablaObra[[#This Row],[Equipo]],Catalogos!$V$4:$W$64,2,FALSE)</f>
        <v/>
      </c>
      <c r="F179" s="3" t="n">
        <v>140</v>
      </c>
      <c r="G179" s="4" t="n">
        <v>27</v>
      </c>
      <c r="H179" s="4">
        <f>IFERROR(F179*G179,0)</f>
        <v/>
      </c>
      <c r="M179" t="n">
        <v>26</v>
      </c>
      <c r="N179">
        <f>IF(A179="","", "CO-" &amp; IFERROR(VLOOKUP(B179, Catalogos!$Z$4:$AA$20, 2, FALSE), "FOL") &amp; "-" &amp; _xludf.WEEKNUM(A179, 2) &amp; "-" &amp; TEXT(ROW(A175),"000"))</f>
        <v/>
      </c>
    </row>
    <row r="180">
      <c r="A180" s="17625" t="n">
        <v>46198</v>
      </c>
      <c r="B180" t="inlineStr">
        <is>
          <t>Maquinaria Pegaso</t>
        </is>
      </c>
      <c r="C180" t="inlineStr">
        <is>
          <t>Tanque Pegaso</t>
        </is>
      </c>
      <c r="D180" t="inlineStr">
        <is>
          <t>PAVIMENTADORA  VOGELE 1800-2 SJ</t>
        </is>
      </c>
      <c r="E180">
        <f>VLOOKUP(TablaObra[[#This Row],[Equipo]],Catalogos!$V$4:$W$64,2,FALSE)</f>
        <v/>
      </c>
      <c r="F180" s="3" t="n">
        <v>222</v>
      </c>
      <c r="G180" s="4" t="n">
        <v>27</v>
      </c>
      <c r="H180" s="4">
        <f>IFERROR(F180*G180,0)</f>
        <v/>
      </c>
      <c r="M180" t="n">
        <v>26</v>
      </c>
      <c r="N180">
        <f>IF(A180="","", "CO-" &amp; IFERROR(VLOOKUP(B180, Catalogos!$Z$4:$AA$20, 2, FALSE), "FOL") &amp; "-" &amp; _xludf.WEEKNUM(A180, 2) &amp; "-" &amp; TEXT(ROW(A176),"000"))</f>
        <v/>
      </c>
    </row>
    <row r="181">
      <c r="A181" s="17625" t="n">
        <v>46198</v>
      </c>
      <c r="B181" t="inlineStr">
        <is>
          <t>Maquinaria Pegaso</t>
        </is>
      </c>
      <c r="C181" t="inlineStr">
        <is>
          <t>Tanque Pegaso</t>
        </is>
      </c>
      <c r="D181" t="inlineStr">
        <is>
          <t>PAYLODER</t>
        </is>
      </c>
      <c r="E181">
        <f>VLOOKUP(TablaObra[[#This Row],[Equipo]],Catalogos!$V$4:$W$64,2,FALSE)</f>
        <v/>
      </c>
      <c r="F181" s="3" t="n">
        <v>217</v>
      </c>
      <c r="G181" s="4" t="n">
        <v>27</v>
      </c>
      <c r="H181" s="4">
        <f>IFERROR(F181*G181,0)</f>
        <v/>
      </c>
      <c r="M181" t="n">
        <v>26</v>
      </c>
      <c r="N181">
        <f>IF(A181="","", "CO-" &amp; IFERROR(VLOOKUP(B181, Catalogos!$Z$4:$AA$20, 2, FALSE), "FOL") &amp; "-" &amp; _xludf.WEEKNUM(A181, 2) &amp; "-" &amp; TEXT(ROW(A177),"000"))</f>
        <v/>
      </c>
    </row>
    <row r="182">
      <c r="A182" s="17625" t="n">
        <v>46198</v>
      </c>
      <c r="B182" t="inlineStr">
        <is>
          <t>Maquinaria Pegaso</t>
        </is>
      </c>
      <c r="C182" t="inlineStr">
        <is>
          <t>Tanque Pegaso</t>
        </is>
      </c>
      <c r="D182" t="inlineStr">
        <is>
          <t>BIDONES</t>
        </is>
      </c>
      <c r="E182">
        <f>VLOOKUP(TablaObra[[#This Row],[Equipo]],Catalogos!$V$4:$W$64,2,FALSE)</f>
        <v/>
      </c>
      <c r="F182" s="3" t="n">
        <v>850</v>
      </c>
      <c r="G182" s="4" t="n">
        <v>27</v>
      </c>
      <c r="H182" s="4">
        <f>IFERROR(F182*G182,0)</f>
        <v/>
      </c>
      <c r="M182" t="n">
        <v>26</v>
      </c>
      <c r="N182">
        <f>IF(A182="","", "CO-" &amp; IFERROR(VLOOKUP(B182, Catalogos!$Z$4:$AA$20, 2, FALSE), "FOL") &amp; "-" &amp; _xludf.WEEKNUM(A182, 2) &amp; "-" &amp; TEXT(ROW(A178),"000"))</f>
        <v/>
      </c>
    </row>
    <row r="183">
      <c r="A183" s="17625" t="n">
        <v>46198</v>
      </c>
      <c r="B183" t="inlineStr">
        <is>
          <t>Lerma - Tres Marías</t>
        </is>
      </c>
      <c r="C183" t="inlineStr">
        <is>
          <t>Tanque Pegaso</t>
        </is>
      </c>
      <c r="D183" t="inlineStr">
        <is>
          <t>RETROEXCAVADORA JHONDEREE 310SK</t>
        </is>
      </c>
      <c r="E183">
        <f>VLOOKUP(TablaObra[[#This Row],[Equipo]],Catalogos!$V$4:$W$64,2,FALSE)</f>
        <v/>
      </c>
      <c r="F183" s="3" t="n">
        <v>50</v>
      </c>
      <c r="G183" s="4" t="n">
        <v>27</v>
      </c>
      <c r="H183" s="4">
        <f>IFERROR(F183*G183,0)</f>
        <v/>
      </c>
      <c r="M183" t="n">
        <v>26</v>
      </c>
      <c r="N183">
        <f>IF(A183="","", "CO-" &amp; IFERROR(VLOOKUP(B183, Catalogos!$Z$4:$AA$20, 2, FALSE), "FOL") &amp; "-" &amp; _xludf.WEEKNUM(A183, 2) &amp; "-" &amp; TEXT(ROW(A179),"000"))</f>
        <v/>
      </c>
    </row>
    <row r="184">
      <c r="A184" s="17625" t="n">
        <v>46198</v>
      </c>
      <c r="B184" t="inlineStr">
        <is>
          <t>Lerma - Tres Marías</t>
        </is>
      </c>
      <c r="C184" t="inlineStr">
        <is>
          <t>Tanque Pegaso</t>
        </is>
      </c>
      <c r="D184" t="inlineStr">
        <is>
          <t>BARREDORA LAYMOR SM400</t>
        </is>
      </c>
      <c r="E184">
        <f>VLOOKUP(TablaObra[[#This Row],[Equipo]],Catalogos!$V$4:$W$64,2,FALSE)</f>
        <v/>
      </c>
      <c r="F184" s="3" t="n">
        <v>50</v>
      </c>
      <c r="G184" s="4" t="n">
        <v>27</v>
      </c>
      <c r="H184" s="4">
        <f>IFERROR(F184*G184,0)</f>
        <v/>
      </c>
      <c r="M184" t="n">
        <v>26</v>
      </c>
      <c r="N184">
        <f>IF(A184="","", "CO-" &amp; IFERROR(VLOOKUP(B184, Catalogos!$Z$4:$AA$20, 2, FALSE), "FOL") &amp; "-" &amp; _xludf.WEEKNUM(A184, 2) &amp; "-" &amp; TEXT(ROW(A180),"000"))</f>
        <v/>
      </c>
    </row>
    <row r="185">
      <c r="A185" s="17625" t="n">
        <v>46198</v>
      </c>
      <c r="B185" t="inlineStr">
        <is>
          <t>Lerma - Tres Marías</t>
        </is>
      </c>
      <c r="C185" t="inlineStr">
        <is>
          <t>Tanque Pegaso</t>
        </is>
      </c>
      <c r="D185" t="inlineStr">
        <is>
          <t>PAVIMENTADORA  VOGELE 1800-3 i</t>
        </is>
      </c>
      <c r="E185">
        <f>VLOOKUP(TablaObra[[#This Row],[Equipo]],Catalogos!$V$4:$W$64,2,FALSE)</f>
        <v/>
      </c>
      <c r="F185" s="3" t="n">
        <v>177</v>
      </c>
      <c r="G185" s="4" t="n">
        <v>27</v>
      </c>
      <c r="H185" s="4">
        <f>IFERROR(F185*G185,0)</f>
        <v/>
      </c>
      <c r="M185" t="n">
        <v>26</v>
      </c>
      <c r="N185">
        <f>IF(A185="","", "CO-" &amp; IFERROR(VLOOKUP(B185, Catalogos!$Z$4:$AA$20, 2, FALSE), "FOL") &amp; "-" &amp; _xludf.WEEKNUM(A185, 2) &amp; "-" &amp; TEXT(ROW(A181),"000"))</f>
        <v/>
      </c>
    </row>
    <row r="186">
      <c r="A186" s="17625" t="n">
        <v>46198</v>
      </c>
      <c r="B186" t="inlineStr">
        <is>
          <t>Planta Asflato Huixquilucan</t>
        </is>
      </c>
      <c r="C186" t="inlineStr">
        <is>
          <t>BIDONES</t>
        </is>
      </c>
      <c r="D186" t="inlineStr">
        <is>
          <t>GENERADOR AMMANN</t>
        </is>
      </c>
      <c r="E186">
        <f>VLOOKUP(TablaObra[[#This Row],[Equipo]],Catalogos!$V$4:$W$64,2,FALSE)</f>
        <v/>
      </c>
      <c r="F186" s="3" t="n">
        <v>100</v>
      </c>
      <c r="G186" s="4" t="n">
        <v>27</v>
      </c>
      <c r="H186" s="4">
        <f>IFERROR(F186*G186,0)</f>
        <v/>
      </c>
      <c r="M186" t="n">
        <v>26</v>
      </c>
      <c r="N186">
        <f>IF(A186="","", "CO-" &amp; IFERROR(VLOOKUP(B186, Catalogos!$Z$4:$AA$20, 2, FALSE), "FOL") &amp; "-" &amp; _xludf.WEEKNUM(A186, 2) &amp; "-" &amp; TEXT(ROW(A182),"000"))</f>
        <v/>
      </c>
    </row>
    <row r="187">
      <c r="A187" s="17625" t="n">
        <v>46199</v>
      </c>
      <c r="B187" t="inlineStr">
        <is>
          <t>Bacheo Toluca</t>
        </is>
      </c>
      <c r="C187" t="inlineStr">
        <is>
          <t>Tanque Pegaso</t>
        </is>
      </c>
      <c r="D187" t="inlineStr">
        <is>
          <t>MOTOCONFORMADORA RENTADA</t>
        </is>
      </c>
      <c r="E187">
        <f>VLOOKUP(TablaObra[[#This Row],[Equipo]],Catalogos!$V$4:$W$64,2,FALSE)</f>
        <v/>
      </c>
      <c r="F187" s="3" t="n">
        <v>90</v>
      </c>
      <c r="G187" s="4" t="n">
        <v>27</v>
      </c>
      <c r="H187" s="4">
        <f>IFERROR(F187*G187,0)</f>
        <v/>
      </c>
      <c r="M187" t="n">
        <v>26</v>
      </c>
      <c r="N187">
        <f>IF(#REF!="","", "CO-" &amp; IFERROR(VLOOKUP(#REF!, Catalogos!$Z$4:$AA$20, 2, FALSE), "FOL") &amp; "-" &amp; _xludf.WEEKNUM(#REF!, 2) &amp; "-" &amp; TEXT(ROW(A183),"000"))</f>
        <v/>
      </c>
    </row>
    <row r="188">
      <c r="A188" s="17625" t="n">
        <v>46199</v>
      </c>
      <c r="B188" t="inlineStr">
        <is>
          <t>Bacheo Toluca</t>
        </is>
      </c>
      <c r="C188" t="inlineStr">
        <is>
          <t>Tanque Pegaso</t>
        </is>
      </c>
      <c r="D188" t="inlineStr">
        <is>
          <t>RETROEXCAVADORA CASE 580 N</t>
        </is>
      </c>
      <c r="E188">
        <f>VLOOKUP(TablaObra[[#This Row],[Equipo]],Catalogos!$V$4:$W$64,2,FALSE)</f>
        <v/>
      </c>
      <c r="F188" s="3" t="n">
        <v>48</v>
      </c>
      <c r="G188" s="4" t="n">
        <v>27</v>
      </c>
      <c r="H188" s="4">
        <f>IFERROR(F188*G188,0)</f>
        <v/>
      </c>
      <c r="M188" t="n">
        <v>26</v>
      </c>
      <c r="N188">
        <f>IF(#REF!="","", "CO-" &amp; IFERROR(VLOOKUP(#REF!, Catalogos!$Z$4:$AA$20, 2, FALSE), "FOL") &amp; "-" &amp; _xludf.WEEKNUM(#REF!, 2) &amp; "-" &amp; TEXT(ROW(A184),"000"))</f>
        <v/>
      </c>
    </row>
    <row r="189">
      <c r="A189" s="17625" t="n">
        <v>46199</v>
      </c>
      <c r="B189" t="inlineStr">
        <is>
          <t>México-Toluca</t>
        </is>
      </c>
      <c r="C189" t="inlineStr">
        <is>
          <t>Marimba M-01</t>
        </is>
      </c>
      <c r="D189" t="inlineStr">
        <is>
          <t>TANDEM DOBLE RODILLO / VIBROCOMPACTOR RODILLO CAT CB54</t>
        </is>
      </c>
      <c r="E189">
        <f>VLOOKUP(TablaObra[[#This Row],[Equipo]],Catalogos!$V$4:$W$64,2,FALSE)</f>
        <v/>
      </c>
      <c r="F189" s="3" t="n">
        <v>40</v>
      </c>
      <c r="G189" s="4" t="n">
        <v>27</v>
      </c>
      <c r="H189" s="4">
        <f>IFERROR(F189*G189,0)</f>
        <v/>
      </c>
      <c r="M189" t="n">
        <v>26</v>
      </c>
      <c r="N189">
        <f>IF(A189="","", "CO-" &amp; IFERROR(VLOOKUP(B189, Catalogos!$Z$4:$AA$20, 2, FALSE), "FOL") &amp; "-" &amp; _xludf.WEEKNUM(A189, 2) &amp; "-" &amp; TEXT(ROW(A185),"000"))</f>
        <v/>
      </c>
    </row>
    <row r="190">
      <c r="A190" s="17625" t="n">
        <v>46199</v>
      </c>
      <c r="B190" t="inlineStr">
        <is>
          <t>México-Toluca</t>
        </is>
      </c>
      <c r="C190" t="inlineStr">
        <is>
          <t>Marimba M-01</t>
        </is>
      </c>
      <c r="D190" t="inlineStr">
        <is>
          <t>NEUMATICO VOLVO PT-240R</t>
        </is>
      </c>
      <c r="E190">
        <f>VLOOKUP(TablaObra[[#This Row],[Equipo]],Catalogos!$V$4:$W$64,2,FALSE)</f>
        <v/>
      </c>
      <c r="F190" s="3" t="n">
        <v>30</v>
      </c>
      <c r="G190" s="4" t="n">
        <v>27</v>
      </c>
      <c r="H190" s="4">
        <f>IFERROR(F190*G190,0)</f>
        <v/>
      </c>
      <c r="M190" t="n">
        <v>26</v>
      </c>
      <c r="N190">
        <f>IF(A190="","", "CO-" &amp; IFERROR(VLOOKUP(B190, Catalogos!$Z$4:$AA$20, 2, FALSE), "FOL") &amp; "-" &amp; _xludf.WEEKNUM(A190, 2) &amp; "-" &amp; TEXT(ROW(A186),"000"))</f>
        <v/>
      </c>
    </row>
    <row r="191">
      <c r="A191" s="17625" t="n">
        <v>46199</v>
      </c>
      <c r="B191" t="inlineStr">
        <is>
          <t>México-Toluca</t>
        </is>
      </c>
      <c r="C191" t="inlineStr">
        <is>
          <t>Marimba M-01</t>
        </is>
      </c>
      <c r="D191" t="inlineStr">
        <is>
          <t>NEUMATICO / COMPACTADOR DE NEUMATICOS DINAPAC CP271</t>
        </is>
      </c>
      <c r="E191">
        <f>VLOOKUP(TablaObra[[#This Row],[Equipo]],Catalogos!$V$4:$W$64,2,FALSE)</f>
        <v/>
      </c>
      <c r="F191" s="3" t="n">
        <v>16</v>
      </c>
      <c r="G191" s="4" t="n">
        <v>27</v>
      </c>
      <c r="H191" s="4">
        <f>IFERROR(F191*G191,0)</f>
        <v/>
      </c>
      <c r="M191" t="n">
        <v>26</v>
      </c>
      <c r="N191">
        <f>IF(A191="","", "CO-" &amp; IFERROR(VLOOKUP(B191, Catalogos!$Z$4:$AA$20, 2, FALSE), "FOL") &amp; "-" &amp; _xludf.WEEKNUM(A191, 2) &amp; "-" &amp; TEXT(ROW(#REF!),"000"))</f>
        <v/>
      </c>
    </row>
    <row r="192">
      <c r="A192" s="17625" t="n">
        <v>46199</v>
      </c>
      <c r="B192" t="inlineStr">
        <is>
          <t>México-Toluca</t>
        </is>
      </c>
      <c r="C192" t="inlineStr">
        <is>
          <t>Marimba M-01</t>
        </is>
      </c>
      <c r="D192" t="inlineStr">
        <is>
          <t>PAVIMENTADORA  VOGELE SJ 1800-3</t>
        </is>
      </c>
      <c r="E192">
        <f>VLOOKUP(TablaObra[[#This Row],[Equipo]],Catalogos!$V$4:$W$64,2,FALSE)</f>
        <v/>
      </c>
      <c r="F192" s="3" t="n">
        <v>120</v>
      </c>
      <c r="G192" s="4" t="n">
        <v>27</v>
      </c>
      <c r="H192" s="4">
        <f>IFERROR(F192*G192,0)</f>
        <v/>
      </c>
      <c r="M192" t="n">
        <v>26</v>
      </c>
      <c r="N192">
        <f>IF(A192="","", "CO-" &amp; IFERROR(VLOOKUP(B192, Catalogos!$Z$4:$AA$20, 2, FALSE), "FOL") &amp; "-" &amp; _xludf.WEEKNUM(A192, 2) &amp; "-" &amp; TEXT(ROW(#REF!),"000"))</f>
        <v/>
      </c>
    </row>
    <row r="193">
      <c r="A193" s="17625" t="n">
        <v>46199</v>
      </c>
      <c r="B193" t="inlineStr">
        <is>
          <t>México-Toluca</t>
        </is>
      </c>
      <c r="C193" t="inlineStr">
        <is>
          <t>Marimba M-01</t>
        </is>
      </c>
      <c r="D193" t="inlineStr">
        <is>
          <t>TANDEM DOBLE RODILLO / VIBROCOMPACTOR RODILLO CAT CB54</t>
        </is>
      </c>
      <c r="E193">
        <f>VLOOKUP(TablaObra[[#This Row],[Equipo]],Catalogos!$V$4:$W$64,2,FALSE)</f>
        <v/>
      </c>
      <c r="F193" s="3" t="n">
        <v>32</v>
      </c>
      <c r="G193" s="4" t="n">
        <v>27</v>
      </c>
      <c r="H193" s="4">
        <f>IFERROR(F193*G193,0)</f>
        <v/>
      </c>
      <c r="M193" t="n">
        <v>26</v>
      </c>
      <c r="N193">
        <f>IF(A193="","", "CO-" &amp; IFERROR(VLOOKUP(B193, Catalogos!$Z$4:$AA$20, 2, FALSE), "FOL") &amp; "-" &amp; _xludf.WEEKNUM(A193, 2) &amp; "-" &amp; TEXT(ROW(A189),"000"))</f>
        <v/>
      </c>
    </row>
    <row r="194">
      <c r="A194" s="17625" t="n">
        <v>46199</v>
      </c>
      <c r="B194" t="inlineStr">
        <is>
          <t>México-Toluca</t>
        </is>
      </c>
      <c r="C194" t="inlineStr">
        <is>
          <t>Marimba M-01</t>
        </is>
      </c>
      <c r="D194" t="inlineStr">
        <is>
          <t>RETROEXCAVADORA JHONDEREE 310SK</t>
        </is>
      </c>
      <c r="E194">
        <f>VLOOKUP(TablaObra[[#This Row],[Equipo]],Catalogos!$V$4:$W$64,2,FALSE)</f>
        <v/>
      </c>
      <c r="F194" s="3" t="n">
        <v>40</v>
      </c>
      <c r="G194" s="4" t="n">
        <v>27</v>
      </c>
      <c r="H194" s="4">
        <f>IFERROR(F194*G194,0)</f>
        <v/>
      </c>
      <c r="M194" t="n">
        <v>26</v>
      </c>
      <c r="N194">
        <f>IF(A194="","", "CO-" &amp; IFERROR(VLOOKUP(B194, Catalogos!$Z$4:$AA$20, 2, FALSE), "FOL") &amp; "-" &amp; _xludf.WEEKNUM(A194, 2) &amp; "-" &amp; TEXT(ROW(A190),"000"))</f>
        <v/>
      </c>
    </row>
    <row r="195">
      <c r="A195" s="17625" t="n">
        <v>46199</v>
      </c>
      <c r="B195" t="inlineStr">
        <is>
          <t>Lerma - Tres Marías</t>
        </is>
      </c>
      <c r="C195" t="inlineStr">
        <is>
          <t>Tanque Pegaso</t>
        </is>
      </c>
      <c r="D195" t="inlineStr">
        <is>
          <t>PETROLIZADORA    INTERNATIONAL</t>
        </is>
      </c>
      <c r="E195">
        <f>VLOOKUP(TablaObra[[#This Row],[Equipo]],Catalogos!$V$4:$W$64,2,FALSE)</f>
        <v/>
      </c>
      <c r="F195" s="3" t="n">
        <v>41</v>
      </c>
      <c r="G195" s="4" t="n">
        <v>27</v>
      </c>
      <c r="H195" s="4">
        <f>IFERROR(F195*G195,0)</f>
        <v/>
      </c>
      <c r="M195" t="n">
        <v>26</v>
      </c>
      <c r="N195">
        <f>IF(A195="","", "CO-" &amp; IFERROR(VLOOKUP(B195, Catalogos!$Z$4:$AA$20, 2, FALSE), "FOL") &amp; "-" &amp; _xludf.WEEKNUM(A195, 2) &amp; "-" &amp; TEXT(ROW(A191),"000"))</f>
        <v/>
      </c>
    </row>
    <row r="196">
      <c r="A196" s="17625" t="n">
        <v>46199</v>
      </c>
      <c r="B196" t="inlineStr">
        <is>
          <t>México-Toluca</t>
        </is>
      </c>
      <c r="C196" t="inlineStr">
        <is>
          <t>Tanque Pegaso</t>
        </is>
      </c>
      <c r="D196" t="inlineStr">
        <is>
          <t>PERFILADORA RODATEC RX600E</t>
        </is>
      </c>
      <c r="E196">
        <f>VLOOKUP(TablaObra[[#This Row],[Equipo]],Catalogos!$V$4:$W$64,2,FALSE)</f>
        <v/>
      </c>
      <c r="F196" s="3" t="n">
        <v>329</v>
      </c>
      <c r="G196" s="4" t="n">
        <v>27</v>
      </c>
      <c r="H196" s="4">
        <f>IFERROR(F196*G196,0)</f>
        <v/>
      </c>
      <c r="M196" t="n">
        <v>26</v>
      </c>
      <c r="N196">
        <f>IF(A196="","", "CO-" &amp; IFERROR(VLOOKUP(B196, Catalogos!$Z$4:$AA$20, 2, FALSE), "FOL") &amp; "-" &amp; _xludf.WEEKNUM(A196, 2) &amp; "-" &amp; TEXT(ROW(A192),"000"))</f>
        <v/>
      </c>
    </row>
    <row r="197">
      <c r="A197" s="17625" t="n">
        <v>46199</v>
      </c>
      <c r="B197" t="inlineStr">
        <is>
          <t>Bacheo Toluca</t>
        </is>
      </c>
      <c r="C197" t="inlineStr">
        <is>
          <t>Tanque Pegaso</t>
        </is>
      </c>
      <c r="D197" t="inlineStr">
        <is>
          <t>BIDONES</t>
        </is>
      </c>
      <c r="E197">
        <f>VLOOKUP(TablaObra[[#This Row],[Equipo]],Catalogos!$V$4:$W$64,2,FALSE)</f>
        <v/>
      </c>
      <c r="F197" s="3" t="n">
        <v>480</v>
      </c>
      <c r="G197" s="4" t="n">
        <v>27</v>
      </c>
      <c r="H197" s="4">
        <f>IFERROR(F197*G197,0)</f>
        <v/>
      </c>
      <c r="M197" t="n">
        <v>26</v>
      </c>
      <c r="N197">
        <f>IF(A197="","", "CO-" &amp; IFERROR(VLOOKUP(B197, Catalogos!$Z$4:$AA$20, 2, FALSE), "FOL") &amp; "-" &amp; _xludf.WEEKNUM(A197, 2) &amp; "-" &amp; TEXT(ROW(A193),"000"))</f>
        <v/>
      </c>
    </row>
    <row r="198">
      <c r="A198" s="17625" t="n">
        <v>46199</v>
      </c>
      <c r="B198" t="inlineStr">
        <is>
          <t>Bacheo Toluca</t>
        </is>
      </c>
      <c r="C198" t="inlineStr">
        <is>
          <t>Tanque Pegaso</t>
        </is>
      </c>
      <c r="D198" t="inlineStr">
        <is>
          <t>MOTOCONFORMADORA RENTADA</t>
        </is>
      </c>
      <c r="E198">
        <f>VLOOKUP(TablaObra[[#This Row],[Equipo]],Catalogos!$V$4:$W$64,2,FALSE)</f>
        <v/>
      </c>
      <c r="F198" s="3" t="n">
        <v>220</v>
      </c>
      <c r="G198" s="4" t="n">
        <v>27</v>
      </c>
      <c r="H198" s="4">
        <f>IFERROR(F198*G198,0)</f>
        <v/>
      </c>
      <c r="M198" t="n">
        <v>26</v>
      </c>
      <c r="N198">
        <f>IF(A198="","", "CO-" &amp; IFERROR(VLOOKUP(B198, Catalogos!$Z$4:$AA$20, 2, FALSE), "FOL") &amp; "-" &amp; _xludf.WEEKNUM(A198, 2) &amp; "-" &amp; TEXT(ROW(A194),"000"))</f>
        <v/>
      </c>
    </row>
    <row r="199">
      <c r="A199" s="17625" t="n">
        <v>46199</v>
      </c>
      <c r="B199" t="inlineStr">
        <is>
          <t>Bacheo Toluca</t>
        </is>
      </c>
      <c r="C199" t="inlineStr">
        <is>
          <t>Tanque Pegaso</t>
        </is>
      </c>
      <c r="D199" t="inlineStr">
        <is>
          <t>DOBLE RODILLO/VIBROCOMPACTADOR DE RODILLOS HAMM 140HD</t>
        </is>
      </c>
      <c r="E199">
        <f>VLOOKUP(TablaObra[[#This Row],[Equipo]],Catalogos!$V$4:$W$64,2,FALSE)</f>
        <v/>
      </c>
      <c r="F199" s="3" t="n">
        <v>80</v>
      </c>
      <c r="G199" s="4" t="n">
        <v>27</v>
      </c>
      <c r="H199" s="4">
        <f>IFERROR(F199*G199,0)</f>
        <v/>
      </c>
      <c r="M199" t="n">
        <v>26</v>
      </c>
      <c r="N199">
        <f>IF(A199="","", "CO-" &amp; IFERROR(VLOOKUP(B199, Catalogos!$Z$4:$AA$20, 2, FALSE), "FOL") &amp; "-" &amp; _xludf.WEEKNUM(A199, 2) &amp; "-" &amp; TEXT(ROW(A195),"000"))</f>
        <v/>
      </c>
    </row>
    <row r="200">
      <c r="A200" s="17625" t="n">
        <v>46199</v>
      </c>
      <c r="B200" t="inlineStr">
        <is>
          <t>Bacheo Toluca</t>
        </is>
      </c>
      <c r="C200" t="inlineStr">
        <is>
          <t>Tanque Pegaso</t>
        </is>
      </c>
      <c r="D200" t="inlineStr">
        <is>
          <t>RETROEXCAVADORA CASE 580 N</t>
        </is>
      </c>
      <c r="E200">
        <f>VLOOKUP(TablaObra[[#This Row],[Equipo]],Catalogos!$V$4:$W$64,2,FALSE)</f>
        <v/>
      </c>
      <c r="F200" s="3" t="n">
        <v>80</v>
      </c>
      <c r="G200" s="4" t="n">
        <v>27</v>
      </c>
      <c r="H200" s="4">
        <f>IFERROR(F200*G200,0)</f>
        <v/>
      </c>
      <c r="M200" t="n">
        <v>26</v>
      </c>
      <c r="N200">
        <f>IF(A200="","", "CO-" &amp; IFERROR(VLOOKUP(B200, Catalogos!$Z$4:$AA$20, 2, FALSE), "FOL") &amp; "-" &amp; _xludf.WEEKNUM(A200, 2) &amp; "-" &amp; TEXT(ROW(A196),"000"))</f>
        <v/>
      </c>
    </row>
    <row r="201">
      <c r="A201" s="17625" t="n">
        <v>46199</v>
      </c>
      <c r="B201" t="inlineStr">
        <is>
          <t>México-Toluca</t>
        </is>
      </c>
      <c r="C201" t="inlineStr">
        <is>
          <t>Marimba M-01</t>
        </is>
      </c>
      <c r="D201" t="inlineStr">
        <is>
          <t>PERFILADORA RODATEC RX600E</t>
        </is>
      </c>
      <c r="E201">
        <f>VLOOKUP(TablaObra[[#This Row],[Equipo]],Catalogos!$V$4:$W$64,2,FALSE)</f>
        <v/>
      </c>
      <c r="F201" s="3" t="n">
        <v>200</v>
      </c>
      <c r="G201" s="4" t="n">
        <v>27</v>
      </c>
      <c r="H201" s="4">
        <f>IFERROR(F201*G201,0)</f>
        <v/>
      </c>
      <c r="M201" t="n">
        <v>26</v>
      </c>
      <c r="N201">
        <f>IF(A201="","", "CO-" &amp; IFERROR(VLOOKUP(B201, Catalogos!$Z$4:$AA$20, 2, FALSE), "FOL") &amp; "-" &amp; _xludf.WEEKNUM(A201, 2) &amp; "-" &amp; TEXT(ROW(A197),"000"))</f>
        <v/>
      </c>
    </row>
    <row r="202">
      <c r="A202" s="17625" t="n">
        <v>46199</v>
      </c>
      <c r="B202" t="inlineStr">
        <is>
          <t>Planta Asflato Huixquilucan</t>
        </is>
      </c>
      <c r="C202" t="inlineStr">
        <is>
          <t>BIDONES</t>
        </is>
      </c>
      <c r="D202" t="inlineStr">
        <is>
          <t>GENERADOR AMMANN</t>
        </is>
      </c>
      <c r="E202">
        <f>VLOOKUP(TablaObra[[#This Row],[Equipo]],Catalogos!$V$4:$W$64,2,FALSE)</f>
        <v/>
      </c>
      <c r="F202" s="3" t="n">
        <v>200</v>
      </c>
      <c r="G202" s="4" t="n">
        <v>27</v>
      </c>
      <c r="H202" s="4">
        <f>IFERROR(F202*G202,0)</f>
        <v/>
      </c>
      <c r="M202" t="n">
        <v>26</v>
      </c>
      <c r="N202">
        <f>IF(A202="","", "CO-" &amp; IFERROR(VLOOKUP(B202, Catalogos!$Z$4:$AA$20, 2, FALSE), "FOL") &amp; "-" &amp; _xludf.WEEKNUM(A202, 2) &amp; "-" &amp; TEXT(ROW(A198),"000"))</f>
        <v/>
      </c>
    </row>
    <row r="203">
      <c r="A203" s="17625" t="n">
        <v>46200</v>
      </c>
      <c r="B203" t="inlineStr">
        <is>
          <t>México-Toluca</t>
        </is>
      </c>
      <c r="C203" t="inlineStr">
        <is>
          <t>Marimba M-01</t>
        </is>
      </c>
      <c r="D203" t="inlineStr">
        <is>
          <t>BARREDORA BROCE RJ350</t>
        </is>
      </c>
      <c r="E203">
        <f>VLOOKUP(TablaObra[[#This Row],[Equipo]],Catalogos!$V$4:$W$64,2,FALSE)</f>
        <v/>
      </c>
      <c r="F203" s="3" t="n">
        <v>24</v>
      </c>
      <c r="G203" s="4" t="n">
        <v>27</v>
      </c>
      <c r="H203" s="4">
        <f>IFERROR(F203*G203,0)</f>
        <v/>
      </c>
      <c r="M203" t="n">
        <v>26</v>
      </c>
      <c r="N203">
        <f>IF(A203="","", "CO-" &amp; IFERROR(VLOOKUP(B203, Catalogos!$Z$4:$AA$20, 2, FALSE), "FOL") &amp; "-" &amp; _xludf.WEEKNUM(A203, 2) &amp; "-" &amp; TEXT(ROW(A199),"000"))</f>
        <v/>
      </c>
    </row>
    <row r="204">
      <c r="A204" s="17625" t="n">
        <v>46200</v>
      </c>
      <c r="B204" t="inlineStr">
        <is>
          <t>México-Toluca</t>
        </is>
      </c>
      <c r="C204" t="inlineStr">
        <is>
          <t>Marimba M-01</t>
        </is>
      </c>
      <c r="D204" t="inlineStr">
        <is>
          <t>PIPA DE AGUA (IMPACTO 01) FORD</t>
        </is>
      </c>
      <c r="E204">
        <f>VLOOKUP(TablaObra[[#This Row],[Equipo]],Catalogos!$V$4:$W$64,2,FALSE)</f>
        <v/>
      </c>
      <c r="F204" s="3" t="n">
        <v>50</v>
      </c>
      <c r="G204" s="4" t="n">
        <v>27</v>
      </c>
      <c r="H204" s="4">
        <f>IFERROR(F204*G204,0)</f>
        <v/>
      </c>
      <c r="M204" t="n">
        <v>26</v>
      </c>
      <c r="N204">
        <f>IF(A204="","", "CO-" &amp; IFERROR(VLOOKUP(B204, Catalogos!$Z$4:$AA$20, 2, FALSE), "FOL") &amp; "-" &amp; _xludf.WEEKNUM(A204, 2) &amp; "-" &amp; TEXT(ROW(A200),"000"))</f>
        <v/>
      </c>
    </row>
    <row r="205">
      <c r="A205" s="17625" t="n">
        <v>46200</v>
      </c>
      <c r="B205" t="inlineStr">
        <is>
          <t>México-Toluca</t>
        </is>
      </c>
      <c r="C205" t="inlineStr">
        <is>
          <t>Marimba M-01</t>
        </is>
      </c>
      <c r="D205" t="inlineStr">
        <is>
          <t>PERFILADORA RODATEC RX600E</t>
        </is>
      </c>
      <c r="E205">
        <f>VLOOKUP(TablaObra[[#This Row],[Equipo]],Catalogos!$V$4:$W$64,2,FALSE)</f>
        <v/>
      </c>
      <c r="F205" s="3" t="n">
        <v>118</v>
      </c>
      <c r="G205" s="4" t="n">
        <v>27</v>
      </c>
      <c r="H205" s="4">
        <f>IFERROR(F205*G205,0)</f>
        <v/>
      </c>
      <c r="M205" t="n">
        <v>26</v>
      </c>
      <c r="N205">
        <f>IF(A205="","", "CO-" &amp; IFERROR(VLOOKUP(B205, Catalogos!$Z$4:$AA$20, 2, FALSE), "FOL") &amp; "-" &amp; _xludf.WEEKNUM(A205, 2) &amp; "-" &amp; TEXT(ROW(A201),"000"))</f>
        <v/>
      </c>
    </row>
    <row r="206">
      <c r="A206" s="17625" t="n">
        <v>46200</v>
      </c>
      <c r="B206" t="inlineStr">
        <is>
          <t>Planta Asflato Huixquilucan</t>
        </is>
      </c>
      <c r="C206" t="inlineStr">
        <is>
          <t>BIDONES</t>
        </is>
      </c>
      <c r="D206" t="inlineStr">
        <is>
          <t>GENERADOR AMMANN</t>
        </is>
      </c>
      <c r="E206">
        <f>VLOOKUP(TablaObra[[#This Row],[Equipo]],Catalogos!$V$4:$W$64,2,FALSE)</f>
        <v/>
      </c>
      <c r="F206" s="3" t="n">
        <v>100</v>
      </c>
      <c r="G206" s="4" t="n">
        <v>27</v>
      </c>
      <c r="H206" s="4">
        <f>IFERROR(F206*G206,0)</f>
        <v/>
      </c>
      <c r="M206" t="n">
        <v>26</v>
      </c>
      <c r="N206">
        <f>IF(A206="","", "CO-" &amp; IFERROR(VLOOKUP(B206, Catalogos!$Z$4:$AA$20, 2, FALSE), "FOL") &amp; "-" &amp; _xludf.WEEKNUM(A206, 2) &amp; "-" &amp; TEXT(ROW(A202),"000"))</f>
        <v/>
      </c>
    </row>
    <row r="207">
      <c r="A207" s="17625" t="n">
        <v>46200</v>
      </c>
      <c r="B207" t="inlineStr">
        <is>
          <t>Planta Asflato Huixquilucan</t>
        </is>
      </c>
      <c r="C207" t="inlineStr">
        <is>
          <t>BIDONES</t>
        </is>
      </c>
      <c r="D207" t="inlineStr">
        <is>
          <t>CRIBA ROJA</t>
        </is>
      </c>
      <c r="E207">
        <f>VLOOKUP(TablaObra[[#This Row],[Equipo]],Catalogos!$V$4:$W$64,2,FALSE)</f>
        <v/>
      </c>
      <c r="F207" s="3" t="n">
        <v>60</v>
      </c>
      <c r="G207" s="4" t="n">
        <v>27</v>
      </c>
      <c r="H207" s="4">
        <f>IFERROR(F207*G207,0)</f>
        <v/>
      </c>
      <c r="M207" t="n">
        <v>26</v>
      </c>
      <c r="N207">
        <f>IF(A207="","", "CO-" &amp; IFERROR(VLOOKUP(B207, Catalogos!$Z$4:$AA$20, 2, FALSE), "FOL") &amp; "-" &amp; _xludf.WEEKNUM(A207, 2) &amp; "-" &amp; TEXT(ROW(A203),"000"))</f>
        <v/>
      </c>
    </row>
    <row r="208">
      <c r="A208" s="17625" t="n">
        <v>46200</v>
      </c>
      <c r="B208" t="inlineStr">
        <is>
          <t>Planta Asflato Huixquilucan</t>
        </is>
      </c>
      <c r="C208" t="inlineStr">
        <is>
          <t>BIDONES</t>
        </is>
      </c>
      <c r="D208" t="inlineStr">
        <is>
          <t>MAXILIGHT</t>
        </is>
      </c>
      <c r="E208">
        <f>VLOOKUP(TablaObra[[#This Row],[Equipo]],Catalogos!$V$4:$W$64,2,FALSE)</f>
        <v/>
      </c>
      <c r="F208" s="3" t="n">
        <v>40</v>
      </c>
      <c r="G208" s="4" t="n">
        <v>27</v>
      </c>
      <c r="H208" s="4">
        <f>IFERROR(F208*G208,0)</f>
        <v/>
      </c>
      <c r="M208" t="n">
        <v>26</v>
      </c>
      <c r="N208">
        <f>IF(A208="","", "CO-" &amp; IFERROR(VLOOKUP(B208, Catalogos!$Z$4:$AA$20, 2, FALSE), "FOL") &amp; "-" &amp; _xludf.WEEKNUM(A208, 2) &amp; "-" &amp; TEXT(ROW(A204),"000"))</f>
        <v/>
      </c>
    </row>
    <row r="209">
      <c r="A209" s="17625" t="n">
        <v>46200</v>
      </c>
      <c r="B209" t="inlineStr">
        <is>
          <t>Planta Asflato Huixquilucan</t>
        </is>
      </c>
      <c r="C209" t="inlineStr">
        <is>
          <t>BIDONES</t>
        </is>
      </c>
      <c r="D209" t="inlineStr">
        <is>
          <t>PAYLODER</t>
        </is>
      </c>
      <c r="E209">
        <f>VLOOKUP(TablaObra[[#This Row],[Equipo]],Catalogos!$V$4:$W$64,2,FALSE)</f>
        <v/>
      </c>
      <c r="F209" s="3" t="n">
        <v>200</v>
      </c>
      <c r="G209" s="4" t="n">
        <v>27</v>
      </c>
      <c r="H209" s="4">
        <f>IFERROR(F209*G209,0)</f>
        <v/>
      </c>
      <c r="M209" t="n">
        <v>26</v>
      </c>
      <c r="N209">
        <f>IF(A209="","", "CO-" &amp; IFERROR(VLOOKUP(B209, Catalogos!$Z$4:$AA$20, 2, FALSE), "FOL") &amp; "-" &amp; _xludf.WEEKNUM(A209, 2) &amp; "-" &amp; TEXT(ROW(A205),"000"))</f>
        <v/>
      </c>
    </row>
    <row r="210">
      <c r="A210" s="17625" t="n">
        <v>46200</v>
      </c>
      <c r="B210" t="inlineStr">
        <is>
          <t>Planta Asflato Huixquilucan</t>
        </is>
      </c>
      <c r="C210" t="inlineStr">
        <is>
          <t>BIDONES</t>
        </is>
      </c>
      <c r="D210" t="inlineStr">
        <is>
          <t>AUTOTANQUE(QUEMADOR)</t>
        </is>
      </c>
      <c r="E210">
        <f>VLOOKUP(TablaObra[[#This Row],[Equipo]],Catalogos!$V$4:$W$64,2,FALSE)</f>
        <v/>
      </c>
      <c r="F210" s="3" t="n">
        <v>200</v>
      </c>
      <c r="G210" s="4" t="n">
        <v>27</v>
      </c>
      <c r="H210" s="4">
        <f>IFERROR(F210*G210,0)</f>
        <v/>
      </c>
      <c r="M210" t="n">
        <v>26</v>
      </c>
      <c r="N210">
        <f>IF(A210="","", "CO-" &amp; IFERROR(VLOOKUP(B210, Catalogos!$Z$4:$AA$20, 2, FALSE), "FOL") &amp; "-" &amp; _xludf.WEEKNUM(A210, 2) &amp; "-" &amp; TEXT(ROW(A206),"000"))</f>
        <v/>
      </c>
    </row>
    <row r="211">
      <c r="A211" s="17625" t="n">
        <v>46202</v>
      </c>
      <c r="B211" t="inlineStr">
        <is>
          <t>México-Toluca</t>
        </is>
      </c>
      <c r="C211" t="inlineStr">
        <is>
          <t>Marimba M-01</t>
        </is>
      </c>
      <c r="D211" t="inlineStr">
        <is>
          <t>PAVIMENTADORA  VOGELE SJ 1800-3</t>
        </is>
      </c>
      <c r="E211">
        <f>VLOOKUP(TablaObra[[#This Row],[Equipo]],Catalogos!$V$4:$W$64,2,FALSE)</f>
        <v/>
      </c>
      <c r="F211" s="3" t="n">
        <v>102</v>
      </c>
      <c r="G211" s="4" t="n">
        <v>27</v>
      </c>
      <c r="H211" s="4">
        <f>IFERROR(F211*G211,0)</f>
        <v/>
      </c>
      <c r="M211" t="n">
        <v>27</v>
      </c>
      <c r="N211">
        <f>IF(A211="","", "CO-" &amp; IFERROR(VLOOKUP(B211, Catalogos!$Z$4:$AA$20, 2, FALSE), "FOL") &amp; "-" &amp; _xludf.WEEKNUM(A211, 2) &amp; "-" &amp; TEXT(ROW(A207),"000"))</f>
        <v/>
      </c>
    </row>
    <row r="212">
      <c r="A212" s="17625" t="n">
        <v>46202</v>
      </c>
      <c r="B212" t="inlineStr">
        <is>
          <t>México-Toluca</t>
        </is>
      </c>
      <c r="C212" t="inlineStr">
        <is>
          <t>Marimba M-01</t>
        </is>
      </c>
      <c r="D212" t="inlineStr">
        <is>
          <t>DOBLE RODILLO/VIBROCOMPACTADOR DE RODILLOS HAMM 120HD VV</t>
        </is>
      </c>
      <c r="E212">
        <f>VLOOKUP(TablaObra[[#This Row],[Equipo]],Catalogos!$V$4:$W$64,2,FALSE)</f>
        <v/>
      </c>
      <c r="F212" s="3" t="n">
        <v>41</v>
      </c>
      <c r="G212" s="4" t="n">
        <v>27</v>
      </c>
      <c r="H212" s="4">
        <f>IFERROR(F212*G212,0)</f>
        <v/>
      </c>
      <c r="M212" t="n">
        <v>27</v>
      </c>
      <c r="N212">
        <f>IF(A212="","", "CO-" &amp; IFERROR(VLOOKUP(B212, Catalogos!$Z$4:$AA$20, 2, FALSE), "FOL") &amp; "-" &amp; _xludf.WEEKNUM(A212, 2) &amp; "-" &amp; TEXT(ROW(A208),"000"))</f>
        <v/>
      </c>
    </row>
    <row r="213">
      <c r="A213" s="17625" t="n">
        <v>46202</v>
      </c>
      <c r="B213" t="inlineStr">
        <is>
          <t>México-Toluca</t>
        </is>
      </c>
      <c r="C213" t="inlineStr">
        <is>
          <t>Marimba M-01</t>
        </is>
      </c>
      <c r="D213" t="inlineStr">
        <is>
          <t>DOBLE RODILLO/VIBROCOMPACTADOR DE RODILLOS HAMM 140HD</t>
        </is>
      </c>
      <c r="E213">
        <f>VLOOKUP(TablaObra[[#This Row],[Equipo]],Catalogos!$V$4:$W$64,2,FALSE)</f>
        <v/>
      </c>
      <c r="F213" s="3" t="n">
        <v>23</v>
      </c>
      <c r="G213" s="4" t="n">
        <v>27</v>
      </c>
      <c r="H213" s="4">
        <f>IFERROR(F213*G213,0)</f>
        <v/>
      </c>
      <c r="M213" t="n">
        <v>27</v>
      </c>
      <c r="N213">
        <f>IF(A213="","", "CO-" &amp; IFERROR(VLOOKUP(B213, Catalogos!$Z$4:$AA$20, 2, FALSE), "FOL") &amp; "-" &amp; _xludf.WEEKNUM(A213, 2) &amp; "-" &amp; TEXT(ROW(A209),"000"))</f>
        <v/>
      </c>
    </row>
    <row r="214">
      <c r="A214" s="17625" t="n">
        <v>46202</v>
      </c>
      <c r="B214" t="inlineStr">
        <is>
          <t>México-Toluca</t>
        </is>
      </c>
      <c r="C214" t="inlineStr">
        <is>
          <t>Marimba M-01</t>
        </is>
      </c>
      <c r="D214" t="inlineStr">
        <is>
          <t>RETROEXCAVADORA JHONDEREE 310SK</t>
        </is>
      </c>
      <c r="E214">
        <f>VLOOKUP(TablaObra[[#This Row],[Equipo]],Catalogos!$V$4:$W$64,2,FALSE)</f>
        <v/>
      </c>
      <c r="F214" s="3" t="n">
        <v>60</v>
      </c>
      <c r="G214" s="4" t="n">
        <v>27</v>
      </c>
      <c r="H214" s="4">
        <f>IFERROR(F214*G214,0)</f>
        <v/>
      </c>
      <c r="M214" t="n">
        <v>27</v>
      </c>
      <c r="N214">
        <f>IF(A214="","", "CO-" &amp; IFERROR(VLOOKUP(B214, Catalogos!$Z$4:$AA$20, 2, FALSE), "FOL") &amp; "-" &amp; _xludf.WEEKNUM(A214, 2) &amp; "-" &amp; TEXT(ROW(A210),"000"))</f>
        <v/>
      </c>
    </row>
    <row r="215">
      <c r="A215" s="17625" t="n">
        <v>46202</v>
      </c>
      <c r="B215" t="inlineStr">
        <is>
          <t>México-Toluca</t>
        </is>
      </c>
      <c r="C215" t="inlineStr">
        <is>
          <t>Marimba M-01</t>
        </is>
      </c>
      <c r="D215" t="inlineStr">
        <is>
          <t>PERFILADORA RODATEC RX600E</t>
        </is>
      </c>
      <c r="E215">
        <f>VLOOKUP(TablaObra[[#This Row],[Equipo]],Catalogos!$V$4:$W$64,2,FALSE)</f>
        <v/>
      </c>
      <c r="F215" s="3" t="n">
        <v>97</v>
      </c>
      <c r="G215" s="4" t="n">
        <v>27</v>
      </c>
      <c r="H215" s="4">
        <f>IFERROR(F215*G215,0)</f>
        <v/>
      </c>
      <c r="M215" t="n">
        <v>27</v>
      </c>
      <c r="N215">
        <f>IF(A215="","", "CO-" &amp; IFERROR(VLOOKUP(B215, Catalogos!$Z$4:$AA$20, 2, FALSE), "FOL") &amp; "-" &amp; _xludf.WEEKNUM(A215, 2) &amp; "-" &amp; TEXT(ROW(A211),"000"))</f>
        <v/>
      </c>
    </row>
    <row r="216">
      <c r="A216" s="17625" t="n">
        <v>46202</v>
      </c>
      <c r="B216" t="inlineStr">
        <is>
          <t>Lerma - Tres Marías</t>
        </is>
      </c>
      <c r="C216" t="inlineStr">
        <is>
          <t>Tanque Pegaso</t>
        </is>
      </c>
      <c r="D216" t="inlineStr">
        <is>
          <t>PAVIMENTADORA  VOGELE 1800-3 i</t>
        </is>
      </c>
      <c r="E216">
        <f>VLOOKUP(TablaObra[[#This Row],[Equipo]],Catalogos!$V$4:$W$64,2,FALSE)</f>
        <v/>
      </c>
      <c r="F216" s="3" t="n">
        <v>178</v>
      </c>
      <c r="G216" s="4" t="n">
        <v>27</v>
      </c>
      <c r="H216" s="4">
        <f>IFERROR(F216*G216,0)</f>
        <v/>
      </c>
      <c r="M216" t="n">
        <v>27</v>
      </c>
      <c r="N216">
        <f>IF(A216="","", "CO-" &amp; IFERROR(VLOOKUP(B216, Catalogos!$Z$4:$AA$20, 2, FALSE), "FOL") &amp; "-" &amp; _xludf.WEEKNUM(A216, 2) &amp; "-" &amp; TEXT(ROW(A212),"000"))</f>
        <v/>
      </c>
    </row>
    <row r="217">
      <c r="A217" s="17625" t="n">
        <v>46202</v>
      </c>
      <c r="B217" t="inlineStr">
        <is>
          <t>Lerma - Tres Marías</t>
        </is>
      </c>
      <c r="C217" t="inlineStr">
        <is>
          <t>Tanque Pegaso</t>
        </is>
      </c>
      <c r="D217" t="inlineStr">
        <is>
          <t>TANDEM DOBLE RODILLO / VIBROCOMPACTOR RODILLO CAT CB54</t>
        </is>
      </c>
      <c r="E217">
        <f>VLOOKUP(TablaObra[[#This Row],[Equipo]],Catalogos!$V$4:$W$64,2,FALSE)</f>
        <v/>
      </c>
      <c r="F217" s="3" t="n">
        <v>38</v>
      </c>
      <c r="G217" s="4" t="n">
        <v>27</v>
      </c>
      <c r="H217" s="4">
        <f>IFERROR(F217*G217,0)</f>
        <v/>
      </c>
      <c r="M217" t="n">
        <v>27</v>
      </c>
      <c r="N217">
        <f>IF(A217="","", "CO-" &amp; IFERROR(VLOOKUP(B217, Catalogos!$Z$4:$AA$20, 2, FALSE), "FOL") &amp; "-" &amp; _xludf.WEEKNUM(A217, 2) &amp; "-" &amp; TEXT(ROW(A213),"000"))</f>
        <v/>
      </c>
    </row>
    <row r="218">
      <c r="A218" s="17625" t="n">
        <v>46202</v>
      </c>
      <c r="B218" t="inlineStr">
        <is>
          <t>México-Toluca</t>
        </is>
      </c>
      <c r="C218" t="inlineStr">
        <is>
          <t>Marimba M-01</t>
        </is>
      </c>
      <c r="D218" t="inlineStr">
        <is>
          <t>PETROLIZADORA    INTERNATIONAL</t>
        </is>
      </c>
      <c r="E218">
        <f>VLOOKUP(TablaObra[[#This Row],[Equipo]],Catalogos!$V$4:$W$64,2,FALSE)</f>
        <v/>
      </c>
      <c r="F218" s="3" t="n">
        <v>50</v>
      </c>
      <c r="G218" s="4" t="n">
        <v>27</v>
      </c>
      <c r="H218" s="4">
        <f>IFERROR(F218*G218,0)</f>
        <v/>
      </c>
      <c r="M218" t="n">
        <v>27</v>
      </c>
      <c r="N218">
        <f>IF(A218="","", "CO-" &amp; IFERROR(VLOOKUP(B218, Catalogos!$Z$4:$AA$20, 2, FALSE), "FOL") &amp; "-" &amp; _xludf.WEEKNUM(A218, 2) &amp; "-" &amp; TEXT(ROW(A214),"000"))</f>
        <v/>
      </c>
    </row>
    <row r="219">
      <c r="A219" s="17625" t="n">
        <v>46202</v>
      </c>
      <c r="B219" t="inlineStr">
        <is>
          <t>Planta Asflato Huixquilucan</t>
        </is>
      </c>
      <c r="C219" t="inlineStr">
        <is>
          <t>BIDONES</t>
        </is>
      </c>
      <c r="D219" t="inlineStr">
        <is>
          <t>GENERADOR AMMANN</t>
        </is>
      </c>
      <c r="E219">
        <f>VLOOKUP(TablaObra[[#This Row],[Equipo]],Catalogos!$V$4:$W$64,2,FALSE)</f>
        <v/>
      </c>
      <c r="F219" s="3" t="n">
        <v>200</v>
      </c>
      <c r="G219" s="4" t="n">
        <v>27</v>
      </c>
      <c r="H219" s="4">
        <f>IFERROR(F219*G219,0)</f>
        <v/>
      </c>
      <c r="M219" t="n">
        <v>27</v>
      </c>
      <c r="N219">
        <f>IF(A219="","", "CO-" &amp; IFERROR(VLOOKUP(B219, Catalogos!$Z$4:$AA$20, 2, FALSE), "FOL") &amp; "-" &amp; _xludf.WEEKNUM(A219, 2) &amp; "-" &amp; TEXT(ROW(A215),"000"))</f>
        <v/>
      </c>
    </row>
    <row r="220">
      <c r="A220" s="17625" t="n">
        <v>46202</v>
      </c>
      <c r="B220" t="inlineStr">
        <is>
          <t>Planta Asflato Huixquilucan</t>
        </is>
      </c>
      <c r="C220" t="inlineStr">
        <is>
          <t>BIDONES</t>
        </is>
      </c>
      <c r="D220" t="inlineStr">
        <is>
          <t>GENERADOR AMMANN</t>
        </is>
      </c>
      <c r="E220">
        <f>VLOOKUP(TablaObra[[#This Row],[Equipo]],Catalogos!$V$4:$W$64,2,FALSE)</f>
        <v/>
      </c>
      <c r="F220" s="3" t="n">
        <v>80</v>
      </c>
      <c r="G220" s="4" t="n">
        <v>27</v>
      </c>
      <c r="H220" s="4">
        <f>IFERROR(F220*G220,0)</f>
        <v/>
      </c>
      <c r="M220" t="n">
        <v>27</v>
      </c>
      <c r="N220">
        <f>IF(A220="","", "CO-" &amp; IFERROR(VLOOKUP(B220, Catalogos!$Z$4:$AA$20, 2, FALSE), "FOL") &amp; "-" &amp; _xludf.WEEKNUM(A220, 2) &amp; "-" &amp; TEXT(ROW(A216),"000"))</f>
        <v/>
      </c>
    </row>
    <row r="221">
      <c r="A221" s="17625" t="n">
        <v>46202</v>
      </c>
      <c r="B221" t="inlineStr">
        <is>
          <t>Planta Asflato Huixquilucan</t>
        </is>
      </c>
      <c r="C221" t="inlineStr">
        <is>
          <t>BIDONES</t>
        </is>
      </c>
      <c r="D221" t="inlineStr">
        <is>
          <t>GENERADOR</t>
        </is>
      </c>
      <c r="E221">
        <f>VLOOKUP(TablaObra[[#This Row],[Equipo]],Catalogos!$V$4:$W$64,2,FALSE)</f>
        <v/>
      </c>
      <c r="F221" s="3" t="n">
        <v>300</v>
      </c>
      <c r="G221" s="4" t="n">
        <v>27</v>
      </c>
      <c r="H221" s="4">
        <f>IFERROR(F221*G221,0)</f>
        <v/>
      </c>
      <c r="M221" t="n">
        <v>27</v>
      </c>
      <c r="N221">
        <f>IF(A221="","", "CO-" &amp; IFERROR(VLOOKUP(B221, Catalogos!$Z$4:$AA$20, 2, FALSE), "FOL") &amp; "-" &amp; _xludf.WEEKNUM(A221, 2) &amp; "-" &amp; TEXT(ROW(A217),"000"))</f>
        <v/>
      </c>
    </row>
    <row r="222">
      <c r="A222" s="17625" t="n">
        <v>46202</v>
      </c>
      <c r="B222" t="inlineStr">
        <is>
          <t>Lerma - Tres Marías</t>
        </is>
      </c>
      <c r="C222" t="inlineStr">
        <is>
          <t>Tanque Pegaso</t>
        </is>
      </c>
      <c r="D222" t="inlineStr">
        <is>
          <t>TANDEM DOBLE RODILLO / VIBROCOMPACTOR RODILLO CAT CB54</t>
        </is>
      </c>
      <c r="E222">
        <f>VLOOKUP(TablaObra[[#This Row],[Equipo]],Catalogos!$V$4:$W$64,2,FALSE)</f>
        <v/>
      </c>
      <c r="F222" s="3" t="n">
        <v>38</v>
      </c>
      <c r="G222" s="4" t="n">
        <v>27</v>
      </c>
      <c r="H222" s="4">
        <f>IFERROR(F222*G222,0)</f>
        <v/>
      </c>
      <c r="M222" t="n">
        <v>27</v>
      </c>
      <c r="N222">
        <f>IF(A222="","", "CO-" &amp; IFERROR(VLOOKUP(B222, Catalogos!$Z$4:$AA$20, 2, FALSE), "FOL") &amp; "-" &amp; _xludf.WEEKNUM(A222, 2) &amp; "-" &amp; TEXT(ROW(A218),"000"))</f>
        <v/>
      </c>
    </row>
    <row r="223">
      <c r="A223" s="17625" t="n">
        <v>46202</v>
      </c>
      <c r="B223" t="inlineStr">
        <is>
          <t>Planta Asfalto Pegaso</t>
        </is>
      </c>
      <c r="C223" t="inlineStr">
        <is>
          <t>BIDONES</t>
        </is>
      </c>
      <c r="D223" t="inlineStr">
        <is>
          <t>PAYLODER</t>
        </is>
      </c>
      <c r="E223">
        <f>VLOOKUP(TablaObra[[#This Row],[Equipo]],Catalogos!$V$4:$W$64,2,FALSE)</f>
        <v/>
      </c>
      <c r="F223" s="3" t="n">
        <v>210</v>
      </c>
      <c r="G223" s="4" t="n">
        <v>27</v>
      </c>
      <c r="H223" s="4">
        <f>IFERROR(F223*G223,0)</f>
        <v/>
      </c>
      <c r="M223" t="n">
        <v>27</v>
      </c>
      <c r="N223">
        <f>IF(A223="","", "CO-" &amp; IFERROR(VLOOKUP(B223, Catalogos!$Z$4:$AA$20, 2, FALSE), "FOL") &amp; "-" &amp; _xludf.WEEKNUM(A223, 2) &amp; "-" &amp; TEXT(ROW(A219),"000"))</f>
        <v/>
      </c>
    </row>
    <row r="224">
      <c r="A224" s="17625" t="n">
        <v>46202</v>
      </c>
      <c r="B224" t="inlineStr">
        <is>
          <t>Planta Asfalto Pegaso</t>
        </is>
      </c>
      <c r="C224" t="inlineStr">
        <is>
          <t>BIDONES</t>
        </is>
      </c>
      <c r="D224" t="inlineStr">
        <is>
          <t>CALDERA TRIASO</t>
        </is>
      </c>
      <c r="E224">
        <f>VLOOKUP(TablaObra[[#This Row],[Equipo]],Catalogos!$V$4:$W$64,2,FALSE)</f>
        <v/>
      </c>
      <c r="F224" s="3" t="n">
        <v>300</v>
      </c>
      <c r="G224" s="4" t="n">
        <v>27</v>
      </c>
      <c r="H224" s="4">
        <f>IFERROR(F224*G224,0)</f>
        <v/>
      </c>
      <c r="M224" t="n">
        <v>27</v>
      </c>
      <c r="N224">
        <f>IF(A224="","", "CO-" &amp; IFERROR(VLOOKUP(B224, Catalogos!$Z$4:$AA$20, 2, FALSE), "FOL") &amp; "-" &amp; _xludf.WEEKNUM(A224, 2) &amp; "-" &amp; TEXT(ROW(A220),"000"))</f>
        <v/>
      </c>
    </row>
    <row r="225">
      <c r="A225" s="17625" t="n">
        <v>46202</v>
      </c>
      <c r="B225" t="inlineStr">
        <is>
          <t>Dragones</t>
        </is>
      </c>
      <c r="C225" t="inlineStr">
        <is>
          <t>Tanque Pegaso</t>
        </is>
      </c>
      <c r="D225" t="inlineStr">
        <is>
          <t>PETROLIZADORA    INTERNATIONAL</t>
        </is>
      </c>
      <c r="E225">
        <f>VLOOKUP(TablaObra[[#This Row],[Equipo]],Catalogos!$V$4:$W$64,2,FALSE)</f>
        <v/>
      </c>
      <c r="F225" s="3" t="n">
        <v>60</v>
      </c>
      <c r="G225" s="4" t="n">
        <v>27</v>
      </c>
      <c r="H225" s="4">
        <f>IFERROR(F225*G225,0)</f>
        <v/>
      </c>
      <c r="M225" t="n">
        <v>27</v>
      </c>
      <c r="N225">
        <f>IF(A225="","", "CO-" &amp; IFERROR(VLOOKUP(B225, Catalogos!$Z$4:$AA$20, 2, FALSE), "FOL") &amp; "-" &amp; _xludf.WEEKNUM(A225, 2) &amp; "-" &amp; TEXT(ROW(A221),"000"))</f>
        <v/>
      </c>
    </row>
    <row r="226">
      <c r="A226" s="17625" t="n">
        <v>46202</v>
      </c>
      <c r="B226" t="inlineStr">
        <is>
          <t>Lerma - Tres Marías</t>
        </is>
      </c>
      <c r="C226" t="inlineStr">
        <is>
          <t>Tanque Pegaso</t>
        </is>
      </c>
      <c r="D226" t="inlineStr">
        <is>
          <t>PETROLIZADORA    INTERNATIONAL</t>
        </is>
      </c>
      <c r="E226">
        <f>VLOOKUP(TablaObra[[#This Row],[Equipo]],Catalogos!$V$4:$W$64,2,FALSE)</f>
        <v/>
      </c>
      <c r="F226" s="3" t="n">
        <v>59</v>
      </c>
      <c r="G226" s="4" t="n">
        <v>27</v>
      </c>
      <c r="H226" s="4">
        <f>IFERROR(F226*G226,0)</f>
        <v/>
      </c>
      <c r="M226" t="n">
        <v>27</v>
      </c>
      <c r="N226">
        <f>IF(A226="","", "CO-" &amp; IFERROR(VLOOKUP(B226, Catalogos!$Z$4:$AA$20, 2, FALSE), "FOL") &amp; "-" &amp; _xludf.WEEKNUM(A226, 2) &amp; "-" &amp; TEXT(ROW(A222),"000"))</f>
        <v/>
      </c>
    </row>
    <row r="227">
      <c r="A227" s="17625" t="n">
        <v>46202</v>
      </c>
      <c r="B227" t="inlineStr">
        <is>
          <t>Lerma - Tres Marías</t>
        </is>
      </c>
      <c r="C227" t="inlineStr">
        <is>
          <t>Tanque Pegaso</t>
        </is>
      </c>
      <c r="D227" t="inlineStr">
        <is>
          <t>PIPA DE AGUA (IMPACTO 01) FORD</t>
        </is>
      </c>
      <c r="E227">
        <f>VLOOKUP(TablaObra[[#This Row],[Equipo]],Catalogos!$V$4:$W$64,2,FALSE)</f>
        <v/>
      </c>
      <c r="F227" s="3" t="n">
        <v>94</v>
      </c>
      <c r="G227" s="4" t="n">
        <v>27</v>
      </c>
      <c r="H227" s="4">
        <f>IFERROR(F227*G227,0)</f>
        <v/>
      </c>
      <c r="M227" t="n">
        <v>27</v>
      </c>
      <c r="N227">
        <f>IF(A227="","", "CO-" &amp; IFERROR(VLOOKUP(B227, Catalogos!$Z$4:$AA$20, 2, FALSE), "FOL") &amp; "-" &amp; _xludf.WEEKNUM(A227, 2) &amp; "-" &amp; TEXT(ROW(A223),"000"))</f>
        <v/>
      </c>
    </row>
    <row r="228">
      <c r="A228" s="17625" t="n">
        <v>46202</v>
      </c>
      <c r="B228" t="inlineStr">
        <is>
          <t>Bacheo Toluca</t>
        </is>
      </c>
      <c r="C228" t="inlineStr">
        <is>
          <t>Tanque Pegaso</t>
        </is>
      </c>
      <c r="D228" t="inlineStr">
        <is>
          <t>RETROEXCAVADORA JHONDEREE 310SK</t>
        </is>
      </c>
      <c r="E228">
        <f>VLOOKUP(TablaObra[[#This Row],[Equipo]],Catalogos!$V$4:$W$64,2,FALSE)</f>
        <v/>
      </c>
      <c r="F228" s="3" t="n">
        <v>45</v>
      </c>
      <c r="G228" s="4" t="n">
        <v>27</v>
      </c>
      <c r="H228" s="4">
        <f>IFERROR(F228*G228,0)</f>
        <v/>
      </c>
      <c r="M228" t="n">
        <v>27</v>
      </c>
      <c r="N228">
        <f>IF(A228="","", "CO-" &amp; IFERROR(VLOOKUP(B228, Catalogos!$Z$4:$AA$20, 2, FALSE), "FOL") &amp; "-" &amp; _xludf.WEEKNUM(A228, 2) &amp; "-" &amp; TEXT(ROW(A224),"000"))</f>
        <v/>
      </c>
    </row>
    <row r="229">
      <c r="A229" s="17625" t="n">
        <v>46203</v>
      </c>
      <c r="B229" t="inlineStr">
        <is>
          <t>Lerma - Tres Marías</t>
        </is>
      </c>
      <c r="C229" t="inlineStr">
        <is>
          <t>Marimba M-01</t>
        </is>
      </c>
      <c r="D229" t="inlineStr">
        <is>
          <t>PERFILADORA RODATEC RX600-4-4008</t>
        </is>
      </c>
      <c r="E229">
        <f>VLOOKUP(TablaObra[[#This Row],[Equipo]],Catalogos!$V$4:$W$64,2,FALSE)</f>
        <v/>
      </c>
      <c r="F229" s="3" t="n">
        <v>400</v>
      </c>
      <c r="G229" s="4" t="n">
        <v>27</v>
      </c>
      <c r="H229" s="4">
        <f>IFERROR(F229*G229,0)</f>
        <v/>
      </c>
      <c r="M229" t="n">
        <v>27</v>
      </c>
      <c r="N229">
        <f>IF(A229="","", "CO-" &amp; IFERROR(VLOOKUP(B229, Catalogos!$Z$4:$AA$20, 2, FALSE), "FOL") &amp; "-" &amp; _xludf.WEEKNUM(A229, 2) &amp; "-" &amp; TEXT(ROW(A225),"000"))</f>
        <v/>
      </c>
    </row>
    <row r="230">
      <c r="A230" s="17625" t="n">
        <v>46203</v>
      </c>
      <c r="B230" t="inlineStr">
        <is>
          <t>Lerma - Tres Marías</t>
        </is>
      </c>
      <c r="C230" t="inlineStr">
        <is>
          <t>Marimba M-01</t>
        </is>
      </c>
      <c r="D230" t="inlineStr">
        <is>
          <t>BARREDORA LAYMOR SM400</t>
        </is>
      </c>
      <c r="E230">
        <f>VLOOKUP(TablaObra[[#This Row],[Equipo]],Catalogos!$V$4:$W$64,2,FALSE)</f>
        <v/>
      </c>
      <c r="F230" s="3" t="n">
        <v>30</v>
      </c>
      <c r="G230" s="4" t="n">
        <v>27</v>
      </c>
      <c r="H230" s="4">
        <f>IFERROR(F230*G230,0)</f>
        <v/>
      </c>
      <c r="M230" t="n">
        <v>27</v>
      </c>
      <c r="N230">
        <f>IF(A230="","", "CO-" &amp; IFERROR(VLOOKUP(B230, Catalogos!$Z$4:$AA$20, 2, FALSE), "FOL") &amp; "-" &amp; _xludf.WEEKNUM(A230, 2) &amp; "-" &amp; TEXT(ROW(A226),"000"))</f>
        <v/>
      </c>
    </row>
    <row r="231">
      <c r="A231" s="17625" t="n">
        <v>46203</v>
      </c>
      <c r="B231" t="inlineStr">
        <is>
          <t>Planta Asflato Huixquilucan</t>
        </is>
      </c>
      <c r="C231" t="inlineStr">
        <is>
          <t>BIDONES</t>
        </is>
      </c>
      <c r="D231" t="inlineStr">
        <is>
          <t>GENERADOR AMMANN</t>
        </is>
      </c>
      <c r="E231">
        <f>VLOOKUP(TablaObra[[#This Row],[Equipo]],Catalogos!$V$4:$W$64,2,FALSE)</f>
        <v/>
      </c>
      <c r="F231" s="3" t="n">
        <v>100</v>
      </c>
      <c r="G231" s="4" t="n">
        <v>27</v>
      </c>
      <c r="H231" s="4">
        <f>IFERROR(F231*G231,0)</f>
        <v/>
      </c>
      <c r="M231" t="n">
        <v>27</v>
      </c>
      <c r="N231">
        <f>IF(A231="","", "CO-" &amp; IFERROR(VLOOKUP(B231, Catalogos!$Z$4:$AA$20, 2, FALSE), "FOL") &amp; "-" &amp; _xludf.WEEKNUM(A231, 2) &amp; "-" &amp; TEXT(ROW(A227),"000"))</f>
        <v/>
      </c>
    </row>
    <row r="232">
      <c r="A232" s="17625" t="n">
        <v>46203</v>
      </c>
      <c r="B232" t="inlineStr">
        <is>
          <t>Providencia</t>
        </is>
      </c>
      <c r="C232" t="inlineStr">
        <is>
          <t>Tanque Pegaso</t>
        </is>
      </c>
      <c r="D232" t="inlineStr">
        <is>
          <t>NEUMATICO VOLVO PT-125R</t>
        </is>
      </c>
      <c r="E232">
        <f>VLOOKUP(TablaObra[[#This Row],[Equipo]],Catalogos!$V$4:$W$64,2,FALSE)</f>
        <v/>
      </c>
      <c r="F232" s="3" t="n">
        <v>50</v>
      </c>
      <c r="G232" s="4" t="n">
        <v>27</v>
      </c>
      <c r="H232" s="4">
        <f>IFERROR(F232*G232,0)</f>
        <v/>
      </c>
      <c r="N232">
        <f>IF(A232="","", "CO-" &amp; IFERROR(VLOOKUP(B232, Catalogos!$Z$4:$AA$20, 2, FALSE), "FOL") &amp; "-" &amp; _xludf.WEEKNUM(A232, 2) &amp; "-" &amp; TEXT(ROW(A228),"000"))</f>
        <v/>
      </c>
    </row>
    <row r="233">
      <c r="A233" s="17625" t="n">
        <v>46203</v>
      </c>
      <c r="B233" t="inlineStr">
        <is>
          <t>Providencia</t>
        </is>
      </c>
      <c r="C233" t="inlineStr">
        <is>
          <t>Tanque Pegaso</t>
        </is>
      </c>
      <c r="D233" t="inlineStr">
        <is>
          <t>NEUMATICO / COMPACTADOR DE NEUMATICOS DINAPAC CP271</t>
        </is>
      </c>
      <c r="E233">
        <f>VLOOKUP(TablaObra[[#This Row],[Equipo]],Catalogos!$V$4:$W$64,2,FALSE)</f>
        <v/>
      </c>
      <c r="F233" s="3" t="n">
        <v>50</v>
      </c>
      <c r="G233" s="4" t="n">
        <v>27</v>
      </c>
      <c r="H233" s="4">
        <f>IFERROR(F233*G233,0)</f>
        <v/>
      </c>
      <c r="N233">
        <f>IF(A233="","", "CO-" &amp; IFERROR(VLOOKUP(B233, Catalogos!$Z$4:$AA$20, 2, FALSE), "FOL") &amp; "-" &amp; _xludf.WEEKNUM(A233, 2) &amp; "-" &amp; TEXT(ROW(A229),"000"))</f>
        <v/>
      </c>
    </row>
    <row r="234">
      <c r="A234" s="17625" t="n">
        <v>46203</v>
      </c>
      <c r="B234" t="inlineStr">
        <is>
          <t>Providencia</t>
        </is>
      </c>
      <c r="C234" t="inlineStr">
        <is>
          <t>Tanque Pegaso</t>
        </is>
      </c>
      <c r="D234" t="inlineStr">
        <is>
          <t>CAMION DE SELLO</t>
        </is>
      </c>
      <c r="E234">
        <f>VLOOKUP(TablaObra[[#This Row],[Equipo]],Catalogos!$V$4:$W$64,2,FALSE)</f>
        <v/>
      </c>
      <c r="F234" s="3" t="n">
        <v>100</v>
      </c>
      <c r="G234" s="4" t="n">
        <v>27</v>
      </c>
      <c r="H234" s="4">
        <f>IFERROR(F234*G234,0)</f>
        <v/>
      </c>
      <c r="N234">
        <f>IF(A234="","", "CO-" &amp; IFERROR(VLOOKUP(B234, Catalogos!$Z$4:$AA$20, 2, FALSE), "FOL") &amp; "-" &amp; _xludf.WEEKNUM(A234, 2) &amp; "-" &amp; TEXT(ROW(A230),"000"))</f>
        <v/>
      </c>
    </row>
    <row r="235">
      <c r="A235" s="17625" t="n">
        <v>46203</v>
      </c>
      <c r="B235" t="inlineStr">
        <is>
          <t>Lerma - Tres Marías</t>
        </is>
      </c>
      <c r="C235" t="inlineStr">
        <is>
          <t>Tanque Pegaso</t>
        </is>
      </c>
      <c r="D235" t="inlineStr">
        <is>
          <t>LIMPIEZA</t>
        </is>
      </c>
      <c r="E235">
        <f>VLOOKUP(TablaObra[[#This Row],[Equipo]],Catalogos!$V$4:$W$64,2,FALSE)</f>
        <v/>
      </c>
      <c r="F235" s="3" t="n">
        <v>29</v>
      </c>
      <c r="G235" s="4" t="n">
        <v>27</v>
      </c>
      <c r="H235" s="4">
        <f>IFERROR(F235*G235,0)</f>
        <v/>
      </c>
      <c r="N235">
        <f>IF(A235="","", "CO-" &amp; IFERROR(VLOOKUP(B235, Catalogos!$Z$4:$AA$20, 2, FALSE), "FOL") &amp; "-" &amp; _xludf.WEEKNUM(A235, 2) &amp; "-" &amp; TEXT(ROW(A231),"000"))</f>
        <v/>
      </c>
    </row>
    <row r="236">
      <c r="A236" s="17625" t="n">
        <v>46204</v>
      </c>
      <c r="B236" t="inlineStr">
        <is>
          <t>México-Toluca</t>
        </is>
      </c>
      <c r="C236" t="inlineStr">
        <is>
          <t>Marimba M-01</t>
        </is>
      </c>
      <c r="D236" t="inlineStr">
        <is>
          <t>DOBLE RODILLO/VIBROCOMPACTADOR DE RODILLOS HAMM 120HD VV</t>
        </is>
      </c>
      <c r="E236">
        <f>VLOOKUP(TablaObra[[#This Row],[Equipo]],Catalogos!$V$4:$W$64,2,FALSE)</f>
        <v/>
      </c>
      <c r="F236" s="3" t="n">
        <v>33</v>
      </c>
      <c r="G236" s="4" t="n">
        <v>27</v>
      </c>
      <c r="H236" s="4">
        <f>IFERROR(F236*G236,0)</f>
        <v/>
      </c>
      <c r="N236">
        <f>IF(A236="","", "CO-" &amp; IFERROR(VLOOKUP(B236, Catalogos!$Z$4:$AA$20, 2, FALSE), "FOL") &amp; "-" &amp; _xludf.WEEKNUM(A236, 2) &amp; "-" &amp; TEXT(ROW(A232),"000"))</f>
        <v/>
      </c>
    </row>
    <row r="237">
      <c r="A237" s="17625" t="n">
        <v>46204</v>
      </c>
      <c r="B237" t="inlineStr">
        <is>
          <t>México-Toluca</t>
        </is>
      </c>
      <c r="C237" t="inlineStr">
        <is>
          <t>Marimba M-01</t>
        </is>
      </c>
      <c r="D237" t="inlineStr">
        <is>
          <t>NEUMATICO / COMPACTADOR DE NEUMATICOS DINAPAC CP271</t>
        </is>
      </c>
      <c r="E237">
        <f>VLOOKUP(TablaObra[[#This Row],[Equipo]],Catalogos!$V$4:$W$64,2,FALSE)</f>
        <v/>
      </c>
      <c r="F237" s="3" t="n">
        <v>40</v>
      </c>
      <c r="G237" s="4" t="n">
        <v>27</v>
      </c>
      <c r="H237" s="4">
        <f>IFERROR(F237*G237,0)</f>
        <v/>
      </c>
      <c r="N237">
        <f>IF(A237="","", "CO-" &amp; IFERROR(VLOOKUP(B237, Catalogos!$Z$4:$AA$20, 2, FALSE), "FOL") &amp; "-" &amp; _xludf.WEEKNUM(A237, 2) &amp; "-" &amp; TEXT(ROW(A233),"000"))</f>
        <v/>
      </c>
    </row>
    <row r="238">
      <c r="A238" s="17625" t="n">
        <v>46204</v>
      </c>
      <c r="B238" t="inlineStr">
        <is>
          <t>México-Toluca</t>
        </is>
      </c>
      <c r="C238" t="inlineStr">
        <is>
          <t>Marimba M-01</t>
        </is>
      </c>
      <c r="D238" t="inlineStr">
        <is>
          <t>DOBLE RODILLO/VIBROCOMPACTADOR DE RODILLOS HAMM 140HD</t>
        </is>
      </c>
      <c r="E238">
        <f>VLOOKUP(TablaObra[[#This Row],[Equipo]],Catalogos!$V$4:$W$64,2,FALSE)</f>
        <v/>
      </c>
      <c r="F238" s="3" t="n">
        <v>40</v>
      </c>
      <c r="G238" s="4" t="n">
        <v>27</v>
      </c>
      <c r="H238" s="4">
        <f>IFERROR(F238*G238,0)</f>
        <v/>
      </c>
      <c r="N238">
        <f>IF(A238="","", "CO-" &amp; IFERROR(VLOOKUP(B238, Catalogos!$Z$4:$AA$20, 2, FALSE), "FOL") &amp; "-" &amp; _xludf.WEEKNUM(A238, 2) &amp; "-" &amp; TEXT(ROW(A234),"000"))</f>
        <v/>
      </c>
    </row>
    <row r="239">
      <c r="A239" s="17625" t="n">
        <v>46204</v>
      </c>
      <c r="B239" t="inlineStr">
        <is>
          <t>México-Toluca</t>
        </is>
      </c>
      <c r="C239" t="inlineStr">
        <is>
          <t>Marimba M-01</t>
        </is>
      </c>
      <c r="D239" t="inlineStr">
        <is>
          <t>NEUMATICO VOLVO PT-240R</t>
        </is>
      </c>
      <c r="E239">
        <f>VLOOKUP(TablaObra[[#This Row],[Equipo]],Catalogos!$V$4:$W$64,2,FALSE)</f>
        <v/>
      </c>
      <c r="F239" s="3" t="n">
        <v>40</v>
      </c>
      <c r="G239" s="4" t="n">
        <v>27</v>
      </c>
      <c r="H239" s="4">
        <f>IFERROR(F239*G239,0)</f>
        <v/>
      </c>
      <c r="N239">
        <f>IF(A239="","", "CO-" &amp; IFERROR(VLOOKUP(B239, Catalogos!$Z$4:$AA$20, 2, FALSE), "FOL") &amp; "-" &amp; _xludf.WEEKNUM(A239, 2) &amp; "-" &amp; TEXT(ROW(A235),"000"))</f>
        <v/>
      </c>
    </row>
    <row r="240">
      <c r="A240" s="17625" t="n">
        <v>46204</v>
      </c>
      <c r="B240" t="inlineStr">
        <is>
          <t>México-Toluca</t>
        </is>
      </c>
      <c r="C240" t="inlineStr">
        <is>
          <t>Marimba M-01</t>
        </is>
      </c>
      <c r="D240" t="inlineStr">
        <is>
          <t>PAVIMENTADORA  VOGELE 1800-2 SJ</t>
        </is>
      </c>
      <c r="E240">
        <f>VLOOKUP(TablaObra[[#This Row],[Equipo]],Catalogos!$V$4:$W$64,2,FALSE)</f>
        <v/>
      </c>
      <c r="F240" s="3" t="n">
        <v>120</v>
      </c>
      <c r="G240" s="4" t="n">
        <v>27</v>
      </c>
      <c r="H240" s="4">
        <f>IFERROR(F240*G240,0)</f>
        <v/>
      </c>
      <c r="N240">
        <f>IF(A240="","", "CO-" &amp; IFERROR(VLOOKUP(B240, Catalogos!$Z$4:$AA$20, 2, FALSE), "FOL") &amp; "-" &amp; _xludf.WEEKNUM(A240, 2) &amp; "-" &amp; TEXT(ROW(A236),"000"))</f>
        <v/>
      </c>
    </row>
    <row r="241">
      <c r="A241" s="17625" t="n"/>
      <c r="E241">
        <f>VLOOKUP(TablaObra[[#This Row],[Equipo]],Catalogos!$V$4:$W$64,2,FALSE)</f>
        <v/>
      </c>
      <c r="F241" s="3" t="n"/>
      <c r="G241" s="4" t="n">
        <v>27</v>
      </c>
      <c r="H241" s="4">
        <f>IFERROR(F241*G241,0)</f>
        <v/>
      </c>
      <c r="N241">
        <f>IF(A241="","", "CO-" &amp; IFERROR(VLOOKUP(B241, Catalogos!$Z$4:$AA$20, 2, FALSE), "FOL") &amp; "-" &amp; _xludf.WEEKNUM(A241, 2) &amp; "-" &amp; TEXT(ROW(A237),"000"))</f>
        <v/>
      </c>
    </row>
    <row r="242">
      <c r="A242" s="17625" t="n"/>
      <c r="E242">
        <f>VLOOKUP(TablaObra[[#This Row],[Equipo]],Catalogos!$V$4:$W$64,2,FALSE)</f>
        <v/>
      </c>
      <c r="F242" s="3" t="n"/>
      <c r="G242" s="4" t="n">
        <v>27</v>
      </c>
      <c r="H242" s="4">
        <f>IFERROR(F242*G242,0)</f>
        <v/>
      </c>
      <c r="N242">
        <f>IF(A242="","", "CO-" &amp; IFERROR(VLOOKUP(B242, Catalogos!$Z$4:$AA$20, 2, FALSE), "FOL") &amp; "-" &amp; _xludf.WEEKNUM(A242, 2) &amp; "-" &amp; TEXT(ROW(A238),"000"))</f>
        <v/>
      </c>
    </row>
    <row r="243">
      <c r="A243" s="17625" t="n"/>
      <c r="E243">
        <f>VLOOKUP(TablaObra[[#This Row],[Equipo]],Catalogos!$V$4:$W$64,2,FALSE)</f>
        <v/>
      </c>
      <c r="F243" s="3" t="n"/>
      <c r="G243" s="4" t="n">
        <v>27</v>
      </c>
      <c r="H243" s="4">
        <f>IFERROR(F243*G243,0)</f>
        <v/>
      </c>
      <c r="N243">
        <f>IF(A243="","", "CO-" &amp; IFERROR(VLOOKUP(B243, Catalogos!$Z$4:$AA$20, 2, FALSE), "FOL") &amp; "-" &amp; _xludf.WEEKNUM(A243, 2) &amp; "-" &amp; TEXT(ROW(A239),"000"))</f>
        <v/>
      </c>
    </row>
    <row r="244">
      <c r="A244" s="17625" t="n"/>
      <c r="E244">
        <f>VLOOKUP(TablaObra[[#This Row],[Equipo]],Catalogos!$V$4:$W$64,2,FALSE)</f>
        <v/>
      </c>
      <c r="F244" s="3" t="n"/>
      <c r="G244" s="4" t="n">
        <v>27</v>
      </c>
      <c r="H244" s="4">
        <f>IFERROR(F244*G244,0)</f>
        <v/>
      </c>
    </row>
    <row r="245">
      <c r="A245" s="17625" t="n"/>
      <c r="E245">
        <f>VLOOKUP(TablaObra[[#This Row],[Equipo]],Catalogos!$V$4:$W$64,2,FALSE)</f>
        <v/>
      </c>
      <c r="F245" s="3" t="n"/>
      <c r="G245" s="4" t="n">
        <v>27</v>
      </c>
      <c r="H245" s="4">
        <f>IFERROR(F245*G245,0)</f>
        <v/>
      </c>
    </row>
    <row r="246">
      <c r="A246" s="17625" t="n"/>
      <c r="E246">
        <f>VLOOKUP(TablaObra[[#This Row],[Equipo]],Catalogos!$V$4:$W$64,2,FALSE)</f>
        <v/>
      </c>
      <c r="F246" s="3" t="n"/>
      <c r="G246" s="4" t="n">
        <v>27</v>
      </c>
      <c r="H246" s="4">
        <f>IFERROR(F246*G246,0)</f>
        <v/>
      </c>
    </row>
    <row r="247">
      <c r="A247" s="17625" t="n"/>
      <c r="E247">
        <f>VLOOKUP(TablaObra[[#This Row],[Equipo]],Catalogos!$V$4:$W$64,2,FALSE)</f>
        <v/>
      </c>
      <c r="F247" s="3" t="n"/>
      <c r="G247" s="4" t="n">
        <v>27</v>
      </c>
      <c r="H247" s="4">
        <f>IFERROR(F247*G247,0)</f>
        <v/>
      </c>
    </row>
    <row r="248">
      <c r="A248" s="17625" t="n"/>
      <c r="E248">
        <f>VLOOKUP(TablaObra[[#This Row],[Equipo]],Catalogos!$V$4:$W$64,2,FALSE)</f>
        <v/>
      </c>
      <c r="F248" s="3" t="n"/>
      <c r="G248" s="4" t="n">
        <v>27</v>
      </c>
      <c r="H248" s="4">
        <f>IFERROR(F248*G248,0)</f>
        <v/>
      </c>
    </row>
    <row r="249">
      <c r="A249" s="17625" t="n"/>
      <c r="E249">
        <f>VLOOKUP(TablaObra[[#This Row],[Equipo]],Catalogos!$V$4:$W$64,2,FALSE)</f>
        <v/>
      </c>
      <c r="F249" s="3" t="n"/>
      <c r="G249" s="4" t="n">
        <v>27</v>
      </c>
      <c r="H249" s="4">
        <f>IFERROR(F249*G249,0)</f>
        <v/>
      </c>
    </row>
    <row r="250">
      <c r="A250" s="17625" t="n"/>
      <c r="E250">
        <f>VLOOKUP(TablaObra[[#This Row],[Equipo]],Catalogos!$V$4:$W$64,2,FALSE)</f>
        <v/>
      </c>
      <c r="F250" s="3" t="n"/>
      <c r="G250" s="4" t="n">
        <v>27</v>
      </c>
      <c r="H250" s="4">
        <f>IFERROR(F250*G250,0)</f>
        <v/>
      </c>
    </row>
    <row r="251">
      <c r="A251" s="17625" t="n"/>
      <c r="E251">
        <f>VLOOKUP(TablaObra[[#This Row],[Equipo]],Catalogos!$V$4:$W$64,2,FALSE)</f>
        <v/>
      </c>
      <c r="F251" s="3" t="n"/>
      <c r="G251" s="4" t="n">
        <v>27</v>
      </c>
      <c r="H251" s="4">
        <f>IFERROR(F251*G251,0)</f>
        <v/>
      </c>
    </row>
    <row r="252">
      <c r="A252" s="17625" t="n"/>
      <c r="E252">
        <f>VLOOKUP(TablaObra[[#This Row],[Equipo]],Catalogos!$V$4:$W$64,2,FALSE)</f>
        <v/>
      </c>
      <c r="F252" s="3" t="n"/>
      <c r="G252" s="4" t="n">
        <v>27</v>
      </c>
      <c r="H252" s="4">
        <f>IFERROR(F252*G252,0)</f>
        <v/>
      </c>
    </row>
    <row r="253">
      <c r="A253" s="17625" t="n"/>
      <c r="E253">
        <f>VLOOKUP(TablaObra[[#This Row],[Equipo]],Catalogos!$V$4:$W$64,2,FALSE)</f>
        <v/>
      </c>
      <c r="F253" s="3" t="n"/>
      <c r="G253" s="4" t="n">
        <v>27</v>
      </c>
      <c r="H253" s="4">
        <f>IFERROR(F253*G253,0)</f>
        <v/>
      </c>
    </row>
    <row r="254">
      <c r="A254" s="17625" t="n"/>
      <c r="E254">
        <f>VLOOKUP(TablaObra[[#This Row],[Equipo]],Catalogos!$V$4:$W$64,2,FALSE)</f>
        <v/>
      </c>
      <c r="F254" s="3" t="n"/>
      <c r="G254" s="4" t="n">
        <v>27</v>
      </c>
      <c r="H254" s="4">
        <f>IFERROR(F254*G254,0)</f>
        <v/>
      </c>
    </row>
    <row r="255">
      <c r="A255" s="17625" t="n"/>
      <c r="E255">
        <f>VLOOKUP(TablaObra[[#This Row],[Equipo]],Catalogos!$V$4:$W$64,2,FALSE)</f>
        <v/>
      </c>
      <c r="F255" s="3" t="n"/>
      <c r="G255" s="4" t="n">
        <v>27</v>
      </c>
      <c r="H255" s="4">
        <f>IFERROR(F255*G255,0)</f>
        <v/>
      </c>
    </row>
    <row r="256">
      <c r="A256" s="17625" t="n"/>
      <c r="E256">
        <f>VLOOKUP(TablaObra[[#This Row],[Equipo]],Catalogos!$V$4:$W$64,2,FALSE)</f>
        <v/>
      </c>
      <c r="F256" s="3" t="n"/>
      <c r="G256" s="4" t="n">
        <v>27</v>
      </c>
      <c r="H256" s="4">
        <f>IFERROR(F256*G256,0)</f>
        <v/>
      </c>
    </row>
    <row r="257">
      <c r="A257" s="17625" t="n"/>
      <c r="E257">
        <f>VLOOKUP(TablaObra[[#This Row],[Equipo]],Catalogos!$V$4:$W$64,2,FALSE)</f>
        <v/>
      </c>
      <c r="F257" s="3" t="n"/>
      <c r="G257" s="4" t="n">
        <v>27</v>
      </c>
      <c r="H257" s="4">
        <f>IFERROR(F257*G257,0)</f>
        <v/>
      </c>
    </row>
    <row r="258">
      <c r="A258" s="17625" t="n"/>
      <c r="E258">
        <f>VLOOKUP(TablaObra[[#This Row],[Equipo]],Catalogos!$V$4:$W$64,2,FALSE)</f>
        <v/>
      </c>
      <c r="F258" s="3" t="n"/>
      <c r="G258" s="4" t="n">
        <v>27</v>
      </c>
      <c r="H258" s="4">
        <f>IFERROR(F258*G258,0)</f>
        <v/>
      </c>
    </row>
    <row r="259">
      <c r="A259" s="17625" t="n"/>
      <c r="E259">
        <f>VLOOKUP(TablaObra[[#This Row],[Equipo]],Catalogos!$V$4:$W$64,2,FALSE)</f>
        <v/>
      </c>
      <c r="F259" s="3" t="n"/>
      <c r="G259" s="4" t="n">
        <v>27</v>
      </c>
      <c r="H259" s="4">
        <f>IFERROR(F259*G259,0)</f>
        <v/>
      </c>
    </row>
    <row r="260">
      <c r="A260" s="17625" t="n"/>
      <c r="E260">
        <f>VLOOKUP(TablaObra[[#This Row],[Equipo]],Catalogos!$V$4:$W$64,2,FALSE)</f>
        <v/>
      </c>
      <c r="F260" s="3" t="n"/>
      <c r="G260" s="4" t="n">
        <v>27</v>
      </c>
      <c r="H260" s="4">
        <f>IFERROR(F260*G260,0)</f>
        <v/>
      </c>
    </row>
    <row r="261">
      <c r="A261" s="17625" t="n"/>
      <c r="E261">
        <f>VLOOKUP(TablaObra[[#This Row],[Equipo]],Catalogos!$V$4:$W$64,2,FALSE)</f>
        <v/>
      </c>
      <c r="F261" s="3" t="n"/>
      <c r="G261" s="4" t="n">
        <v>27</v>
      </c>
      <c r="H261" s="4">
        <f>IFERROR(F261*G261,0)</f>
        <v/>
      </c>
    </row>
    <row r="262">
      <c r="A262" s="17625" t="n"/>
      <c r="E262">
        <f>VLOOKUP(TablaObra[[#This Row],[Equipo]],Catalogos!$V$4:$W$64,2,FALSE)</f>
        <v/>
      </c>
      <c r="F262" s="3" t="n"/>
      <c r="G262" s="4" t="n">
        <v>27</v>
      </c>
      <c r="H262" s="4">
        <f>IFERROR(F262*G262,0)</f>
        <v/>
      </c>
    </row>
    <row r="263">
      <c r="A263" s="17625" t="n"/>
      <c r="E263">
        <f>VLOOKUP(TablaObra[[#This Row],[Equipo]],Catalogos!$V$4:$W$64,2,FALSE)</f>
        <v/>
      </c>
      <c r="F263" s="3" t="n"/>
      <c r="G263" s="4" t="n">
        <v>27</v>
      </c>
      <c r="H263" s="4">
        <f>IFERROR(F263*G263,0)</f>
        <v/>
      </c>
    </row>
    <row r="264">
      <c r="A264" s="17625" t="n"/>
      <c r="E264">
        <f>VLOOKUP(TablaObra[[#This Row],[Equipo]],Catalogos!$V$4:$W$64,2,FALSE)</f>
        <v/>
      </c>
      <c r="F264" s="3" t="n"/>
      <c r="G264" s="4" t="n">
        <v>27</v>
      </c>
      <c r="H264" s="4">
        <f>IFERROR(F264*G264,0)</f>
        <v/>
      </c>
    </row>
    <row r="265">
      <c r="A265" s="17625" t="n"/>
      <c r="E265">
        <f>VLOOKUP(TablaObra[[#This Row],[Equipo]],Catalogos!$V$4:$W$64,2,FALSE)</f>
        <v/>
      </c>
      <c r="F265" s="3" t="n"/>
      <c r="G265" s="4" t="n">
        <v>27</v>
      </c>
      <c r="H265" s="4">
        <f>IFERROR(F265*G265,0)</f>
        <v/>
      </c>
    </row>
    <row r="266">
      <c r="A266" s="17625" t="n"/>
      <c r="E266">
        <f>VLOOKUP(TablaObra[[#This Row],[Equipo]],Catalogos!$V$4:$W$64,2,FALSE)</f>
        <v/>
      </c>
      <c r="F266" s="3" t="n"/>
      <c r="G266" s="4" t="n">
        <v>27</v>
      </c>
      <c r="H266" s="4">
        <f>IFERROR(F266*G266,0)</f>
        <v/>
      </c>
    </row>
    <row r="267">
      <c r="A267" s="17625" t="n"/>
      <c r="E267">
        <f>VLOOKUP(TablaObra[[#This Row],[Equipo]],Catalogos!$V$4:$W$64,2,FALSE)</f>
        <v/>
      </c>
      <c r="F267" s="3" t="n"/>
      <c r="G267" s="4" t="n">
        <v>27</v>
      </c>
      <c r="H267" s="4">
        <f>IFERROR(F267*G267,0)</f>
        <v/>
      </c>
    </row>
    <row r="268">
      <c r="A268" s="17625" t="n"/>
      <c r="E268">
        <f>VLOOKUP(TablaObra[[#This Row],[Equipo]],Catalogos!$V$4:$W$64,2,FALSE)</f>
        <v/>
      </c>
      <c r="F268" s="3" t="n"/>
      <c r="G268" s="4" t="n">
        <v>27</v>
      </c>
      <c r="H268" s="4">
        <f>IFERROR(F268*G268,0)</f>
        <v/>
      </c>
    </row>
    <row r="269">
      <c r="A269" s="17625" t="n"/>
      <c r="E269">
        <f>VLOOKUP(TablaObra[[#This Row],[Equipo]],Catalogos!$V$4:$W$64,2,FALSE)</f>
        <v/>
      </c>
      <c r="F269" s="3" t="n"/>
      <c r="G269" s="4" t="n">
        <v>27</v>
      </c>
      <c r="H269" s="4">
        <f>IFERROR(F269*G269,0)</f>
        <v/>
      </c>
    </row>
    <row r="270">
      <c r="A270" s="17625" t="n"/>
      <c r="E270">
        <f>VLOOKUP(TablaObra[[#This Row],[Equipo]],Catalogos!$V$4:$W$64,2,FALSE)</f>
        <v/>
      </c>
      <c r="F270" s="3" t="n"/>
      <c r="G270" s="4" t="n">
        <v>27</v>
      </c>
      <c r="H270" s="4">
        <f>IFERROR(F270*G270,0)</f>
        <v/>
      </c>
    </row>
    <row r="271">
      <c r="A271" s="17625" t="n"/>
      <c r="E271">
        <f>VLOOKUP(TablaObra[[#This Row],[Equipo]],Catalogos!$V$4:$W$64,2,FALSE)</f>
        <v/>
      </c>
      <c r="F271" s="3" t="n"/>
      <c r="G271" s="4" t="n">
        <v>27</v>
      </c>
      <c r="H271" s="4">
        <f>IFERROR(F271*G271,0)</f>
        <v/>
      </c>
    </row>
    <row r="272">
      <c r="A272" s="17625" t="n"/>
      <c r="E272">
        <f>VLOOKUP(TablaObra[[#This Row],[Equipo]],Catalogos!$V$4:$W$64,2,FALSE)</f>
        <v/>
      </c>
      <c r="F272" s="3" t="n"/>
      <c r="G272" s="4" t="n">
        <v>27</v>
      </c>
      <c r="H272" s="4">
        <f>IFERROR(F272*G272,0)</f>
        <v/>
      </c>
    </row>
    <row r="273">
      <c r="A273" s="17625" t="n"/>
      <c r="E273">
        <f>VLOOKUP(TablaObra[[#This Row],[Equipo]],Catalogos!$V$4:$W$64,2,FALSE)</f>
        <v/>
      </c>
      <c r="F273" s="3" t="n"/>
      <c r="G273" s="4" t="n">
        <v>27</v>
      </c>
      <c r="H273" s="4">
        <f>IFERROR(F273*G273,0)</f>
        <v/>
      </c>
    </row>
    <row r="274">
      <c r="A274" s="17625" t="n"/>
      <c r="E274">
        <f>VLOOKUP(TablaObra[[#This Row],[Equipo]],Catalogos!$V$4:$W$64,2,FALSE)</f>
        <v/>
      </c>
      <c r="F274" s="3" t="n"/>
      <c r="G274" s="4" t="n">
        <v>27</v>
      </c>
      <c r="H274" s="4">
        <f>IFERROR(F274*G274,0)</f>
        <v/>
      </c>
    </row>
    <row r="275">
      <c r="A275" s="17625" t="n"/>
      <c r="E275">
        <f>VLOOKUP(TablaObra[[#This Row],[Equipo]],Catalogos!$V$4:$W$64,2,FALSE)</f>
        <v/>
      </c>
      <c r="F275" s="3" t="n"/>
      <c r="G275" s="4" t="n">
        <v>27</v>
      </c>
      <c r="H275" s="4">
        <f>IFERROR(F275*G275,0)</f>
        <v/>
      </c>
    </row>
    <row r="276">
      <c r="A276" s="17625" t="n"/>
      <c r="E276">
        <f>VLOOKUP(TablaObra[[#This Row],[Equipo]],Catalogos!$V$4:$W$64,2,FALSE)</f>
        <v/>
      </c>
      <c r="F276" s="3" t="n"/>
      <c r="G276" s="4" t="n">
        <v>27</v>
      </c>
      <c r="H276" s="4">
        <f>IFERROR(F276*G276,0)</f>
        <v/>
      </c>
    </row>
    <row r="277">
      <c r="A277" s="17625" t="n"/>
      <c r="E277">
        <f>VLOOKUP(TablaObra[[#This Row],[Equipo]],Catalogos!$V$4:$W$64,2,FALSE)</f>
        <v/>
      </c>
      <c r="F277" s="3" t="n"/>
      <c r="G277" s="4" t="n">
        <v>27</v>
      </c>
      <c r="H277" s="4">
        <f>IFERROR(F277*G277,0)</f>
        <v/>
      </c>
    </row>
    <row r="278">
      <c r="A278" s="17625" t="n"/>
      <c r="E278">
        <f>VLOOKUP(TablaObra[[#This Row],[Equipo]],Catalogos!$V$4:$W$64,2,FALSE)</f>
        <v/>
      </c>
      <c r="F278" s="3" t="n"/>
      <c r="G278" s="4" t="n">
        <v>27</v>
      </c>
      <c r="H278" s="4">
        <f>IFERROR(F278*G278,0)</f>
        <v/>
      </c>
    </row>
    <row r="279">
      <c r="A279" s="17625" t="n"/>
      <c r="E279">
        <f>VLOOKUP(TablaObra[[#This Row],[Equipo]],Catalogos!$V$4:$W$64,2,FALSE)</f>
        <v/>
      </c>
      <c r="F279" s="3" t="n"/>
      <c r="G279" s="4" t="n">
        <v>27</v>
      </c>
      <c r="H279" s="4">
        <f>IFERROR(F279*G279,0)</f>
        <v/>
      </c>
    </row>
    <row r="280">
      <c r="A280" s="17625" t="n"/>
      <c r="E280">
        <f>VLOOKUP(TablaObra[[#This Row],[Equipo]],Catalogos!$V$4:$W$64,2,FALSE)</f>
        <v/>
      </c>
      <c r="F280" s="3" t="n"/>
      <c r="G280" s="4" t="n">
        <v>27</v>
      </c>
      <c r="H280" s="4">
        <f>IFERROR(F280*G280,0)</f>
        <v/>
      </c>
    </row>
    <row r="281">
      <c r="A281" s="17625" t="n"/>
      <c r="E281">
        <f>VLOOKUP(TablaObra[[#This Row],[Equipo]],Catalogos!$V$4:$W$64,2,FALSE)</f>
        <v/>
      </c>
      <c r="F281" s="3" t="n"/>
      <c r="G281" s="4" t="n">
        <v>27</v>
      </c>
      <c r="H281" s="4">
        <f>IFERROR(F281*G281,0)</f>
        <v/>
      </c>
    </row>
    <row r="282">
      <c r="A282" s="17625" t="n"/>
      <c r="E282">
        <f>VLOOKUP(TablaObra[[#This Row],[Equipo]],Catalogos!$V$4:$W$64,2,FALSE)</f>
        <v/>
      </c>
      <c r="F282" s="3" t="n"/>
      <c r="G282" s="4" t="n">
        <v>27</v>
      </c>
      <c r="H282" s="4">
        <f>IFERROR(F282*G282,0)</f>
        <v/>
      </c>
    </row>
    <row r="283">
      <c r="A283" s="17625" t="n"/>
      <c r="E283">
        <f>VLOOKUP(TablaObra[[#This Row],[Equipo]],Catalogos!$V$4:$W$64,2,FALSE)</f>
        <v/>
      </c>
      <c r="F283" s="3" t="n"/>
      <c r="G283" s="4" t="n">
        <v>27</v>
      </c>
      <c r="H283" s="4">
        <f>IFERROR(F283*G283,0)</f>
        <v/>
      </c>
    </row>
    <row r="284">
      <c r="A284" s="17625" t="n"/>
      <c r="E284">
        <f>VLOOKUP(TablaObra[[#This Row],[Equipo]],Catalogos!$V$4:$W$64,2,FALSE)</f>
        <v/>
      </c>
      <c r="F284" s="3" t="n"/>
      <c r="G284" s="4" t="n">
        <v>27</v>
      </c>
      <c r="H284" s="4">
        <f>IFERROR(F284*G284,0)</f>
        <v/>
      </c>
    </row>
    <row r="285">
      <c r="A285" s="17625" t="n"/>
      <c r="E285">
        <f>VLOOKUP(TablaObra[[#This Row],[Equipo]],Catalogos!$V$4:$W$64,2,FALSE)</f>
        <v/>
      </c>
      <c r="F285" s="3" t="n"/>
      <c r="G285" s="4" t="n">
        <v>27</v>
      </c>
      <c r="H285" s="4">
        <f>IFERROR(F285*G285,0)</f>
        <v/>
      </c>
    </row>
    <row r="286">
      <c r="A286" s="17625" t="n"/>
      <c r="E286">
        <f>VLOOKUP(TablaObra[[#This Row],[Equipo]],Catalogos!$V$4:$W$64,2,FALSE)</f>
        <v/>
      </c>
      <c r="F286" s="3" t="n"/>
      <c r="G286" s="4" t="n">
        <v>27</v>
      </c>
      <c r="H286" s="4">
        <f>IFERROR(F286*G286,0)</f>
        <v/>
      </c>
    </row>
    <row r="287">
      <c r="A287" s="17625" t="n"/>
      <c r="E287">
        <f>VLOOKUP(TablaObra[[#This Row],[Equipo]],Catalogos!$V$4:$W$64,2,FALSE)</f>
        <v/>
      </c>
      <c r="F287" s="3" t="n"/>
      <c r="G287" s="4" t="n">
        <v>27</v>
      </c>
      <c r="H287" s="4">
        <f>IFERROR(F287*G287,0)</f>
        <v/>
      </c>
    </row>
    <row r="288">
      <c r="A288" s="17625" t="n"/>
      <c r="E288">
        <f>VLOOKUP(TablaObra[[#This Row],[Equipo]],Catalogos!$V$4:$W$64,2,FALSE)</f>
        <v/>
      </c>
      <c r="F288" s="3" t="n"/>
      <c r="G288" s="4" t="n">
        <v>27</v>
      </c>
      <c r="H288" s="4">
        <f>IFERROR(F288*G288,0)</f>
        <v/>
      </c>
    </row>
    <row r="289">
      <c r="A289" s="17625" t="n"/>
      <c r="E289">
        <f>VLOOKUP(TablaObra[[#This Row],[Equipo]],Catalogos!$V$4:$W$64,2,FALSE)</f>
        <v/>
      </c>
      <c r="F289" s="3" t="n"/>
      <c r="G289" s="4" t="n">
        <v>27</v>
      </c>
      <c r="H289" s="4">
        <f>IFERROR(F289*G289,0)</f>
        <v/>
      </c>
    </row>
    <row r="290">
      <c r="A290" s="17625" t="n"/>
      <c r="E290">
        <f>VLOOKUP(TablaObra[[#This Row],[Equipo]],Catalogos!$V$4:$W$64,2,FALSE)</f>
        <v/>
      </c>
      <c r="F290" s="3" t="n"/>
      <c r="G290" s="4" t="n">
        <v>27</v>
      </c>
      <c r="H290" s="4">
        <f>IFERROR(F290*G290,0)</f>
        <v/>
      </c>
    </row>
    <row r="291">
      <c r="A291" s="17625" t="n"/>
      <c r="E291">
        <f>VLOOKUP(TablaObra[[#This Row],[Equipo]],Catalogos!$V$4:$W$64,2,FALSE)</f>
        <v/>
      </c>
      <c r="F291" s="3" t="n"/>
      <c r="G291" s="4" t="n">
        <v>27</v>
      </c>
      <c r="H291" s="4">
        <f>IFERROR(F291*G291,0)</f>
        <v/>
      </c>
    </row>
    <row r="292">
      <c r="A292" s="17625" t="n"/>
      <c r="E292">
        <f>VLOOKUP(TablaObra[[#This Row],[Equipo]],Catalogos!$V$4:$W$64,2,FALSE)</f>
        <v/>
      </c>
      <c r="F292" s="3" t="n"/>
      <c r="G292" s="4" t="n">
        <v>27</v>
      </c>
      <c r="H292" s="4">
        <f>IFERROR(F292*G292,0)</f>
        <v/>
      </c>
    </row>
    <row r="293">
      <c r="A293" s="17625" t="n"/>
      <c r="E293">
        <f>VLOOKUP(TablaObra[[#This Row],[Equipo]],Catalogos!$V$4:$W$64,2,FALSE)</f>
        <v/>
      </c>
      <c r="F293" s="3" t="n"/>
      <c r="G293" s="4" t="n">
        <v>27</v>
      </c>
      <c r="H293" s="4">
        <f>IFERROR(F293*G293,0)</f>
        <v/>
      </c>
    </row>
    <row r="294">
      <c r="A294" s="17625" t="n"/>
      <c r="E294">
        <f>VLOOKUP(TablaObra[[#This Row],[Equipo]],Catalogos!$V$4:$W$64,2,FALSE)</f>
        <v/>
      </c>
      <c r="F294" s="3" t="n"/>
      <c r="G294" s="4" t="n">
        <v>27</v>
      </c>
      <c r="H294" s="4">
        <f>IFERROR(F294*G294,0)</f>
        <v/>
      </c>
    </row>
    <row r="295">
      <c r="A295" s="17625" t="n"/>
      <c r="E295">
        <f>VLOOKUP(TablaObra[[#This Row],[Equipo]],Catalogos!$V$4:$W$64,2,FALSE)</f>
        <v/>
      </c>
      <c r="F295" s="3" t="n"/>
      <c r="G295" s="4" t="n">
        <v>27</v>
      </c>
      <c r="H295" s="4">
        <f>IFERROR(F295*G295,0)</f>
        <v/>
      </c>
    </row>
    <row r="296">
      <c r="A296" s="17625" t="n"/>
      <c r="E296">
        <f>VLOOKUP(TablaObra[[#This Row],[Equipo]],Catalogos!$V$4:$W$64,2,FALSE)</f>
        <v/>
      </c>
      <c r="F296" s="3" t="n"/>
      <c r="G296" s="4" t="n">
        <v>27</v>
      </c>
      <c r="H296" s="4">
        <f>IFERROR(F296*G296,0)</f>
        <v/>
      </c>
    </row>
    <row r="297">
      <c r="A297" s="17625" t="n"/>
      <c r="E297">
        <f>VLOOKUP(TablaObra[[#This Row],[Equipo]],Catalogos!$V$4:$W$64,2,FALSE)</f>
        <v/>
      </c>
      <c r="F297" s="3" t="n"/>
      <c r="G297" s="4" t="n">
        <v>27</v>
      </c>
      <c r="H297" s="4">
        <f>IFERROR(F297*G297,0)</f>
        <v/>
      </c>
    </row>
    <row r="298">
      <c r="A298" s="17625" t="n"/>
      <c r="E298">
        <f>VLOOKUP(TablaObra[[#This Row],[Equipo]],Catalogos!$V$4:$W$64,2,FALSE)</f>
        <v/>
      </c>
      <c r="F298" s="3" t="n"/>
      <c r="G298" s="4" t="n">
        <v>27</v>
      </c>
      <c r="H298" s="4">
        <f>IFERROR(F298*G298,0)</f>
        <v/>
      </c>
    </row>
    <row r="299">
      <c r="A299" s="17625" t="n"/>
      <c r="E299">
        <f>VLOOKUP(TablaObra[[#This Row],[Equipo]],Catalogos!$V$4:$W$64,2,FALSE)</f>
        <v/>
      </c>
      <c r="F299" s="3" t="n"/>
      <c r="G299" s="4" t="n">
        <v>27</v>
      </c>
      <c r="H299" s="4">
        <f>IFERROR(F299*G299,0)</f>
        <v/>
      </c>
    </row>
    <row r="300">
      <c r="A300" s="17625" t="n"/>
      <c r="E300">
        <f>VLOOKUP(TablaObra[[#This Row],[Equipo]],Catalogos!$V$4:$W$64,2,FALSE)</f>
        <v/>
      </c>
      <c r="F300" s="3" t="n"/>
      <c r="G300" s="4" t="n">
        <v>27</v>
      </c>
      <c r="H300" s="4">
        <f>IFERROR(F300*G300,0)</f>
        <v/>
      </c>
    </row>
    <row r="301">
      <c r="A301" s="17625" t="n"/>
      <c r="E301">
        <f>VLOOKUP(TablaObra[[#This Row],[Equipo]],Catalogos!$V$4:$W$64,2,FALSE)</f>
        <v/>
      </c>
      <c r="F301" s="3" t="n"/>
      <c r="G301" s="4" t="n">
        <v>27</v>
      </c>
      <c r="H301" s="4">
        <f>IFERROR(F301*G301,0)</f>
        <v/>
      </c>
    </row>
    <row r="302">
      <c r="A302" s="17625" t="n"/>
      <c r="E302">
        <f>VLOOKUP(TablaObra[[#This Row],[Equipo]],Catalogos!$V$4:$W$64,2,FALSE)</f>
        <v/>
      </c>
      <c r="F302" s="3" t="n"/>
      <c r="G302" s="4" t="n">
        <v>27</v>
      </c>
      <c r="H302" s="4">
        <f>IFERROR(F302*G302,0)</f>
        <v/>
      </c>
    </row>
    <row r="303">
      <c r="A303" s="17625" t="n"/>
      <c r="E303">
        <f>VLOOKUP(TablaObra[[#This Row],[Equipo]],Catalogos!$V$4:$W$64,2,FALSE)</f>
        <v/>
      </c>
      <c r="F303" s="3" t="n"/>
      <c r="G303" s="4" t="n">
        <v>27</v>
      </c>
      <c r="H303" s="4">
        <f>IFERROR(F303*G303,0)</f>
        <v/>
      </c>
    </row>
    <row r="304">
      <c r="A304" s="17625" t="n"/>
      <c r="E304">
        <f>VLOOKUP(TablaObra[[#This Row],[Equipo]],Catalogos!$V$4:$W$64,2,FALSE)</f>
        <v/>
      </c>
      <c r="F304" s="3" t="n"/>
      <c r="G304" s="4" t="n">
        <v>27</v>
      </c>
      <c r="H304" s="4">
        <f>IFERROR(F304*G304,0)</f>
        <v/>
      </c>
    </row>
    <row r="305">
      <c r="A305" s="17625" t="n"/>
      <c r="E305">
        <f>VLOOKUP(TablaObra[[#This Row],[Equipo]],Catalogos!$V$4:$W$64,2,FALSE)</f>
        <v/>
      </c>
      <c r="F305" s="3" t="n"/>
      <c r="G305" s="4" t="n">
        <v>27</v>
      </c>
      <c r="H305" s="4">
        <f>IFERROR(F305*G305,0)</f>
        <v/>
      </c>
    </row>
    <row r="306">
      <c r="G306" s="4" t="n">
        <v>27</v>
      </c>
    </row>
    <row r="307">
      <c r="G307" s="4" t="n">
        <v>27</v>
      </c>
    </row>
    <row r="310">
      <c r="F310" s="3" t="n"/>
    </row>
  </sheetData>
  <mergeCells count="1">
    <mergeCell ref="A1:K1"/>
  </mergeCells>
  <dataValidations count="1">
    <dataValidation sqref="J5:J307" showDropDown="0" showInputMessage="0" showErrorMessage="0" allowBlank="0" type="list">
      <formula1>"Sin incidencia,Fuga,Reparación,Equipo parado,Consumo extraordinario,Otro"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000"/>
  <sheetViews>
    <sheetView topLeftCell="D46" workbookViewId="0">
      <selection activeCell="H74" sqref="H74"/>
    </sheetView>
  </sheetViews>
  <sheetFormatPr baseColWidth="10" defaultColWidth="8.796875" defaultRowHeight="13.8"/>
  <cols>
    <col width="13" customWidth="1" style="17580" min="1" max="1"/>
    <col width="18" customWidth="1" style="17580" min="2" max="2"/>
    <col width="22" customWidth="1" style="17580" min="3" max="3"/>
    <col width="60.296875" bestFit="1" customWidth="1" style="17580" min="4" max="4"/>
    <col width="14" customWidth="1" style="17580" min="5" max="5"/>
    <col width="12" customWidth="1" style="17580" min="6" max="7"/>
    <col width="16" customWidth="1" style="17580" min="8" max="8"/>
    <col width="12" customWidth="1" style="17580" min="9" max="9"/>
    <col width="14" customWidth="1" style="17580" min="10" max="10"/>
    <col width="18" customWidth="1" style="17580" min="11" max="11"/>
    <col width="30" customWidth="1" style="17580" min="12" max="12"/>
    <col hidden="1" width="13" customWidth="1" style="17580" min="13" max="13"/>
  </cols>
  <sheetData>
    <row r="1" ht="22.35" customHeight="1" s="17580">
      <c r="A1" s="17624" t="inlineStr">
        <is>
          <t>GC-COMB-002 | BITÁCORA DE SUMINISTRO DE MARIMBA M-01</t>
        </is>
      </c>
    </row>
    <row r="2">
      <c r="A2" t="inlineStr">
        <is>
          <t>Operador:</t>
        </is>
      </c>
      <c r="C2" t="inlineStr">
        <is>
          <t>Semana:</t>
        </is>
      </c>
      <c r="E2" t="inlineStr">
        <is>
          <t>Fecha entrega:</t>
        </is>
      </c>
      <c r="G2" t="inlineStr">
        <is>
          <t>Marimba:</t>
        </is>
      </c>
      <c r="H2" t="inlineStr">
        <is>
          <t>M-01</t>
        </is>
      </c>
      <c r="I2" t="inlineStr">
        <is>
          <t>Costo/L base:</t>
        </is>
      </c>
    </row>
    <row r="4" ht="27.6" customHeight="1" s="17580">
      <c r="A4" s="1" t="inlineStr">
        <is>
          <t>Fecha</t>
        </is>
      </c>
      <c r="B4" s="1" t="inlineStr">
        <is>
          <t>Movimiento</t>
        </is>
      </c>
      <c r="C4" s="1" t="inlineStr">
        <is>
          <t>Origen/Obra</t>
        </is>
      </c>
      <c r="D4" s="1" t="inlineStr">
        <is>
          <t>Equipo</t>
        </is>
      </c>
      <c r="E4" s="1" t="inlineStr">
        <is>
          <t>Económico</t>
        </is>
      </c>
      <c r="F4" s="1" t="inlineStr">
        <is>
          <t>Entrada (L)</t>
        </is>
      </c>
      <c r="G4" s="1" t="inlineStr">
        <is>
          <t>Salida (L)</t>
        </is>
      </c>
      <c r="H4" s="1" t="inlineStr">
        <is>
          <t>Existencia Teórica</t>
        </is>
      </c>
      <c r="I4" s="1" t="inlineStr">
        <is>
          <t>Costo/L</t>
        </is>
      </c>
      <c r="J4" s="1" t="inlineStr">
        <is>
          <t>Importe</t>
        </is>
      </c>
      <c r="K4" s="1" t="inlineStr">
        <is>
          <t>Firma/Validación</t>
        </is>
      </c>
      <c r="L4" s="1" t="inlineStr">
        <is>
          <t>Observaciones</t>
        </is>
      </c>
      <c r="M4" t="inlineStr">
        <is>
          <t>Semana (Helper)</t>
        </is>
      </c>
      <c r="N4" t="inlineStr">
        <is>
          <t>Folio Ticket (Auto)</t>
        </is>
      </c>
    </row>
    <row r="5">
      <c r="A5" s="17625" t="n">
        <v>46181</v>
      </c>
      <c r="B5" t="inlineStr">
        <is>
          <t>Salida</t>
        </is>
      </c>
      <c r="C5" t="inlineStr">
        <is>
          <t>México-Toluca</t>
        </is>
      </c>
      <c r="D5" t="inlineStr">
        <is>
          <t>Neuomatico</t>
        </is>
      </c>
      <c r="E5">
        <f>VLOOKUP(TablaMarimba[[#This Row],[Equipo]],Catalogos!$V$4:$W$64,2,FALSE)</f>
        <v/>
      </c>
      <c r="F5" s="3" t="n">
        <v>0</v>
      </c>
      <c r="G5" s="17626" t="n">
        <v>30</v>
      </c>
      <c r="H5" s="3">
        <f>IF(ROW()=5,F5-G5,H4+F5-G5)</f>
        <v/>
      </c>
      <c r="I5" s="4" t="n">
        <v>28.3</v>
      </c>
      <c r="J5" s="4">
        <f>IFERROR((F5+G5)*I5,0)</f>
        <v/>
      </c>
      <c r="M5">
        <f>IF(A5="","", _xludf.WEEKNUM(A5, 2))</f>
        <v/>
      </c>
      <c r="N5">
        <f>IF(A5="","", "CM-" &amp; IFERROR(VLOOKUP(C5, Catalogos!$Z$4:$AA$20, 2, FALSE), "FOL") &amp; "-" &amp; _xludf.WEEKNUM(A5, 2) &amp; "-" &amp; TEXT(ROW(A1),"000"))</f>
        <v/>
      </c>
    </row>
    <row r="6">
      <c r="A6" s="17625" t="n">
        <v>46181</v>
      </c>
      <c r="B6" t="inlineStr">
        <is>
          <t>Salida</t>
        </is>
      </c>
      <c r="C6" t="inlineStr">
        <is>
          <t>México-Toluca</t>
        </is>
      </c>
      <c r="D6" t="inlineStr">
        <is>
          <t>Compactador</t>
        </is>
      </c>
      <c r="E6">
        <f>VLOOKUP(TablaMarimba[[#This Row],[Equipo]],Catalogos!$V$4:$W$64,2,FALSE)</f>
        <v/>
      </c>
      <c r="F6" s="3" t="n"/>
      <c r="G6" s="17626" t="n">
        <v>32</v>
      </c>
      <c r="H6" s="3">
        <f>IF(ROW()=5,F6-G6,H5+F6-G6)</f>
        <v/>
      </c>
      <c r="I6" s="4" t="n">
        <v>28.3</v>
      </c>
      <c r="J6" s="4">
        <f>IFERROR((F6+G6)*I6,0)</f>
        <v/>
      </c>
      <c r="M6">
        <f>IF(A6="","", _xludf.WEEKNUM(A6, 2))</f>
        <v/>
      </c>
      <c r="N6">
        <f>IF(A6="","", "CM-" &amp; IFERROR(VLOOKUP(C6, Catalogos!$Z$4:$AA$20, 2, FALSE), "FOL") &amp; "-" &amp; _xludf.WEEKNUM(A6, 2) &amp; "-" &amp; TEXT(ROW(A2),"000"))</f>
        <v/>
      </c>
    </row>
    <row r="7">
      <c r="A7" s="17625" t="n">
        <v>46181</v>
      </c>
      <c r="B7" t="inlineStr">
        <is>
          <t>Salida</t>
        </is>
      </c>
      <c r="C7" t="inlineStr">
        <is>
          <t>México-Toluca</t>
        </is>
      </c>
      <c r="D7" t="inlineStr">
        <is>
          <t>Perfiladora</t>
        </is>
      </c>
      <c r="E7">
        <f>VLOOKUP(TablaMarimba[[#This Row],[Equipo]],Catalogos!$V$4:$W$64,2,FALSE)</f>
        <v/>
      </c>
      <c r="F7" s="3" t="n"/>
      <c r="G7" s="17626" t="n">
        <v>277</v>
      </c>
      <c r="H7" s="3">
        <f>IF(ROW()=5,F7-G7,H6+F7-G7)</f>
        <v/>
      </c>
      <c r="I7" s="4" t="n">
        <v>28.3</v>
      </c>
      <c r="J7" s="4">
        <f>IFERROR((F7+G7)*I7,0)</f>
        <v/>
      </c>
      <c r="M7">
        <f>IF(A7="","", _xludf.WEEKNUM(A7, 2))</f>
        <v/>
      </c>
      <c r="N7">
        <f>IF(A7="","", "CM-" &amp; IFERROR(VLOOKUP(C7, Catalogos!$Z$4:$AA$20, 2, FALSE), "FOL") &amp; "-" &amp; _xludf.WEEKNUM(A7, 2) &amp; "-" &amp; TEXT(ROW(A3),"000"))</f>
        <v/>
      </c>
    </row>
    <row r="8">
      <c r="A8" s="17625" t="n">
        <v>46181</v>
      </c>
      <c r="B8" t="inlineStr">
        <is>
          <t>Salida</t>
        </is>
      </c>
      <c r="C8" t="inlineStr">
        <is>
          <t>México-Toluca</t>
        </is>
      </c>
      <c r="D8" t="inlineStr">
        <is>
          <t>Retroexcavadora</t>
        </is>
      </c>
      <c r="E8">
        <f>VLOOKUP(TablaMarimba[[#This Row],[Equipo]],Catalogos!$V$4:$W$64,2,FALSE)</f>
        <v/>
      </c>
      <c r="F8" s="3" t="n"/>
      <c r="G8" s="17626" t="n">
        <v>30</v>
      </c>
      <c r="H8" s="3">
        <f>IF(ROW()=5,F8-G8,H7+F8-G8)</f>
        <v/>
      </c>
      <c r="I8" s="4" t="n">
        <v>28.3</v>
      </c>
      <c r="J8" s="4">
        <f>IFERROR((F8+G8)*I8,0)</f>
        <v/>
      </c>
      <c r="M8">
        <f>IF(A8="","", _xludf.WEEKNUM(A8, 2))</f>
        <v/>
      </c>
      <c r="N8">
        <f>IF(A8="","", "CM-" &amp; IFERROR(VLOOKUP(C8, Catalogos!$Z$4:$AA$20, 2, FALSE), "FOL") &amp; "-" &amp; _xludf.WEEKNUM(A8, 2) &amp; "-" &amp; TEXT(ROW(A4),"000"))</f>
        <v/>
      </c>
    </row>
    <row r="9">
      <c r="A9" s="17625" t="n">
        <v>46181</v>
      </c>
      <c r="B9" t="inlineStr">
        <is>
          <t>Salida</t>
        </is>
      </c>
      <c r="C9" t="inlineStr">
        <is>
          <t>Lerma - Tres Marías</t>
        </is>
      </c>
      <c r="D9" t="inlineStr">
        <is>
          <t>Vogel</t>
        </is>
      </c>
      <c r="E9">
        <f>VLOOKUP(TablaMarimba[[#This Row],[Equipo]],Catalogos!$V$4:$W$64,2,FALSE)</f>
        <v/>
      </c>
      <c r="F9" s="3" t="n"/>
      <c r="G9" s="17626" t="n">
        <v>97</v>
      </c>
      <c r="H9" s="3">
        <f>IF(ROW()=5,F9-G9,H8+F9-G9)</f>
        <v/>
      </c>
      <c r="I9" s="4" t="n">
        <v>28.3</v>
      </c>
      <c r="J9" s="4">
        <f>IFERROR((F9+G9)*I9,0)</f>
        <v/>
      </c>
      <c r="M9">
        <f>IF(A9="","", _xludf.WEEKNUM(A9, 2))</f>
        <v/>
      </c>
      <c r="N9">
        <f>IF(A9="","", "CM-" &amp; IFERROR(VLOOKUP(C9, Catalogos!$Z$4:$AA$20, 2, FALSE), "FOL") &amp; "-" &amp; _xludf.WEEKNUM(A9, 2) &amp; "-" &amp; TEXT(ROW(A5),"000"))</f>
        <v/>
      </c>
    </row>
    <row r="10">
      <c r="A10" s="17625" t="n">
        <v>46181</v>
      </c>
      <c r="B10" t="inlineStr">
        <is>
          <t>Salida</t>
        </is>
      </c>
      <c r="C10" t="inlineStr">
        <is>
          <t>Chamapa-Lechería</t>
        </is>
      </c>
      <c r="D10" t="inlineStr">
        <is>
          <t>Perfiladora Wirgent</t>
        </is>
      </c>
      <c r="E10">
        <f>VLOOKUP(TablaMarimba[[#This Row],[Equipo]],Catalogos!$V$4:$W$64,2,FALSE)</f>
        <v/>
      </c>
      <c r="F10" s="3" t="n"/>
      <c r="G10" s="17626" t="n">
        <v>198</v>
      </c>
      <c r="H10" s="3">
        <f>IF(ROW()=5,F10-G10,H9+F10-G10)</f>
        <v/>
      </c>
      <c r="I10" s="4" t="n">
        <v>28.3</v>
      </c>
      <c r="J10" s="4">
        <f>IFERROR((F10+G10)*I10,0)</f>
        <v/>
      </c>
      <c r="M10">
        <f>IF(A10="","", _xludf.WEEKNUM(A10, 2))</f>
        <v/>
      </c>
      <c r="N10">
        <f>IF(A10="","", "CM-" &amp; IFERROR(VLOOKUP(C10, Catalogos!$Z$4:$AA$20, 2, FALSE), "FOL") &amp; "-" &amp; _xludf.WEEKNUM(A10, 2) &amp; "-" &amp; TEXT(ROW(A6),"000"))</f>
        <v/>
      </c>
    </row>
    <row r="11">
      <c r="A11" s="17625" t="n">
        <v>46181</v>
      </c>
      <c r="B11" t="inlineStr">
        <is>
          <t>Salida</t>
        </is>
      </c>
      <c r="C11" t="inlineStr">
        <is>
          <t>Chamapa-Lechería</t>
        </is>
      </c>
      <c r="D11" t="inlineStr">
        <is>
          <t>Maxilihgs</t>
        </is>
      </c>
      <c r="E11">
        <f>VLOOKUP(TablaMarimba[[#This Row],[Equipo]],Catalogos!$V$4:$W$64,2,FALSE)</f>
        <v/>
      </c>
      <c r="F11" s="3" t="n"/>
      <c r="G11" s="17626" t="n">
        <v>10</v>
      </c>
      <c r="H11" s="3">
        <f>IF(ROW()=5,F11-G11,H10+F11-G11)</f>
        <v/>
      </c>
      <c r="I11" s="4" t="n">
        <v>28.3</v>
      </c>
      <c r="J11" s="4">
        <f>IFERROR((F11+G11)*I11,0)</f>
        <v/>
      </c>
      <c r="M11">
        <f>IF(A11="","", _xludf.WEEKNUM(A11, 2))</f>
        <v/>
      </c>
      <c r="N11">
        <f>IF(A11="","", "CM-" &amp; IFERROR(VLOOKUP(C11, Catalogos!$Z$4:$AA$20, 2, FALSE), "FOL") &amp; "-" &amp; _xludf.WEEKNUM(A11, 2) &amp; "-" &amp; TEXT(ROW(A7),"000"))</f>
        <v/>
      </c>
    </row>
    <row r="12">
      <c r="A12" s="17625" t="n">
        <v>46181</v>
      </c>
      <c r="B12" t="inlineStr">
        <is>
          <t>Salida</t>
        </is>
      </c>
      <c r="C12" t="inlineStr">
        <is>
          <t>Chamapa-Lechería</t>
        </is>
      </c>
      <c r="D12" t="inlineStr">
        <is>
          <t>Neuomatico Dynapac</t>
        </is>
      </c>
      <c r="E12">
        <f>VLOOKUP(TablaMarimba[[#This Row],[Equipo]],Catalogos!$V$4:$W$64,2,FALSE)</f>
        <v/>
      </c>
      <c r="F12" s="3" t="n"/>
      <c r="G12" s="17626" t="n">
        <v>27</v>
      </c>
      <c r="H12" s="3">
        <f>IF(ROW()=5,F12-G12,H11+F12-G12)</f>
        <v/>
      </c>
      <c r="I12" s="4" t="n">
        <v>28.3</v>
      </c>
      <c r="J12" s="4">
        <f>IFERROR((F12+G12)*I12,0)</f>
        <v/>
      </c>
      <c r="M12">
        <f>IF(A12="","", _xludf.WEEKNUM(A12, 2))</f>
        <v/>
      </c>
      <c r="N12">
        <f>IF(A12="","", "CM-" &amp; IFERROR(VLOOKUP(C12, Catalogos!$Z$4:$AA$20, 2, FALSE), "FOL") &amp; "-" &amp; _xludf.WEEKNUM(A12, 2) &amp; "-" &amp; TEXT(ROW(A8),"000"))</f>
        <v/>
      </c>
    </row>
    <row r="13">
      <c r="A13" s="17625" t="n">
        <v>46181</v>
      </c>
      <c r="B13" t="inlineStr">
        <is>
          <t>Salida</t>
        </is>
      </c>
      <c r="C13" t="inlineStr">
        <is>
          <t>Chamapa-Lechería</t>
        </is>
      </c>
      <c r="D13" t="inlineStr">
        <is>
          <t>Compresor</t>
        </is>
      </c>
      <c r="E13">
        <f>VLOOKUP(TablaMarimba[[#This Row],[Equipo]],Catalogos!$V$4:$W$64,2,FALSE)</f>
        <v/>
      </c>
      <c r="F13" s="3" t="n"/>
      <c r="G13" s="17626" t="n">
        <v>30</v>
      </c>
      <c r="H13" s="3">
        <f>IF(ROW()=5,F13-G13,H12+F13-G13)</f>
        <v/>
      </c>
      <c r="I13" s="4" t="n">
        <v>28.3</v>
      </c>
      <c r="J13" s="4">
        <f>IFERROR((F13+G13)*I13,0)</f>
        <v/>
      </c>
      <c r="M13">
        <f>IF(A13="","", _xludf.WEEKNUM(A13, 2))</f>
        <v/>
      </c>
      <c r="N13">
        <f>IF(A13="","", "CM-" &amp; IFERROR(VLOOKUP(C13, Catalogos!$Z$4:$AA$20, 2, FALSE), "FOL") &amp; "-" &amp; _xludf.WEEKNUM(A13, 2) &amp; "-" &amp; TEXT(ROW(A9),"000"))</f>
        <v/>
      </c>
    </row>
    <row r="14">
      <c r="A14" s="17625" t="n">
        <v>46181</v>
      </c>
      <c r="B14" t="inlineStr">
        <is>
          <t>Salida</t>
        </is>
      </c>
      <c r="C14" t="inlineStr">
        <is>
          <t>Chamapa-Lechería</t>
        </is>
      </c>
      <c r="D14" t="inlineStr">
        <is>
          <t>Retroexcavadora Jonh Deere</t>
        </is>
      </c>
      <c r="E14">
        <f>VLOOKUP(TablaMarimba[[#This Row],[Equipo]],Catalogos!$V$4:$W$64,2,FALSE)</f>
        <v/>
      </c>
      <c r="F14" s="3" t="n"/>
      <c r="G14" s="17626" t="n">
        <v>40</v>
      </c>
      <c r="H14" s="3">
        <f>IF(ROW()=5,F14-G14,H13+F14-G14)</f>
        <v/>
      </c>
      <c r="I14" s="4" t="n">
        <v>28.3</v>
      </c>
      <c r="J14" s="4">
        <f>IFERROR((F14+G14)*I14,0)</f>
        <v/>
      </c>
      <c r="M14">
        <f>IF(A14="","", _xludf.WEEKNUM(A14, 2))</f>
        <v/>
      </c>
      <c r="N14">
        <f>IF(A14="","", "CM-" &amp; IFERROR(VLOOKUP(C14, Catalogos!$Z$4:$AA$20, 2, FALSE), "FOL") &amp; "-" &amp; _xludf.WEEKNUM(A14, 2) &amp; "-" &amp; TEXT(ROW(A10),"000"))</f>
        <v/>
      </c>
    </row>
    <row r="15">
      <c r="A15" s="17625" t="n">
        <v>46181</v>
      </c>
      <c r="B15" t="inlineStr">
        <is>
          <t>Salida</t>
        </is>
      </c>
      <c r="C15" t="inlineStr">
        <is>
          <t>Chamapa-Lechería</t>
        </is>
      </c>
      <c r="D15" t="inlineStr">
        <is>
          <t>Vogele Guion</t>
        </is>
      </c>
      <c r="E15">
        <f>VLOOKUP(TablaMarimba[[#This Row],[Equipo]],Catalogos!$V$4:$W$64,2,FALSE)</f>
        <v/>
      </c>
      <c r="F15" s="3" t="n"/>
      <c r="G15" s="17626" t="n">
        <v>120</v>
      </c>
      <c r="H15" s="3">
        <f>IF(ROW()=5,F15-G15,H14+F15-G15)</f>
        <v/>
      </c>
      <c r="I15" s="4" t="n">
        <v>28.3</v>
      </c>
      <c r="J15" s="4">
        <f>IFERROR((F15+G15)*I15,0)</f>
        <v/>
      </c>
      <c r="M15">
        <f>IF(A15="","", _xludf.WEEKNUM(A15, 2))</f>
        <v/>
      </c>
      <c r="N15">
        <f>IF(A15="","", "CM-" &amp; IFERROR(VLOOKUP(C15, Catalogos!$Z$4:$AA$20, 2, FALSE), "FOL") &amp; "-" &amp; _xludf.WEEKNUM(A15, 2) &amp; "-" &amp; TEXT(ROW(A11),"000"))</f>
        <v/>
      </c>
    </row>
    <row r="16">
      <c r="A16" s="17625" t="n">
        <v>46181</v>
      </c>
      <c r="B16" t="inlineStr">
        <is>
          <t>Salida</t>
        </is>
      </c>
      <c r="C16" t="inlineStr">
        <is>
          <t>Chamapa-Lechería</t>
        </is>
      </c>
      <c r="D16" t="inlineStr">
        <is>
          <t>Petrolizadora Elton</t>
        </is>
      </c>
      <c r="E16">
        <f>VLOOKUP(TablaMarimba[[#This Row],[Equipo]],Catalogos!$V$4:$W$64,2,FALSE)</f>
        <v/>
      </c>
      <c r="F16" s="3" t="n"/>
      <c r="G16" s="17626" t="n">
        <v>30</v>
      </c>
      <c r="H16" s="3">
        <f>IF(ROW()=5,F16-G16,H15+F16-G16)</f>
        <v/>
      </c>
      <c r="I16" s="4" t="n">
        <v>28.3</v>
      </c>
      <c r="J16" s="4">
        <f>IFERROR((F16+G16)*I16,0)</f>
        <v/>
      </c>
      <c r="M16">
        <f>IF(A16="","", _xludf.WEEKNUM(A16, 2))</f>
        <v/>
      </c>
      <c r="N16">
        <f>IF(A16="","", "CM-" &amp; IFERROR(VLOOKUP(C16, Catalogos!$Z$4:$AA$20, 2, FALSE), "FOL") &amp; "-" &amp; _xludf.WEEKNUM(A16, 2) &amp; "-" &amp; TEXT(ROW(A12),"000"))</f>
        <v/>
      </c>
    </row>
    <row r="17">
      <c r="A17" s="17625" t="n">
        <v>46182</v>
      </c>
      <c r="B17" t="inlineStr">
        <is>
          <t>Salida</t>
        </is>
      </c>
      <c r="C17" t="inlineStr">
        <is>
          <t>Chamapa-Lechería</t>
        </is>
      </c>
      <c r="D17" t="inlineStr">
        <is>
          <t>Barredora Broce</t>
        </is>
      </c>
      <c r="E17">
        <f>VLOOKUP(TablaMarimba[[#This Row],[Equipo]],Catalogos!$V$4:$W$64,2,FALSE)</f>
        <v/>
      </c>
      <c r="F17" s="3" t="n"/>
      <c r="G17" s="17626" t="n">
        <v>30</v>
      </c>
      <c r="H17" s="3">
        <f>IF(ROW()=5,F17-G17,H16+F17-G17)</f>
        <v/>
      </c>
      <c r="I17" s="4" t="n">
        <v>28.3</v>
      </c>
      <c r="J17" s="4">
        <f>IFERROR((F17+G17)*I17,0)</f>
        <v/>
      </c>
      <c r="M17">
        <f>IF(A17="","", _xludf.WEEKNUM(A17, 2))</f>
        <v/>
      </c>
      <c r="N17">
        <f>IF(A17="","", "CM-" &amp; IFERROR(VLOOKUP(C17, Catalogos!$Z$4:$AA$20, 2, FALSE), "FOL") &amp; "-" &amp; _xludf.WEEKNUM(A17, 2) &amp; "-" &amp; TEXT(ROW(A13),"000"))</f>
        <v/>
      </c>
    </row>
    <row r="18">
      <c r="A18" s="17625" t="n">
        <v>46182</v>
      </c>
      <c r="B18" t="inlineStr">
        <is>
          <t>Salida</t>
        </is>
      </c>
      <c r="C18" t="inlineStr">
        <is>
          <t>Chamapa-Lechería</t>
        </is>
      </c>
      <c r="D18" t="inlineStr">
        <is>
          <t>Buggy Trasnfer</t>
        </is>
      </c>
      <c r="E18">
        <f>VLOOKUP(TablaMarimba[[#This Row],[Equipo]],Catalogos!$V$4:$W$64,2,FALSE)</f>
        <v/>
      </c>
      <c r="F18" s="3" t="n"/>
      <c r="G18" s="17626" t="n">
        <v>100</v>
      </c>
      <c r="H18" s="3">
        <f>IF(ROW()=5,F18-G18,H17+F18-G18)</f>
        <v/>
      </c>
      <c r="I18" s="4" t="n">
        <v>28.3</v>
      </c>
      <c r="J18" s="4">
        <f>IFERROR((F18+G18)*I18,0)</f>
        <v/>
      </c>
      <c r="M18">
        <f>IF(A18="","", _xludf.WEEKNUM(A18, 2))</f>
        <v/>
      </c>
      <c r="N18">
        <f>IF(A18="","", "CM-" &amp; IFERROR(VLOOKUP(C18, Catalogos!$Z$4:$AA$20, 2, FALSE), "FOL") &amp; "-" &amp; _xludf.WEEKNUM(A18, 2) &amp; "-" &amp; TEXT(ROW(A14),"000"))</f>
        <v/>
      </c>
    </row>
    <row r="19">
      <c r="A19" s="17625" t="n">
        <v>46182</v>
      </c>
      <c r="B19" t="inlineStr">
        <is>
          <t>Salida</t>
        </is>
      </c>
      <c r="C19" t="inlineStr">
        <is>
          <t>Chamapa-Lechería</t>
        </is>
      </c>
      <c r="D19" t="inlineStr">
        <is>
          <t>Tandem Hamm</t>
        </is>
      </c>
      <c r="E19">
        <f>VLOOKUP(TablaMarimba[[#This Row],[Equipo]],Catalogos!$V$4:$W$64,2,FALSE)</f>
        <v/>
      </c>
      <c r="F19" s="3" t="n"/>
      <c r="G19" s="17626" t="n">
        <v>30</v>
      </c>
      <c r="H19" s="3">
        <f>IF(ROW()=5,F19-G19,H18+F19-G19)</f>
        <v/>
      </c>
      <c r="I19" s="4" t="n">
        <v>28.3</v>
      </c>
      <c r="J19" s="4">
        <f>IFERROR((F19+G19)*I19,0)</f>
        <v/>
      </c>
      <c r="M19">
        <f>IF(A19="","", _xludf.WEEKNUM(A19, 2))</f>
        <v/>
      </c>
      <c r="N19">
        <f>IF(A19="","", "CM-" &amp; IFERROR(VLOOKUP(C19, Catalogos!$Z$4:$AA$20, 2, FALSE), "FOL") &amp; "-" &amp; _xludf.WEEKNUM(A19, 2) &amp; "-" &amp; TEXT(ROW(A15),"000"))</f>
        <v/>
      </c>
    </row>
    <row r="20">
      <c r="A20" s="17625" t="n">
        <v>46182</v>
      </c>
      <c r="B20" t="inlineStr">
        <is>
          <t>Salida</t>
        </is>
      </c>
      <c r="C20" t="inlineStr">
        <is>
          <t>Chamapa-Lechería</t>
        </is>
      </c>
      <c r="D20" t="inlineStr">
        <is>
          <t>Perfiladora Wirgent</t>
        </is>
      </c>
      <c r="E20">
        <f>VLOOKUP(TablaMarimba[[#This Row],[Equipo]],Catalogos!$V$4:$W$64,2,FALSE)</f>
        <v/>
      </c>
      <c r="F20" s="3" t="n"/>
      <c r="G20" s="17626" t="n">
        <v>150</v>
      </c>
      <c r="H20" s="3">
        <f>IF(ROW()=5,F20-G20,H19+F20-G20)</f>
        <v/>
      </c>
      <c r="I20" s="4" t="n">
        <v>28.3</v>
      </c>
      <c r="J20" s="4">
        <f>IFERROR((F20+G20)*I20,0)</f>
        <v/>
      </c>
      <c r="M20">
        <f>IF(A20="","", _xludf.WEEKNUM(A20, 2))</f>
        <v/>
      </c>
      <c r="N20">
        <f>IF(A20="","", "CM-" &amp; IFERROR(VLOOKUP(C20, Catalogos!$Z$4:$AA$20, 2, FALSE), "FOL") &amp; "-" &amp; _xludf.WEEKNUM(A20, 2) &amp; "-" &amp; TEXT(ROW(A16),"000"))</f>
        <v/>
      </c>
    </row>
    <row r="21">
      <c r="A21" s="17625" t="n">
        <v>46182</v>
      </c>
      <c r="B21" t="inlineStr">
        <is>
          <t>Salida</t>
        </is>
      </c>
      <c r="C21" t="inlineStr">
        <is>
          <t>Chamapa-Lechería</t>
        </is>
      </c>
      <c r="D21" t="inlineStr">
        <is>
          <t>Petrolizadora Elton</t>
        </is>
      </c>
      <c r="E21">
        <f>VLOOKUP(TablaMarimba[[#This Row],[Equipo]],Catalogos!$V$4:$W$64,2,FALSE)</f>
        <v/>
      </c>
      <c r="F21" s="3" t="n"/>
      <c r="G21" s="17626" t="n">
        <v>50</v>
      </c>
      <c r="H21" s="3">
        <f>IF(ROW()=5,F21-G21,H20+F21-G21)</f>
        <v/>
      </c>
      <c r="I21" s="4" t="n">
        <v>28.3</v>
      </c>
      <c r="J21" s="4">
        <f>IFERROR((F21+G21)*I21,0)</f>
        <v/>
      </c>
      <c r="M21">
        <f>IF(A21="","", _xludf.WEEKNUM(A21, 2))</f>
        <v/>
      </c>
      <c r="N21">
        <f>IF(A21="","", "CM-" &amp; IFERROR(VLOOKUP(C21, Catalogos!$Z$4:$AA$20, 2, FALSE), "FOL") &amp; "-" &amp; _xludf.WEEKNUM(A21, 2) &amp; "-" &amp; TEXT(ROW(A17),"000"))</f>
        <v/>
      </c>
    </row>
    <row r="22">
      <c r="A22" s="17625" t="n">
        <v>46182</v>
      </c>
      <c r="B22" t="inlineStr">
        <is>
          <t>Salida</t>
        </is>
      </c>
      <c r="C22" t="inlineStr">
        <is>
          <t>Chamapa-Lechería</t>
        </is>
      </c>
      <c r="D22" t="inlineStr">
        <is>
          <t>Vogele Guion</t>
        </is>
      </c>
      <c r="E22">
        <f>VLOOKUP(TablaMarimba[[#This Row],[Equipo]],Catalogos!$V$4:$W$64,2,FALSE)</f>
        <v/>
      </c>
      <c r="F22" s="3" t="n"/>
      <c r="G22" s="17626" t="n">
        <v>136</v>
      </c>
      <c r="H22" s="3">
        <f>IF(ROW()=5,F22-G22,H21+F22-G22)</f>
        <v/>
      </c>
      <c r="I22" s="4" t="n">
        <v>28.3</v>
      </c>
      <c r="J22" s="4">
        <f>IFERROR((F22+G22)*I22,0)</f>
        <v/>
      </c>
      <c r="M22">
        <f>IF(A22="","", _xludf.WEEKNUM(A22, 2))</f>
        <v/>
      </c>
      <c r="N22">
        <f>IF(A22="","", "CM-" &amp; IFERROR(VLOOKUP(C22, Catalogos!$Z$4:$AA$20, 2, FALSE), "FOL") &amp; "-" &amp; _xludf.WEEKNUM(A22, 2) &amp; "-" &amp; TEXT(ROW(A18),"000"))</f>
        <v/>
      </c>
    </row>
    <row r="23">
      <c r="A23" s="17625" t="n">
        <v>46182</v>
      </c>
      <c r="B23" t="inlineStr">
        <is>
          <t>Salida</t>
        </is>
      </c>
      <c r="C23" t="inlineStr">
        <is>
          <t>Chamapa-Lechería</t>
        </is>
      </c>
      <c r="D23" t="inlineStr">
        <is>
          <t>Tandem Hamm</t>
        </is>
      </c>
      <c r="E23">
        <f>VLOOKUP(TablaMarimba[[#This Row],[Equipo]],Catalogos!$V$4:$W$64,2,FALSE)</f>
        <v/>
      </c>
      <c r="F23" s="3" t="n"/>
      <c r="G23" s="17626" t="n">
        <v>30</v>
      </c>
      <c r="H23" s="3">
        <f>IF(ROW()=5,F23-G23,H22+F23-G23)</f>
        <v/>
      </c>
      <c r="I23" s="4" t="n">
        <v>28.3</v>
      </c>
      <c r="J23" s="4">
        <f>IFERROR((F23+G23)*I23,0)</f>
        <v/>
      </c>
      <c r="M23">
        <f>IF(A23="","", _xludf.WEEKNUM(A23, 2))</f>
        <v/>
      </c>
      <c r="N23">
        <f>IF(A23="","", "CM-" &amp; IFERROR(VLOOKUP(C23, Catalogos!$Z$4:$AA$20, 2, FALSE), "FOL") &amp; "-" &amp; _xludf.WEEKNUM(A23, 2) &amp; "-" &amp; TEXT(ROW(A19),"000"))</f>
        <v/>
      </c>
    </row>
    <row r="24">
      <c r="A24" s="17625" t="n">
        <v>46182</v>
      </c>
      <c r="B24" t="inlineStr">
        <is>
          <t>Salida</t>
        </is>
      </c>
      <c r="C24" t="inlineStr">
        <is>
          <t>Chamapa-Lechería</t>
        </is>
      </c>
      <c r="D24" t="inlineStr">
        <is>
          <t>Neuomatico</t>
        </is>
      </c>
      <c r="E24">
        <f>VLOOKUP(TablaMarimba[[#This Row],[Equipo]],Catalogos!$V$4:$W$64,2,FALSE)</f>
        <v/>
      </c>
      <c r="F24" s="3" t="n"/>
      <c r="G24" s="17626" t="n">
        <v>30</v>
      </c>
      <c r="H24" s="3">
        <f>IF(ROW()=5,F24-G24,H23+F24-G24)</f>
        <v/>
      </c>
      <c r="I24" s="4" t="n">
        <v>28.3</v>
      </c>
      <c r="J24" s="4">
        <f>IFERROR((F24+G24)*I24,0)</f>
        <v/>
      </c>
      <c r="M24">
        <f>IF(A24="","", _xludf.WEEKNUM(A24, 2))</f>
        <v/>
      </c>
      <c r="N24">
        <f>IF(A24="","", "CM-" &amp; IFERROR(VLOOKUP(C24, Catalogos!$Z$4:$AA$20, 2, FALSE), "FOL") &amp; "-" &amp; _xludf.WEEKNUM(A24, 2) &amp; "-" &amp; TEXT(ROW(A20),"000"))</f>
        <v/>
      </c>
    </row>
    <row r="25">
      <c r="A25" s="17625" t="n">
        <v>46182</v>
      </c>
      <c r="B25" t="inlineStr">
        <is>
          <t>Salida</t>
        </is>
      </c>
      <c r="C25" t="inlineStr">
        <is>
          <t>Chamapa-Lechería</t>
        </is>
      </c>
      <c r="D25" t="inlineStr">
        <is>
          <t>Buggy Trasnfer</t>
        </is>
      </c>
      <c r="E25">
        <f>VLOOKUP(TablaMarimba[[#This Row],[Equipo]],Catalogos!$V$4:$W$64,2,FALSE)</f>
        <v/>
      </c>
      <c r="F25" s="3" t="n"/>
      <c r="G25" s="17626" t="n">
        <v>100</v>
      </c>
      <c r="H25" s="3">
        <f>IF(ROW()=5,F25-G25,H24+F25-G25)</f>
        <v/>
      </c>
      <c r="I25" s="4" t="n">
        <v>28.3</v>
      </c>
      <c r="J25" s="4">
        <f>IFERROR((F25+G25)*I25,0)</f>
        <v/>
      </c>
      <c r="M25">
        <f>IF(A25="","", _xludf.WEEKNUM(A25, 2))</f>
        <v/>
      </c>
      <c r="N25">
        <f>IF(A25="","", "CM-" &amp; IFERROR(VLOOKUP(C25, Catalogos!$Z$4:$AA$20, 2, FALSE), "FOL") &amp; "-" &amp; _xludf.WEEKNUM(A25, 2) &amp; "-" &amp; TEXT(ROW(A21),"000"))</f>
        <v/>
      </c>
    </row>
    <row r="26">
      <c r="A26" s="17625" t="n">
        <v>46182</v>
      </c>
      <c r="B26" t="inlineStr">
        <is>
          <t>Salida</t>
        </is>
      </c>
      <c r="C26" t="inlineStr">
        <is>
          <t>Chamapa-Lechería</t>
        </is>
      </c>
      <c r="D26" t="inlineStr">
        <is>
          <t>Retroexcavadora Jonh Deere</t>
        </is>
      </c>
      <c r="E26">
        <f>VLOOKUP(TablaMarimba[[#This Row],[Equipo]],Catalogos!$V$4:$W$64,2,FALSE)</f>
        <v/>
      </c>
      <c r="F26" s="3" t="n"/>
      <c r="G26" s="17626" t="n">
        <v>60</v>
      </c>
      <c r="H26" s="3">
        <f>IF(ROW()=5,F26-G26,H25+F26-G26)</f>
        <v/>
      </c>
      <c r="I26" s="4" t="n">
        <v>28.3</v>
      </c>
      <c r="J26" s="4">
        <f>IFERROR((F26+G26)*I26,0)</f>
        <v/>
      </c>
      <c r="M26">
        <f>IF(A26="","", _xludf.WEEKNUM(A26, 2))</f>
        <v/>
      </c>
      <c r="N26">
        <f>IF(A26="","", "CM-" &amp; IFERROR(VLOOKUP(C26, Catalogos!$Z$4:$AA$20, 2, FALSE), "FOL") &amp; "-" &amp; _xludf.WEEKNUM(A26, 2) &amp; "-" &amp; TEXT(ROW(A22),"000"))</f>
        <v/>
      </c>
    </row>
    <row r="27">
      <c r="A27" s="17625" t="n">
        <v>46182</v>
      </c>
      <c r="B27" t="inlineStr">
        <is>
          <t>Salida</t>
        </is>
      </c>
      <c r="C27" t="inlineStr">
        <is>
          <t>Chamapa-Lechería</t>
        </is>
      </c>
      <c r="D27" t="inlineStr">
        <is>
          <t>Compresor</t>
        </is>
      </c>
      <c r="E27">
        <f>VLOOKUP(TablaMarimba[[#This Row],[Equipo]],Catalogos!$V$4:$W$64,2,FALSE)</f>
        <v/>
      </c>
      <c r="F27" s="3" t="n"/>
      <c r="G27" s="17626" t="n">
        <v>20</v>
      </c>
      <c r="H27" s="3">
        <f>IF(ROW()=5,F27-G27,H26+F27-G27)</f>
        <v/>
      </c>
      <c r="I27" s="4" t="n">
        <v>28.3</v>
      </c>
      <c r="J27" s="4">
        <f>IFERROR((F27+G27)*I27,0)</f>
        <v/>
      </c>
      <c r="M27">
        <f>IF(A27="","", _xludf.WEEKNUM(A27, 2))</f>
        <v/>
      </c>
      <c r="N27">
        <f>IF(A27="","", "CM-" &amp; IFERROR(VLOOKUP(C27, Catalogos!$Z$4:$AA$20, 2, FALSE), "FOL") &amp; "-" &amp; _xludf.WEEKNUM(A27, 2) &amp; "-" &amp; TEXT(ROW(A23),"000"))</f>
        <v/>
      </c>
    </row>
    <row r="28">
      <c r="A28" s="17625" t="n">
        <v>46183</v>
      </c>
      <c r="B28" t="inlineStr">
        <is>
          <t>Salida</t>
        </is>
      </c>
      <c r="C28" t="inlineStr">
        <is>
          <t>México-Toluca</t>
        </is>
      </c>
      <c r="D28" t="inlineStr">
        <is>
          <t>Barredora</t>
        </is>
      </c>
      <c r="E28">
        <f>VLOOKUP(TablaMarimba[[#This Row],[Equipo]],Catalogos!$V$4:$W$64,2,FALSE)</f>
        <v/>
      </c>
      <c r="F28" s="3" t="n"/>
      <c r="G28" s="17626" t="n">
        <v>20</v>
      </c>
      <c r="H28" s="3">
        <f>IF(ROW()=5,F28-G28,H27+F28-G28)</f>
        <v/>
      </c>
      <c r="I28" s="4" t="n">
        <v>28.3</v>
      </c>
      <c r="J28" s="4">
        <f>IFERROR((F28+G28)*I28,0)</f>
        <v/>
      </c>
      <c r="M28">
        <f>IF(A28="","", _xludf.WEEKNUM(A28, 2))</f>
        <v/>
      </c>
      <c r="N28">
        <f>IF(A28="","", "CM-" &amp; IFERROR(VLOOKUP(C28, Catalogos!$Z$4:$AA$20, 2, FALSE), "FOL") &amp; "-" &amp; _xludf.WEEKNUM(A28, 2) &amp; "-" &amp; TEXT(ROW(A24),"000"))</f>
        <v/>
      </c>
    </row>
    <row r="29">
      <c r="A29" s="17625" t="n">
        <v>46183</v>
      </c>
      <c r="B29" t="inlineStr">
        <is>
          <t>Salida</t>
        </is>
      </c>
      <c r="C29" t="inlineStr">
        <is>
          <t>México-Toluca</t>
        </is>
      </c>
      <c r="D29" t="inlineStr">
        <is>
          <t>Perfiladora</t>
        </is>
      </c>
      <c r="E29">
        <f>VLOOKUP(TablaMarimba[[#This Row],[Equipo]],Catalogos!$V$4:$W$64,2,FALSE)</f>
        <v/>
      </c>
      <c r="F29" s="3" t="n"/>
      <c r="G29" s="17626" t="n">
        <v>250</v>
      </c>
      <c r="H29" s="3">
        <f>IF(ROW()=5,F29-G29,H28+F29-G29)</f>
        <v/>
      </c>
      <c r="I29" s="4" t="n">
        <v>28.3</v>
      </c>
      <c r="J29" s="4">
        <f>IFERROR((F29+G29)*I29,0)</f>
        <v/>
      </c>
      <c r="M29">
        <f>IF(A29="","", _xludf.WEEKNUM(A29, 2))</f>
        <v/>
      </c>
      <c r="N29">
        <f>IF(A29="","", "CM-" &amp; IFERROR(VLOOKUP(C29, Catalogos!$Z$4:$AA$20, 2, FALSE), "FOL") &amp; "-" &amp; _xludf.WEEKNUM(A29, 2) &amp; "-" &amp; TEXT(ROW(A25),"000"))</f>
        <v/>
      </c>
    </row>
    <row r="30">
      <c r="A30" s="17625" t="n">
        <v>46183</v>
      </c>
      <c r="B30" t="inlineStr">
        <is>
          <t>Salida</t>
        </is>
      </c>
      <c r="C30" t="inlineStr">
        <is>
          <t>México-Toluca</t>
        </is>
      </c>
      <c r="D30" t="inlineStr">
        <is>
          <t>Retroexcavadora</t>
        </is>
      </c>
      <c r="E30">
        <f>VLOOKUP(TablaMarimba[[#This Row],[Equipo]],Catalogos!$V$4:$W$64,2,FALSE)</f>
        <v/>
      </c>
      <c r="F30" s="3" t="n"/>
      <c r="G30" s="17626" t="n">
        <v>30</v>
      </c>
      <c r="H30" s="3">
        <f>IF(ROW()=5,F30-G30,H29+F30-G30)</f>
        <v/>
      </c>
      <c r="I30" s="4" t="n">
        <v>28.3</v>
      </c>
      <c r="J30" s="4">
        <f>IFERROR((F30+G30)*I30,0)</f>
        <v/>
      </c>
      <c r="M30">
        <f>IF(A30="","", _xludf.WEEKNUM(A30, 2))</f>
        <v/>
      </c>
      <c r="N30">
        <f>IF(A30="","", "CM-" &amp; IFERROR(VLOOKUP(C30, Catalogos!$Z$4:$AA$20, 2, FALSE), "FOL") &amp; "-" &amp; _xludf.WEEKNUM(A30, 2) &amp; "-" &amp; TEXT(ROW(A26),"000"))</f>
        <v/>
      </c>
    </row>
    <row r="31">
      <c r="A31" s="17625" t="n">
        <v>46184</v>
      </c>
      <c r="B31" t="inlineStr">
        <is>
          <t>Salida</t>
        </is>
      </c>
      <c r="C31" t="inlineStr">
        <is>
          <t>México-Toluca</t>
        </is>
      </c>
      <c r="D31" t="inlineStr">
        <is>
          <t>Compactador</t>
        </is>
      </c>
      <c r="E31">
        <f>VLOOKUP(TablaMarimba[[#This Row],[Equipo]],Catalogos!$V$4:$W$64,2,FALSE)</f>
        <v/>
      </c>
      <c r="F31" s="3" t="n"/>
      <c r="G31" s="17626" t="n">
        <v>30</v>
      </c>
      <c r="H31" s="3">
        <f>IF(ROW()=5,F31-G31,H30+F31-G31)</f>
        <v/>
      </c>
      <c r="I31" s="4" t="n">
        <v>28.3</v>
      </c>
      <c r="J31" s="4">
        <f>IFERROR((F31+G31)*I31,0)</f>
        <v/>
      </c>
      <c r="M31">
        <f>IF(A31="","", _xludf.WEEKNUM(A31, 2))</f>
        <v/>
      </c>
      <c r="N31">
        <f>IF(A31="","", "CM-" &amp; IFERROR(VLOOKUP(C31, Catalogos!$Z$4:$AA$20, 2, FALSE), "FOL") &amp; "-" &amp; _xludf.WEEKNUM(A31, 2) &amp; "-" &amp; TEXT(ROW(A27),"000"))</f>
        <v/>
      </c>
    </row>
    <row r="32">
      <c r="A32" s="17625" t="n">
        <v>46184</v>
      </c>
      <c r="B32" t="inlineStr">
        <is>
          <t>Salida</t>
        </is>
      </c>
      <c r="C32" t="inlineStr">
        <is>
          <t>México-Toluca</t>
        </is>
      </c>
      <c r="D32" t="inlineStr">
        <is>
          <t>Neuomatico</t>
        </is>
      </c>
      <c r="E32">
        <f>VLOOKUP(TablaMarimba[[#This Row],[Equipo]],Catalogos!$V$4:$W$64,2,FALSE)</f>
        <v/>
      </c>
      <c r="F32" s="3" t="n"/>
      <c r="G32" s="17626" t="n">
        <v>30</v>
      </c>
      <c r="H32" s="3">
        <f>IF(ROW()=5,F32-G32,H31+F32-G32)</f>
        <v/>
      </c>
      <c r="I32" s="4" t="n">
        <v>28.3</v>
      </c>
      <c r="J32" s="4">
        <f>IFERROR((F32+G32)*I32,0)</f>
        <v/>
      </c>
      <c r="M32">
        <f>IF(A32="","", _xludf.WEEKNUM(A32, 2))</f>
        <v/>
      </c>
      <c r="N32">
        <f>IF(A32="","", "CM-" &amp; IFERROR(VLOOKUP(C32, Catalogos!$Z$4:$AA$20, 2, FALSE), "FOL") &amp; "-" &amp; _xludf.WEEKNUM(A32, 2) &amp; "-" &amp; TEXT(ROW(A28),"000"))</f>
        <v/>
      </c>
    </row>
    <row r="33">
      <c r="A33" s="17625" t="n">
        <v>46184</v>
      </c>
      <c r="B33" t="inlineStr">
        <is>
          <t>Salida</t>
        </is>
      </c>
      <c r="C33" t="inlineStr">
        <is>
          <t>México-Toluca</t>
        </is>
      </c>
      <c r="D33" t="inlineStr">
        <is>
          <t>Vogel</t>
        </is>
      </c>
      <c r="E33">
        <f>VLOOKUP(TablaMarimba[[#This Row],[Equipo]],Catalogos!$V$4:$W$64,2,FALSE)</f>
        <v/>
      </c>
      <c r="F33" s="3" t="n"/>
      <c r="G33" s="17626" t="n">
        <v>136</v>
      </c>
      <c r="H33" s="3">
        <f>IF(ROW()=5,F33-G33,H32+F33-G33)</f>
        <v/>
      </c>
      <c r="I33" s="4" t="n">
        <v>28.3</v>
      </c>
      <c r="J33" s="4">
        <f>IFERROR((F33+G33)*I33,0)</f>
        <v/>
      </c>
      <c r="M33">
        <f>IF(A33="","", _xludf.WEEKNUM(A33, 2))</f>
        <v/>
      </c>
      <c r="N33">
        <f>IF(A33="","", "CM-" &amp; IFERROR(VLOOKUP(C33, Catalogos!$Z$4:$AA$20, 2, FALSE), "FOL") &amp; "-" &amp; _xludf.WEEKNUM(A33, 2) &amp; "-" &amp; TEXT(ROW(A29),"000"))</f>
        <v/>
      </c>
    </row>
    <row r="34">
      <c r="A34" s="17625" t="n">
        <v>46184</v>
      </c>
      <c r="B34" t="inlineStr">
        <is>
          <t>Salida</t>
        </is>
      </c>
      <c r="C34" t="inlineStr">
        <is>
          <t>México-Toluca</t>
        </is>
      </c>
      <c r="D34" t="inlineStr">
        <is>
          <t>Barredora</t>
        </is>
      </c>
      <c r="E34">
        <f>VLOOKUP(TablaMarimba[[#This Row],[Equipo]],Catalogos!$V$4:$W$64,2,FALSE)</f>
        <v/>
      </c>
      <c r="F34" s="3" t="n"/>
      <c r="G34" s="17626" t="n">
        <v>20</v>
      </c>
      <c r="H34" s="3">
        <f>IF(ROW()=5,F34-G34,H33+F34-G34)</f>
        <v/>
      </c>
      <c r="I34" s="4" t="n">
        <v>28.3</v>
      </c>
      <c r="J34" s="4">
        <f>IFERROR((F34+G34)*I34,0)</f>
        <v/>
      </c>
      <c r="M34">
        <f>IF(A34="","", _xludf.WEEKNUM(A34, 2))</f>
        <v/>
      </c>
      <c r="N34">
        <f>IF(A34="","", "CM-" &amp; IFERROR(VLOOKUP(C34, Catalogos!$Z$4:$AA$20, 2, FALSE), "FOL") &amp; "-" &amp; _xludf.WEEKNUM(A34, 2) &amp; "-" &amp; TEXT(ROW(A30),"000"))</f>
        <v/>
      </c>
    </row>
    <row r="35">
      <c r="A35" s="17625" t="n">
        <v>46184</v>
      </c>
      <c r="B35" t="inlineStr">
        <is>
          <t>Salida</t>
        </is>
      </c>
      <c r="C35" t="inlineStr">
        <is>
          <t>México-Toluca</t>
        </is>
      </c>
      <c r="D35" t="inlineStr">
        <is>
          <t>Retroexcavadora</t>
        </is>
      </c>
      <c r="E35">
        <f>VLOOKUP(TablaMarimba[[#This Row],[Equipo]],Catalogos!$V$4:$W$64,2,FALSE)</f>
        <v/>
      </c>
      <c r="F35" s="3" t="n"/>
      <c r="G35" s="17626" t="n">
        <v>20</v>
      </c>
      <c r="H35" s="3">
        <f>IF(ROW()=5,F35-G35,H34+F35-G35)</f>
        <v/>
      </c>
      <c r="I35" s="4" t="n">
        <v>28.3</v>
      </c>
      <c r="J35" s="4">
        <f>IFERROR((F35+G35)*I35,0)</f>
        <v/>
      </c>
      <c r="M35">
        <f>IF(A35="","", _xludf.WEEKNUM(A35, 2))</f>
        <v/>
      </c>
      <c r="N35">
        <f>IF(A35="","", "CM-" &amp; IFERROR(VLOOKUP(C35, Catalogos!$Z$4:$AA$20, 2, FALSE), "FOL") &amp; "-" &amp; _xludf.WEEKNUM(A35, 2) &amp; "-" &amp; TEXT(ROW(A31),"000"))</f>
        <v/>
      </c>
    </row>
    <row r="36">
      <c r="A36" s="17625" t="n">
        <v>46184</v>
      </c>
      <c r="B36" t="inlineStr">
        <is>
          <t>Salida</t>
        </is>
      </c>
      <c r="C36" t="inlineStr">
        <is>
          <t>México-Toluca</t>
        </is>
      </c>
      <c r="D36" t="inlineStr">
        <is>
          <t>Maxilihgs</t>
        </is>
      </c>
      <c r="E36">
        <f>VLOOKUP(TablaMarimba[[#This Row],[Equipo]],Catalogos!$V$4:$W$64,2,FALSE)</f>
        <v/>
      </c>
      <c r="F36" s="3" t="n"/>
      <c r="G36" s="17626" t="n">
        <v>20</v>
      </c>
      <c r="H36" s="3">
        <f>IF(ROW()=5,F36-G36,H35+F36-G36)</f>
        <v/>
      </c>
      <c r="I36" s="4" t="n">
        <v>28.3</v>
      </c>
      <c r="J36" s="4">
        <f>IFERROR((F36+G36)*I36,0)</f>
        <v/>
      </c>
      <c r="M36">
        <f>IF(A36="","", _xludf.WEEKNUM(A36, 2))</f>
        <v/>
      </c>
      <c r="N36">
        <f>IF(A36="","", "CM-" &amp; IFERROR(VLOOKUP(C36, Catalogos!$Z$4:$AA$20, 2, FALSE), "FOL") &amp; "-" &amp; _xludf.WEEKNUM(A36, 2) &amp; "-" &amp; TEXT(ROW(A32),"000"))</f>
        <v/>
      </c>
    </row>
    <row r="37">
      <c r="A37" s="17625" t="n">
        <v>46185</v>
      </c>
      <c r="B37" t="inlineStr">
        <is>
          <t>Salida</t>
        </is>
      </c>
      <c r="C37" t="inlineStr">
        <is>
          <t>Chamapa-Lechería</t>
        </is>
      </c>
      <c r="D37" t="inlineStr">
        <is>
          <t>Tandem Hamm</t>
        </is>
      </c>
      <c r="E37">
        <f>VLOOKUP(TablaMarimba[[#This Row],[Equipo]],Catalogos!$V$4:$W$64,2,FALSE)</f>
        <v/>
      </c>
      <c r="F37" s="3" t="n"/>
      <c r="G37" s="17626" t="n">
        <v>32</v>
      </c>
      <c r="H37" s="3">
        <f>IF(ROW()=5,F37-G37,H36+F37-G37)</f>
        <v/>
      </c>
      <c r="I37" s="4" t="n">
        <v>28.3</v>
      </c>
      <c r="J37" s="4">
        <f>IFERROR((F37+G37)*I37,0)</f>
        <v/>
      </c>
      <c r="M37">
        <f>IF(A37="","", _xludf.WEEKNUM(A37, 2))</f>
        <v/>
      </c>
      <c r="N37">
        <f>IF(A37="","", "CM-" &amp; IFERROR(VLOOKUP(C37, Catalogos!$Z$4:$AA$20, 2, FALSE), "FOL") &amp; "-" &amp; _xludf.WEEKNUM(A37, 2) &amp; "-" &amp; TEXT(ROW(A33),"000"))</f>
        <v/>
      </c>
    </row>
    <row r="38">
      <c r="A38" s="17625" t="n">
        <v>46185</v>
      </c>
      <c r="B38" t="inlineStr">
        <is>
          <t>Salida</t>
        </is>
      </c>
      <c r="C38" t="inlineStr">
        <is>
          <t>Chamapa-Lechería</t>
        </is>
      </c>
      <c r="D38" t="inlineStr">
        <is>
          <t>Neuomatico Dynapac</t>
        </is>
      </c>
      <c r="E38">
        <f>VLOOKUP(TablaMarimba[[#This Row],[Equipo]],Catalogos!$V$4:$W$64,2,FALSE)</f>
        <v/>
      </c>
      <c r="F38" s="3" t="n"/>
      <c r="G38" s="17626" t="n">
        <v>30</v>
      </c>
      <c r="H38" s="3">
        <f>IF(ROW()=5,F38-G38,H37+F38-G38)</f>
        <v/>
      </c>
      <c r="I38" s="4" t="n">
        <v>28.3</v>
      </c>
      <c r="J38" s="4">
        <f>IFERROR((F38+G38)*I38,0)</f>
        <v/>
      </c>
      <c r="M38">
        <f>IF(A38="","", _xludf.WEEKNUM(A38, 2))</f>
        <v/>
      </c>
      <c r="N38">
        <f>IF(A38="","", "CM-" &amp; IFERROR(VLOOKUP(C38, Catalogos!$Z$4:$AA$20, 2, FALSE), "FOL") &amp; "-" &amp; _xludf.WEEKNUM(A38, 2) &amp; "-" &amp; TEXT(ROW(A34),"000"))</f>
        <v/>
      </c>
    </row>
    <row r="39">
      <c r="A39" s="17625" t="n">
        <v>46185</v>
      </c>
      <c r="B39" t="inlineStr">
        <is>
          <t>Salida</t>
        </is>
      </c>
      <c r="C39" t="inlineStr">
        <is>
          <t>Chamapa-Lechería</t>
        </is>
      </c>
      <c r="D39" t="inlineStr">
        <is>
          <t>Barredora Broce</t>
        </is>
      </c>
      <c r="E39">
        <f>VLOOKUP(TablaMarimba[[#This Row],[Equipo]],Catalogos!$V$4:$W$64,2,FALSE)</f>
        <v/>
      </c>
      <c r="F39" s="3" t="n"/>
      <c r="G39" s="17626" t="n">
        <v>30</v>
      </c>
      <c r="H39" s="3">
        <f>IF(ROW()=5,F39-G39,H38+F39-G39)</f>
        <v/>
      </c>
      <c r="I39" s="4" t="n">
        <v>28.3</v>
      </c>
      <c r="J39" s="4">
        <f>IFERROR((F39+G39)*I39,0)</f>
        <v/>
      </c>
      <c r="M39">
        <f>IF(A39="","", _xludf.WEEKNUM(A39, 2))</f>
        <v/>
      </c>
      <c r="N39">
        <f>IF(A39="","", "CM-" &amp; IFERROR(VLOOKUP(C39, Catalogos!$Z$4:$AA$20, 2, FALSE), "FOL") &amp; "-" &amp; _xludf.WEEKNUM(A39, 2) &amp; "-" &amp; TEXT(ROW(A35),"000"))</f>
        <v/>
      </c>
    </row>
    <row r="40">
      <c r="A40" s="17625" t="n">
        <v>46185</v>
      </c>
      <c r="B40" t="inlineStr">
        <is>
          <t>Salida</t>
        </is>
      </c>
      <c r="C40" t="inlineStr">
        <is>
          <t>Chamapa-Lechería</t>
        </is>
      </c>
      <c r="D40" t="inlineStr">
        <is>
          <t>Retroexcavadora Jonh Deere</t>
        </is>
      </c>
      <c r="E40">
        <f>VLOOKUP(TablaMarimba[[#This Row],[Equipo]],Catalogos!$V$4:$W$64,2,FALSE)</f>
        <v/>
      </c>
      <c r="F40" s="3" t="n"/>
      <c r="G40" s="17626" t="n">
        <v>50</v>
      </c>
      <c r="H40" s="3">
        <f>IF(ROW()=5,F40-G40,H39+F40-G40)</f>
        <v/>
      </c>
      <c r="I40" s="4" t="n">
        <v>28.3</v>
      </c>
      <c r="J40" s="4">
        <f>IFERROR((F40+G40)*I40,0)</f>
        <v/>
      </c>
      <c r="M40">
        <f>IF(A40="","", _xludf.WEEKNUM(A40, 2))</f>
        <v/>
      </c>
      <c r="N40">
        <f>IF(A40="","", "CM-" &amp; IFERROR(VLOOKUP(C40, Catalogos!$Z$4:$AA$20, 2, FALSE), "FOL") &amp; "-" &amp; _xludf.WEEKNUM(A40, 2) &amp; "-" &amp; TEXT(ROW(A36),"000"))</f>
        <v/>
      </c>
    </row>
    <row r="41">
      <c r="A41" s="17625" t="n">
        <v>46185</v>
      </c>
      <c r="B41" t="inlineStr">
        <is>
          <t>Salida</t>
        </is>
      </c>
      <c r="C41" t="inlineStr">
        <is>
          <t>Chamapa-Lechería</t>
        </is>
      </c>
      <c r="D41" t="inlineStr">
        <is>
          <t>Vogele Guion</t>
        </is>
      </c>
      <c r="E41">
        <f>VLOOKUP(TablaMarimba[[#This Row],[Equipo]],Catalogos!$V$4:$W$64,2,FALSE)</f>
        <v/>
      </c>
      <c r="F41" s="3" t="n"/>
      <c r="G41" s="17626" t="n">
        <v>120</v>
      </c>
      <c r="H41" s="3">
        <f>IF(ROW()=5,F41-G41,H40+F41-G41)</f>
        <v/>
      </c>
      <c r="I41" s="4" t="n">
        <v>28.3</v>
      </c>
      <c r="J41" s="4">
        <f>IFERROR((F41+G41)*I41,0)</f>
        <v/>
      </c>
      <c r="M41">
        <f>IF(A41="","", _xludf.WEEKNUM(A41, 2))</f>
        <v/>
      </c>
      <c r="N41">
        <f>IF(A41="","", "CM-" &amp; IFERROR(VLOOKUP(C41, Catalogos!$Z$4:$AA$20, 2, FALSE), "FOL") &amp; "-" &amp; _xludf.WEEKNUM(A41, 2) &amp; "-" &amp; TEXT(ROW(A37),"000"))</f>
        <v/>
      </c>
    </row>
    <row r="42">
      <c r="A42" s="17625" t="n">
        <v>46185</v>
      </c>
      <c r="B42" t="inlineStr">
        <is>
          <t>Salida</t>
        </is>
      </c>
      <c r="C42" t="inlineStr">
        <is>
          <t>Chamapa-Lechería</t>
        </is>
      </c>
      <c r="D42" t="inlineStr">
        <is>
          <t>Petrolizadora Elton</t>
        </is>
      </c>
      <c r="E42">
        <f>VLOOKUP(TablaMarimba[[#This Row],[Equipo]],Catalogos!$V$4:$W$64,2,FALSE)</f>
        <v/>
      </c>
      <c r="F42" s="3" t="n"/>
      <c r="G42" s="17626" t="n">
        <v>40</v>
      </c>
      <c r="H42" s="3">
        <f>IF(ROW()=5,F42-G42,H41+F42-G42)</f>
        <v/>
      </c>
      <c r="I42" s="4" t="n">
        <v>28.3</v>
      </c>
      <c r="J42" s="4">
        <f>IFERROR((F42+G42)*I42,0)</f>
        <v/>
      </c>
      <c r="M42">
        <f>IF(A42="","", _xludf.WEEKNUM(A42, 2))</f>
        <v/>
      </c>
      <c r="N42">
        <f>IF(A42="","", "CM-" &amp; IFERROR(VLOOKUP(C42, Catalogos!$Z$4:$AA$20, 2, FALSE), "FOL") &amp; "-" &amp; _xludf.WEEKNUM(A42, 2) &amp; "-" &amp; TEXT(ROW(A38),"000"))</f>
        <v/>
      </c>
    </row>
    <row r="43">
      <c r="A43" s="17625" t="n">
        <v>46185</v>
      </c>
      <c r="B43" t="inlineStr">
        <is>
          <t>Salida</t>
        </is>
      </c>
      <c r="C43" t="inlineStr">
        <is>
          <t>Chamapa-Lechería</t>
        </is>
      </c>
      <c r="D43" t="inlineStr">
        <is>
          <t>Perfiladora Wirgent</t>
        </is>
      </c>
      <c r="E43">
        <f>VLOOKUP(TablaMarimba[[#This Row],[Equipo]],Catalogos!$V$4:$W$64,2,FALSE)</f>
        <v/>
      </c>
      <c r="F43" s="3" t="n"/>
      <c r="G43" s="17626" t="n">
        <v>200</v>
      </c>
      <c r="H43" s="3">
        <f>IF(ROW()=5,F43-G43,H42+F43-G43)</f>
        <v/>
      </c>
      <c r="I43" s="4" t="n">
        <v>28.3</v>
      </c>
      <c r="J43" s="4">
        <f>IFERROR((F43+G43)*I43,0)</f>
        <v/>
      </c>
      <c r="M43">
        <f>IF(A43="","", _xludf.WEEKNUM(A43, 2))</f>
        <v/>
      </c>
      <c r="N43" s="3">
        <f>IF(A43="","", "CM-" &amp; IFERROR(VLOOKUP(C43, Catalogos!$Z$4:$AA$20, 2, FALSE), "FOL") &amp; "-" &amp; _xludf.WEEKNUM(A43, 2) &amp; "-" &amp; TEXT(ROW(A39),"000"))</f>
        <v/>
      </c>
    </row>
    <row r="44">
      <c r="A44" s="17625" t="n">
        <v>46185</v>
      </c>
      <c r="B44" t="inlineStr">
        <is>
          <t>Salida</t>
        </is>
      </c>
      <c r="C44" t="inlineStr">
        <is>
          <t>México-Toluca</t>
        </is>
      </c>
      <c r="D44" t="inlineStr">
        <is>
          <t>Barredora</t>
        </is>
      </c>
      <c r="E44">
        <f>VLOOKUP(TablaMarimba[[#This Row],[Equipo]],Catalogos!$V$4:$W$64,2,FALSE)</f>
        <v/>
      </c>
      <c r="F44" s="3" t="n"/>
      <c r="G44" s="17626" t="n">
        <v>20</v>
      </c>
      <c r="H44" s="3">
        <f>IF(ROW()=5,F44-G44,H43+F44-G44)</f>
        <v/>
      </c>
      <c r="I44" s="4" t="n">
        <v>28.3</v>
      </c>
      <c r="J44" s="4">
        <f>IFERROR((F44+G44)*I44,0)</f>
        <v/>
      </c>
      <c r="M44">
        <f>IF(A44="","", _xludf.WEEKNUM(A44, 2))</f>
        <v/>
      </c>
      <c r="N44">
        <f>IF(A44="","", "CM-" &amp; IFERROR(VLOOKUP(C44, Catalogos!$Z$4:$AA$20, 2, FALSE), "FOL") &amp; "-" &amp; _xludf.WEEKNUM(A44, 2) &amp; "-" &amp; TEXT(ROW(A40),"000"))</f>
        <v/>
      </c>
    </row>
    <row r="45">
      <c r="A45" s="17625" t="n">
        <v>46185</v>
      </c>
      <c r="B45" t="inlineStr">
        <is>
          <t>Salida</t>
        </is>
      </c>
      <c r="C45" t="inlineStr">
        <is>
          <t>México-Toluca</t>
        </is>
      </c>
      <c r="D45" t="inlineStr">
        <is>
          <t>Neuomatico</t>
        </is>
      </c>
      <c r="E45">
        <f>VLOOKUP(TablaMarimba[[#This Row],[Equipo]],Catalogos!$V$4:$W$64,2,FALSE)</f>
        <v/>
      </c>
      <c r="F45" s="3" t="n"/>
      <c r="G45" s="17626" t="n">
        <v>30</v>
      </c>
      <c r="H45" s="3">
        <f>IF(ROW()=5,F45-G45,H44+F45-G45)</f>
        <v/>
      </c>
      <c r="I45" s="4" t="n">
        <v>28.3</v>
      </c>
      <c r="J45" s="4">
        <f>IFERROR((F45+G45)*I45,0)</f>
        <v/>
      </c>
      <c r="M45">
        <f>IF(A45="","", _xludf.WEEKNUM(A45, 2))</f>
        <v/>
      </c>
      <c r="N45">
        <f>IF(A45="","", "CM-" &amp; IFERROR(VLOOKUP(C45, Catalogos!$Z$4:$AA$20, 2, FALSE), "FOL") &amp; "-" &amp; _xludf.WEEKNUM(A45, 2) &amp; "-" &amp; TEXT(ROW(A41),"000"))</f>
        <v/>
      </c>
    </row>
    <row r="46">
      <c r="A46" s="17625" t="n">
        <v>46185</v>
      </c>
      <c r="B46" t="inlineStr">
        <is>
          <t>Salida</t>
        </is>
      </c>
      <c r="C46" t="inlineStr">
        <is>
          <t>México-Toluca</t>
        </is>
      </c>
      <c r="D46" t="inlineStr">
        <is>
          <t>Maxilihgs</t>
        </is>
      </c>
      <c r="E46">
        <f>VLOOKUP(TablaMarimba[[#This Row],[Equipo]],Catalogos!$V$4:$W$64,2,FALSE)</f>
        <v/>
      </c>
      <c r="F46" s="3" t="n"/>
      <c r="G46" s="17626" t="n">
        <v>20</v>
      </c>
      <c r="H46" s="3">
        <f>IF(ROW()=5,F46-G46,H45+F46-G46)</f>
        <v/>
      </c>
      <c r="I46" s="4" t="n">
        <v>28.3</v>
      </c>
      <c r="J46" s="4">
        <f>IFERROR((F46+G46)*I46,0)</f>
        <v/>
      </c>
      <c r="M46">
        <f>IF(A46="","", _xludf.WEEKNUM(A46, 2))</f>
        <v/>
      </c>
      <c r="N46">
        <f>IF(A46="","", "CM-" &amp; IFERROR(VLOOKUP(C46, Catalogos!$Z$4:$AA$20, 2, FALSE), "FOL") &amp; "-" &amp; _xludf.WEEKNUM(A46, 2) &amp; "-" &amp; TEXT(ROW(A42),"000"))</f>
        <v/>
      </c>
    </row>
    <row r="47">
      <c r="A47" s="17625" t="n">
        <v>46185</v>
      </c>
      <c r="B47" t="inlineStr">
        <is>
          <t>Salida</t>
        </is>
      </c>
      <c r="C47" t="inlineStr">
        <is>
          <t>México-Toluca</t>
        </is>
      </c>
      <c r="D47" t="inlineStr">
        <is>
          <t>Compactador</t>
        </is>
      </c>
      <c r="E47">
        <f>VLOOKUP(TablaMarimba[[#This Row],[Equipo]],Catalogos!$V$4:$W$64,2,FALSE)</f>
        <v/>
      </c>
      <c r="F47" s="3" t="n"/>
      <c r="G47" s="17626" t="n">
        <v>40</v>
      </c>
      <c r="H47" s="3">
        <f>IF(ROW()=5,F47-G47,H46+F47-G47)</f>
        <v/>
      </c>
      <c r="I47" s="4" t="n">
        <v>28.3</v>
      </c>
      <c r="J47" s="4">
        <f>IFERROR((F47+G47)*I47,0)</f>
        <v/>
      </c>
      <c r="M47">
        <f>IF(A47="","", _xludf.WEEKNUM(A47, 2))</f>
        <v/>
      </c>
      <c r="N47">
        <f>IF(A47="","", "CM-" &amp; IFERROR(VLOOKUP(C47, Catalogos!$Z$4:$AA$20, 2, FALSE), "FOL") &amp; "-" &amp; _xludf.WEEKNUM(A47, 2) &amp; "-" &amp; TEXT(ROW(A43),"000"))</f>
        <v/>
      </c>
    </row>
    <row r="48">
      <c r="A48" s="17625" t="n">
        <v>46185</v>
      </c>
      <c r="B48" t="inlineStr">
        <is>
          <t>Salida</t>
        </is>
      </c>
      <c r="C48" t="inlineStr">
        <is>
          <t>México-Toluca</t>
        </is>
      </c>
      <c r="D48" t="inlineStr">
        <is>
          <t>Perfiladora</t>
        </is>
      </c>
      <c r="E48">
        <f>VLOOKUP(TablaMarimba[[#This Row],[Equipo]],Catalogos!$V$4:$W$64,2,FALSE)</f>
        <v/>
      </c>
      <c r="F48" s="3" t="n"/>
      <c r="G48" s="17626" t="n">
        <v>250</v>
      </c>
      <c r="H48" s="3" t="n">
        <v>0</v>
      </c>
      <c r="I48" s="4" t="n">
        <v>28.3</v>
      </c>
      <c r="J48" s="4">
        <f>IFERROR((F48+G48)*I48,0)</f>
        <v/>
      </c>
      <c r="M48">
        <f>IF(A48="","", _xludf.WEEKNUM(A48, 2))</f>
        <v/>
      </c>
      <c r="N48">
        <f>IF(A48="","", "CM-" &amp; IFERROR(VLOOKUP(C48, Catalogos!$Z$4:$AA$20, 2, FALSE), "FOL") &amp; "-" &amp; _xludf.WEEKNUM(A48, 2) &amp; "-" &amp; TEXT(ROW(A44),"000"))</f>
        <v/>
      </c>
    </row>
    <row r="49">
      <c r="A49" s="17625" t="n">
        <v>46188</v>
      </c>
      <c r="B49" t="inlineStr">
        <is>
          <t>Entrada</t>
        </is>
      </c>
      <c r="C49" t="inlineStr">
        <is>
          <t>No aplica</t>
        </is>
      </c>
      <c r="D49" t="inlineStr">
        <is>
          <t>MARIMBA</t>
        </is>
      </c>
      <c r="E49">
        <f>VLOOKUP(TablaMarimba[[#This Row],[Equipo]],Catalogos!$V$4:$W$64,2,FALSE)</f>
        <v/>
      </c>
      <c r="F49" s="3" t="n">
        <v>500</v>
      </c>
      <c r="G49" s="17626" t="n"/>
      <c r="H49" s="3">
        <f>IF(ROW()=5,F49-G49,H48+F49-G49)</f>
        <v/>
      </c>
      <c r="I49" s="4" t="n"/>
      <c r="J49" s="4" t="n"/>
      <c r="M49">
        <f>IF(A49="","", _xludf.WEEKNUM(A49, 2))</f>
        <v/>
      </c>
      <c r="N49">
        <f>IF(A49="","", "CM-" &amp; IFERROR(VLOOKUP(C49, Catalogos!$Z$4:$AA$20, 2, FALSE), "FOL") &amp; "-" &amp; _xludf.WEEKNUM(A49, 2) &amp; "-" &amp; TEXT(ROW(A45),"000"))</f>
        <v/>
      </c>
    </row>
    <row r="50">
      <c r="A50" s="17625" t="n">
        <v>46188</v>
      </c>
      <c r="B50" t="inlineStr">
        <is>
          <t>Salida</t>
        </is>
      </c>
      <c r="C50" t="inlineStr">
        <is>
          <t>México-Toluca</t>
        </is>
      </c>
      <c r="D50" t="inlineStr">
        <is>
          <t>PERFILADORA WIRGENT-W200i</t>
        </is>
      </c>
      <c r="E50">
        <f>VLOOKUP(TablaMarimba[[#This Row],[Equipo]],Catalogos!$V$4:$W$64,2,FALSE)</f>
        <v/>
      </c>
      <c r="F50" s="3" t="n"/>
      <c r="G50" s="17626" t="n">
        <v>200</v>
      </c>
      <c r="H50" s="3">
        <f>IF(ROW()=5,F50-G50,H49+F50-G50)</f>
        <v/>
      </c>
      <c r="I50" s="4" t="n">
        <v>28.3</v>
      </c>
      <c r="J50" s="4">
        <f>IFERROR((F50+G50)*I50,0)</f>
        <v/>
      </c>
      <c r="M50">
        <f>IF(A50="","", _xludf.WEEKNUM(A50, 2))</f>
        <v/>
      </c>
      <c r="N50">
        <f>IF(A50="","", "CM-" &amp; IFERROR(VLOOKUP(C50, Catalogos!$Z$4:$AA$20, 2, FALSE), "FOL") &amp; "-" &amp; _xludf.WEEKNUM(A50, 2) &amp; "-" &amp; TEXT(ROW(A46),"000"))</f>
        <v/>
      </c>
    </row>
    <row r="51">
      <c r="A51" s="17625" t="n">
        <v>46188</v>
      </c>
      <c r="B51" t="inlineStr">
        <is>
          <t>Salida</t>
        </is>
      </c>
      <c r="C51" t="inlineStr">
        <is>
          <t>México-Toluca</t>
        </is>
      </c>
      <c r="D51" t="inlineStr">
        <is>
          <t>RETROEXCAVADORA JHONDEREE 310SK</t>
        </is>
      </c>
      <c r="E51">
        <f>VLOOKUP(TablaMarimba[[#This Row],[Equipo]],Catalogos!$V$4:$W$64,2,FALSE)</f>
        <v/>
      </c>
      <c r="F51" s="3" t="n"/>
      <c r="G51" s="17626" t="n">
        <v>40</v>
      </c>
      <c r="H51" s="3">
        <f>IF(ROW()=5,F51-G51,H50+F51-G51)</f>
        <v/>
      </c>
      <c r="I51" s="4" t="n">
        <v>28.3</v>
      </c>
      <c r="J51" s="4">
        <f>IFERROR((F51+G51)*I51,0)</f>
        <v/>
      </c>
      <c r="M51">
        <f>IF(A51="","", _xludf.WEEKNUM(A51, 2))</f>
        <v/>
      </c>
      <c r="N51">
        <f>IF(A51="","", "CM-" &amp; IFERROR(VLOOKUP(C51, Catalogos!$Z$4:$AA$20, 2, FALSE), "FOL") &amp; "-" &amp; _xludf.WEEKNUM(A51, 2) &amp; "-" &amp; TEXT(ROW(A47),"000"))</f>
        <v/>
      </c>
    </row>
    <row r="52">
      <c r="A52" s="17625" t="n">
        <v>46188</v>
      </c>
      <c r="B52" t="inlineStr">
        <is>
          <t>Salida</t>
        </is>
      </c>
      <c r="C52" t="inlineStr">
        <is>
          <t>México-Toluca</t>
        </is>
      </c>
      <c r="D52" t="inlineStr">
        <is>
          <t>TANDEM DOBLE RODILLO / VIBROCOMPACTOR RODILLO CAT CB54</t>
        </is>
      </c>
      <c r="E52">
        <f>VLOOKUP(TablaMarimba[[#This Row],[Equipo]],Catalogos!$V$4:$W$64,2,FALSE)</f>
        <v/>
      </c>
      <c r="F52" s="3" t="n"/>
      <c r="G52" s="17626" t="n">
        <v>30</v>
      </c>
      <c r="H52" s="3">
        <f>IF(ROW()=5,F52-G52,H51+F52-G52)</f>
        <v/>
      </c>
      <c r="I52" s="4" t="n">
        <v>28.3</v>
      </c>
      <c r="J52" s="4">
        <f>IFERROR((F52+G52)*I52,0)</f>
        <v/>
      </c>
      <c r="M52">
        <f>IF(A52="","", _xludf.WEEKNUM(A52, 2))</f>
        <v/>
      </c>
      <c r="N52">
        <f>IF(A52="","", "CM-" &amp; IFERROR(VLOOKUP(C52, Catalogos!$Z$4:$AA$20, 2, FALSE), "FOL") &amp; "-" &amp; _xludf.WEEKNUM(A52, 2) &amp; "-" &amp; TEXT(ROW(A48),"000"))</f>
        <v/>
      </c>
    </row>
    <row r="53">
      <c r="A53" s="17625" t="n">
        <v>46188</v>
      </c>
      <c r="B53" t="inlineStr">
        <is>
          <t>Salida</t>
        </is>
      </c>
      <c r="C53" t="inlineStr">
        <is>
          <t>México-Toluca</t>
        </is>
      </c>
      <c r="D53" t="inlineStr">
        <is>
          <t>NEUMATICO VOLVO PT-240R</t>
        </is>
      </c>
      <c r="E53">
        <f>VLOOKUP(TablaMarimba[[#This Row],[Equipo]],Catalogos!$V$4:$W$64,2,FALSE)</f>
        <v/>
      </c>
      <c r="F53" s="3" t="n"/>
      <c r="G53" s="17626" t="n">
        <v>50</v>
      </c>
      <c r="H53" s="3">
        <f>IF(ROW()=5,F53-G53,H52+F53-G53)</f>
        <v/>
      </c>
      <c r="I53" s="4" t="n">
        <v>28.3</v>
      </c>
      <c r="J53" s="4">
        <f>IFERROR((F53+G53)*I53,0)</f>
        <v/>
      </c>
      <c r="M53">
        <f>IF(A53="","", _xludf.WEEKNUM(A53, 2))</f>
        <v/>
      </c>
      <c r="N53">
        <f>IF(A53="","", "CM-" &amp; IFERROR(VLOOKUP(C53, Catalogos!$Z$4:$AA$20, 2, FALSE), "FOL") &amp; "-" &amp; _xludf.WEEKNUM(A53, 2) &amp; "-" &amp; TEXT(ROW(A49),"000"))</f>
        <v/>
      </c>
    </row>
    <row r="54">
      <c r="A54" s="3807" t="n">
        <v>46188</v>
      </c>
      <c r="B54" s="3808" t="inlineStr">
        <is>
          <t>Salida</t>
        </is>
      </c>
      <c r="C54" s="3808" t="inlineStr">
        <is>
          <t>México-Toluca</t>
        </is>
      </c>
      <c r="D54" s="3808" t="inlineStr">
        <is>
          <t>PAVIMENTADORA  VOGELE SJ 1800-3</t>
        </is>
      </c>
      <c r="E54" s="3808">
        <f>VLOOKUP(TablaMarimba[[#This Row],[Equipo]],Catalogos!$V$4:$W$64,2,FALSE)</f>
        <v/>
      </c>
      <c r="F54" s="3809" t="n"/>
      <c r="G54" s="3810" t="n">
        <v>99</v>
      </c>
      <c r="H54" s="3809">
        <f>IF(ROW()=5,F54-G54,H53+F54-G54)</f>
        <v/>
      </c>
      <c r="I54" s="3811" t="n">
        <v>28.3</v>
      </c>
      <c r="J54" s="3811">
        <f>IFERROR((F54+G54)*I54,0)</f>
        <v/>
      </c>
      <c r="K54" s="3808" t="n"/>
      <c r="L54" s="3808" t="n"/>
      <c r="M54">
        <f>IF(A54="","", _xludf.WEEKNUM(A54, 2))</f>
        <v/>
      </c>
      <c r="N54">
        <f>IF(A54="","", "CM-" &amp; IFERROR(VLOOKUP(C54, Catalogos!$Z$4:$AA$20, 2, FALSE), "FOL") &amp; "-" &amp; _xludf.WEEKNUM(A54, 2) &amp; "-" &amp; TEXT(ROW(A50),"000"))</f>
        <v/>
      </c>
    </row>
    <row r="55">
      <c r="A55" s="17625" t="n">
        <v>46188</v>
      </c>
      <c r="B55" t="inlineStr">
        <is>
          <t>Salida</t>
        </is>
      </c>
      <c r="C55" t="inlineStr">
        <is>
          <t>México-Toluca</t>
        </is>
      </c>
      <c r="D55" t="inlineStr">
        <is>
          <t>PETROLIZADORA    INTERNATIONAL</t>
        </is>
      </c>
      <c r="E55">
        <f>VLOOKUP(TablaMarimba[[#This Row],[Equipo]],Catalogos!$V$4:$W$64,2,FALSE)</f>
        <v/>
      </c>
      <c r="F55" s="3" t="n"/>
      <c r="G55" s="17626" t="n">
        <v>50</v>
      </c>
      <c r="H55" s="3">
        <f>IF(ROW()=5,F55-G55,H54+F55-G55)</f>
        <v/>
      </c>
      <c r="I55" s="4" t="n">
        <v>28.3</v>
      </c>
      <c r="J55" s="4">
        <f>IFERROR((F55+G55)*I55,0)</f>
        <v/>
      </c>
      <c r="M55">
        <f>IF(A55="","", _xludf.WEEKNUM(A55, 2))</f>
        <v/>
      </c>
      <c r="N55">
        <f>IF(A55="","", "CM-" &amp; IFERROR(VLOOKUP(C55, Catalogos!$Z$4:$AA$20, 2, FALSE), "FOL") &amp; "-" &amp; _xludf.WEEKNUM(A55, 2) &amp; "-" &amp; TEXT(ROW(A51),"000"))</f>
        <v/>
      </c>
    </row>
    <row r="56">
      <c r="A56" s="17625" t="n">
        <v>46189</v>
      </c>
      <c r="B56" t="inlineStr">
        <is>
          <t>Entrada</t>
        </is>
      </c>
      <c r="C56" t="inlineStr">
        <is>
          <t>No aplica</t>
        </is>
      </c>
      <c r="D56" t="inlineStr">
        <is>
          <t>MARIMBA</t>
        </is>
      </c>
      <c r="E56">
        <f>VLOOKUP(TablaMarimba[[#This Row],[Equipo]],Catalogos!$V$4:$W$64,2,FALSE)</f>
        <v/>
      </c>
      <c r="F56" s="3">
        <f>TablaMarimba[[#This Row],[Existencia Teórica]]-H55</f>
        <v/>
      </c>
      <c r="G56" s="17626" t="n"/>
      <c r="H56" s="3" t="n">
        <v>500</v>
      </c>
      <c r="I56" s="4" t="n"/>
      <c r="J56" s="4" t="n"/>
      <c r="M56">
        <f>IF(A56="","", _xludf.WEEKNUM(A56, 2))</f>
        <v/>
      </c>
      <c r="N56">
        <f>IF(A56="","", "CM-" &amp; IFERROR(VLOOKUP(C56, Catalogos!$Z$4:$AA$20, 2, FALSE), "FOL") &amp; "-" &amp; _xludf.WEEKNUM(A56, 2) &amp; "-" &amp; TEXT(ROW(A52),"000"))</f>
        <v/>
      </c>
    </row>
    <row r="57">
      <c r="A57" s="17625" t="n">
        <v>46189</v>
      </c>
      <c r="B57" t="inlineStr">
        <is>
          <t>Salida</t>
        </is>
      </c>
      <c r="C57" t="inlineStr">
        <is>
          <t>México-Toluca</t>
        </is>
      </c>
      <c r="D57" t="inlineStr">
        <is>
          <t>PERFILADORA WIRGENT-W200i</t>
        </is>
      </c>
      <c r="E57">
        <f>VLOOKUP(TablaMarimba[[#This Row],[Equipo]],Catalogos!$V$4:$W$64,2,FALSE)</f>
        <v/>
      </c>
      <c r="F57" s="3" t="n"/>
      <c r="G57" s="17626" t="n">
        <v>200</v>
      </c>
      <c r="H57" s="3">
        <f>IF(ROW()=5,F57-G57,H56+F57-G57)</f>
        <v/>
      </c>
      <c r="I57" s="4" t="n">
        <v>28.3</v>
      </c>
      <c r="J57" s="4">
        <f>IFERROR((F57+G57)*I57,0)</f>
        <v/>
      </c>
      <c r="M57">
        <f>IF(A57="","", _xludf.WEEKNUM(A57, 2))</f>
        <v/>
      </c>
      <c r="N57">
        <f>IF(A57="","", "CM-" &amp; IFERROR(VLOOKUP(C57, Catalogos!$Z$4:$AA$20, 2, FALSE), "FOL") &amp; "-" &amp; _xludf.WEEKNUM(A57, 2) &amp; "-" &amp; TEXT(ROW(A53),"000"))</f>
        <v/>
      </c>
    </row>
    <row r="58">
      <c r="A58" s="17625" t="n">
        <v>46189</v>
      </c>
      <c r="B58" t="inlineStr">
        <is>
          <t>Salida</t>
        </is>
      </c>
      <c r="C58" t="inlineStr">
        <is>
          <t>México-Toluca</t>
        </is>
      </c>
      <c r="D58" t="inlineStr">
        <is>
          <t>TANDEM DOBLE RODILLO / VIBROCOMPACTOR RODILLO CAT CB54</t>
        </is>
      </c>
      <c r="E58">
        <f>VLOOKUP(TablaMarimba[[#This Row],[Equipo]],Catalogos!$V$4:$W$64,2,FALSE)</f>
        <v/>
      </c>
      <c r="F58" s="3" t="n"/>
      <c r="G58" s="17626" t="n">
        <v>32</v>
      </c>
      <c r="H58" s="3">
        <f>IF(ROW()=5,F58-G58,H57+F58-G58)</f>
        <v/>
      </c>
      <c r="I58" s="4" t="n">
        <v>28.3</v>
      </c>
      <c r="J58" s="4">
        <f>IFERROR((F58+G58)*I58,0)</f>
        <v/>
      </c>
      <c r="M58">
        <f>IF(A58="","", _xludf.WEEKNUM(A58, 2))</f>
        <v/>
      </c>
      <c r="N58">
        <f>IF(A58="","", "CM-" &amp; IFERROR(VLOOKUP(C58, Catalogos!$Z$4:$AA$20, 2, FALSE), "FOL") &amp; "-" &amp; _xludf.WEEKNUM(A58, 2) &amp; "-" &amp; TEXT(ROW(A54),"000"))</f>
        <v/>
      </c>
    </row>
    <row r="59">
      <c r="A59" s="17625" t="n">
        <v>46189</v>
      </c>
      <c r="B59" t="inlineStr">
        <is>
          <t>Salida</t>
        </is>
      </c>
      <c r="C59" t="inlineStr">
        <is>
          <t>México-Toluca</t>
        </is>
      </c>
      <c r="D59" t="inlineStr">
        <is>
          <t>NEUMATICO VOLVO PT-240R</t>
        </is>
      </c>
      <c r="E59">
        <f>VLOOKUP(TablaMarimba[[#This Row],[Equipo]],Catalogos!$V$4:$W$64,2,FALSE)</f>
        <v/>
      </c>
      <c r="F59" s="3" t="n"/>
      <c r="G59" s="17626" t="n">
        <v>30</v>
      </c>
      <c r="H59" s="3">
        <f>IF(ROW()=5,F59-G59,H58+F59-G59)</f>
        <v/>
      </c>
      <c r="I59" s="4" t="n">
        <v>28.3</v>
      </c>
      <c r="J59" s="4">
        <f>IFERROR((F59+G59)*I59,0)</f>
        <v/>
      </c>
      <c r="M59">
        <f>IF(A59="","", _xludf.WEEKNUM(A59, 2))</f>
        <v/>
      </c>
      <c r="N59">
        <f>IF(A59="","", "CM-" &amp; IFERROR(VLOOKUP(C59, Catalogos!$Z$4:$AA$20, 2, FALSE), "FOL") &amp; "-" &amp; _xludf.WEEKNUM(A59, 2) &amp; "-" &amp; TEXT(ROW(A55),"000"))</f>
        <v/>
      </c>
    </row>
    <row r="60">
      <c r="A60" s="17625" t="n">
        <v>46189</v>
      </c>
      <c r="B60" t="inlineStr">
        <is>
          <t>Salida</t>
        </is>
      </c>
      <c r="C60" t="inlineStr">
        <is>
          <t>México-Toluca</t>
        </is>
      </c>
      <c r="D60" t="inlineStr">
        <is>
          <t>BARREDORA BROCE RJ350</t>
        </is>
      </c>
      <c r="E60">
        <f>VLOOKUP(TablaMarimba[[#This Row],[Equipo]],Catalogos!$V$4:$W$64,2,FALSE)</f>
        <v/>
      </c>
      <c r="F60" s="3" t="n"/>
      <c r="G60" s="17626" t="n">
        <v>30</v>
      </c>
      <c r="H60" s="3">
        <f>IF(ROW()=5,F60-G60,H59+F60-G60)</f>
        <v/>
      </c>
      <c r="I60" s="4" t="n">
        <v>28.3</v>
      </c>
      <c r="J60" s="4">
        <f>IFERROR((F60+G60)*I60,0)</f>
        <v/>
      </c>
      <c r="M60">
        <f>IF(A60="","", _xludf.WEEKNUM(A60, 2))</f>
        <v/>
      </c>
      <c r="N60">
        <f>IF(A60="","", "CM-" &amp; IFERROR(VLOOKUP(C60, Catalogos!$Z$4:$AA$20, 2, FALSE), "FOL") &amp; "-" &amp; _xludf.WEEKNUM(A60, 2) &amp; "-" &amp; TEXT(ROW(A56),"000"))</f>
        <v/>
      </c>
    </row>
    <row r="61" customFormat="1" s="3808">
      <c r="A61" s="3807" t="n">
        <v>46189</v>
      </c>
      <c r="B61" s="3808" t="inlineStr">
        <is>
          <t>Salida</t>
        </is>
      </c>
      <c r="C61" s="3808" t="inlineStr">
        <is>
          <t>México-Toluca</t>
        </is>
      </c>
      <c r="D61" s="3808" t="inlineStr">
        <is>
          <t>PAVIMENTADORA  VOGELE SJ 1800-3</t>
        </is>
      </c>
      <c r="E61" s="3808">
        <f>VLOOKUP(TablaMarimba[[#This Row],[Equipo]],Catalogos!$V$4:$W$64,2,FALSE)</f>
        <v/>
      </c>
      <c r="F61" s="3809" t="n"/>
      <c r="G61" s="3810" t="n">
        <v>107</v>
      </c>
      <c r="H61" s="3809">
        <f>IF(ROW()=5,F61-G61,H60+F61-G61)</f>
        <v/>
      </c>
      <c r="I61" s="3811" t="n">
        <v>28.3</v>
      </c>
      <c r="J61" s="3811">
        <f>IFERROR((F61+G61)*I61,0)</f>
        <v/>
      </c>
      <c r="M61" s="3808">
        <f>IF(A61="","", _xludf.WEEKNUM(A61, 2))</f>
        <v/>
      </c>
      <c r="N61" s="3808">
        <f>IF(A61="","", "CM-" &amp; IFERROR(VLOOKUP(C61, Catalogos!$Z$4:$AA$20, 2, FALSE), "FOL") &amp; "-" &amp; _xludf.WEEKNUM(A61, 2) &amp; "-" &amp; TEXT(ROW(A57),"000"))</f>
        <v/>
      </c>
    </row>
    <row r="62">
      <c r="A62" s="17625" t="n">
        <v>46189</v>
      </c>
      <c r="B62" t="inlineStr">
        <is>
          <t>Salida</t>
        </is>
      </c>
      <c r="C62" t="inlineStr">
        <is>
          <t>México-Toluca</t>
        </is>
      </c>
      <c r="D62" t="inlineStr">
        <is>
          <t>RETROEXCAVADORA JHONDEREE 310SK</t>
        </is>
      </c>
      <c r="E62">
        <f>VLOOKUP(TablaMarimba[[#This Row],[Equipo]],Catalogos!$V$4:$W$64,2,FALSE)</f>
        <v/>
      </c>
      <c r="F62" s="3" t="n"/>
      <c r="G62" s="17626" t="n">
        <v>40</v>
      </c>
      <c r="H62" s="3">
        <f>IF(ROW()=5,F62-G62,H61+F62-G62)</f>
        <v/>
      </c>
      <c r="I62" s="4" t="n">
        <v>28.3</v>
      </c>
      <c r="J62" s="4">
        <f>IFERROR((F62+G62)*I62,0)</f>
        <v/>
      </c>
      <c r="M62">
        <f>IF(A62="","", _xludf.WEEKNUM(A62, 2))</f>
        <v/>
      </c>
      <c r="N62">
        <f>IF(A62="","", "CM-" &amp; IFERROR(VLOOKUP(C62, Catalogos!$Z$4:$AA$20, 2, FALSE), "FOL") &amp; "-" &amp; _xludf.WEEKNUM(A62, 2) &amp; "-" &amp; TEXT(ROW(A58),"000"))</f>
        <v/>
      </c>
    </row>
    <row r="63">
      <c r="A63" s="17625" t="n">
        <v>46189</v>
      </c>
      <c r="B63" t="inlineStr">
        <is>
          <t>Salida</t>
        </is>
      </c>
      <c r="C63" t="inlineStr">
        <is>
          <t>México-Toluca</t>
        </is>
      </c>
      <c r="D63" t="inlineStr">
        <is>
          <t>PETROLIZADORA    INTERNATIONAL</t>
        </is>
      </c>
      <c r="E63">
        <f>VLOOKUP(TablaMarimba[[#This Row],[Equipo]],Catalogos!$V$4:$W$64,2,FALSE)</f>
        <v/>
      </c>
      <c r="F63" s="3" t="n"/>
      <c r="G63" s="17626" t="n">
        <v>50</v>
      </c>
      <c r="H63" s="3">
        <f>IF(ROW()=5,F63-G63,H62+F63-G63)</f>
        <v/>
      </c>
      <c r="I63" s="4" t="n">
        <v>28.3</v>
      </c>
      <c r="J63" s="4">
        <f>IFERROR((F63+G63)*I63,0)</f>
        <v/>
      </c>
      <c r="M63">
        <f>IF(A63="","", _xludf.WEEKNUM(A63, 2))</f>
        <v/>
      </c>
      <c r="N63">
        <f>IF(A63="","", "CM-" &amp; IFERROR(VLOOKUP(C63, Catalogos!$Z$4:$AA$20, 2, FALSE), "FOL") &amp; "-" &amp; _xludf.WEEKNUM(A63, 2) &amp; "-" &amp; TEXT(ROW(A59),"000"))</f>
        <v/>
      </c>
    </row>
    <row r="64">
      <c r="A64" s="17625" t="n">
        <v>46190</v>
      </c>
      <c r="B64" t="inlineStr">
        <is>
          <t>Entrada</t>
        </is>
      </c>
      <c r="C64" t="inlineStr">
        <is>
          <t>No aplica</t>
        </is>
      </c>
      <c r="D64" t="inlineStr">
        <is>
          <t>MARIMBA</t>
        </is>
      </c>
      <c r="E64">
        <f>VLOOKUP(TablaMarimba[[#This Row],[Equipo]],Catalogos!$V$4:$W$64,2,FALSE)</f>
        <v/>
      </c>
      <c r="F64" s="3">
        <f>TablaMarimba[[#This Row],[Existencia Teórica]]-H63</f>
        <v/>
      </c>
      <c r="G64" s="17626" t="n"/>
      <c r="H64" s="3" t="n">
        <v>520</v>
      </c>
      <c r="I64" s="4" t="n"/>
      <c r="J64" s="4" t="n"/>
      <c r="M64">
        <f>IF(A64="","", _xludf.WEEKNUM(A64, 2))</f>
        <v/>
      </c>
      <c r="N64">
        <f>IF(A64="","", "CM-" &amp; IFERROR(VLOOKUP(C64, Catalogos!$Z$4:$AA$20, 2, FALSE), "FOL") &amp; "-" &amp; _xludf.WEEKNUM(A64, 2) &amp; "-" &amp; TEXT(ROW(A60),"000"))</f>
        <v/>
      </c>
    </row>
    <row r="65">
      <c r="A65" s="17625" t="n">
        <v>46190</v>
      </c>
      <c r="B65" t="inlineStr">
        <is>
          <t>Salida</t>
        </is>
      </c>
      <c r="C65" t="inlineStr">
        <is>
          <t>México-Toluca</t>
        </is>
      </c>
      <c r="D65" t="inlineStr">
        <is>
          <t>PERFILADORA WIRGENT-W200i</t>
        </is>
      </c>
      <c r="E65">
        <f>VLOOKUP(TablaMarimba[[#This Row],[Equipo]],Catalogos!$V$4:$W$64,2,FALSE)</f>
        <v/>
      </c>
      <c r="F65" s="3" t="n"/>
      <c r="G65" s="17626" t="n">
        <v>200</v>
      </c>
      <c r="H65" s="3">
        <f>IF(ROW()=5,F65-G65,H64+F65-G65)</f>
        <v/>
      </c>
      <c r="I65" s="4" t="n">
        <v>28.3</v>
      </c>
      <c r="J65" s="4">
        <f>IFERROR((F65+G65)*I65,0)</f>
        <v/>
      </c>
      <c r="M65">
        <f>IF(A65="","", _xludf.WEEKNUM(A65, 2))</f>
        <v/>
      </c>
      <c r="N65">
        <f>IF(A65="","", "CM-" &amp; IFERROR(VLOOKUP(C65, Catalogos!$Z$4:$AA$20, 2, FALSE), "FOL") &amp; "-" &amp; _xludf.WEEKNUM(A65, 2) &amp; "-" &amp; TEXT(ROW(A61),"000"))</f>
        <v/>
      </c>
    </row>
    <row r="66">
      <c r="A66" s="3807" t="n">
        <v>46190</v>
      </c>
      <c r="B66" s="3808" t="inlineStr">
        <is>
          <t>Salida</t>
        </is>
      </c>
      <c r="C66" s="3808" t="inlineStr">
        <is>
          <t>México-Toluca</t>
        </is>
      </c>
      <c r="D66" s="3808" t="inlineStr">
        <is>
          <t>PAVIMENTADORA  VOGELE SJ 1800-3</t>
        </is>
      </c>
      <c r="E66" s="3808">
        <f>VLOOKUP(TablaMarimba[[#This Row],[Equipo]],Catalogos!$V$4:$W$64,2,FALSE)</f>
        <v/>
      </c>
      <c r="F66" s="3809" t="n"/>
      <c r="G66" s="3810" t="n">
        <v>120</v>
      </c>
      <c r="H66" s="3809">
        <f>IF(ROW()=5,F66-G66,H65+F66-G66)</f>
        <v/>
      </c>
      <c r="I66" s="3811" t="n">
        <v>28.3</v>
      </c>
      <c r="J66" s="3811">
        <f>IFERROR((F66+G66)*I66,0)</f>
        <v/>
      </c>
      <c r="K66" s="3808" t="n"/>
      <c r="L66" s="3808" t="n"/>
      <c r="M66" s="3808">
        <f>IF(A66="","", _xludf.WEEKNUM(A66, 2))</f>
        <v/>
      </c>
      <c r="N66" s="3808">
        <f>IF(A66="","", "CM-" &amp; IFERROR(VLOOKUP(C66, Catalogos!$Z$4:$AA$20, 2, FALSE), "FOL") &amp; "-" &amp; _xludf.WEEKNUM(A66, 2) &amp; "-" &amp; TEXT(ROW(A62),"000"))</f>
        <v/>
      </c>
    </row>
    <row r="67">
      <c r="A67" s="17625" t="n">
        <v>46190</v>
      </c>
      <c r="B67" t="inlineStr">
        <is>
          <t>Salida</t>
        </is>
      </c>
      <c r="C67" t="inlineStr">
        <is>
          <t>México-Toluca</t>
        </is>
      </c>
      <c r="D67" t="inlineStr">
        <is>
          <t>TANDEM DOBLE RODILLO / VIBROCOMPACTOR RODILLO CAT CB54</t>
        </is>
      </c>
      <c r="E67">
        <f>VLOOKUP(TablaMarimba[[#This Row],[Equipo]],Catalogos!$V$4:$W$64,2,FALSE)</f>
        <v/>
      </c>
      <c r="F67" s="3" t="n"/>
      <c r="G67" s="17626" t="n">
        <v>32</v>
      </c>
      <c r="H67" s="3">
        <f>IF(ROW()=5,F67-G67,H66+F67-G67)</f>
        <v/>
      </c>
      <c r="I67" s="4" t="n">
        <v>28.3</v>
      </c>
      <c r="J67" s="4">
        <f>IFERROR((F67+G67)*I67,0)</f>
        <v/>
      </c>
      <c r="M67">
        <f>IF(A67="","", _xludf.WEEKNUM(A67, 2))</f>
        <v/>
      </c>
      <c r="N67">
        <f>IF(A67="","", "CM-" &amp; IFERROR(VLOOKUP(C67, Catalogos!$Z$4:$AA$20, 2, FALSE), "FOL") &amp; "-" &amp; _xludf.WEEKNUM(A67, 2) &amp; "-" &amp; TEXT(ROW(A63),"000"))</f>
        <v/>
      </c>
    </row>
    <row r="68">
      <c r="A68" s="17625" t="n">
        <v>46190</v>
      </c>
      <c r="B68" t="inlineStr">
        <is>
          <t>Salida</t>
        </is>
      </c>
      <c r="C68" t="inlineStr">
        <is>
          <t>México-Toluca</t>
        </is>
      </c>
      <c r="D68" t="inlineStr">
        <is>
          <t>NEUMATICO VOLVO PT-240R</t>
        </is>
      </c>
      <c r="E68">
        <f>VLOOKUP(TablaMarimba[[#This Row],[Equipo]],Catalogos!$V$4:$W$64,2,FALSE)</f>
        <v/>
      </c>
      <c r="F68" s="3" t="n"/>
      <c r="G68" s="17626" t="n">
        <v>30</v>
      </c>
      <c r="H68" s="3">
        <f>IF(ROW()=5,F68-G68,H67+F68-G68)</f>
        <v/>
      </c>
      <c r="I68" s="4" t="n">
        <v>28.3</v>
      </c>
      <c r="J68" s="4">
        <f>IFERROR((F68+G68)*I68,0)</f>
        <v/>
      </c>
      <c r="M68">
        <f>IF(A68="","", _xludf.WEEKNUM(A68, 2))</f>
        <v/>
      </c>
      <c r="N68">
        <f>IF(A68="","", "CM-" &amp; IFERROR(VLOOKUP(C68, Catalogos!$Z$4:$AA$20, 2, FALSE), "FOL") &amp; "-" &amp; _xludf.WEEKNUM(A68, 2) &amp; "-" &amp; TEXT(ROW(A64),"000"))</f>
        <v/>
      </c>
    </row>
    <row r="69">
      <c r="A69" s="17625" t="n">
        <v>46190</v>
      </c>
      <c r="B69" t="inlineStr">
        <is>
          <t>Salida</t>
        </is>
      </c>
      <c r="C69" t="inlineStr">
        <is>
          <t>México-Toluca</t>
        </is>
      </c>
      <c r="D69" t="inlineStr">
        <is>
          <t>BARREDORA BROCE RJ350</t>
        </is>
      </c>
      <c r="E69">
        <f>VLOOKUP(TablaMarimba[[#This Row],[Equipo]],Catalogos!$V$4:$W$64,2,FALSE)</f>
        <v/>
      </c>
      <c r="F69" s="3" t="n"/>
      <c r="G69" s="17626" t="n">
        <v>28</v>
      </c>
      <c r="H69" s="3">
        <f>IF(ROW()=5,F69-G69,H68+F69-G69)</f>
        <v/>
      </c>
      <c r="I69" s="4" t="n">
        <v>28.3</v>
      </c>
      <c r="J69" s="4">
        <f>IFERROR((F69+G69)*I69,0)</f>
        <v/>
      </c>
      <c r="M69">
        <f>IF(A69="","", _xludf.WEEKNUM(A69, 2))</f>
        <v/>
      </c>
      <c r="N69">
        <f>IF(A69="","", "CM-" &amp; IFERROR(VLOOKUP(C69, Catalogos!$Z$4:$AA$20, 2, FALSE), "FOL") &amp; "-" &amp; _xludf.WEEKNUM(A69, 2) &amp; "-" &amp; TEXT(ROW(A65),"000"))</f>
        <v/>
      </c>
    </row>
    <row r="70">
      <c r="A70" s="17625" t="n">
        <v>46190</v>
      </c>
      <c r="B70" t="inlineStr">
        <is>
          <t>Salida</t>
        </is>
      </c>
      <c r="C70" t="inlineStr">
        <is>
          <t>México-Toluca</t>
        </is>
      </c>
      <c r="D70" t="inlineStr">
        <is>
          <t>RETROEXCAVADORA JHONDEREE 310SK</t>
        </is>
      </c>
      <c r="E70">
        <f>VLOOKUP(TablaMarimba[[#This Row],[Equipo]],Catalogos!$V$4:$W$64,2,FALSE)</f>
        <v/>
      </c>
      <c r="F70" s="3" t="n"/>
      <c r="G70" s="17626" t="n">
        <v>60</v>
      </c>
      <c r="H70" s="3">
        <f>IF(ROW()=5,F70-G70,H69+F70-G70)</f>
        <v/>
      </c>
      <c r="I70" s="4" t="n">
        <v>28.3</v>
      </c>
      <c r="J70" s="4">
        <f>IFERROR((F70+G70)*I70,0)</f>
        <v/>
      </c>
      <c r="M70">
        <f>IF(A70="","", _xludf.WEEKNUM(A70, 2))</f>
        <v/>
      </c>
      <c r="N70">
        <f>IF(A70="","", "CM-" &amp; IFERROR(VLOOKUP(C70, Catalogos!$Z$4:$AA$20, 2, FALSE), "FOL") &amp; "-" &amp; _xludf.WEEKNUM(A70, 2) &amp; "-" &amp; TEXT(ROW(A66),"000"))</f>
        <v/>
      </c>
    </row>
    <row r="71">
      <c r="A71" s="17625" t="n">
        <v>46191</v>
      </c>
      <c r="B71" t="inlineStr">
        <is>
          <t>Salida</t>
        </is>
      </c>
      <c r="C71" t="inlineStr">
        <is>
          <t>México-Toluca</t>
        </is>
      </c>
      <c r="D71" t="inlineStr">
        <is>
          <t>PETROLIZADORA    INTERNATIONAL</t>
        </is>
      </c>
      <c r="E71">
        <f>VLOOKUP(TablaMarimba[[#This Row],[Equipo]],Catalogos!$V$4:$W$64,2,FALSE)</f>
        <v/>
      </c>
      <c r="G71" s="17626" t="n">
        <v>50</v>
      </c>
      <c r="H71" s="3">
        <f>IF(ROW()=5,F71-G71,H70+F71-G71)</f>
        <v/>
      </c>
      <c r="I71" s="4" t="n">
        <v>28.3</v>
      </c>
      <c r="J71" s="4">
        <f>IFERROR((F72+G72)*I71,0)</f>
        <v/>
      </c>
      <c r="M71">
        <f>IF(A71="","", _xludf.WEEKNUM(A71, 2))</f>
        <v/>
      </c>
      <c r="N71">
        <f>IF(A71="","", "CM-" &amp; IFERROR(VLOOKUP(C71, Catalogos!$Z$4:$AA$20, 2, FALSE), "FOL") &amp; "-" &amp; _xludf.WEEKNUM(A71, 2) &amp; "-" &amp; TEXT(ROW(A67),"000"))</f>
        <v/>
      </c>
    </row>
    <row r="72">
      <c r="A72" s="17625" t="n">
        <v>46191</v>
      </c>
      <c r="B72" t="inlineStr">
        <is>
          <t>Salida</t>
        </is>
      </c>
      <c r="C72" t="inlineStr">
        <is>
          <t>México-Toluca</t>
        </is>
      </c>
      <c r="D72" t="inlineStr">
        <is>
          <t>PERFILADORA WIRGENT-W200i</t>
        </is>
      </c>
      <c r="E72">
        <f>VLOOKUP(TablaMarimba[[#This Row],[Equipo]],Catalogos!$V$4:$W$64,2,FALSE)</f>
        <v/>
      </c>
      <c r="F72" s="3" t="n"/>
      <c r="G72" s="17626" t="n">
        <v>200</v>
      </c>
      <c r="H72" s="3">
        <f>IF(ROW()=5,F72-G72,H71+F72-G72)</f>
        <v/>
      </c>
      <c r="I72" s="4" t="n">
        <v>28.3</v>
      </c>
      <c r="J72" s="4">
        <f>IFERROR((F73+G73)*I72,0)</f>
        <v/>
      </c>
      <c r="M72">
        <f>IF(A72="","", _xludf.WEEKNUM(A72, 2))</f>
        <v/>
      </c>
      <c r="N72">
        <f>IF(A72="","", "CM-" &amp; IFERROR(VLOOKUP(C72, Catalogos!$Z$4:$AA$20, 2, FALSE), "FOL") &amp; "-" &amp; _xludf.WEEKNUM(A72, 2) &amp; "-" &amp; TEXT(ROW(A68),"000"))</f>
        <v/>
      </c>
    </row>
    <row r="73">
      <c r="A73" s="17625" t="n">
        <v>46191</v>
      </c>
      <c r="B73" t="inlineStr">
        <is>
          <t>Salida</t>
        </is>
      </c>
      <c r="C73" t="inlineStr">
        <is>
          <t>México-Toluca</t>
        </is>
      </c>
      <c r="D73" t="inlineStr">
        <is>
          <t>PAVIMENTADORA  VOGELE SJ 1800-3</t>
        </is>
      </c>
      <c r="E73">
        <f>VLOOKUP(TablaMarimba[[#This Row],[Equipo]],Catalogos!$V$4:$W$64,2,FALSE)</f>
        <v/>
      </c>
      <c r="F73" s="3" t="n"/>
      <c r="G73" s="17626" t="n">
        <v>115</v>
      </c>
      <c r="H73" s="3">
        <f>IF(ROW()=5,F73-G73,H72+F73-G73)</f>
        <v/>
      </c>
      <c r="I73" s="4" t="n">
        <v>28.3</v>
      </c>
      <c r="J73" s="4">
        <f>IFERROR((F74+G74)*I73,0)</f>
        <v/>
      </c>
      <c r="M73">
        <f>IF(A73="","", _xludf.WEEKNUM(A73, 2))</f>
        <v/>
      </c>
      <c r="N73">
        <f>IF(A73="","", "CM-" &amp; IFERROR(VLOOKUP(C73, Catalogos!$Z$4:$AA$20, 2, FALSE), "FOL") &amp; "-" &amp; _xludf.WEEKNUM(A73, 2) &amp; "-" &amp; TEXT(ROW(A69),"000"))</f>
        <v/>
      </c>
    </row>
    <row r="74">
      <c r="A74" s="17625" t="n">
        <v>46191</v>
      </c>
      <c r="B74" t="inlineStr">
        <is>
          <t>Salida</t>
        </is>
      </c>
      <c r="C74" t="inlineStr">
        <is>
          <t>México-Toluca</t>
        </is>
      </c>
      <c r="D74" t="inlineStr">
        <is>
          <t>NEUMATICO VOLVO PT-240R</t>
        </is>
      </c>
      <c r="E74">
        <f>VLOOKUP(TablaMarimba[[#This Row],[Equipo]],Catalogos!$V$4:$W$64,2,FALSE)</f>
        <v/>
      </c>
      <c r="F74" s="3" t="n"/>
      <c r="G74" s="17626" t="n">
        <v>30</v>
      </c>
      <c r="H74" s="3">
        <f>IF(ROW()=5,F74-G74,H73+F74-G74)</f>
        <v/>
      </c>
      <c r="I74" s="4" t="n">
        <v>28.3</v>
      </c>
      <c r="J74" s="4">
        <f>IFERROR((F75+G75)*I74,0)</f>
        <v/>
      </c>
      <c r="M74">
        <f>IF(A74="","", _xludf.WEEKNUM(A74, 2))</f>
        <v/>
      </c>
      <c r="N74">
        <f>IF(A74="","", "CM-" &amp; IFERROR(VLOOKUP(C74, Catalogos!$Z$4:$AA$20, 2, FALSE), "FOL") &amp; "-" &amp; _xludf.WEEKNUM(A74, 2) &amp; "-" &amp; TEXT(ROW(A70),"000"))</f>
        <v/>
      </c>
    </row>
    <row r="75">
      <c r="A75" s="17625" t="n">
        <v>46191</v>
      </c>
      <c r="B75" t="inlineStr">
        <is>
          <t>Salida</t>
        </is>
      </c>
      <c r="C75" t="inlineStr">
        <is>
          <t>México-Toluca</t>
        </is>
      </c>
      <c r="D75" t="inlineStr">
        <is>
          <t>TANDEM DOBLE RODILLO / VIBROCOMPACTOR RODILLO CAT CB54</t>
        </is>
      </c>
      <c r="E75">
        <f>VLOOKUP(TablaMarimba[[#This Row],[Equipo]],Catalogos!$V$4:$W$64,2,FALSE)</f>
        <v/>
      </c>
      <c r="F75" s="3" t="n"/>
      <c r="G75" s="17626" t="n">
        <v>30</v>
      </c>
      <c r="H75" s="3">
        <f>IF(ROW()=5,F75-G75,H74+F75-G75)</f>
        <v/>
      </c>
      <c r="I75" s="4" t="n">
        <v>28.3</v>
      </c>
      <c r="J75" s="4">
        <f>IFERROR((#REF!+#REF!)*I75,0)</f>
        <v/>
      </c>
      <c r="M75">
        <f>IF(A75="","", _xludf.WEEKNUM(A75, 2))</f>
        <v/>
      </c>
      <c r="N75">
        <f>IF(A75="","", "CM-" &amp; IFERROR(VLOOKUP(C75, Catalogos!$Z$4:$AA$20, 2, FALSE), "FOL") &amp; "-" &amp; _xludf.WEEKNUM(A75, 2) &amp; "-" &amp; TEXT(ROW(A71),"000"))</f>
        <v/>
      </c>
    </row>
    <row r="76">
      <c r="A76" s="17625" t="n">
        <v>46192</v>
      </c>
      <c r="B76" t="inlineStr">
        <is>
          <t>Salida</t>
        </is>
      </c>
      <c r="C76" t="inlineStr">
        <is>
          <t>México-Toluca</t>
        </is>
      </c>
      <c r="D76" t="inlineStr">
        <is>
          <t>PAVIMENTADORA  VOGELE SJ 1800-3</t>
        </is>
      </c>
      <c r="E76">
        <f>VLOOKUP(TablaMarimba[[#This Row],[Equipo]],Catalogos!$V$4:$W$64,2,FALSE)</f>
        <v/>
      </c>
      <c r="F76" s="3" t="n"/>
      <c r="G76" s="17626" t="n">
        <v>120</v>
      </c>
      <c r="H76" s="3">
        <f>IF(ROW()=5,F76-G76,H75+F76-G76)</f>
        <v/>
      </c>
      <c r="I76" s="4" t="n">
        <v>28.3</v>
      </c>
      <c r="J76" s="4">
        <f>IFERROR((F76+G76)*I76,0)</f>
        <v/>
      </c>
      <c r="M76">
        <f>IF(A76="","", _xludf.WEEKNUM(A76, 2))</f>
        <v/>
      </c>
      <c r="N76">
        <f>IF(A76="","", "CM-" &amp; IFERROR(VLOOKUP(C76, Catalogos!$Z$4:$AA$20, 2, FALSE), "FOL") &amp; "-" &amp; _xludf.WEEKNUM(A76, 2) &amp; "-" &amp; TEXT(ROW(A72),"000"))</f>
        <v/>
      </c>
    </row>
    <row r="77">
      <c r="A77" s="17625" t="n">
        <v>46192</v>
      </c>
      <c r="B77" t="inlineStr">
        <is>
          <t>Salida</t>
        </is>
      </c>
      <c r="C77" t="inlineStr">
        <is>
          <t>México-Toluca</t>
        </is>
      </c>
      <c r="D77" t="inlineStr">
        <is>
          <t>TANDEM DOBLE RODILLO / VIBROCOMPACTOR RODILLO CAT CB54</t>
        </is>
      </c>
      <c r="E77">
        <f>VLOOKUP(TablaMarimba[[#This Row],[Equipo]],Catalogos!$V$4:$W$64,2,FALSE)</f>
        <v/>
      </c>
      <c r="F77" s="3" t="n"/>
      <c r="G77" s="17626" t="n">
        <v>30</v>
      </c>
      <c r="H77" s="3">
        <f>IF(ROW()=5,F77-G77,H76+F77-G77)</f>
        <v/>
      </c>
      <c r="I77" s="4" t="n">
        <v>28.3</v>
      </c>
      <c r="J77" s="4">
        <f>IFERROR((F77+G77)*I77,0)</f>
        <v/>
      </c>
      <c r="M77">
        <f>IF(A77="","", _xludf.WEEKNUM(A77, 2))</f>
        <v/>
      </c>
      <c r="N77">
        <f>IF(A77="","", "CM-" &amp; IFERROR(VLOOKUP(C77, Catalogos!$Z$4:$AA$20, 2, FALSE), "FOL") &amp; "-" &amp; _xludf.WEEKNUM(A77, 2) &amp; "-" &amp; TEXT(ROW(A73),"000"))</f>
        <v/>
      </c>
    </row>
    <row r="78">
      <c r="A78" s="17625" t="n">
        <v>46192</v>
      </c>
      <c r="B78" t="inlineStr">
        <is>
          <t>Salida</t>
        </is>
      </c>
      <c r="C78" t="inlineStr">
        <is>
          <t>México-Toluca</t>
        </is>
      </c>
      <c r="D78" t="inlineStr">
        <is>
          <t>NEUMATICO VOLVO PT-240R</t>
        </is>
      </c>
      <c r="E78">
        <f>VLOOKUP(TablaMarimba[[#This Row],[Equipo]],Catalogos!$V$4:$W$64,2,FALSE)</f>
        <v/>
      </c>
      <c r="F78" s="3" t="n"/>
      <c r="G78" s="17626" t="n">
        <v>84</v>
      </c>
      <c r="H78" s="3">
        <f>IF(ROW()=5,F78-G78,H77+F78-G78)</f>
        <v/>
      </c>
      <c r="I78" s="4" t="n">
        <v>28.3</v>
      </c>
      <c r="J78" s="4">
        <f>IFERROR((F78+G78)*I78,0)</f>
        <v/>
      </c>
      <c r="M78">
        <f>IF(A78="","", _xludf.WEEKNUM(A78, 2))</f>
        <v/>
      </c>
      <c r="N78">
        <f>IF(A78="","", "CM-" &amp; IFERROR(VLOOKUP(C78, Catalogos!$Z$4:$AA$20, 2, FALSE), "FOL") &amp; "-" &amp; _xludf.WEEKNUM(A78, 2) &amp; "-" &amp; TEXT(ROW(A74),"000"))</f>
        <v/>
      </c>
    </row>
    <row r="79">
      <c r="A79" s="17625" t="n">
        <v>46192</v>
      </c>
      <c r="B79" t="inlineStr">
        <is>
          <t>Salida</t>
        </is>
      </c>
      <c r="C79" t="inlineStr">
        <is>
          <t>México-Toluca</t>
        </is>
      </c>
      <c r="D79" t="inlineStr">
        <is>
          <t>RETROEXCAVADORA JHONDEREE 310SK</t>
        </is>
      </c>
      <c r="E79">
        <f>VLOOKUP(TablaMarimba[[#This Row],[Equipo]],Catalogos!$V$4:$W$64,2,FALSE)</f>
        <v/>
      </c>
      <c r="F79" s="3" t="n"/>
      <c r="G79" s="17626" t="n">
        <v>40</v>
      </c>
      <c r="H79" s="3">
        <f>IF(ROW()=5,F79-G79,H78+F79-G79)</f>
        <v/>
      </c>
      <c r="I79" s="4" t="n">
        <v>28.3</v>
      </c>
      <c r="J79" s="4">
        <f>IFERROR((F79+G79)*I79,0)</f>
        <v/>
      </c>
      <c r="M79">
        <f>IF(A79="","", _xludf.WEEKNUM(A79, 2))</f>
        <v/>
      </c>
      <c r="N79">
        <f>IF(A79="","", "CM-" &amp; IFERROR(VLOOKUP(C79, Catalogos!$Z$4:$AA$20, 2, FALSE), "FOL") &amp; "-" &amp; _xludf.WEEKNUM(A79, 2) &amp; "-" &amp; TEXT(ROW(A75),"000"))</f>
        <v/>
      </c>
    </row>
    <row r="80">
      <c r="A80" s="17625" t="n">
        <v>46192</v>
      </c>
      <c r="B80" t="inlineStr">
        <is>
          <t>Salida</t>
        </is>
      </c>
      <c r="C80" t="inlineStr">
        <is>
          <t>México-Toluca</t>
        </is>
      </c>
      <c r="D80" t="inlineStr">
        <is>
          <t>BARREDORA BROCE RJ350</t>
        </is>
      </c>
      <c r="E80">
        <f>VLOOKUP(TablaMarimba[[#This Row],[Equipo]],Catalogos!$V$4:$W$64,2,FALSE)</f>
        <v/>
      </c>
      <c r="F80" s="3" t="n"/>
      <c r="G80" s="17626" t="n">
        <v>30</v>
      </c>
      <c r="H80" s="3">
        <f>IF(ROW()=5,F80-G80,H79+F80-G80)</f>
        <v/>
      </c>
      <c r="I80" s="4" t="n">
        <v>28.3</v>
      </c>
      <c r="J80" s="4">
        <f>IFERROR((F80+G80)*I80,0)</f>
        <v/>
      </c>
      <c r="M80">
        <f>IF(A80="","", _xludf.WEEKNUM(A80, 2))</f>
        <v/>
      </c>
      <c r="N80">
        <f>IF(A80="","", "CM-" &amp; IFERROR(VLOOKUP(C80, Catalogos!$Z$4:$AA$20, 2, FALSE), "FOL") &amp; "-" &amp; _xludf.WEEKNUM(A80, 2) &amp; "-" &amp; TEXT(ROW(A76),"000"))</f>
        <v/>
      </c>
    </row>
    <row r="81">
      <c r="A81" s="17625" t="n">
        <v>46191</v>
      </c>
      <c r="B81" t="inlineStr">
        <is>
          <t>Salida</t>
        </is>
      </c>
      <c r="C81" t="inlineStr">
        <is>
          <t>México-Toluca</t>
        </is>
      </c>
      <c r="D81" t="inlineStr">
        <is>
          <t>RETROEXCAVADORA JHONDEREE 310SK</t>
        </is>
      </c>
      <c r="E81">
        <f>VLOOKUP(TablaMarimba[[#This Row],[Equipo]],Catalogos!$V$4:$W$64,2,FALSE)</f>
        <v/>
      </c>
      <c r="F81" s="3" t="n"/>
      <c r="G81" s="17626" t="n">
        <v>32</v>
      </c>
      <c r="H81" s="3">
        <f>IF(ROW()=5,F81-G81,H80+F81-G81)</f>
        <v/>
      </c>
      <c r="I81" s="4" t="n">
        <v>28.3</v>
      </c>
      <c r="J81" s="4">
        <f>IFERROR((F81+G81)*I81,0)</f>
        <v/>
      </c>
      <c r="M81">
        <f>IF(A81="","", _xludf.WEEKNUM(A81, 2))</f>
        <v/>
      </c>
      <c r="N81">
        <f>IF(A81="","", "CM-" &amp; IFERROR(VLOOKUP(C81, Catalogos!$Z$4:$AA$20, 2, FALSE), "FOL") &amp; "-" &amp; _xludf.WEEKNUM(A81, 2) &amp; "-" &amp; TEXT(ROW(A77),"000"))</f>
        <v/>
      </c>
    </row>
    <row r="82">
      <c r="A82" s="17625" t="n"/>
      <c r="E82">
        <f>VLOOKUP(TablaMarimba[[#This Row],[Equipo]],Catalogos!$V$4:$W$64,2,FALSE)</f>
        <v/>
      </c>
      <c r="F82" s="3" t="n"/>
      <c r="G82" s="17626" t="n"/>
      <c r="H82" s="3">
        <f>IF(ROW()=5,F82-G82,H81+F82-G82)</f>
        <v/>
      </c>
      <c r="I82" s="4" t="n">
        <v>28.3</v>
      </c>
      <c r="J82" s="4">
        <f>IFERROR((F82+G82)*I82,0)</f>
        <v/>
      </c>
      <c r="M82">
        <f>IF(A82="","", _xludf.WEEKNUM(A82, 2))</f>
        <v/>
      </c>
      <c r="N82">
        <f>IF(A82="","", "CM-" &amp; IFERROR(VLOOKUP(C82, Catalogos!$Z$4:$AA$20, 2, FALSE), "FOL") &amp; "-" &amp; _xludf.WEEKNUM(A82, 2) &amp; "-" &amp; TEXT(ROW(A78),"000"))</f>
        <v/>
      </c>
    </row>
    <row r="83">
      <c r="A83" s="17625" t="n"/>
      <c r="E83">
        <f>VLOOKUP(TablaMarimba[[#This Row],[Equipo]],Catalogos!$V$4:$W$64,2,FALSE)</f>
        <v/>
      </c>
      <c r="F83" s="3" t="n"/>
      <c r="G83" s="17626" t="n"/>
      <c r="H83" s="3">
        <f>IF(ROW()=5,F83-G83,H82+F83-G83)</f>
        <v/>
      </c>
      <c r="I83" s="4" t="n">
        <v>28.3</v>
      </c>
      <c r="J83" s="4">
        <f>IFERROR((F83+G83)*I83,0)</f>
        <v/>
      </c>
      <c r="M83">
        <f>IF(A83="","", _xludf.WEEKNUM(A83, 2))</f>
        <v/>
      </c>
      <c r="N83">
        <f>IF(A83="","", "CM-" &amp; IFERROR(VLOOKUP(C83, Catalogos!$Z$4:$AA$20, 2, FALSE), "FOL") &amp; "-" &amp; _xludf.WEEKNUM(A83, 2) &amp; "-" &amp; TEXT(ROW(A79),"000"))</f>
        <v/>
      </c>
    </row>
    <row r="84">
      <c r="A84" s="17625" t="n"/>
      <c r="E84">
        <f>VLOOKUP(TablaMarimba[[#This Row],[Equipo]],Catalogos!$V$4:$W$64,2,FALSE)</f>
        <v/>
      </c>
      <c r="F84" s="3" t="n"/>
      <c r="G84" s="17626" t="n"/>
      <c r="H84" s="3">
        <f>IF(ROW()=5,F84-G84,H83+F84-G84)</f>
        <v/>
      </c>
      <c r="I84" s="4" t="n">
        <v>28.3</v>
      </c>
      <c r="J84" s="4">
        <f>IFERROR((F84+G84)*I84,0)</f>
        <v/>
      </c>
      <c r="M84">
        <f>IF(A84="","", _xludf.WEEKNUM(A84, 2))</f>
        <v/>
      </c>
      <c r="N84">
        <f>IF(A84="","", "CM-" &amp; IFERROR(VLOOKUP(C84, Catalogos!$Z$4:$AA$20, 2, FALSE), "FOL") &amp; "-" &amp; _xludf.WEEKNUM(A84, 2) &amp; "-" &amp; TEXT(ROW(A80),"000"))</f>
        <v/>
      </c>
    </row>
    <row r="85">
      <c r="A85" s="17625" t="n"/>
      <c r="E85">
        <f>VLOOKUP(TablaMarimba[[#This Row],[Equipo]],Catalogos!$V$4:$W$64,2,FALSE)</f>
        <v/>
      </c>
      <c r="F85" s="3" t="n"/>
      <c r="G85" s="17626" t="n"/>
      <c r="H85" s="3">
        <f>IF(ROW()=5,F85-G85,H84+F85-G85)</f>
        <v/>
      </c>
      <c r="I85" s="4" t="n">
        <v>28.3</v>
      </c>
      <c r="J85" s="4">
        <f>IFERROR((F85+G85)*I85,0)</f>
        <v/>
      </c>
      <c r="M85">
        <f>IF(A85="","", _xludf.WEEKNUM(A85, 2))</f>
        <v/>
      </c>
      <c r="N85">
        <f>IF(A85="","", "CM-" &amp; IFERROR(VLOOKUP(C85, Catalogos!$Z$4:$AA$20, 2, FALSE), "FOL") &amp; "-" &amp; _xludf.WEEKNUM(A85, 2) &amp; "-" &amp; TEXT(ROW(A81),"000"))</f>
        <v/>
      </c>
    </row>
    <row r="86">
      <c r="A86" s="17625" t="n"/>
      <c r="E86">
        <f>VLOOKUP(TablaMarimba[[#This Row],[Equipo]],Catalogos!$V$4:$W$64,2,FALSE)</f>
        <v/>
      </c>
      <c r="F86" s="3" t="n"/>
      <c r="G86" s="17626" t="n"/>
      <c r="H86" s="3">
        <f>IF(ROW()=5,F86-G86,H85+F86-G86)</f>
        <v/>
      </c>
      <c r="I86" s="4" t="n">
        <v>28.3</v>
      </c>
      <c r="J86" s="4">
        <f>IFERROR((F86+G86)*I86,0)</f>
        <v/>
      </c>
      <c r="M86">
        <f>IF(A86="","", _xludf.WEEKNUM(A86, 2))</f>
        <v/>
      </c>
      <c r="N86">
        <f>IF(A86="","", "CM-" &amp; IFERROR(VLOOKUP(C86, Catalogos!$Z$4:$AA$20, 2, FALSE), "FOL") &amp; "-" &amp; _xludf.WEEKNUM(A86, 2) &amp; "-" &amp; TEXT(ROW(A82),"000"))</f>
        <v/>
      </c>
    </row>
    <row r="87">
      <c r="A87" s="17625" t="n"/>
      <c r="E87">
        <f>VLOOKUP(TablaMarimba[[#This Row],[Equipo]],Catalogos!$V$4:$W$64,2,FALSE)</f>
        <v/>
      </c>
      <c r="F87" s="3" t="n"/>
      <c r="G87" s="17626" t="n"/>
      <c r="H87" s="3">
        <f>IF(ROW()=5,F87-G87,H86+F87-G87)</f>
        <v/>
      </c>
      <c r="I87" s="4" t="n">
        <v>28.3</v>
      </c>
      <c r="J87" s="4">
        <f>IFERROR((F87+G87)*I87,0)</f>
        <v/>
      </c>
      <c r="M87">
        <f>IF(A87="","", _xludf.WEEKNUM(A87, 2))</f>
        <v/>
      </c>
      <c r="N87">
        <f>IF(A87="","", "CM-" &amp; IFERROR(VLOOKUP(C87, Catalogos!$Z$4:$AA$20, 2, FALSE), "FOL") &amp; "-" &amp; _xludf.WEEKNUM(A87, 2) &amp; "-" &amp; TEXT(ROW(A83),"000"))</f>
        <v/>
      </c>
    </row>
    <row r="88">
      <c r="A88" s="17625" t="n"/>
      <c r="E88">
        <f>VLOOKUP(TablaMarimba[[#This Row],[Equipo]],Catalogos!$V$4:$W$64,2,FALSE)</f>
        <v/>
      </c>
      <c r="F88" s="3" t="n"/>
      <c r="G88" s="17626" t="n"/>
      <c r="H88" s="3">
        <f>IF(ROW()=5,F88-G88,H87+F88-G88)</f>
        <v/>
      </c>
      <c r="I88" s="4" t="n">
        <v>28.3</v>
      </c>
      <c r="J88" s="4">
        <f>IFERROR((F88+G88)*I88,0)</f>
        <v/>
      </c>
      <c r="M88">
        <f>IF(A88="","", _xludf.WEEKNUM(A88, 2))</f>
        <v/>
      </c>
      <c r="N88">
        <f>IF(A88="","", "CM-" &amp; IFERROR(VLOOKUP(C88, Catalogos!$Z$4:$AA$20, 2, FALSE), "FOL") &amp; "-" &amp; _xludf.WEEKNUM(A88, 2) &amp; "-" &amp; TEXT(ROW(A84),"000"))</f>
        <v/>
      </c>
    </row>
    <row r="89">
      <c r="A89" s="17625" t="n"/>
      <c r="E89">
        <f>VLOOKUP(TablaMarimba[[#This Row],[Equipo]],Catalogos!$V$4:$W$64,2,FALSE)</f>
        <v/>
      </c>
      <c r="F89" s="3" t="n"/>
      <c r="G89" s="17626" t="n"/>
      <c r="H89" s="3">
        <f>IF(ROW()=5,F89-G89,H88+F89-G89)</f>
        <v/>
      </c>
      <c r="I89" s="4" t="n">
        <v>28.3</v>
      </c>
      <c r="J89" s="4">
        <f>IFERROR((F89+G89)*I89,0)</f>
        <v/>
      </c>
      <c r="M89">
        <f>IF(A89="","", _xludf.WEEKNUM(A89, 2))</f>
        <v/>
      </c>
      <c r="N89">
        <f>IF(A89="","", "CM-" &amp; IFERROR(VLOOKUP(C89, Catalogos!$Z$4:$AA$20, 2, FALSE), "FOL") &amp; "-" &amp; _xludf.WEEKNUM(A89, 2) &amp; "-" &amp; TEXT(ROW(A85),"000"))</f>
        <v/>
      </c>
    </row>
    <row r="90">
      <c r="A90" s="17625" t="n"/>
      <c r="E90">
        <f>VLOOKUP(TablaMarimba[[#This Row],[Equipo]],Catalogos!$V$4:$W$64,2,FALSE)</f>
        <v/>
      </c>
      <c r="F90" s="3" t="n"/>
      <c r="G90" s="17626" t="n"/>
      <c r="H90" s="3">
        <f>IF(ROW()=5,F90-G90,H89+F90-G90)</f>
        <v/>
      </c>
      <c r="I90" s="4" t="n">
        <v>28.3</v>
      </c>
      <c r="J90" s="4">
        <f>IFERROR((F90+G90)*I90,0)</f>
        <v/>
      </c>
      <c r="M90">
        <f>IF(A90="","", _xludf.WEEKNUM(A90, 2))</f>
        <v/>
      </c>
      <c r="N90">
        <f>IF(A90="","", "CM-" &amp; IFERROR(VLOOKUP(C90, Catalogos!$Z$4:$AA$20, 2, FALSE), "FOL") &amp; "-" &amp; _xludf.WEEKNUM(A90, 2) &amp; "-" &amp; TEXT(ROW(A86),"000"))</f>
        <v/>
      </c>
    </row>
    <row r="91">
      <c r="A91" s="17625" t="n"/>
      <c r="E91">
        <f>VLOOKUP(TablaMarimba[[#This Row],[Equipo]],Catalogos!$V$4:$W$64,2,FALSE)</f>
        <v/>
      </c>
      <c r="F91" s="3" t="n"/>
      <c r="G91" s="17626" t="n"/>
      <c r="H91" s="3">
        <f>IF(ROW()=5,F91-G91,H90+F91-G91)</f>
        <v/>
      </c>
      <c r="I91" s="4" t="n">
        <v>28.3</v>
      </c>
      <c r="J91" s="4">
        <f>IFERROR((F91+G91)*I91,0)</f>
        <v/>
      </c>
      <c r="M91">
        <f>IF(A91="","", _xludf.WEEKNUM(A91, 2))</f>
        <v/>
      </c>
      <c r="N91">
        <f>IF(A91="","", "CM-" &amp; IFERROR(VLOOKUP(C91, Catalogos!$Z$4:$AA$20, 2, FALSE), "FOL") &amp; "-" &amp; _xludf.WEEKNUM(A91, 2) &amp; "-" &amp; TEXT(ROW(A87),"000"))</f>
        <v/>
      </c>
    </row>
    <row r="92">
      <c r="A92" s="17625" t="n"/>
      <c r="E92">
        <f>VLOOKUP(TablaMarimba[[#This Row],[Equipo]],Catalogos!$V$4:$W$64,2,FALSE)</f>
        <v/>
      </c>
      <c r="F92" s="3" t="n"/>
      <c r="G92" s="17626" t="n"/>
      <c r="H92" s="3">
        <f>IF(ROW()=5,F92-G92,H91+F92-G92)</f>
        <v/>
      </c>
      <c r="I92" s="4" t="n">
        <v>28.3</v>
      </c>
      <c r="J92" s="4">
        <f>IFERROR((F92+G92)*I92,0)</f>
        <v/>
      </c>
      <c r="M92">
        <f>IF(A92="","", _xludf.WEEKNUM(A92, 2))</f>
        <v/>
      </c>
      <c r="N92">
        <f>IF(A92="","", "CM-" &amp; IFERROR(VLOOKUP(C92, Catalogos!$Z$4:$AA$20, 2, FALSE), "FOL") &amp; "-" &amp; _xludf.WEEKNUM(A92, 2) &amp; "-" &amp; TEXT(ROW(A88),"000"))</f>
        <v/>
      </c>
    </row>
    <row r="93">
      <c r="A93" s="17625" t="n"/>
      <c r="E93">
        <f>VLOOKUP(TablaMarimba[[#This Row],[Equipo]],Catalogos!$V$4:$W$64,2,FALSE)</f>
        <v/>
      </c>
      <c r="F93" s="3" t="n"/>
      <c r="G93" s="17626" t="n"/>
      <c r="H93" s="3">
        <f>IF(ROW()=5,F93-G93,H92+F93-G93)</f>
        <v/>
      </c>
      <c r="I93" s="4" t="n">
        <v>28.3</v>
      </c>
      <c r="J93" s="4">
        <f>IFERROR((F93+G93)*I93,0)</f>
        <v/>
      </c>
      <c r="M93">
        <f>IF(A93="","", _xludf.WEEKNUM(A93, 2))</f>
        <v/>
      </c>
      <c r="N93">
        <f>IF(A93="","", "CM-" &amp; IFERROR(VLOOKUP(C93, Catalogos!$Z$4:$AA$20, 2, FALSE), "FOL") &amp; "-" &amp; _xludf.WEEKNUM(A93, 2) &amp; "-" &amp; TEXT(ROW(A89),"000"))</f>
        <v/>
      </c>
    </row>
    <row r="94">
      <c r="A94" s="17625" t="n"/>
      <c r="E94">
        <f>VLOOKUP(TablaMarimba[[#This Row],[Equipo]],Catalogos!$V$4:$W$64,2,FALSE)</f>
        <v/>
      </c>
      <c r="F94" s="3" t="n"/>
      <c r="G94" s="17626" t="n"/>
      <c r="H94" s="3">
        <f>IF(ROW()=5,F94-G94,H93+F94-G94)</f>
        <v/>
      </c>
      <c r="I94" s="4" t="n">
        <v>28.3</v>
      </c>
      <c r="J94" s="4">
        <f>IFERROR((F94+G94)*I94,0)</f>
        <v/>
      </c>
      <c r="M94">
        <f>IF(A94="","", _xludf.WEEKNUM(A94, 2))</f>
        <v/>
      </c>
      <c r="N94">
        <f>IF(A94="","", "CM-" &amp; IFERROR(VLOOKUP(C94, Catalogos!$Z$4:$AA$20, 2, FALSE), "FOL") &amp; "-" &amp; _xludf.WEEKNUM(A94, 2) &amp; "-" &amp; TEXT(ROW(A90),"000"))</f>
        <v/>
      </c>
    </row>
    <row r="95">
      <c r="A95" s="17625" t="n"/>
      <c r="E95">
        <f>VLOOKUP(TablaMarimba[[#This Row],[Equipo]],Catalogos!$V$4:$W$64,2,FALSE)</f>
        <v/>
      </c>
      <c r="F95" s="3" t="n"/>
      <c r="G95" s="17626" t="n"/>
      <c r="H95" s="3">
        <f>IF(ROW()=5,F95-G95,H94+F95-G95)</f>
        <v/>
      </c>
      <c r="I95" s="4" t="n">
        <v>28.3</v>
      </c>
      <c r="J95" s="4">
        <f>IFERROR((F95+G95)*I95,0)</f>
        <v/>
      </c>
      <c r="M95">
        <f>IF(A95="","", _xludf.WEEKNUM(A95, 2))</f>
        <v/>
      </c>
      <c r="N95">
        <f>IF(A95="","", "CM-" &amp; IFERROR(VLOOKUP(C95, Catalogos!$Z$4:$AA$20, 2, FALSE), "FOL") &amp; "-" &amp; _xludf.WEEKNUM(A95, 2) &amp; "-" &amp; TEXT(ROW(A91),"000"))</f>
        <v/>
      </c>
    </row>
    <row r="96">
      <c r="A96" s="17625" t="n"/>
      <c r="E96">
        <f>VLOOKUP(TablaMarimba[[#This Row],[Equipo]],Catalogos!$V$4:$W$64,2,FALSE)</f>
        <v/>
      </c>
      <c r="F96" s="3" t="n"/>
      <c r="G96" s="17626" t="n"/>
      <c r="H96" s="3">
        <f>IF(ROW()=5,F96-G96,H95+F96-G96)</f>
        <v/>
      </c>
      <c r="I96" s="4" t="n">
        <v>28.3</v>
      </c>
      <c r="J96" s="4">
        <f>IFERROR((F96+G96)*I96,0)</f>
        <v/>
      </c>
      <c r="M96">
        <f>IF(A96="","", _xludf.WEEKNUM(A96, 2))</f>
        <v/>
      </c>
      <c r="N96">
        <f>IF(A96="","", "CM-" &amp; IFERROR(VLOOKUP(C96, Catalogos!$Z$4:$AA$20, 2, FALSE), "FOL") &amp; "-" &amp; _xludf.WEEKNUM(A96, 2) &amp; "-" &amp; TEXT(ROW(A92),"000"))</f>
        <v/>
      </c>
    </row>
    <row r="97">
      <c r="A97" s="17625" t="n"/>
      <c r="E97">
        <f>VLOOKUP(TablaMarimba[[#This Row],[Equipo]],Catalogos!$V$4:$W$64,2,FALSE)</f>
        <v/>
      </c>
      <c r="F97" s="3" t="n"/>
      <c r="G97" s="17626" t="n"/>
      <c r="H97" s="3">
        <f>IF(ROW()=5,F97-G97,H96+F97-G97)</f>
        <v/>
      </c>
      <c r="I97" s="4" t="n">
        <v>28.3</v>
      </c>
      <c r="J97" s="4">
        <f>IFERROR((F97+G97)*I97,0)</f>
        <v/>
      </c>
      <c r="M97">
        <f>IF(A97="","", _xludf.WEEKNUM(A97, 2))</f>
        <v/>
      </c>
      <c r="N97">
        <f>IF(A97="","", "CM-" &amp; IFERROR(VLOOKUP(C97, Catalogos!$Z$4:$AA$20, 2, FALSE), "FOL") &amp; "-" &amp; _xludf.WEEKNUM(A97, 2) &amp; "-" &amp; TEXT(ROW(A93),"000"))</f>
        <v/>
      </c>
    </row>
    <row r="98">
      <c r="A98" s="17625" t="n"/>
      <c r="E98">
        <f>VLOOKUP(TablaMarimba[[#This Row],[Equipo]],Catalogos!$V$4:$W$64,2,FALSE)</f>
        <v/>
      </c>
      <c r="F98" s="3" t="n"/>
      <c r="G98" s="17626" t="n"/>
      <c r="H98" s="3">
        <f>IF(ROW()=5,F98-G98,H97+F98-G98)</f>
        <v/>
      </c>
      <c r="I98" s="4" t="n">
        <v>28.3</v>
      </c>
      <c r="J98" s="4">
        <f>IFERROR((F98+G98)*I98,0)</f>
        <v/>
      </c>
      <c r="M98">
        <f>IF(A98="","", _xludf.WEEKNUM(A98, 2))</f>
        <v/>
      </c>
      <c r="N98">
        <f>IF(A98="","", "CM-" &amp; IFERROR(VLOOKUP(C98, Catalogos!$Z$4:$AA$20, 2, FALSE), "FOL") &amp; "-" &amp; _xludf.WEEKNUM(A98, 2) &amp; "-" &amp; TEXT(ROW(A94),"000"))</f>
        <v/>
      </c>
    </row>
    <row r="99">
      <c r="A99" s="17625" t="n"/>
      <c r="E99">
        <f>VLOOKUP(TablaMarimba[[#This Row],[Equipo]],Catalogos!$V$4:$W$64,2,FALSE)</f>
        <v/>
      </c>
      <c r="F99" s="3" t="n"/>
      <c r="G99" s="17626" t="n"/>
      <c r="H99" s="3">
        <f>IF(ROW()=5,F99-G99,H98+F99-G99)</f>
        <v/>
      </c>
      <c r="I99" s="4" t="n">
        <v>28.3</v>
      </c>
      <c r="J99" s="4">
        <f>IFERROR((F99+G99)*I99,0)</f>
        <v/>
      </c>
      <c r="M99">
        <f>IF(A99="","", _xludf.WEEKNUM(A99, 2))</f>
        <v/>
      </c>
      <c r="N99">
        <f>IF(A99="","", "CM-" &amp; IFERROR(VLOOKUP(C99, Catalogos!$Z$4:$AA$20, 2, FALSE), "FOL") &amp; "-" &amp; _xludf.WEEKNUM(A99, 2) &amp; "-" &amp; TEXT(ROW(A95),"000"))</f>
        <v/>
      </c>
    </row>
    <row r="100">
      <c r="A100" s="17625" t="n"/>
      <c r="E100">
        <f>VLOOKUP(TablaMarimba[[#This Row],[Equipo]],Catalogos!$V$4:$W$64,2,FALSE)</f>
        <v/>
      </c>
      <c r="F100" s="3" t="n"/>
      <c r="G100" s="17626" t="n"/>
      <c r="H100" s="3">
        <f>IF(ROW()=5,F100-G100,H99+F100-G100)</f>
        <v/>
      </c>
      <c r="I100" s="4" t="n">
        <v>28.3</v>
      </c>
      <c r="J100" s="4">
        <f>IFERROR((F100+G100)*I100,0)</f>
        <v/>
      </c>
      <c r="M100">
        <f>IF(A100="","", _xludf.WEEKNUM(A100, 2))</f>
        <v/>
      </c>
      <c r="N100">
        <f>IF(A100="","", "CM-" &amp; IFERROR(VLOOKUP(C100, Catalogos!$Z$4:$AA$20, 2, FALSE), "FOL") &amp; "-" &amp; _xludf.WEEKNUM(A100, 2) &amp; "-" &amp; TEXT(ROW(A96),"000"))</f>
        <v/>
      </c>
    </row>
    <row r="101">
      <c r="A101" s="17625" t="n"/>
      <c r="E101">
        <f>VLOOKUP(TablaMarimba[[#This Row],[Equipo]],Catalogos!$V$4:$W$64,2,FALSE)</f>
        <v/>
      </c>
      <c r="F101" s="3" t="n"/>
      <c r="G101" s="17626" t="n"/>
      <c r="H101" s="3">
        <f>IF(ROW()=5,F101-G101,H100+F101-G101)</f>
        <v/>
      </c>
      <c r="I101" s="4" t="n">
        <v>28.3</v>
      </c>
      <c r="J101" s="4">
        <f>IFERROR((F101+G101)*I101,0)</f>
        <v/>
      </c>
      <c r="M101">
        <f>IF(A101="","", _xludf.WEEKNUM(A101, 2))</f>
        <v/>
      </c>
      <c r="N101">
        <f>IF(A101="","", "CM-" &amp; IFERROR(VLOOKUP(C101, Catalogos!$Z$4:$AA$20, 2, FALSE), "FOL") &amp; "-" &amp; _xludf.WEEKNUM(A101, 2) &amp; "-" &amp; TEXT(ROW(A97),"000"))</f>
        <v/>
      </c>
    </row>
    <row r="102">
      <c r="A102" s="17625" t="n"/>
      <c r="E102">
        <f>VLOOKUP(TablaMarimba[[#This Row],[Equipo]],Catalogos!$V$4:$W$64,2,FALSE)</f>
        <v/>
      </c>
      <c r="F102" s="3" t="n"/>
      <c r="G102" s="17626" t="n"/>
      <c r="H102" s="3">
        <f>IF(ROW()=5,F102-G102,H101+F102-G102)</f>
        <v/>
      </c>
      <c r="I102" s="4" t="n">
        <v>28.3</v>
      </c>
      <c r="J102" s="4">
        <f>IFERROR((F102+G102)*I102,0)</f>
        <v/>
      </c>
      <c r="M102">
        <f>IF(A102="","", _xludf.WEEKNUM(A102, 2))</f>
        <v/>
      </c>
      <c r="N102">
        <f>IF(A102="","", "CM-" &amp; IFERROR(VLOOKUP(C102, Catalogos!$Z$4:$AA$20, 2, FALSE), "FOL") &amp; "-" &amp; _xludf.WEEKNUM(A102, 2) &amp; "-" &amp; TEXT(ROW(A98),"000"))</f>
        <v/>
      </c>
    </row>
    <row r="103">
      <c r="A103" s="17625" t="n"/>
      <c r="E103">
        <f>VLOOKUP(TablaMarimba[[#This Row],[Equipo]],Catalogos!$V$4:$W$64,2,FALSE)</f>
        <v/>
      </c>
      <c r="F103" s="3" t="n"/>
      <c r="G103" s="17626" t="n"/>
      <c r="H103" s="3">
        <f>IF(ROW()=5,F103-G103,H102+F103-G103)</f>
        <v/>
      </c>
      <c r="I103" s="4" t="n">
        <v>28.3</v>
      </c>
      <c r="J103" s="4">
        <f>IFERROR((F103+G103)*I103,0)</f>
        <v/>
      </c>
      <c r="M103">
        <f>IF(A103="","", _xludf.WEEKNUM(A103, 2))</f>
        <v/>
      </c>
      <c r="N103">
        <f>IF(A103="","", "CM-" &amp; IFERROR(VLOOKUP(C103, Catalogos!$Z$4:$AA$20, 2, FALSE), "FOL") &amp; "-" &amp; _xludf.WEEKNUM(A103, 2) &amp; "-" &amp; TEXT(ROW(A99),"000"))</f>
        <v/>
      </c>
    </row>
    <row r="104">
      <c r="A104" s="17625" t="n"/>
      <c r="E104">
        <f>VLOOKUP(TablaMarimba[[#This Row],[Equipo]],Catalogos!$V$4:$W$64,2,FALSE)</f>
        <v/>
      </c>
      <c r="F104" s="3" t="n"/>
      <c r="G104" s="17626" t="n"/>
      <c r="H104" s="3">
        <f>IF(ROW()=5,F104-G104,H103+F104-G104)</f>
        <v/>
      </c>
      <c r="I104" s="4" t="n">
        <v>28.3</v>
      </c>
      <c r="J104" s="4">
        <f>IFERROR((F104+G104)*I104,0)</f>
        <v/>
      </c>
      <c r="M104">
        <f>IF(A104="","", _xludf.WEEKNUM(A104, 2))</f>
        <v/>
      </c>
      <c r="N104">
        <f>IF(A104="","", "CM-" &amp; IFERROR(VLOOKUP(C104, Catalogos!$Z$4:$AA$20, 2, FALSE), "FOL") &amp; "-" &amp; _xludf.WEEKNUM(A104, 2) &amp; "-" &amp; TEXT(ROW(A100),"000"))</f>
        <v/>
      </c>
    </row>
    <row r="105">
      <c r="A105" s="17625" t="n"/>
      <c r="E105">
        <f>VLOOKUP(TablaMarimba[[#This Row],[Equipo]],Catalogos!$V$4:$W$64,2,FALSE)</f>
        <v/>
      </c>
      <c r="F105" s="3" t="n"/>
      <c r="G105" s="17626" t="n"/>
      <c r="H105" s="3">
        <f>IF(ROW()=5,F105-G105,H104+F105-G105)</f>
        <v/>
      </c>
      <c r="I105" s="4" t="n">
        <v>28.3</v>
      </c>
      <c r="J105" s="4">
        <f>IFERROR((F105+G105)*I105,0)</f>
        <v/>
      </c>
      <c r="M105">
        <f>IF(A105="","", _xludf.WEEKNUM(A105, 2))</f>
        <v/>
      </c>
      <c r="N105">
        <f>IF(A105="","", "CM-" &amp; IFERROR(VLOOKUP(C105, Catalogos!$Z$4:$AA$20, 2, FALSE), "FOL") &amp; "-" &amp; _xludf.WEEKNUM(A105, 2) &amp; "-" &amp; TEXT(ROW(A101),"000"))</f>
        <v/>
      </c>
    </row>
    <row r="106">
      <c r="A106" s="17625" t="n"/>
      <c r="E106">
        <f>VLOOKUP(TablaMarimba[[#This Row],[Equipo]],Catalogos!$V$4:$W$64,2,FALSE)</f>
        <v/>
      </c>
      <c r="F106" s="3" t="n"/>
      <c r="G106" s="17626" t="n"/>
      <c r="H106" s="3">
        <f>IF(ROW()=5,F106-G106,H105+F106-G106)</f>
        <v/>
      </c>
      <c r="I106" s="4" t="n">
        <v>28.3</v>
      </c>
      <c r="J106" s="4">
        <f>IFERROR((F106+G106)*I106,0)</f>
        <v/>
      </c>
      <c r="M106">
        <f>IF(A106="","", _xludf.WEEKNUM(A106, 2))</f>
        <v/>
      </c>
      <c r="N106">
        <f>IF(A106="","", "CM-" &amp; IFERROR(VLOOKUP(C106, Catalogos!$Z$4:$AA$20, 2, FALSE), "FOL") &amp; "-" &amp; _xludf.WEEKNUM(A106, 2) &amp; "-" &amp; TEXT(ROW(A102),"000"))</f>
        <v/>
      </c>
    </row>
    <row r="107">
      <c r="A107" s="17625" t="n"/>
      <c r="E107">
        <f>VLOOKUP(TablaMarimba[[#This Row],[Equipo]],Catalogos!$V$4:$W$64,2,FALSE)</f>
        <v/>
      </c>
      <c r="F107" s="3" t="n"/>
      <c r="G107" s="17626" t="n"/>
      <c r="H107" s="3">
        <f>IF(ROW()=5,F107-G107,H106+F107-G107)</f>
        <v/>
      </c>
      <c r="I107" s="4" t="n">
        <v>28.3</v>
      </c>
      <c r="J107" s="4">
        <f>IFERROR((F107+G107)*I107,0)</f>
        <v/>
      </c>
      <c r="M107">
        <f>IF(A107="","", _xludf.WEEKNUM(A107, 2))</f>
        <v/>
      </c>
      <c r="N107">
        <f>IF(A107="","", "CM-" &amp; IFERROR(VLOOKUP(C107, Catalogos!$Z$4:$AA$20, 2, FALSE), "FOL") &amp; "-" &amp; _xludf.WEEKNUM(A107, 2) &amp; "-" &amp; TEXT(ROW(A103),"000"))</f>
        <v/>
      </c>
    </row>
    <row r="108">
      <c r="A108" s="17625" t="n"/>
      <c r="E108">
        <f>VLOOKUP(TablaMarimba[[#This Row],[Equipo]],Catalogos!$V$4:$W$64,2,FALSE)</f>
        <v/>
      </c>
      <c r="F108" s="3" t="n"/>
      <c r="G108" s="17626" t="n"/>
      <c r="H108" s="3">
        <f>IF(ROW()=5,F108-G108,H107+F108-G108)</f>
        <v/>
      </c>
      <c r="I108" s="4" t="n">
        <v>28.3</v>
      </c>
      <c r="J108" s="4">
        <f>IFERROR((F108+G108)*I108,0)</f>
        <v/>
      </c>
      <c r="M108">
        <f>IF(A108="","", _xludf.WEEKNUM(A108, 2))</f>
        <v/>
      </c>
      <c r="N108">
        <f>IF(A108="","", "CM-" &amp; IFERROR(VLOOKUP(C108, Catalogos!$Z$4:$AA$20, 2, FALSE), "FOL") &amp; "-" &amp; _xludf.WEEKNUM(A108, 2) &amp; "-" &amp; TEXT(ROW(A104),"000"))</f>
        <v/>
      </c>
    </row>
    <row r="109">
      <c r="A109" s="17625" t="n"/>
      <c r="E109">
        <f>VLOOKUP(TablaMarimba[[#This Row],[Equipo]],Catalogos!$V$4:$W$64,2,FALSE)</f>
        <v/>
      </c>
      <c r="F109" s="3" t="n"/>
      <c r="G109" s="17626" t="n"/>
      <c r="H109" s="3">
        <f>IF(ROW()=5,F109-G109,H108+F109-G109)</f>
        <v/>
      </c>
      <c r="I109" s="4" t="n">
        <v>28.3</v>
      </c>
      <c r="J109" s="4">
        <f>IFERROR((F109+G109)*I109,0)</f>
        <v/>
      </c>
      <c r="M109">
        <f>IF(A109="","", _xludf.WEEKNUM(A109, 2))</f>
        <v/>
      </c>
      <c r="N109">
        <f>IF(A109="","", "CM-" &amp; IFERROR(VLOOKUP(C109, Catalogos!$Z$4:$AA$20, 2, FALSE), "FOL") &amp; "-" &amp; _xludf.WEEKNUM(A109, 2) &amp; "-" &amp; TEXT(ROW(A105),"000"))</f>
        <v/>
      </c>
    </row>
    <row r="110">
      <c r="A110" s="17625" t="n"/>
      <c r="E110">
        <f>VLOOKUP(TablaMarimba[[#This Row],[Equipo]],Catalogos!$V$4:$W$64,2,FALSE)</f>
        <v/>
      </c>
      <c r="F110" s="3" t="n"/>
      <c r="G110" s="17626" t="n"/>
      <c r="H110" s="3">
        <f>IF(ROW()=5,F110-G110,H109+F110-G110)</f>
        <v/>
      </c>
      <c r="I110" s="4" t="n">
        <v>28.3</v>
      </c>
      <c r="J110" s="4">
        <f>IFERROR((F110+G110)*I110,0)</f>
        <v/>
      </c>
      <c r="M110">
        <f>IF(A110="","", _xludf.WEEKNUM(A110, 2))</f>
        <v/>
      </c>
      <c r="N110">
        <f>IF(A110="","", "CM-" &amp; IFERROR(VLOOKUP(C110, Catalogos!$Z$4:$AA$20, 2, FALSE), "FOL") &amp; "-" &amp; _xludf.WEEKNUM(A110, 2) &amp; "-" &amp; TEXT(ROW(A106),"000"))</f>
        <v/>
      </c>
    </row>
    <row r="111">
      <c r="A111" s="17625" t="n"/>
      <c r="E111">
        <f>VLOOKUP(TablaMarimba[[#This Row],[Equipo]],Catalogos!$V$4:$W$64,2,FALSE)</f>
        <v/>
      </c>
      <c r="F111" s="3" t="n"/>
      <c r="G111" s="17626" t="n"/>
      <c r="H111" s="3">
        <f>IF(ROW()=5,F111-G111,H110+F111-G111)</f>
        <v/>
      </c>
      <c r="I111" s="4" t="n">
        <v>28.3</v>
      </c>
      <c r="J111" s="4">
        <f>IFERROR((F111+G111)*I111,0)</f>
        <v/>
      </c>
      <c r="M111">
        <f>IF(A111="","", _xludf.WEEKNUM(A111, 2))</f>
        <v/>
      </c>
      <c r="N111">
        <f>IF(A111="","", "CM-" &amp; IFERROR(VLOOKUP(C111, Catalogos!$Z$4:$AA$20, 2, FALSE), "FOL") &amp; "-" &amp; _xludf.WEEKNUM(A111, 2) &amp; "-" &amp; TEXT(ROW(A107),"000"))</f>
        <v/>
      </c>
    </row>
    <row r="112">
      <c r="A112" s="17625" t="n"/>
      <c r="E112">
        <f>VLOOKUP(TablaMarimba[[#This Row],[Equipo]],Catalogos!$V$4:$W$64,2,FALSE)</f>
        <v/>
      </c>
      <c r="F112" s="3" t="n"/>
      <c r="G112" s="17626" t="n"/>
      <c r="H112" s="3">
        <f>IF(ROW()=5,F112-G112,H111+F112-G112)</f>
        <v/>
      </c>
      <c r="I112" s="4" t="n">
        <v>28.3</v>
      </c>
      <c r="J112" s="4">
        <f>IFERROR((F112+G112)*I112,0)</f>
        <v/>
      </c>
      <c r="M112">
        <f>IF(A112="","", _xludf.WEEKNUM(A112, 2))</f>
        <v/>
      </c>
      <c r="N112">
        <f>IF(A112="","", "CM-" &amp; IFERROR(VLOOKUP(C112, Catalogos!$Z$4:$AA$20, 2, FALSE), "FOL") &amp; "-" &amp; _xludf.WEEKNUM(A112, 2) &amp; "-" &amp; TEXT(ROW(A108),"000"))</f>
        <v/>
      </c>
    </row>
    <row r="113">
      <c r="A113" s="17625" t="n"/>
      <c r="E113">
        <f>VLOOKUP(TablaMarimba[[#This Row],[Equipo]],Catalogos!$V$4:$W$64,2,FALSE)</f>
        <v/>
      </c>
      <c r="F113" s="3" t="n"/>
      <c r="G113" s="17626" t="n"/>
      <c r="H113" s="3">
        <f>IF(ROW()=5,F113-G113,H112+F113-G113)</f>
        <v/>
      </c>
      <c r="I113" s="4" t="n">
        <v>28.3</v>
      </c>
      <c r="J113" s="4">
        <f>IFERROR((F113+G113)*I113,0)</f>
        <v/>
      </c>
      <c r="M113">
        <f>IF(A113="","", _xludf.WEEKNUM(A113, 2))</f>
        <v/>
      </c>
      <c r="N113">
        <f>IF(A113="","", "CM-" &amp; IFERROR(VLOOKUP(C113, Catalogos!$Z$4:$AA$20, 2, FALSE), "FOL") &amp; "-" &amp; _xludf.WEEKNUM(A113, 2) &amp; "-" &amp; TEXT(ROW(A109),"000"))</f>
        <v/>
      </c>
    </row>
    <row r="114">
      <c r="A114" s="17625" t="n"/>
      <c r="E114">
        <f>VLOOKUP(TablaMarimba[[#This Row],[Equipo]],Catalogos!$V$4:$W$64,2,FALSE)</f>
        <v/>
      </c>
      <c r="F114" s="3" t="n"/>
      <c r="G114" s="17626" t="n"/>
      <c r="H114" s="3">
        <f>IF(ROW()=5,F114-G114,H113+F114-G114)</f>
        <v/>
      </c>
      <c r="I114" s="4" t="n">
        <v>28.3</v>
      </c>
      <c r="J114" s="4">
        <f>IFERROR((F114+G114)*I114,0)</f>
        <v/>
      </c>
      <c r="M114">
        <f>IF(A114="","", _xludf.WEEKNUM(A114, 2))</f>
        <v/>
      </c>
      <c r="N114">
        <f>IF(A114="","", "CM-" &amp; IFERROR(VLOOKUP(C114, Catalogos!$Z$4:$AA$20, 2, FALSE), "FOL") &amp; "-" &amp; _xludf.WEEKNUM(A114, 2) &amp; "-" &amp; TEXT(ROW(A110),"000"))</f>
        <v/>
      </c>
    </row>
    <row r="115">
      <c r="A115" s="17625" t="n"/>
      <c r="E115">
        <f>VLOOKUP(TablaMarimba[[#This Row],[Equipo]],Catalogos!$V$4:$W$64,2,FALSE)</f>
        <v/>
      </c>
      <c r="F115" s="3" t="n"/>
      <c r="G115" s="17626" t="n"/>
      <c r="H115" s="3">
        <f>IF(ROW()=5,F115-G115,H114+F115-G115)</f>
        <v/>
      </c>
      <c r="I115" s="4" t="n">
        <v>28.3</v>
      </c>
      <c r="J115" s="4">
        <f>IFERROR((F115+G115)*I115,0)</f>
        <v/>
      </c>
      <c r="M115">
        <f>IF(A115="","", _xludf.WEEKNUM(A115, 2))</f>
        <v/>
      </c>
      <c r="N115">
        <f>IF(A115="","", "CM-" &amp; IFERROR(VLOOKUP(C115, Catalogos!$Z$4:$AA$20, 2, FALSE), "FOL") &amp; "-" &amp; _xludf.WEEKNUM(A115, 2) &amp; "-" &amp; TEXT(ROW(A111),"000"))</f>
        <v/>
      </c>
    </row>
    <row r="116">
      <c r="A116" s="17625" t="n"/>
      <c r="E116">
        <f>VLOOKUP(TablaMarimba[[#This Row],[Equipo]],Catalogos!$V$4:$W$64,2,FALSE)</f>
        <v/>
      </c>
      <c r="F116" s="3" t="n"/>
      <c r="G116" s="17626" t="n"/>
      <c r="H116" s="3">
        <f>IF(ROW()=5,F116-G116,H115+F116-G116)</f>
        <v/>
      </c>
      <c r="I116" s="4" t="n">
        <v>28.3</v>
      </c>
      <c r="J116" s="4">
        <f>IFERROR((F116+G116)*I116,0)</f>
        <v/>
      </c>
      <c r="M116">
        <f>IF(A116="","", _xludf.WEEKNUM(A116, 2))</f>
        <v/>
      </c>
      <c r="N116">
        <f>IF(A116="","", "CM-" &amp; IFERROR(VLOOKUP(C116, Catalogos!$Z$4:$AA$20, 2, FALSE), "FOL") &amp; "-" &amp; _xludf.WEEKNUM(A116, 2) &amp; "-" &amp; TEXT(ROW(A112),"000"))</f>
        <v/>
      </c>
    </row>
    <row r="117">
      <c r="A117" s="17625" t="n"/>
      <c r="E117">
        <f>VLOOKUP(TablaMarimba[[#This Row],[Equipo]],Catalogos!$V$4:$W$64,2,FALSE)</f>
        <v/>
      </c>
      <c r="F117" s="3" t="n"/>
      <c r="G117" s="17626" t="n"/>
      <c r="H117" s="3">
        <f>IF(ROW()=5,F117-G117,H116+F117-G117)</f>
        <v/>
      </c>
      <c r="I117" s="4" t="n">
        <v>28.3</v>
      </c>
      <c r="J117" s="4">
        <f>IFERROR((F117+G117)*I117,0)</f>
        <v/>
      </c>
      <c r="M117">
        <f>IF(A117="","", _xludf.WEEKNUM(A117, 2))</f>
        <v/>
      </c>
      <c r="N117">
        <f>IF(A117="","", "CM-" &amp; IFERROR(VLOOKUP(C117, Catalogos!$Z$4:$AA$20, 2, FALSE), "FOL") &amp; "-" &amp; _xludf.WEEKNUM(A117, 2) &amp; "-" &amp; TEXT(ROW(A113),"000"))</f>
        <v/>
      </c>
    </row>
    <row r="118">
      <c r="A118" s="17625" t="n"/>
      <c r="E118">
        <f>VLOOKUP(TablaMarimba[[#This Row],[Equipo]],Catalogos!$V$4:$W$64,2,FALSE)</f>
        <v/>
      </c>
      <c r="F118" s="3" t="n"/>
      <c r="G118" s="17626" t="n"/>
      <c r="H118" s="3">
        <f>IF(ROW()=5,F118-G118,H117+F118-G118)</f>
        <v/>
      </c>
      <c r="I118" s="4" t="n">
        <v>28.3</v>
      </c>
      <c r="J118" s="4">
        <f>IFERROR((F118+G118)*I118,0)</f>
        <v/>
      </c>
      <c r="M118">
        <f>IF(A118="","", _xludf.WEEKNUM(A118, 2))</f>
        <v/>
      </c>
      <c r="N118">
        <f>IF(A118="","", "CM-" &amp; IFERROR(VLOOKUP(C118, Catalogos!$Z$4:$AA$20, 2, FALSE), "FOL") &amp; "-" &amp; _xludf.WEEKNUM(A118, 2) &amp; "-" &amp; TEXT(ROW(A114),"000"))</f>
        <v/>
      </c>
    </row>
    <row r="119">
      <c r="A119" s="17625" t="n"/>
      <c r="E119">
        <f>VLOOKUP(TablaMarimba[[#This Row],[Equipo]],Catalogos!$V$4:$W$64,2,FALSE)</f>
        <v/>
      </c>
      <c r="F119" s="3" t="n"/>
      <c r="G119" s="17626" t="n"/>
      <c r="H119" s="3">
        <f>IF(ROW()=5,F119-G119,H118+F119-G119)</f>
        <v/>
      </c>
      <c r="I119" s="4" t="n">
        <v>28.3</v>
      </c>
      <c r="J119" s="4">
        <f>IFERROR((F119+G119)*I119,0)</f>
        <v/>
      </c>
      <c r="M119">
        <f>IF(A119="","", _xludf.WEEKNUM(A119, 2))</f>
        <v/>
      </c>
      <c r="N119">
        <f>IF(A119="","", "CM-" &amp; IFERROR(VLOOKUP(C119, Catalogos!$Z$4:$AA$20, 2, FALSE), "FOL") &amp; "-" &amp; _xludf.WEEKNUM(A119, 2) &amp; "-" &amp; TEXT(ROW(A115),"000"))</f>
        <v/>
      </c>
    </row>
    <row r="120">
      <c r="A120" s="17625" t="n"/>
      <c r="E120">
        <f>VLOOKUP(TablaMarimba[[#This Row],[Equipo]],Catalogos!$V$4:$W$64,2,FALSE)</f>
        <v/>
      </c>
      <c r="F120" s="3" t="n"/>
      <c r="G120" s="17626" t="n"/>
      <c r="H120" s="3">
        <f>IF(ROW()=5,F120-G120,H119+F120-G120)</f>
        <v/>
      </c>
      <c r="I120" s="4" t="n">
        <v>28.3</v>
      </c>
      <c r="J120" s="4">
        <f>IFERROR((F120+G120)*I120,0)</f>
        <v/>
      </c>
      <c r="M120">
        <f>IF(A120="","", _xludf.WEEKNUM(A120, 2))</f>
        <v/>
      </c>
      <c r="N120">
        <f>IF(A120="","", "CM-" &amp; IFERROR(VLOOKUP(C120, Catalogos!$Z$4:$AA$20, 2, FALSE), "FOL") &amp; "-" &amp; _xludf.WEEKNUM(A120, 2) &amp; "-" &amp; TEXT(ROW(A116),"000"))</f>
        <v/>
      </c>
    </row>
    <row r="121">
      <c r="A121" s="17625" t="n"/>
      <c r="E121">
        <f>VLOOKUP(TablaMarimba[[#This Row],[Equipo]],Catalogos!$V$4:$W$64,2,FALSE)</f>
        <v/>
      </c>
      <c r="F121" s="3" t="n"/>
      <c r="G121" s="17626" t="n"/>
      <c r="H121" s="3">
        <f>IF(ROW()=5,F121-G121,H120+F121-G121)</f>
        <v/>
      </c>
      <c r="I121" s="4" t="n">
        <v>28.3</v>
      </c>
      <c r="J121" s="4">
        <f>IFERROR((F121+G121)*I121,0)</f>
        <v/>
      </c>
      <c r="M121">
        <f>IF(A121="","", _xludf.WEEKNUM(A121, 2))</f>
        <v/>
      </c>
      <c r="N121">
        <f>IF(A121="","", "CM-" &amp; IFERROR(VLOOKUP(C121, Catalogos!$Z$4:$AA$20, 2, FALSE), "FOL") &amp; "-" &amp; _xludf.WEEKNUM(A121, 2) &amp; "-" &amp; TEXT(ROW(A117),"000"))</f>
        <v/>
      </c>
    </row>
    <row r="122">
      <c r="A122" s="17625" t="n"/>
      <c r="E122">
        <f>VLOOKUP(TablaMarimba[[#This Row],[Equipo]],Catalogos!$V$4:$W$64,2,FALSE)</f>
        <v/>
      </c>
      <c r="F122" s="3" t="n"/>
      <c r="G122" s="17626" t="n"/>
      <c r="H122" s="3">
        <f>IF(ROW()=5,F122-G122,H121+F122-G122)</f>
        <v/>
      </c>
      <c r="I122" s="4" t="n">
        <v>28.3</v>
      </c>
      <c r="J122" s="4">
        <f>IFERROR((F122+G122)*I122,0)</f>
        <v/>
      </c>
      <c r="M122">
        <f>IF(A122="","", _xludf.WEEKNUM(A122, 2))</f>
        <v/>
      </c>
      <c r="N122">
        <f>IF(A122="","", "CM-" &amp; IFERROR(VLOOKUP(C122, Catalogos!$Z$4:$AA$20, 2, FALSE), "FOL") &amp; "-" &amp; _xludf.WEEKNUM(A122, 2) &amp; "-" &amp; TEXT(ROW(A118),"000"))</f>
        <v/>
      </c>
    </row>
    <row r="123">
      <c r="A123" s="17625" t="n"/>
      <c r="E123">
        <f>VLOOKUP(TablaMarimba[[#This Row],[Equipo]],Catalogos!$V$4:$W$64,2,FALSE)</f>
        <v/>
      </c>
      <c r="F123" s="3" t="n"/>
      <c r="G123" s="17626" t="n"/>
      <c r="H123" s="3">
        <f>IF(ROW()=5,F123-G123,H122+F123-G123)</f>
        <v/>
      </c>
      <c r="I123" s="4" t="n">
        <v>28.3</v>
      </c>
      <c r="J123" s="4">
        <f>IFERROR((F123+G123)*I123,0)</f>
        <v/>
      </c>
      <c r="M123">
        <f>IF(A123="","", _xludf.WEEKNUM(A123, 2))</f>
        <v/>
      </c>
      <c r="N123">
        <f>IF(A123="","", "CM-" &amp; IFERROR(VLOOKUP(C123, Catalogos!$Z$4:$AA$20, 2, FALSE), "FOL") &amp; "-" &amp; _xludf.WEEKNUM(A123, 2) &amp; "-" &amp; TEXT(ROW(A119),"000"))</f>
        <v/>
      </c>
    </row>
    <row r="124">
      <c r="A124" s="17625" t="n"/>
      <c r="E124">
        <f>VLOOKUP(TablaMarimba[[#This Row],[Equipo]],Catalogos!$V$4:$W$64,2,FALSE)</f>
        <v/>
      </c>
      <c r="F124" s="3" t="n"/>
      <c r="G124" s="17626" t="n"/>
      <c r="H124" s="3">
        <f>IF(ROW()=5,F124-G124,H123+F124-G124)</f>
        <v/>
      </c>
      <c r="I124" s="4" t="n">
        <v>28.3</v>
      </c>
      <c r="J124" s="4">
        <f>IFERROR((F124+G124)*I124,0)</f>
        <v/>
      </c>
      <c r="M124">
        <f>IF(A124="","", _xludf.WEEKNUM(A124, 2))</f>
        <v/>
      </c>
      <c r="N124">
        <f>IF(A124="","", "CM-" &amp; IFERROR(VLOOKUP(C124, Catalogos!$Z$4:$AA$20, 2, FALSE), "FOL") &amp; "-" &amp; _xludf.WEEKNUM(A124, 2) &amp; "-" &amp; TEXT(ROW(A120),"000"))</f>
        <v/>
      </c>
    </row>
    <row r="125">
      <c r="A125" s="17625" t="n"/>
      <c r="E125">
        <f>VLOOKUP(TablaMarimba[[#This Row],[Equipo]],Catalogos!$V$4:$W$64,2,FALSE)</f>
        <v/>
      </c>
      <c r="F125" s="3" t="n"/>
      <c r="G125" s="17626" t="n"/>
      <c r="H125" s="3">
        <f>IF(ROW()=5,F125-G125,H124+F125-G125)</f>
        <v/>
      </c>
      <c r="I125" s="4" t="n">
        <v>28.3</v>
      </c>
      <c r="J125" s="4">
        <f>IFERROR((F125+G125)*I125,0)</f>
        <v/>
      </c>
      <c r="M125">
        <f>IF(A125="","", _xludf.WEEKNUM(A125, 2))</f>
        <v/>
      </c>
      <c r="N125">
        <f>IF(A125="","", "CM-" &amp; IFERROR(VLOOKUP(C125, Catalogos!$Z$4:$AA$20, 2, FALSE), "FOL") &amp; "-" &amp; _xludf.WEEKNUM(A125, 2) &amp; "-" &amp; TEXT(ROW(A121),"000"))</f>
        <v/>
      </c>
    </row>
    <row r="126">
      <c r="A126" s="17625" t="n"/>
      <c r="E126">
        <f>VLOOKUP(TablaMarimba[[#This Row],[Equipo]],Catalogos!$V$4:$W$64,2,FALSE)</f>
        <v/>
      </c>
      <c r="F126" s="3" t="n"/>
      <c r="G126" s="17626" t="n"/>
      <c r="H126" s="3">
        <f>IF(ROW()=5,F126-G126,H125+F126-G126)</f>
        <v/>
      </c>
      <c r="I126" s="4" t="n">
        <v>28.3</v>
      </c>
      <c r="J126" s="4">
        <f>IFERROR((F126+G126)*I126,0)</f>
        <v/>
      </c>
      <c r="M126">
        <f>IF(A126="","", _xludf.WEEKNUM(A126, 2))</f>
        <v/>
      </c>
      <c r="N126">
        <f>IF(A126="","", "CM-" &amp; IFERROR(VLOOKUP(C126, Catalogos!$Z$4:$AA$20, 2, FALSE), "FOL") &amp; "-" &amp; _xludf.WEEKNUM(A126, 2) &amp; "-" &amp; TEXT(ROW(A122),"000"))</f>
        <v/>
      </c>
    </row>
    <row r="127">
      <c r="A127" s="17625" t="n"/>
      <c r="E127">
        <f>VLOOKUP(TablaMarimba[[#This Row],[Equipo]],Catalogos!$V$4:$W$64,2,FALSE)</f>
        <v/>
      </c>
      <c r="F127" s="3" t="n"/>
      <c r="G127" s="17626" t="n"/>
      <c r="H127" s="3">
        <f>IF(ROW()=5,F127-G127,H126+F127-G127)</f>
        <v/>
      </c>
      <c r="I127" s="4" t="n">
        <v>28.3</v>
      </c>
      <c r="J127" s="4">
        <f>IFERROR((F127+G127)*I127,0)</f>
        <v/>
      </c>
      <c r="M127">
        <f>IF(A127="","", _xludf.WEEKNUM(A127, 2))</f>
        <v/>
      </c>
      <c r="N127">
        <f>IF(A127="","", "CM-" &amp; IFERROR(VLOOKUP(C127, Catalogos!$Z$4:$AA$20, 2, FALSE), "FOL") &amp; "-" &amp; _xludf.WEEKNUM(A127, 2) &amp; "-" &amp; TEXT(ROW(A123),"000"))</f>
        <v/>
      </c>
    </row>
    <row r="128">
      <c r="A128" s="17625" t="n"/>
      <c r="E128">
        <f>VLOOKUP(TablaMarimba[[#This Row],[Equipo]],Catalogos!$V$4:$W$64,2,FALSE)</f>
        <v/>
      </c>
      <c r="F128" s="3" t="n"/>
      <c r="G128" s="17626" t="n"/>
      <c r="H128" s="3">
        <f>IF(ROW()=5,F128-G128,H127+F128-G128)</f>
        <v/>
      </c>
      <c r="I128" s="4" t="n">
        <v>28.3</v>
      </c>
      <c r="J128" s="4">
        <f>IFERROR((F128+G128)*I128,0)</f>
        <v/>
      </c>
      <c r="M128">
        <f>IF(A128="","", _xludf.WEEKNUM(A128, 2))</f>
        <v/>
      </c>
      <c r="N128">
        <f>IF(A128="","", "CM-" &amp; IFERROR(VLOOKUP(C128, Catalogos!$Z$4:$AA$20, 2, FALSE), "FOL") &amp; "-" &amp; _xludf.WEEKNUM(A128, 2) &amp; "-" &amp; TEXT(ROW(A124),"000"))</f>
        <v/>
      </c>
    </row>
    <row r="129">
      <c r="A129" s="17625" t="n"/>
      <c r="E129">
        <f>VLOOKUP(TablaMarimba[[#This Row],[Equipo]],Catalogos!$V$4:$W$64,2,FALSE)</f>
        <v/>
      </c>
      <c r="F129" s="3" t="n"/>
      <c r="G129" s="17626" t="n"/>
      <c r="H129" s="3">
        <f>IF(ROW()=5,F129-G129,H128+F129-G129)</f>
        <v/>
      </c>
      <c r="I129" s="4" t="n">
        <v>28.3</v>
      </c>
      <c r="J129" s="4">
        <f>IFERROR((F129+G129)*I129,0)</f>
        <v/>
      </c>
      <c r="M129">
        <f>IF(A129="","", _xludf.WEEKNUM(A129, 2))</f>
        <v/>
      </c>
      <c r="N129">
        <f>IF(A129="","", "CM-" &amp; IFERROR(VLOOKUP(C129, Catalogos!$Z$4:$AA$20, 2, FALSE), "FOL") &amp; "-" &amp; _xludf.WEEKNUM(A129, 2) &amp; "-" &amp; TEXT(ROW(A125),"000"))</f>
        <v/>
      </c>
    </row>
    <row r="130">
      <c r="A130" s="17625" t="n"/>
      <c r="E130">
        <f>VLOOKUP(TablaMarimba[[#This Row],[Equipo]],Catalogos!$V$4:$W$64,2,FALSE)</f>
        <v/>
      </c>
      <c r="F130" s="3" t="n"/>
      <c r="G130" s="17626" t="n"/>
      <c r="H130" s="3">
        <f>IF(ROW()=5,F130-G130,H129+F130-G130)</f>
        <v/>
      </c>
      <c r="I130" s="4" t="n">
        <v>28.3</v>
      </c>
      <c r="J130" s="4">
        <f>IFERROR((F130+G130)*I130,0)</f>
        <v/>
      </c>
      <c r="M130">
        <f>IF(A130="","", _xludf.WEEKNUM(A130, 2))</f>
        <v/>
      </c>
      <c r="N130">
        <f>IF(A130="","", "CM-" &amp; IFERROR(VLOOKUP(C130, Catalogos!$Z$4:$AA$20, 2, FALSE), "FOL") &amp; "-" &amp; _xludf.WEEKNUM(A130, 2) &amp; "-" &amp; TEXT(ROW(A126),"000"))</f>
        <v/>
      </c>
    </row>
    <row r="131">
      <c r="A131" s="17625" t="n"/>
      <c r="E131">
        <f>VLOOKUP(TablaMarimba[[#This Row],[Equipo]],Catalogos!$V$4:$W$64,2,FALSE)</f>
        <v/>
      </c>
      <c r="F131" s="3" t="n"/>
      <c r="G131" s="17626" t="n"/>
      <c r="H131" s="3">
        <f>IF(ROW()=5,F131-G131,H130+F131-G131)</f>
        <v/>
      </c>
      <c r="I131" s="4" t="n">
        <v>28.3</v>
      </c>
      <c r="J131" s="4">
        <f>IFERROR((F131+G131)*I131,0)</f>
        <v/>
      </c>
      <c r="M131">
        <f>IF(A131="","", _xludf.WEEKNUM(A131, 2))</f>
        <v/>
      </c>
      <c r="N131">
        <f>IF(A131="","", "CM-" &amp; IFERROR(VLOOKUP(C131, Catalogos!$Z$4:$AA$20, 2, FALSE), "FOL") &amp; "-" &amp; _xludf.WEEKNUM(A131, 2) &amp; "-" &amp; TEXT(ROW(A127),"000"))</f>
        <v/>
      </c>
    </row>
    <row r="132">
      <c r="A132" s="17625" t="n"/>
      <c r="E132">
        <f>VLOOKUP(TablaMarimba[[#This Row],[Equipo]],Catalogos!$V$4:$W$64,2,FALSE)</f>
        <v/>
      </c>
      <c r="F132" s="3" t="n"/>
      <c r="G132" s="17626" t="n"/>
      <c r="H132" s="3">
        <f>IF(ROW()=5,F132-G132,H131+F132-G132)</f>
        <v/>
      </c>
      <c r="I132" s="4" t="n">
        <v>28.3</v>
      </c>
      <c r="J132" s="4">
        <f>IFERROR((F132+G132)*I132,0)</f>
        <v/>
      </c>
      <c r="M132">
        <f>IF(A132="","", _xludf.WEEKNUM(A132, 2))</f>
        <v/>
      </c>
      <c r="N132">
        <f>IF(A132="","", "CM-" &amp; IFERROR(VLOOKUP(C132, Catalogos!$Z$4:$AA$20, 2, FALSE), "FOL") &amp; "-" &amp; _xludf.WEEKNUM(A132, 2) &amp; "-" &amp; TEXT(ROW(A128),"000"))</f>
        <v/>
      </c>
    </row>
    <row r="133">
      <c r="A133" s="17625" t="n"/>
      <c r="E133">
        <f>VLOOKUP(TablaMarimba[[#This Row],[Equipo]],Catalogos!$V$4:$W$64,2,FALSE)</f>
        <v/>
      </c>
      <c r="F133" s="3" t="n"/>
      <c r="G133" s="17626" t="n"/>
      <c r="H133" s="3">
        <f>IF(ROW()=5,F133-G133,H132+F133-G133)</f>
        <v/>
      </c>
      <c r="I133" s="4" t="n">
        <v>28.3</v>
      </c>
      <c r="J133" s="4">
        <f>IFERROR((F133+G133)*I133,0)</f>
        <v/>
      </c>
      <c r="M133">
        <f>IF(A133="","", _xludf.WEEKNUM(A133, 2))</f>
        <v/>
      </c>
      <c r="N133">
        <f>IF(A133="","", "CM-" &amp; IFERROR(VLOOKUP(C133, Catalogos!$Z$4:$AA$20, 2, FALSE), "FOL") &amp; "-" &amp; _xludf.WEEKNUM(A133, 2) &amp; "-" &amp; TEXT(ROW(A129),"000"))</f>
        <v/>
      </c>
    </row>
    <row r="134">
      <c r="A134" s="17625" t="n"/>
      <c r="E134">
        <f>VLOOKUP(TablaMarimba[[#This Row],[Equipo]],Catalogos!$V$4:$W$64,2,FALSE)</f>
        <v/>
      </c>
      <c r="F134" s="3" t="n"/>
      <c r="G134" s="17626" t="n"/>
      <c r="H134" s="3">
        <f>IF(ROW()=5,F134-G134,H133+F134-G134)</f>
        <v/>
      </c>
      <c r="I134" s="4" t="n">
        <v>28.3</v>
      </c>
      <c r="J134" s="4">
        <f>IFERROR((F134+G134)*I134,0)</f>
        <v/>
      </c>
      <c r="M134">
        <f>IF(A134="","", _xludf.WEEKNUM(A134, 2))</f>
        <v/>
      </c>
      <c r="N134">
        <f>IF(A134="","", "CM-" &amp; IFERROR(VLOOKUP(C134, Catalogos!$Z$4:$AA$20, 2, FALSE), "FOL") &amp; "-" &amp; _xludf.WEEKNUM(A134, 2) &amp; "-" &amp; TEXT(ROW(A130),"000"))</f>
        <v/>
      </c>
    </row>
    <row r="135">
      <c r="A135" s="17625" t="n"/>
      <c r="E135">
        <f>VLOOKUP(TablaMarimba[[#This Row],[Equipo]],Catalogos!$V$4:$W$64,2,FALSE)</f>
        <v/>
      </c>
      <c r="F135" s="3" t="n"/>
      <c r="G135" s="17626" t="n"/>
      <c r="H135" s="3">
        <f>IF(ROW()=5,F135-G135,H134+F135-G135)</f>
        <v/>
      </c>
      <c r="I135" s="4" t="n">
        <v>28.3</v>
      </c>
      <c r="J135" s="4">
        <f>IFERROR((F135+G135)*I135,0)</f>
        <v/>
      </c>
      <c r="M135">
        <f>IF(A135="","", _xludf.WEEKNUM(A135, 2))</f>
        <v/>
      </c>
      <c r="N135">
        <f>IF(A135="","", "CM-" &amp; IFERROR(VLOOKUP(C135, Catalogos!$Z$4:$AA$20, 2, FALSE), "FOL") &amp; "-" &amp; _xludf.WEEKNUM(A135, 2) &amp; "-" &amp; TEXT(ROW(A131),"000"))</f>
        <v/>
      </c>
    </row>
    <row r="136">
      <c r="A136" s="17625" t="n"/>
      <c r="E136">
        <f>VLOOKUP(TablaMarimba[[#This Row],[Equipo]],Catalogos!$V$4:$W$64,2,FALSE)</f>
        <v/>
      </c>
      <c r="F136" s="3" t="n"/>
      <c r="G136" s="17626" t="n"/>
      <c r="H136" s="3">
        <f>IF(ROW()=5,F136-G136,H135+F136-G136)</f>
        <v/>
      </c>
      <c r="I136" s="4" t="n">
        <v>28.3</v>
      </c>
      <c r="J136" s="4">
        <f>IFERROR((F136+G136)*I136,0)</f>
        <v/>
      </c>
      <c r="M136">
        <f>IF(A136="","", _xludf.WEEKNUM(A136, 2))</f>
        <v/>
      </c>
      <c r="N136">
        <f>IF(A136="","", "CM-" &amp; IFERROR(VLOOKUP(C136, Catalogos!$Z$4:$AA$20, 2, FALSE), "FOL") &amp; "-" &amp; _xludf.WEEKNUM(A136, 2) &amp; "-" &amp; TEXT(ROW(A132),"000"))</f>
        <v/>
      </c>
    </row>
    <row r="137">
      <c r="A137" s="17625" t="n"/>
      <c r="E137">
        <f>VLOOKUP(TablaMarimba[[#This Row],[Equipo]],Catalogos!$V$4:$W$64,2,FALSE)</f>
        <v/>
      </c>
      <c r="F137" s="3" t="n"/>
      <c r="G137" s="17626" t="n"/>
      <c r="H137" s="3">
        <f>IF(ROW()=5,F137-G137,H136+F137-G137)</f>
        <v/>
      </c>
      <c r="I137" s="4" t="n">
        <v>28.3</v>
      </c>
      <c r="J137" s="4">
        <f>IFERROR((F137+G137)*I137,0)</f>
        <v/>
      </c>
      <c r="M137">
        <f>IF(A137="","", _xludf.WEEKNUM(A137, 2))</f>
        <v/>
      </c>
      <c r="N137">
        <f>IF(A137="","", "CM-" &amp; IFERROR(VLOOKUP(C137, Catalogos!$Z$4:$AA$20, 2, FALSE), "FOL") &amp; "-" &amp; _xludf.WEEKNUM(A137, 2) &amp; "-" &amp; TEXT(ROW(A133),"000"))</f>
        <v/>
      </c>
    </row>
    <row r="138">
      <c r="A138" s="17625" t="n"/>
      <c r="E138">
        <f>VLOOKUP(TablaMarimba[[#This Row],[Equipo]],Catalogos!$V$4:$W$64,2,FALSE)</f>
        <v/>
      </c>
      <c r="F138" s="3" t="n"/>
      <c r="G138" s="17626" t="n"/>
      <c r="H138" s="3">
        <f>IF(ROW()=5,F138-G138,H137+F138-G138)</f>
        <v/>
      </c>
      <c r="I138" s="4" t="n">
        <v>28.3</v>
      </c>
      <c r="J138" s="4">
        <f>IFERROR((F138+G138)*I138,0)</f>
        <v/>
      </c>
      <c r="M138">
        <f>IF(A138="","", _xludf.WEEKNUM(A138, 2))</f>
        <v/>
      </c>
      <c r="N138">
        <f>IF(A138="","", "CM-" &amp; IFERROR(VLOOKUP(C138, Catalogos!$Z$4:$AA$20, 2, FALSE), "FOL") &amp; "-" &amp; _xludf.WEEKNUM(A138, 2) &amp; "-" &amp; TEXT(ROW(A134),"000"))</f>
        <v/>
      </c>
    </row>
    <row r="139">
      <c r="A139" s="17625" t="n"/>
      <c r="E139">
        <f>VLOOKUP(TablaMarimba[[#This Row],[Equipo]],Catalogos!$V$4:$W$64,2,FALSE)</f>
        <v/>
      </c>
      <c r="F139" s="3" t="n"/>
      <c r="G139" s="17626" t="n"/>
      <c r="H139" s="3">
        <f>IF(ROW()=5,F139-G139,H138+F139-G139)</f>
        <v/>
      </c>
      <c r="I139" s="4" t="n">
        <v>28.3</v>
      </c>
      <c r="J139" s="4">
        <f>IFERROR((F139+G139)*I139,0)</f>
        <v/>
      </c>
      <c r="M139">
        <f>IF(A139="","", _xludf.WEEKNUM(A139, 2))</f>
        <v/>
      </c>
      <c r="N139">
        <f>IF(A139="","", "CM-" &amp; IFERROR(VLOOKUP(C139, Catalogos!$Z$4:$AA$20, 2, FALSE), "FOL") &amp; "-" &amp; _xludf.WEEKNUM(A139, 2) &amp; "-" &amp; TEXT(ROW(A135),"000"))</f>
        <v/>
      </c>
    </row>
    <row r="140">
      <c r="A140" s="17625" t="n"/>
      <c r="E140">
        <f>VLOOKUP(TablaMarimba[[#This Row],[Equipo]],Catalogos!$V$4:$W$64,2,FALSE)</f>
        <v/>
      </c>
      <c r="F140" s="3" t="n"/>
      <c r="G140" s="17626" t="n"/>
      <c r="H140" s="3">
        <f>IF(ROW()=5,F140-G140,H139+F140-G140)</f>
        <v/>
      </c>
      <c r="I140" s="4" t="n">
        <v>28.3</v>
      </c>
      <c r="J140" s="4">
        <f>IFERROR((F140+G140)*I140,0)</f>
        <v/>
      </c>
      <c r="M140">
        <f>IF(A140="","", _xludf.WEEKNUM(A140, 2))</f>
        <v/>
      </c>
      <c r="N140">
        <f>IF(A140="","", "CM-" &amp; IFERROR(VLOOKUP(C140, Catalogos!$Z$4:$AA$20, 2, FALSE), "FOL") &amp; "-" &amp; _xludf.WEEKNUM(A140, 2) &amp; "-" &amp; TEXT(ROW(A136),"000"))</f>
        <v/>
      </c>
    </row>
    <row r="141">
      <c r="A141" s="17625" t="n"/>
      <c r="E141">
        <f>VLOOKUP(TablaMarimba[[#This Row],[Equipo]],Catalogos!$V$4:$W$64,2,FALSE)</f>
        <v/>
      </c>
      <c r="F141" s="3" t="n"/>
      <c r="G141" s="17626" t="n"/>
      <c r="H141" s="3">
        <f>IF(ROW()=5,F141-G141,H140+F141-G141)</f>
        <v/>
      </c>
      <c r="I141" s="4" t="n">
        <v>28.3</v>
      </c>
      <c r="J141" s="4">
        <f>IFERROR((F141+G141)*I141,0)</f>
        <v/>
      </c>
      <c r="M141">
        <f>IF(A141="","", _xludf.WEEKNUM(A141, 2))</f>
        <v/>
      </c>
      <c r="N141">
        <f>IF(A141="","", "CM-" &amp; IFERROR(VLOOKUP(C141, Catalogos!$Z$4:$AA$20, 2, FALSE), "FOL") &amp; "-" &amp; _xludf.WEEKNUM(A141, 2) &amp; "-" &amp; TEXT(ROW(A137),"000"))</f>
        <v/>
      </c>
    </row>
    <row r="142">
      <c r="A142" s="17625" t="n"/>
      <c r="E142">
        <f>VLOOKUP(TablaMarimba[[#This Row],[Equipo]],Catalogos!$V$4:$W$64,2,FALSE)</f>
        <v/>
      </c>
      <c r="F142" s="3" t="n"/>
      <c r="G142" s="17626" t="n"/>
      <c r="H142" s="3">
        <f>IF(ROW()=5,F142-G142,H141+F142-G142)</f>
        <v/>
      </c>
      <c r="I142" s="4" t="n">
        <v>28.3</v>
      </c>
      <c r="J142" s="4">
        <f>IFERROR((F142+G142)*I142,0)</f>
        <v/>
      </c>
      <c r="M142">
        <f>IF(A142="","", _xludf.WEEKNUM(A142, 2))</f>
        <v/>
      </c>
      <c r="N142">
        <f>IF(A142="","", "CM-" &amp; IFERROR(VLOOKUP(C142, Catalogos!$Z$4:$AA$20, 2, FALSE), "FOL") &amp; "-" &amp; _xludf.WEEKNUM(A142, 2) &amp; "-" &amp; TEXT(ROW(A138),"000"))</f>
        <v/>
      </c>
    </row>
    <row r="143">
      <c r="A143" s="17625" t="n"/>
      <c r="E143">
        <f>VLOOKUP(TablaMarimba[[#This Row],[Equipo]],Catalogos!$V$4:$W$64,2,FALSE)</f>
        <v/>
      </c>
      <c r="F143" s="3" t="n"/>
      <c r="G143" s="17626" t="n"/>
      <c r="H143" s="3">
        <f>IF(ROW()=5,F143-G143,H142+F143-G143)</f>
        <v/>
      </c>
      <c r="I143" s="4" t="n">
        <v>28.3</v>
      </c>
      <c r="J143" s="4">
        <f>IFERROR((F143+G143)*I143,0)</f>
        <v/>
      </c>
      <c r="M143">
        <f>IF(A143="","", _xludf.WEEKNUM(A143, 2))</f>
        <v/>
      </c>
      <c r="N143">
        <f>IF(A143="","", "CM-" &amp; IFERROR(VLOOKUP(C143, Catalogos!$Z$4:$AA$20, 2, FALSE), "FOL") &amp; "-" &amp; _xludf.WEEKNUM(A143, 2) &amp; "-" &amp; TEXT(ROW(A139),"000"))</f>
        <v/>
      </c>
    </row>
    <row r="144">
      <c r="A144" s="17625" t="n"/>
      <c r="E144">
        <f>VLOOKUP(TablaMarimba[[#This Row],[Equipo]],Catalogos!$V$4:$W$64,2,FALSE)</f>
        <v/>
      </c>
      <c r="F144" s="3" t="n"/>
      <c r="G144" s="17626" t="n"/>
      <c r="H144" s="3">
        <f>IF(ROW()=5,F144-G144,H143+F144-G144)</f>
        <v/>
      </c>
      <c r="I144" s="4" t="n">
        <v>28.3</v>
      </c>
      <c r="J144" s="4">
        <f>IFERROR((F144+G144)*I144,0)</f>
        <v/>
      </c>
      <c r="M144">
        <f>IF(A144="","", _xludf.WEEKNUM(A144, 2))</f>
        <v/>
      </c>
      <c r="N144">
        <f>IF(A144="","", "CM-" &amp; IFERROR(VLOOKUP(C144, Catalogos!$Z$4:$AA$20, 2, FALSE), "FOL") &amp; "-" &amp; _xludf.WEEKNUM(A144, 2) &amp; "-" &amp; TEXT(ROW(A140),"000"))</f>
        <v/>
      </c>
    </row>
    <row r="145">
      <c r="A145" s="17625" t="n"/>
      <c r="E145">
        <f>VLOOKUP(TablaMarimba[[#This Row],[Equipo]],Catalogos!$V$4:$W$64,2,FALSE)</f>
        <v/>
      </c>
      <c r="F145" s="3" t="n"/>
      <c r="G145" s="17626" t="n"/>
      <c r="H145" s="3">
        <f>IF(ROW()=5,F145-G145,H144+F145-G145)</f>
        <v/>
      </c>
      <c r="I145" s="4" t="n">
        <v>28.3</v>
      </c>
      <c r="J145" s="4">
        <f>IFERROR((F145+G145)*I145,0)</f>
        <v/>
      </c>
      <c r="M145">
        <f>IF(A145="","", _xludf.WEEKNUM(A145, 2))</f>
        <v/>
      </c>
      <c r="N145">
        <f>IF(A145="","", "CM-" &amp; IFERROR(VLOOKUP(C145, Catalogos!$Z$4:$AA$20, 2, FALSE), "FOL") &amp; "-" &amp; _xludf.WEEKNUM(A145, 2) &amp; "-" &amp; TEXT(ROW(A141),"000"))</f>
        <v/>
      </c>
    </row>
    <row r="146">
      <c r="A146" s="17625" t="n"/>
      <c r="E146">
        <f>VLOOKUP(TablaMarimba[[#This Row],[Equipo]],Catalogos!$V$4:$W$64,2,FALSE)</f>
        <v/>
      </c>
      <c r="F146" s="3" t="n"/>
      <c r="G146" s="17626" t="n"/>
      <c r="H146" s="3">
        <f>IF(ROW()=5,F146-G146,H145+F146-G146)</f>
        <v/>
      </c>
      <c r="I146" s="4" t="n">
        <v>28.3</v>
      </c>
      <c r="J146" s="4">
        <f>IFERROR((F146+G146)*I146,0)</f>
        <v/>
      </c>
      <c r="M146">
        <f>IF(A146="","", _xludf.WEEKNUM(A146, 2))</f>
        <v/>
      </c>
      <c r="N146">
        <f>IF(A146="","", "CM-" &amp; IFERROR(VLOOKUP(C146, Catalogos!$Z$4:$AA$20, 2, FALSE), "FOL") &amp; "-" &amp; _xludf.WEEKNUM(A146, 2) &amp; "-" &amp; TEXT(ROW(A142),"000"))</f>
        <v/>
      </c>
    </row>
    <row r="147">
      <c r="A147" s="17625" t="n"/>
      <c r="E147">
        <f>VLOOKUP(TablaMarimba[[#This Row],[Equipo]],Catalogos!$V$4:$W$64,2,FALSE)</f>
        <v/>
      </c>
      <c r="F147" s="3" t="n"/>
      <c r="G147" s="17626" t="n"/>
      <c r="H147" s="3">
        <f>IF(ROW()=5,F147-G147,H146+F147-G147)</f>
        <v/>
      </c>
      <c r="I147" s="4" t="n">
        <v>28.3</v>
      </c>
      <c r="J147" s="4">
        <f>IFERROR((F147+G147)*I147,0)</f>
        <v/>
      </c>
      <c r="M147">
        <f>IF(A147="","", _xludf.WEEKNUM(A147, 2))</f>
        <v/>
      </c>
      <c r="N147">
        <f>IF(A147="","", "CM-" &amp; IFERROR(VLOOKUP(C147, Catalogos!$Z$4:$AA$20, 2, FALSE), "FOL") &amp; "-" &amp; _xludf.WEEKNUM(A147, 2) &amp; "-" &amp; TEXT(ROW(A143),"000"))</f>
        <v/>
      </c>
    </row>
    <row r="148">
      <c r="A148" s="17625" t="n"/>
      <c r="E148">
        <f>VLOOKUP(TablaMarimba[[#This Row],[Equipo]],Catalogos!$V$4:$W$64,2,FALSE)</f>
        <v/>
      </c>
      <c r="F148" s="3" t="n"/>
      <c r="G148" s="17626" t="n"/>
      <c r="H148" s="3">
        <f>IF(ROW()=5,F148-G148,H147+F148-G148)</f>
        <v/>
      </c>
      <c r="I148" s="4" t="n">
        <v>28.3</v>
      </c>
      <c r="J148" s="4">
        <f>IFERROR((F148+G148)*I148,0)</f>
        <v/>
      </c>
      <c r="M148">
        <f>IF(A148="","", _xludf.WEEKNUM(A148, 2))</f>
        <v/>
      </c>
      <c r="N148">
        <f>IF(A148="","", "CM-" &amp; IFERROR(VLOOKUP(C148, Catalogos!$Z$4:$AA$20, 2, FALSE), "FOL") &amp; "-" &amp; _xludf.WEEKNUM(A148, 2) &amp; "-" &amp; TEXT(ROW(A144),"000"))</f>
        <v/>
      </c>
    </row>
    <row r="149">
      <c r="A149" s="17625" t="n"/>
      <c r="E149">
        <f>VLOOKUP(TablaMarimba[[#This Row],[Equipo]],Catalogos!$V$4:$W$64,2,FALSE)</f>
        <v/>
      </c>
      <c r="F149" s="3" t="n"/>
      <c r="G149" s="17626" t="n"/>
      <c r="H149" s="3">
        <f>IF(ROW()=5,F149-G149,H148+F149-G149)</f>
        <v/>
      </c>
      <c r="I149" s="4" t="n">
        <v>28.3</v>
      </c>
      <c r="J149" s="4">
        <f>IFERROR((F149+G149)*I149,0)</f>
        <v/>
      </c>
      <c r="M149">
        <f>IF(A149="","", _xludf.WEEKNUM(A149, 2))</f>
        <v/>
      </c>
      <c r="N149">
        <f>IF(A149="","", "CM-" &amp; IFERROR(VLOOKUP(C149, Catalogos!$Z$4:$AA$20, 2, FALSE), "FOL") &amp; "-" &amp; _xludf.WEEKNUM(A149, 2) &amp; "-" &amp; TEXT(ROW(A145),"000"))</f>
        <v/>
      </c>
    </row>
    <row r="150">
      <c r="A150" s="17625" t="n"/>
      <c r="E150">
        <f>VLOOKUP(TablaMarimba[[#This Row],[Equipo]],Catalogos!$V$4:$W$64,2,FALSE)</f>
        <v/>
      </c>
      <c r="F150" s="3" t="n"/>
      <c r="G150" s="17626" t="n"/>
      <c r="H150" s="3">
        <f>IF(ROW()=5,F150-G150,H149+F150-G150)</f>
        <v/>
      </c>
      <c r="I150" s="4" t="n">
        <v>28.3</v>
      </c>
      <c r="J150" s="4">
        <f>IFERROR((F150+G150)*I150,0)</f>
        <v/>
      </c>
      <c r="M150">
        <f>IF(A150="","", _xludf.WEEKNUM(A150, 2))</f>
        <v/>
      </c>
      <c r="N150">
        <f>IF(A150="","", "CM-" &amp; IFERROR(VLOOKUP(C150, Catalogos!$Z$4:$AA$20, 2, FALSE), "FOL") &amp; "-" &amp; _xludf.WEEKNUM(A150, 2) &amp; "-" &amp; TEXT(ROW(A146),"000"))</f>
        <v/>
      </c>
    </row>
    <row r="151">
      <c r="A151" s="17625" t="n"/>
      <c r="E151">
        <f>VLOOKUP(TablaMarimba[[#This Row],[Equipo]],Catalogos!$V$4:$W$64,2,FALSE)</f>
        <v/>
      </c>
      <c r="F151" s="3" t="n"/>
      <c r="G151" s="17626" t="n"/>
      <c r="H151" s="3">
        <f>IF(ROW()=5,F151-G151,H150+F151-G151)</f>
        <v/>
      </c>
      <c r="I151" s="4" t="n">
        <v>28.3</v>
      </c>
      <c r="J151" s="4">
        <f>IFERROR((F151+G151)*I151,0)</f>
        <v/>
      </c>
      <c r="M151">
        <f>IF(A151="","", _xludf.WEEKNUM(A151, 2))</f>
        <v/>
      </c>
      <c r="N151">
        <f>IF(A151="","", "CM-" &amp; IFERROR(VLOOKUP(C151, Catalogos!$Z$4:$AA$20, 2, FALSE), "FOL") &amp; "-" &amp; _xludf.WEEKNUM(A151, 2) &amp; "-" &amp; TEXT(ROW(A147),"000"))</f>
        <v/>
      </c>
    </row>
    <row r="152">
      <c r="A152" s="17625" t="n"/>
      <c r="E152">
        <f>VLOOKUP(TablaMarimba[[#This Row],[Equipo]],Catalogos!$V$4:$W$64,2,FALSE)</f>
        <v/>
      </c>
      <c r="F152" s="3" t="n"/>
      <c r="G152" s="17626" t="n"/>
      <c r="H152" s="3">
        <f>IF(ROW()=5,F152-G152,H151+F152-G152)</f>
        <v/>
      </c>
      <c r="I152" s="4" t="n">
        <v>28.3</v>
      </c>
      <c r="J152" s="4">
        <f>IFERROR((F152+G152)*I152,0)</f>
        <v/>
      </c>
      <c r="M152">
        <f>IF(A152="","", _xludf.WEEKNUM(A152, 2))</f>
        <v/>
      </c>
      <c r="N152">
        <f>IF(A152="","", "CM-" &amp; IFERROR(VLOOKUP(C152, Catalogos!$Z$4:$AA$20, 2, FALSE), "FOL") &amp; "-" &amp; _xludf.WEEKNUM(A152, 2) &amp; "-" &amp; TEXT(ROW(A148),"000"))</f>
        <v/>
      </c>
    </row>
    <row r="153">
      <c r="A153" s="17625" t="n"/>
      <c r="E153">
        <f>VLOOKUP(TablaMarimba[[#This Row],[Equipo]],Catalogos!$V$4:$W$64,2,FALSE)</f>
        <v/>
      </c>
      <c r="F153" s="3" t="n"/>
      <c r="G153" s="17626" t="n"/>
      <c r="H153" s="3">
        <f>IF(ROW()=5,F153-G153,H152+F153-G153)</f>
        <v/>
      </c>
      <c r="I153" s="4" t="n">
        <v>28.3</v>
      </c>
      <c r="J153" s="4">
        <f>IFERROR((F153+G153)*I153,0)</f>
        <v/>
      </c>
      <c r="M153">
        <f>IF(A153="","", _xludf.WEEKNUM(A153, 2))</f>
        <v/>
      </c>
      <c r="N153">
        <f>IF(A153="","", "CM-" &amp; IFERROR(VLOOKUP(C153, Catalogos!$Z$4:$AA$20, 2, FALSE), "FOL") &amp; "-" &amp; _xludf.WEEKNUM(A153, 2) &amp; "-" &amp; TEXT(ROW(A149),"000"))</f>
        <v/>
      </c>
    </row>
    <row r="154">
      <c r="A154" s="17625" t="n"/>
      <c r="E154">
        <f>VLOOKUP(TablaMarimba[[#This Row],[Equipo]],Catalogos!$V$4:$W$64,2,FALSE)</f>
        <v/>
      </c>
      <c r="F154" s="3" t="n"/>
      <c r="G154" s="17626" t="n"/>
      <c r="H154" s="3">
        <f>IF(ROW()=5,F154-G154,H153+F154-G154)</f>
        <v/>
      </c>
      <c r="I154" s="4" t="n">
        <v>28.3</v>
      </c>
      <c r="J154" s="4">
        <f>IFERROR((F154+G154)*I154,0)</f>
        <v/>
      </c>
      <c r="M154">
        <f>IF(A154="","", _xludf.WEEKNUM(A154, 2))</f>
        <v/>
      </c>
      <c r="N154">
        <f>IF(A154="","", "CM-" &amp; IFERROR(VLOOKUP(C154, Catalogos!$Z$4:$AA$20, 2, FALSE), "FOL") &amp; "-" &amp; _xludf.WEEKNUM(A154, 2) &amp; "-" &amp; TEXT(ROW(A150),"000"))</f>
        <v/>
      </c>
    </row>
    <row r="155">
      <c r="A155" s="17625" t="n"/>
      <c r="E155">
        <f>VLOOKUP(TablaMarimba[[#This Row],[Equipo]],Catalogos!$V$4:$W$64,2,FALSE)</f>
        <v/>
      </c>
      <c r="F155" s="3" t="n"/>
      <c r="G155" s="17626" t="n"/>
      <c r="H155" s="3">
        <f>IF(ROW()=5,F155-G155,H154+F155-G155)</f>
        <v/>
      </c>
      <c r="I155" s="4" t="n">
        <v>28.3</v>
      </c>
      <c r="J155" s="4">
        <f>IFERROR((F155+G155)*I155,0)</f>
        <v/>
      </c>
      <c r="M155">
        <f>IF(A155="","", _xludf.WEEKNUM(A155, 2))</f>
        <v/>
      </c>
      <c r="N155">
        <f>IF(A155="","", "CM-" &amp; IFERROR(VLOOKUP(C155, Catalogos!$Z$4:$AA$20, 2, FALSE), "FOL") &amp; "-" &amp; _xludf.WEEKNUM(A155, 2) &amp; "-" &amp; TEXT(ROW(A151),"000"))</f>
        <v/>
      </c>
    </row>
    <row r="156">
      <c r="A156" s="17625" t="n"/>
      <c r="E156">
        <f>VLOOKUP(TablaMarimba[[#This Row],[Equipo]],Catalogos!$V$4:$W$64,2,FALSE)</f>
        <v/>
      </c>
      <c r="F156" s="3" t="n"/>
      <c r="G156" s="17626" t="n"/>
      <c r="H156" s="3">
        <f>IF(ROW()=5,F156-G156,H155+F156-G156)</f>
        <v/>
      </c>
      <c r="I156" s="4" t="n">
        <v>28.3</v>
      </c>
      <c r="J156" s="4">
        <f>IFERROR((F156+G156)*I156,0)</f>
        <v/>
      </c>
      <c r="M156">
        <f>IF(A156="","", _xludf.WEEKNUM(A156, 2))</f>
        <v/>
      </c>
      <c r="N156">
        <f>IF(A156="","", "CM-" &amp; IFERROR(VLOOKUP(C156, Catalogos!$Z$4:$AA$20, 2, FALSE), "FOL") &amp; "-" &amp; _xludf.WEEKNUM(A156, 2) &amp; "-" &amp; TEXT(ROW(A152),"000"))</f>
        <v/>
      </c>
    </row>
    <row r="157">
      <c r="A157" s="17625" t="n"/>
      <c r="E157">
        <f>VLOOKUP(TablaMarimba[[#This Row],[Equipo]],Catalogos!$V$4:$W$64,2,FALSE)</f>
        <v/>
      </c>
      <c r="F157" s="3" t="n"/>
      <c r="G157" s="17626" t="n"/>
      <c r="H157" s="3">
        <f>IF(ROW()=5,F157-G157,H156+F157-G157)</f>
        <v/>
      </c>
      <c r="I157" s="4" t="n">
        <v>28.3</v>
      </c>
      <c r="J157" s="4">
        <f>IFERROR((F157+G157)*I157,0)</f>
        <v/>
      </c>
      <c r="M157">
        <f>IF(A157="","", _xludf.WEEKNUM(A157, 2))</f>
        <v/>
      </c>
      <c r="N157">
        <f>IF(A157="","", "CM-" &amp; IFERROR(VLOOKUP(C157, Catalogos!$Z$4:$AA$20, 2, FALSE), "FOL") &amp; "-" &amp; _xludf.WEEKNUM(A157, 2) &amp; "-" &amp; TEXT(ROW(A153),"000"))</f>
        <v/>
      </c>
    </row>
    <row r="158">
      <c r="A158" s="17625" t="n"/>
      <c r="E158">
        <f>VLOOKUP(TablaMarimba[[#This Row],[Equipo]],Catalogos!$V$4:$W$64,2,FALSE)</f>
        <v/>
      </c>
      <c r="F158" s="3" t="n"/>
      <c r="G158" s="17626" t="n"/>
      <c r="H158" s="3">
        <f>IF(ROW()=5,F158-G158,H157+F158-G158)</f>
        <v/>
      </c>
      <c r="I158" s="4" t="n">
        <v>28.3</v>
      </c>
      <c r="J158" s="4">
        <f>IFERROR((F158+G158)*I158,0)</f>
        <v/>
      </c>
      <c r="M158">
        <f>IF(A158="","", _xludf.WEEKNUM(A158, 2))</f>
        <v/>
      </c>
      <c r="N158">
        <f>IF(A158="","", "CM-" &amp; IFERROR(VLOOKUP(C158, Catalogos!$Z$4:$AA$20, 2, FALSE), "FOL") &amp; "-" &amp; _xludf.WEEKNUM(A158, 2) &amp; "-" &amp; TEXT(ROW(A154),"000"))</f>
        <v/>
      </c>
    </row>
    <row r="159">
      <c r="A159" s="17625" t="n"/>
      <c r="E159">
        <f>VLOOKUP(TablaMarimba[[#This Row],[Equipo]],Catalogos!$V$4:$W$64,2,FALSE)</f>
        <v/>
      </c>
      <c r="F159" s="3" t="n"/>
      <c r="G159" s="17626" t="n"/>
      <c r="H159" s="3">
        <f>IF(ROW()=5,F159-G159,H158+F159-G159)</f>
        <v/>
      </c>
      <c r="I159" s="4" t="n">
        <v>28.3</v>
      </c>
      <c r="J159" s="4">
        <f>IFERROR((F159+G159)*I159,0)</f>
        <v/>
      </c>
      <c r="M159">
        <f>IF(A159="","", _xludf.WEEKNUM(A159, 2))</f>
        <v/>
      </c>
      <c r="N159">
        <f>IF(A159="","", "CM-" &amp; IFERROR(VLOOKUP(C159, Catalogos!$Z$4:$AA$20, 2, FALSE), "FOL") &amp; "-" &amp; _xludf.WEEKNUM(A159, 2) &amp; "-" &amp; TEXT(ROW(A155),"000"))</f>
        <v/>
      </c>
    </row>
    <row r="160">
      <c r="A160" s="17625" t="n"/>
      <c r="E160">
        <f>VLOOKUP(TablaMarimba[[#This Row],[Equipo]],Catalogos!$V$4:$W$64,2,FALSE)</f>
        <v/>
      </c>
      <c r="F160" s="3" t="n"/>
      <c r="G160" s="17626" t="n"/>
      <c r="H160" s="3">
        <f>IF(ROW()=5,F160-G160,H159+F160-G160)</f>
        <v/>
      </c>
      <c r="I160" s="4" t="n">
        <v>28.3</v>
      </c>
      <c r="J160" s="4">
        <f>IFERROR((F160+G160)*I160,0)</f>
        <v/>
      </c>
      <c r="M160">
        <f>IF(A160="","", _xludf.WEEKNUM(A160, 2))</f>
        <v/>
      </c>
      <c r="N160">
        <f>IF(A160="","", "CM-" &amp; IFERROR(VLOOKUP(C160, Catalogos!$Z$4:$AA$20, 2, FALSE), "FOL") &amp; "-" &amp; _xludf.WEEKNUM(A160, 2) &amp; "-" &amp; TEXT(ROW(A156),"000"))</f>
        <v/>
      </c>
    </row>
    <row r="161">
      <c r="A161" s="17625" t="n"/>
      <c r="E161">
        <f>VLOOKUP(TablaMarimba[[#This Row],[Equipo]],Catalogos!$V$4:$W$64,2,FALSE)</f>
        <v/>
      </c>
      <c r="F161" s="3" t="n"/>
      <c r="G161" s="17626" t="n"/>
      <c r="H161" s="3">
        <f>IF(ROW()=5,F161-G161,H160+F161-G161)</f>
        <v/>
      </c>
      <c r="I161" s="4" t="n">
        <v>28.3</v>
      </c>
      <c r="J161" s="4">
        <f>IFERROR((F161+G161)*I161,0)</f>
        <v/>
      </c>
      <c r="M161">
        <f>IF(A161="","", _xludf.WEEKNUM(A161, 2))</f>
        <v/>
      </c>
      <c r="N161">
        <f>IF(A161="","", "CM-" &amp; IFERROR(VLOOKUP(C161, Catalogos!$Z$4:$AA$20, 2, FALSE), "FOL") &amp; "-" &amp; _xludf.WEEKNUM(A161, 2) &amp; "-" &amp; TEXT(ROW(A157),"000"))</f>
        <v/>
      </c>
    </row>
    <row r="162">
      <c r="A162" s="17625" t="n"/>
      <c r="E162">
        <f>VLOOKUP(TablaMarimba[[#This Row],[Equipo]],Catalogos!$V$4:$W$64,2,FALSE)</f>
        <v/>
      </c>
      <c r="F162" s="3" t="n"/>
      <c r="G162" s="17626" t="n"/>
      <c r="H162" s="3">
        <f>IF(ROW()=5,F162-G162,H161+F162-G162)</f>
        <v/>
      </c>
      <c r="I162" s="4" t="n">
        <v>28.3</v>
      </c>
      <c r="J162" s="4">
        <f>IFERROR((F162+G162)*I162,0)</f>
        <v/>
      </c>
      <c r="M162">
        <f>IF(A162="","", _xludf.WEEKNUM(A162, 2))</f>
        <v/>
      </c>
      <c r="N162">
        <f>IF(A162="","", "CM-" &amp; IFERROR(VLOOKUP(C162, Catalogos!$Z$4:$AA$20, 2, FALSE), "FOL") &amp; "-" &amp; _xludf.WEEKNUM(A162, 2) &amp; "-" &amp; TEXT(ROW(A158),"000"))</f>
        <v/>
      </c>
    </row>
    <row r="163">
      <c r="A163" s="17625" t="n"/>
      <c r="E163">
        <f>VLOOKUP(TablaMarimba[[#This Row],[Equipo]],Catalogos!$V$4:$W$64,2,FALSE)</f>
        <v/>
      </c>
      <c r="F163" s="3" t="n"/>
      <c r="G163" s="17626" t="n"/>
      <c r="H163" s="3">
        <f>IF(ROW()=5,F163-G163,H162+F163-G163)</f>
        <v/>
      </c>
      <c r="I163" s="4" t="n">
        <v>28.3</v>
      </c>
      <c r="J163" s="4">
        <f>IFERROR((F163+G163)*I163,0)</f>
        <v/>
      </c>
      <c r="M163">
        <f>IF(A163="","", _xludf.WEEKNUM(A163, 2))</f>
        <v/>
      </c>
      <c r="N163">
        <f>IF(A163="","", "CM-" &amp; IFERROR(VLOOKUP(C163, Catalogos!$Z$4:$AA$20, 2, FALSE), "FOL") &amp; "-" &amp; _xludf.WEEKNUM(A163, 2) &amp; "-" &amp; TEXT(ROW(A159),"000"))</f>
        <v/>
      </c>
    </row>
    <row r="164">
      <c r="A164" s="17625" t="n"/>
      <c r="E164">
        <f>VLOOKUP(TablaMarimba[[#This Row],[Equipo]],Catalogos!$V$4:$W$64,2,FALSE)</f>
        <v/>
      </c>
      <c r="F164" s="3" t="n"/>
      <c r="G164" s="17626" t="n"/>
      <c r="H164" s="3">
        <f>IF(ROW()=5,F164-G164,H163+F164-G164)</f>
        <v/>
      </c>
      <c r="I164" s="4" t="n">
        <v>28.3</v>
      </c>
      <c r="J164" s="4">
        <f>IFERROR((F164+G164)*I164,0)</f>
        <v/>
      </c>
      <c r="M164">
        <f>IF(A164="","", _xludf.WEEKNUM(A164, 2))</f>
        <v/>
      </c>
      <c r="N164">
        <f>IF(A164="","", "CM-" &amp; IFERROR(VLOOKUP(C164, Catalogos!$Z$4:$AA$20, 2, FALSE), "FOL") &amp; "-" &amp; _xludf.WEEKNUM(A164, 2) &amp; "-" &amp; TEXT(ROW(A160),"000"))</f>
        <v/>
      </c>
    </row>
    <row r="165">
      <c r="A165" s="17625" t="n"/>
      <c r="E165">
        <f>VLOOKUP(TablaMarimba[[#This Row],[Equipo]],Catalogos!$V$4:$W$64,2,FALSE)</f>
        <v/>
      </c>
      <c r="F165" s="3" t="n"/>
      <c r="G165" s="17626" t="n"/>
      <c r="H165" s="3">
        <f>IF(ROW()=5,F165-G165,H164+F165-G165)</f>
        <v/>
      </c>
      <c r="I165" s="4" t="n">
        <v>28.3</v>
      </c>
      <c r="J165" s="4">
        <f>IFERROR((F165+G165)*I165,0)</f>
        <v/>
      </c>
      <c r="M165">
        <f>IF(A165="","", _xludf.WEEKNUM(A165, 2))</f>
        <v/>
      </c>
      <c r="N165">
        <f>IF(A165="","", "CM-" &amp; IFERROR(VLOOKUP(C165, Catalogos!$Z$4:$AA$20, 2, FALSE), "FOL") &amp; "-" &amp; _xludf.WEEKNUM(A165, 2) &amp; "-" &amp; TEXT(ROW(A161),"000"))</f>
        <v/>
      </c>
    </row>
    <row r="166">
      <c r="A166" s="17625" t="n"/>
      <c r="E166">
        <f>VLOOKUP(TablaMarimba[[#This Row],[Equipo]],Catalogos!$V$4:$W$64,2,FALSE)</f>
        <v/>
      </c>
      <c r="F166" s="3" t="n"/>
      <c r="G166" s="17626" t="n"/>
      <c r="H166" s="3">
        <f>IF(ROW()=5,F166-G166,H165+F166-G166)</f>
        <v/>
      </c>
      <c r="I166" s="4" t="n">
        <v>28.3</v>
      </c>
      <c r="J166" s="4">
        <f>IFERROR((F166+G166)*I166,0)</f>
        <v/>
      </c>
      <c r="M166">
        <f>IF(A166="","", _xludf.WEEKNUM(A166, 2))</f>
        <v/>
      </c>
      <c r="N166">
        <f>IF(A166="","", "CM-" &amp; IFERROR(VLOOKUP(C166, Catalogos!$Z$4:$AA$20, 2, FALSE), "FOL") &amp; "-" &amp; _xludf.WEEKNUM(A166, 2) &amp; "-" &amp; TEXT(ROW(A162),"000"))</f>
        <v/>
      </c>
    </row>
    <row r="167">
      <c r="A167" s="17625" t="n"/>
      <c r="E167">
        <f>VLOOKUP(TablaMarimba[[#This Row],[Equipo]],Catalogos!$V$4:$W$64,2,FALSE)</f>
        <v/>
      </c>
      <c r="F167" s="3" t="n"/>
      <c r="G167" s="17626" t="n"/>
      <c r="H167" s="3">
        <f>IF(ROW()=5,F167-G167,H166+F167-G167)</f>
        <v/>
      </c>
      <c r="I167" s="4" t="n">
        <v>28.3</v>
      </c>
      <c r="J167" s="4">
        <f>IFERROR((F167+G167)*I167,0)</f>
        <v/>
      </c>
      <c r="M167">
        <f>IF(A167="","", _xludf.WEEKNUM(A167, 2))</f>
        <v/>
      </c>
      <c r="N167">
        <f>IF(A167="","", "CM-" &amp; IFERROR(VLOOKUP(C167, Catalogos!$Z$4:$AA$20, 2, FALSE), "FOL") &amp; "-" &amp; _xludf.WEEKNUM(A167, 2) &amp; "-" &amp; TEXT(ROW(A163),"000"))</f>
        <v/>
      </c>
    </row>
    <row r="168">
      <c r="A168" s="17625" t="n"/>
      <c r="E168">
        <f>VLOOKUP(TablaMarimba[[#This Row],[Equipo]],Catalogos!$V$4:$W$64,2,FALSE)</f>
        <v/>
      </c>
      <c r="F168" s="3" t="n"/>
      <c r="G168" s="17626" t="n"/>
      <c r="H168" s="3">
        <f>IF(ROW()=5,F168-G168,H167+F168-G168)</f>
        <v/>
      </c>
      <c r="I168" s="4" t="n">
        <v>28.3</v>
      </c>
      <c r="J168" s="4">
        <f>IFERROR((F168+G168)*I168,0)</f>
        <v/>
      </c>
      <c r="M168">
        <f>IF(A168="","", _xludf.WEEKNUM(A168, 2))</f>
        <v/>
      </c>
      <c r="N168">
        <f>IF(A168="","", "CM-" &amp; IFERROR(VLOOKUP(C168, Catalogos!$Z$4:$AA$20, 2, FALSE), "FOL") &amp; "-" &amp; _xludf.WEEKNUM(A168, 2) &amp; "-" &amp; TEXT(ROW(A164),"000"))</f>
        <v/>
      </c>
    </row>
    <row r="169">
      <c r="A169" s="17625" t="n"/>
      <c r="E169">
        <f>VLOOKUP(TablaMarimba[[#This Row],[Equipo]],Catalogos!$V$4:$W$64,2,FALSE)</f>
        <v/>
      </c>
      <c r="F169" s="3" t="n"/>
      <c r="G169" s="17626" t="n"/>
      <c r="H169" s="3">
        <f>IF(ROW()=5,F169-G169,H168+F169-G169)</f>
        <v/>
      </c>
      <c r="I169" s="4" t="n">
        <v>28.3</v>
      </c>
      <c r="J169" s="4">
        <f>IFERROR((F169+G169)*I169,0)</f>
        <v/>
      </c>
      <c r="M169">
        <f>IF(A169="","", _xludf.WEEKNUM(A169, 2))</f>
        <v/>
      </c>
      <c r="N169">
        <f>IF(A169="","", "CM-" &amp; IFERROR(VLOOKUP(C169, Catalogos!$Z$4:$AA$20, 2, FALSE), "FOL") &amp; "-" &amp; _xludf.WEEKNUM(A169, 2) &amp; "-" &amp; TEXT(ROW(A165),"000"))</f>
        <v/>
      </c>
    </row>
    <row r="170">
      <c r="A170" s="17625" t="n"/>
      <c r="E170">
        <f>VLOOKUP(TablaMarimba[[#This Row],[Equipo]],Catalogos!$V$4:$W$64,2,FALSE)</f>
        <v/>
      </c>
      <c r="F170" s="3" t="n"/>
      <c r="G170" s="17626" t="n"/>
      <c r="H170" s="3">
        <f>IF(ROW()=5,F170-G170,H169+F170-G170)</f>
        <v/>
      </c>
      <c r="I170" s="4" t="n">
        <v>28.3</v>
      </c>
      <c r="J170" s="4">
        <f>IFERROR((F170+G170)*I170,0)</f>
        <v/>
      </c>
      <c r="M170">
        <f>IF(A170="","", _xludf.WEEKNUM(A170, 2))</f>
        <v/>
      </c>
      <c r="N170">
        <f>IF(A170="","", "CM-" &amp; IFERROR(VLOOKUP(C170, Catalogos!$Z$4:$AA$20, 2, FALSE), "FOL") &amp; "-" &amp; _xludf.WEEKNUM(A170, 2) &amp; "-" &amp; TEXT(ROW(A166),"000"))</f>
        <v/>
      </c>
    </row>
    <row r="171">
      <c r="A171" s="17625" t="n"/>
      <c r="E171">
        <f>VLOOKUP(TablaMarimba[[#This Row],[Equipo]],Catalogos!$V$4:$W$64,2,FALSE)</f>
        <v/>
      </c>
      <c r="F171" s="3" t="n"/>
      <c r="G171" s="17626" t="n"/>
      <c r="H171" s="3">
        <f>IF(ROW()=5,F171-G171,H170+F171-G171)</f>
        <v/>
      </c>
      <c r="I171" s="4" t="n">
        <v>28.3</v>
      </c>
      <c r="J171" s="4">
        <f>IFERROR((F171+G171)*I171,0)</f>
        <v/>
      </c>
      <c r="M171">
        <f>IF(A171="","", _xludf.WEEKNUM(A171, 2))</f>
        <v/>
      </c>
      <c r="N171">
        <f>IF(A171="","", "CM-" &amp; IFERROR(VLOOKUP(C171, Catalogos!$Z$4:$AA$20, 2, FALSE), "FOL") &amp; "-" &amp; _xludf.WEEKNUM(A171, 2) &amp; "-" &amp; TEXT(ROW(A167),"000"))</f>
        <v/>
      </c>
    </row>
    <row r="172">
      <c r="A172" s="17625" t="n"/>
      <c r="E172">
        <f>VLOOKUP(TablaMarimba[[#This Row],[Equipo]],Catalogos!$V$4:$W$64,2,FALSE)</f>
        <v/>
      </c>
      <c r="F172" s="3" t="n"/>
      <c r="G172" s="17626" t="n"/>
      <c r="H172" s="3">
        <f>IF(ROW()=5,F172-G172,H171+F172-G172)</f>
        <v/>
      </c>
      <c r="I172" s="4" t="n">
        <v>28.3</v>
      </c>
      <c r="J172" s="4">
        <f>IFERROR((F172+G172)*I172,0)</f>
        <v/>
      </c>
      <c r="M172">
        <f>IF(A172="","", _xludf.WEEKNUM(A172, 2))</f>
        <v/>
      </c>
      <c r="N172">
        <f>IF(A172="","", "CM-" &amp; IFERROR(VLOOKUP(C172, Catalogos!$Z$4:$AA$20, 2, FALSE), "FOL") &amp; "-" &amp; _xludf.WEEKNUM(A172, 2) &amp; "-" &amp; TEXT(ROW(A168),"000"))</f>
        <v/>
      </c>
    </row>
    <row r="173">
      <c r="A173" s="17625" t="n"/>
      <c r="E173">
        <f>VLOOKUP(TablaMarimba[[#This Row],[Equipo]],Catalogos!$V$4:$W$64,2,FALSE)</f>
        <v/>
      </c>
      <c r="F173" s="3" t="n"/>
      <c r="G173" s="17626" t="n"/>
      <c r="H173" s="3">
        <f>IF(ROW()=5,F173-G173,H172+F173-G173)</f>
        <v/>
      </c>
      <c r="I173" s="4" t="n">
        <v>28.3</v>
      </c>
      <c r="J173" s="4">
        <f>IFERROR((F173+G173)*I173,0)</f>
        <v/>
      </c>
      <c r="M173">
        <f>IF(A173="","", _xludf.WEEKNUM(A173, 2))</f>
        <v/>
      </c>
      <c r="N173">
        <f>IF(A173="","", "CM-" &amp; IFERROR(VLOOKUP(C173, Catalogos!$Z$4:$AA$20, 2, FALSE), "FOL") &amp; "-" &amp; _xludf.WEEKNUM(A173, 2) &amp; "-" &amp; TEXT(ROW(A169),"000"))</f>
        <v/>
      </c>
    </row>
    <row r="174">
      <c r="A174" s="17625" t="n"/>
      <c r="E174">
        <f>VLOOKUP(TablaMarimba[[#This Row],[Equipo]],Catalogos!$V$4:$W$64,2,FALSE)</f>
        <v/>
      </c>
      <c r="F174" s="3" t="n"/>
      <c r="G174" s="17626" t="n"/>
      <c r="H174" s="3">
        <f>IF(ROW()=5,F174-G174,H173+F174-G174)</f>
        <v/>
      </c>
      <c r="I174" s="4" t="n">
        <v>28.3</v>
      </c>
      <c r="J174" s="4">
        <f>IFERROR((F174+G174)*I174,0)</f>
        <v/>
      </c>
      <c r="M174">
        <f>IF(A174="","", _xludf.WEEKNUM(A174, 2))</f>
        <v/>
      </c>
      <c r="N174">
        <f>IF(A174="","", "CM-" &amp; IFERROR(VLOOKUP(C174, Catalogos!$Z$4:$AA$20, 2, FALSE), "FOL") &amp; "-" &amp; _xludf.WEEKNUM(A174, 2) &amp; "-" &amp; TEXT(ROW(A170),"000"))</f>
        <v/>
      </c>
    </row>
    <row r="175">
      <c r="A175" s="17625" t="n"/>
      <c r="E175">
        <f>VLOOKUP(TablaMarimba[[#This Row],[Equipo]],Catalogos!$V$4:$W$64,2,FALSE)</f>
        <v/>
      </c>
      <c r="F175" s="3" t="n"/>
      <c r="G175" s="17626" t="n"/>
      <c r="H175" s="3">
        <f>IF(ROW()=5,F175-G175,H174+F175-G175)</f>
        <v/>
      </c>
      <c r="I175" s="4" t="n">
        <v>28.3</v>
      </c>
      <c r="J175" s="4">
        <f>IFERROR((F175+G175)*I175,0)</f>
        <v/>
      </c>
      <c r="M175">
        <f>IF(A175="","", _xludf.WEEKNUM(A175, 2))</f>
        <v/>
      </c>
      <c r="N175">
        <f>IF(A175="","", "CM-" &amp; IFERROR(VLOOKUP(C175, Catalogos!$Z$4:$AA$20, 2, FALSE), "FOL") &amp; "-" &amp; _xludf.WEEKNUM(A175, 2) &amp; "-" &amp; TEXT(ROW(A171),"000"))</f>
        <v/>
      </c>
    </row>
    <row r="176">
      <c r="A176" s="17625" t="n"/>
      <c r="E176">
        <f>VLOOKUP(TablaMarimba[[#This Row],[Equipo]],Catalogos!$V$4:$W$64,2,FALSE)</f>
        <v/>
      </c>
      <c r="F176" s="3" t="n"/>
      <c r="G176" s="17626" t="n"/>
      <c r="H176" s="3">
        <f>IF(ROW()=5,F176-G176,H175+F176-G176)</f>
        <v/>
      </c>
      <c r="I176" s="4" t="n">
        <v>28.3</v>
      </c>
      <c r="J176" s="4">
        <f>IFERROR((F176+G176)*I176,0)</f>
        <v/>
      </c>
      <c r="M176">
        <f>IF(A176="","", _xludf.WEEKNUM(A176, 2))</f>
        <v/>
      </c>
      <c r="N176">
        <f>IF(A176="","", "CM-" &amp; IFERROR(VLOOKUP(C176, Catalogos!$Z$4:$AA$20, 2, FALSE), "FOL") &amp; "-" &amp; _xludf.WEEKNUM(A176, 2) &amp; "-" &amp; TEXT(ROW(A172),"000"))</f>
        <v/>
      </c>
    </row>
    <row r="177">
      <c r="A177" s="17625" t="n"/>
      <c r="E177">
        <f>VLOOKUP(TablaMarimba[[#This Row],[Equipo]],Catalogos!$V$4:$W$64,2,FALSE)</f>
        <v/>
      </c>
      <c r="F177" s="3" t="n"/>
      <c r="G177" s="17626" t="n"/>
      <c r="H177" s="3">
        <f>IF(ROW()=5,F177-G177,H176+F177-G177)</f>
        <v/>
      </c>
      <c r="I177" s="4" t="n">
        <v>28.3</v>
      </c>
      <c r="J177" s="4">
        <f>IFERROR((F177+G177)*I177,0)</f>
        <v/>
      </c>
      <c r="M177">
        <f>IF(A177="","", _xludf.WEEKNUM(A177, 2))</f>
        <v/>
      </c>
      <c r="N177">
        <f>IF(A177="","", "CM-" &amp; IFERROR(VLOOKUP(C177, Catalogos!$Z$4:$AA$20, 2, FALSE), "FOL") &amp; "-" &amp; _xludf.WEEKNUM(A177, 2) &amp; "-" &amp; TEXT(ROW(A173),"000"))</f>
        <v/>
      </c>
    </row>
    <row r="178">
      <c r="A178" s="17625" t="n"/>
      <c r="E178">
        <f>VLOOKUP(TablaMarimba[[#This Row],[Equipo]],Catalogos!$V$4:$W$64,2,FALSE)</f>
        <v/>
      </c>
      <c r="F178" s="3" t="n"/>
      <c r="G178" s="17626" t="n"/>
      <c r="H178" s="3">
        <f>IF(ROW()=5,F178-G178,H177+F178-G178)</f>
        <v/>
      </c>
      <c r="I178" s="4" t="n">
        <v>28.3</v>
      </c>
      <c r="J178" s="4">
        <f>IFERROR((F178+G178)*I178,0)</f>
        <v/>
      </c>
      <c r="M178">
        <f>IF(A178="","", _xludf.WEEKNUM(A178, 2))</f>
        <v/>
      </c>
      <c r="N178">
        <f>IF(A178="","", "CM-" &amp; IFERROR(VLOOKUP(C178, Catalogos!$Z$4:$AA$20, 2, FALSE), "FOL") &amp; "-" &amp; _xludf.WEEKNUM(A178, 2) &amp; "-" &amp; TEXT(ROW(A174),"000"))</f>
        <v/>
      </c>
    </row>
    <row r="179">
      <c r="A179" s="17625" t="n"/>
      <c r="E179">
        <f>VLOOKUP(TablaMarimba[[#This Row],[Equipo]],Catalogos!$V$4:$W$64,2,FALSE)</f>
        <v/>
      </c>
      <c r="F179" s="3" t="n"/>
      <c r="G179" s="17626" t="n"/>
      <c r="H179" s="3">
        <f>IF(ROW()=5,F179-G179,H178+F179-G179)</f>
        <v/>
      </c>
      <c r="I179" s="4" t="n">
        <v>28.3</v>
      </c>
      <c r="J179" s="4">
        <f>IFERROR((F179+G179)*I179,0)</f>
        <v/>
      </c>
      <c r="M179">
        <f>IF(A179="","", _xludf.WEEKNUM(A179, 2))</f>
        <v/>
      </c>
      <c r="N179">
        <f>IF(A179="","", "CM-" &amp; IFERROR(VLOOKUP(C179, Catalogos!$Z$4:$AA$20, 2, FALSE), "FOL") &amp; "-" &amp; _xludf.WEEKNUM(A179, 2) &amp; "-" &amp; TEXT(ROW(A175),"000"))</f>
        <v/>
      </c>
    </row>
    <row r="180">
      <c r="A180" s="17625" t="n"/>
      <c r="E180">
        <f>VLOOKUP(TablaMarimba[[#This Row],[Equipo]],Catalogos!$V$4:$W$64,2,FALSE)</f>
        <v/>
      </c>
      <c r="F180" s="3" t="n"/>
      <c r="G180" s="17626" t="n"/>
      <c r="H180" s="3">
        <f>IF(ROW()=5,F180-G180,H179+F180-G180)</f>
        <v/>
      </c>
      <c r="I180" s="4" t="n">
        <v>28.3</v>
      </c>
      <c r="J180" s="4">
        <f>IFERROR((F180+G180)*I180,0)</f>
        <v/>
      </c>
      <c r="M180">
        <f>IF(A180="","", _xludf.WEEKNUM(A180, 2))</f>
        <v/>
      </c>
      <c r="N180">
        <f>IF(A180="","", "CM-" &amp; IFERROR(VLOOKUP(C180, Catalogos!$Z$4:$AA$20, 2, FALSE), "FOL") &amp; "-" &amp; _xludf.WEEKNUM(A180, 2) &amp; "-" &amp; TEXT(ROW(A176),"000"))</f>
        <v/>
      </c>
    </row>
    <row r="181">
      <c r="A181" s="17625" t="n"/>
      <c r="E181">
        <f>VLOOKUP(TablaMarimba[[#This Row],[Equipo]],Catalogos!$V$4:$W$64,2,FALSE)</f>
        <v/>
      </c>
      <c r="F181" s="3" t="n"/>
      <c r="G181" s="17626" t="n"/>
      <c r="H181" s="3">
        <f>IF(ROW()=5,F181-G181,H180+F181-G181)</f>
        <v/>
      </c>
      <c r="I181" s="4" t="n">
        <v>28.3</v>
      </c>
      <c r="J181" s="4">
        <f>IFERROR((F181+G181)*I181,0)</f>
        <v/>
      </c>
      <c r="M181">
        <f>IF(A181="","", _xludf.WEEKNUM(A181, 2))</f>
        <v/>
      </c>
      <c r="N181">
        <f>IF(A181="","", "CM-" &amp; IFERROR(VLOOKUP(C181, Catalogos!$Z$4:$AA$20, 2, FALSE), "FOL") &amp; "-" &amp; _xludf.WEEKNUM(A181, 2) &amp; "-" &amp; TEXT(ROW(A177),"000"))</f>
        <v/>
      </c>
    </row>
    <row r="182">
      <c r="A182" s="17625" t="n"/>
      <c r="E182">
        <f>VLOOKUP(TablaMarimba[[#This Row],[Equipo]],Catalogos!$V$4:$W$64,2,FALSE)</f>
        <v/>
      </c>
      <c r="F182" s="3" t="n"/>
      <c r="G182" s="17626" t="n"/>
      <c r="H182" s="3">
        <f>IF(ROW()=5,F182-G182,H181+F182-G182)</f>
        <v/>
      </c>
      <c r="I182" s="4" t="n">
        <v>28.3</v>
      </c>
      <c r="J182" s="4">
        <f>IFERROR((F182+G182)*I182,0)</f>
        <v/>
      </c>
      <c r="M182">
        <f>IF(A182="","", _xludf.WEEKNUM(A182, 2))</f>
        <v/>
      </c>
      <c r="N182">
        <f>IF(A182="","", "CM-" &amp; IFERROR(VLOOKUP(C182, Catalogos!$Z$4:$AA$20, 2, FALSE), "FOL") &amp; "-" &amp; _xludf.WEEKNUM(A182, 2) &amp; "-" &amp; TEXT(ROW(A178),"000"))</f>
        <v/>
      </c>
    </row>
    <row r="183">
      <c r="A183" s="17625" t="n"/>
      <c r="E183">
        <f>VLOOKUP(TablaMarimba[[#This Row],[Equipo]],Catalogos!$V$4:$W$64,2,FALSE)</f>
        <v/>
      </c>
      <c r="F183" s="3" t="n"/>
      <c r="G183" s="17626" t="n"/>
      <c r="H183" s="3">
        <f>IF(ROW()=5,F183-G183,H182+F183-G183)</f>
        <v/>
      </c>
      <c r="I183" s="4" t="n">
        <v>28.3</v>
      </c>
      <c r="J183" s="4">
        <f>IFERROR((F183+G183)*I183,0)</f>
        <v/>
      </c>
      <c r="M183">
        <f>IF(A183="","", _xludf.WEEKNUM(A183, 2))</f>
        <v/>
      </c>
      <c r="N183">
        <f>IF(A183="","", "CM-" &amp; IFERROR(VLOOKUP(C183, Catalogos!$Z$4:$AA$20, 2, FALSE), "FOL") &amp; "-" &amp; _xludf.WEEKNUM(A183, 2) &amp; "-" &amp; TEXT(ROW(A179),"000"))</f>
        <v/>
      </c>
    </row>
    <row r="184">
      <c r="A184" s="17625" t="n"/>
      <c r="E184">
        <f>VLOOKUP(TablaMarimba[[#This Row],[Equipo]],Catalogos!$V$4:$W$64,2,FALSE)</f>
        <v/>
      </c>
      <c r="F184" s="3" t="n"/>
      <c r="G184" s="17626" t="n"/>
      <c r="H184" s="3">
        <f>IF(ROW()=5,F184-G184,H183+F184-G184)</f>
        <v/>
      </c>
      <c r="I184" s="4" t="n">
        <v>28.3</v>
      </c>
      <c r="J184" s="4">
        <f>IFERROR((F184+G184)*I184,0)</f>
        <v/>
      </c>
      <c r="M184">
        <f>IF(A184="","", _xludf.WEEKNUM(A184, 2))</f>
        <v/>
      </c>
      <c r="N184">
        <f>IF(A184="","", "CM-" &amp; IFERROR(VLOOKUP(C184, Catalogos!$Z$4:$AA$20, 2, FALSE), "FOL") &amp; "-" &amp; _xludf.WEEKNUM(A184, 2) &amp; "-" &amp; TEXT(ROW(A180),"000"))</f>
        <v/>
      </c>
    </row>
    <row r="185">
      <c r="A185" s="17625" t="n"/>
      <c r="E185">
        <f>VLOOKUP(TablaMarimba[[#This Row],[Equipo]],Catalogos!$V$4:$W$64,2,FALSE)</f>
        <v/>
      </c>
      <c r="F185" s="3" t="n"/>
      <c r="G185" s="17626" t="n"/>
      <c r="H185" s="3">
        <f>IF(ROW()=5,F185-G185,H184+F185-G185)</f>
        <v/>
      </c>
      <c r="I185" s="4" t="n">
        <v>28.3</v>
      </c>
      <c r="J185" s="4">
        <f>IFERROR((F185+G185)*I185,0)</f>
        <v/>
      </c>
      <c r="M185">
        <f>IF(A185="","", _xludf.WEEKNUM(A185, 2))</f>
        <v/>
      </c>
      <c r="N185">
        <f>IF(A185="","", "CM-" &amp; IFERROR(VLOOKUP(C185, Catalogos!$Z$4:$AA$20, 2, FALSE), "FOL") &amp; "-" &amp; _xludf.WEEKNUM(A185, 2) &amp; "-" &amp; TEXT(ROW(A181),"000"))</f>
        <v/>
      </c>
    </row>
    <row r="186">
      <c r="A186" s="17625" t="n"/>
      <c r="E186">
        <f>VLOOKUP(TablaMarimba[[#This Row],[Equipo]],Catalogos!$V$4:$W$64,2,FALSE)</f>
        <v/>
      </c>
      <c r="F186" s="3" t="n"/>
      <c r="G186" s="17626" t="n"/>
      <c r="H186" s="3">
        <f>IF(ROW()=5,F186-G186,H185+F186-G186)</f>
        <v/>
      </c>
      <c r="I186" s="4" t="n">
        <v>28.3</v>
      </c>
      <c r="J186" s="4">
        <f>IFERROR((F186+G186)*I186,0)</f>
        <v/>
      </c>
      <c r="M186">
        <f>IF(A186="","", _xludf.WEEKNUM(A186, 2))</f>
        <v/>
      </c>
      <c r="N186">
        <f>IF(A186="","", "CM-" &amp; IFERROR(VLOOKUP(C186, Catalogos!$Z$4:$AA$20, 2, FALSE), "FOL") &amp; "-" &amp; _xludf.WEEKNUM(A186, 2) &amp; "-" &amp; TEXT(ROW(A182),"000"))</f>
        <v/>
      </c>
    </row>
    <row r="187">
      <c r="A187" s="17625" t="n"/>
      <c r="E187">
        <f>VLOOKUP(TablaMarimba[[#This Row],[Equipo]],Catalogos!$V$4:$W$64,2,FALSE)</f>
        <v/>
      </c>
      <c r="F187" s="3" t="n"/>
      <c r="G187" s="17626" t="n"/>
      <c r="H187" s="3">
        <f>IF(ROW()=5,F187-G187,H186+F187-G187)</f>
        <v/>
      </c>
      <c r="I187" s="4" t="n">
        <v>28.3</v>
      </c>
      <c r="J187" s="4">
        <f>IFERROR((F187+G187)*I187,0)</f>
        <v/>
      </c>
      <c r="M187">
        <f>IF(A187="","", _xludf.WEEKNUM(A187, 2))</f>
        <v/>
      </c>
      <c r="N187">
        <f>IF(A187="","", "CM-" &amp; IFERROR(VLOOKUP(C187, Catalogos!$Z$4:$AA$20, 2, FALSE), "FOL") &amp; "-" &amp; _xludf.WEEKNUM(A187, 2) &amp; "-" &amp; TEXT(ROW(A183),"000"))</f>
        <v/>
      </c>
    </row>
    <row r="188">
      <c r="A188" s="17625" t="n"/>
      <c r="E188">
        <f>VLOOKUP(TablaMarimba[[#This Row],[Equipo]],Catalogos!$V$4:$W$64,2,FALSE)</f>
        <v/>
      </c>
      <c r="F188" s="3" t="n"/>
      <c r="G188" s="17626" t="n"/>
      <c r="H188" s="3">
        <f>IF(ROW()=5,F188-G188,H187+F188-G188)</f>
        <v/>
      </c>
      <c r="I188" s="4" t="n">
        <v>28.3</v>
      </c>
      <c r="J188" s="4">
        <f>IFERROR((F188+G188)*I188,0)</f>
        <v/>
      </c>
      <c r="M188">
        <f>IF(A188="","", _xludf.WEEKNUM(A188, 2))</f>
        <v/>
      </c>
      <c r="N188">
        <f>IF(A188="","", "CM-" &amp; IFERROR(VLOOKUP(C188, Catalogos!$Z$4:$AA$20, 2, FALSE), "FOL") &amp; "-" &amp; _xludf.WEEKNUM(A188, 2) &amp; "-" &amp; TEXT(ROW(A184),"000"))</f>
        <v/>
      </c>
    </row>
    <row r="189">
      <c r="A189" s="17625" t="n"/>
      <c r="E189">
        <f>VLOOKUP(TablaMarimba[[#This Row],[Equipo]],Catalogos!$V$4:$W$64,2,FALSE)</f>
        <v/>
      </c>
      <c r="F189" s="3" t="n"/>
      <c r="G189" s="17626" t="n"/>
      <c r="H189" s="3">
        <f>IF(ROW()=5,F189-G189,H188+F189-G189)</f>
        <v/>
      </c>
      <c r="I189" s="4" t="n">
        <v>28.3</v>
      </c>
      <c r="J189" s="4">
        <f>IFERROR((F189+G189)*I189,0)</f>
        <v/>
      </c>
      <c r="M189">
        <f>IF(A189="","", _xludf.WEEKNUM(A189, 2))</f>
        <v/>
      </c>
      <c r="N189">
        <f>IF(A189="","", "CM-" &amp; IFERROR(VLOOKUP(C189, Catalogos!$Z$4:$AA$20, 2, FALSE), "FOL") &amp; "-" &amp; _xludf.WEEKNUM(A189, 2) &amp; "-" &amp; TEXT(ROW(A185),"000"))</f>
        <v/>
      </c>
    </row>
    <row r="190">
      <c r="A190" s="17625" t="n"/>
      <c r="E190">
        <f>VLOOKUP(TablaMarimba[[#This Row],[Equipo]],Catalogos!$V$4:$W$64,2,FALSE)</f>
        <v/>
      </c>
      <c r="F190" s="3" t="n"/>
      <c r="G190" s="17626" t="n"/>
      <c r="H190" s="3">
        <f>IF(ROW()=5,F190-G190,H189+F190-G190)</f>
        <v/>
      </c>
      <c r="I190" s="4" t="n">
        <v>28.3</v>
      </c>
      <c r="J190" s="4">
        <f>IFERROR((F190+G190)*I190,0)</f>
        <v/>
      </c>
      <c r="M190">
        <f>IF(A190="","", _xludf.WEEKNUM(A190, 2))</f>
        <v/>
      </c>
      <c r="N190">
        <f>IF(A190="","", "CM-" &amp; IFERROR(VLOOKUP(C190, Catalogos!$Z$4:$AA$20, 2, FALSE), "FOL") &amp; "-" &amp; _xludf.WEEKNUM(A190, 2) &amp; "-" &amp; TEXT(ROW(A186),"000"))</f>
        <v/>
      </c>
    </row>
    <row r="191">
      <c r="A191" s="17625" t="n"/>
      <c r="E191">
        <f>VLOOKUP(TablaMarimba[[#This Row],[Equipo]],Catalogos!$V$4:$W$64,2,FALSE)</f>
        <v/>
      </c>
      <c r="F191" s="3" t="n"/>
      <c r="G191" s="17626" t="n"/>
      <c r="H191" s="3">
        <f>IF(ROW()=5,F191-G191,H190+F191-G191)</f>
        <v/>
      </c>
      <c r="I191" s="4" t="n">
        <v>28.3</v>
      </c>
      <c r="J191" s="4">
        <f>IFERROR((F191+G191)*I191,0)</f>
        <v/>
      </c>
      <c r="M191">
        <f>IF(A191="","", _xludf.WEEKNUM(A191, 2))</f>
        <v/>
      </c>
      <c r="N191">
        <f>IF(A191="","", "CM-" &amp; IFERROR(VLOOKUP(C191, Catalogos!$Z$4:$AA$20, 2, FALSE), "FOL") &amp; "-" &amp; _xludf.WEEKNUM(A191, 2) &amp; "-" &amp; TEXT(ROW(A187),"000"))</f>
        <v/>
      </c>
    </row>
    <row r="192">
      <c r="A192" s="17625" t="n"/>
      <c r="E192">
        <f>VLOOKUP(TablaMarimba[[#This Row],[Equipo]],Catalogos!$V$4:$W$64,2,FALSE)</f>
        <v/>
      </c>
      <c r="F192" s="3" t="n"/>
      <c r="G192" s="17626" t="n"/>
      <c r="H192" s="3">
        <f>IF(ROW()=5,F192-G192,H191+F192-G192)</f>
        <v/>
      </c>
      <c r="I192" s="4" t="n">
        <v>28.3</v>
      </c>
      <c r="J192" s="4">
        <f>IFERROR((F192+G192)*I192,0)</f>
        <v/>
      </c>
      <c r="M192">
        <f>IF(A192="","", _xludf.WEEKNUM(A192, 2))</f>
        <v/>
      </c>
      <c r="N192">
        <f>IF(A192="","", "CM-" &amp; IFERROR(VLOOKUP(C192, Catalogos!$Z$4:$AA$20, 2, FALSE), "FOL") &amp; "-" &amp; _xludf.WEEKNUM(A192, 2) &amp; "-" &amp; TEXT(ROW(A188),"000"))</f>
        <v/>
      </c>
    </row>
    <row r="193">
      <c r="A193" s="17625" t="n"/>
      <c r="E193">
        <f>VLOOKUP(TablaMarimba[[#This Row],[Equipo]],Catalogos!$V$4:$W$64,2,FALSE)</f>
        <v/>
      </c>
      <c r="F193" s="3" t="n"/>
      <c r="G193" s="17626" t="n"/>
      <c r="H193" s="3">
        <f>IF(ROW()=5,F193-G193,H192+F193-G193)</f>
        <v/>
      </c>
      <c r="I193" s="4" t="n">
        <v>28.3</v>
      </c>
      <c r="J193" s="4">
        <f>IFERROR((F193+G193)*I193,0)</f>
        <v/>
      </c>
      <c r="M193">
        <f>IF(A193="","", _xludf.WEEKNUM(A193, 2))</f>
        <v/>
      </c>
      <c r="N193">
        <f>IF(A193="","", "CM-" &amp; IFERROR(VLOOKUP(C193, Catalogos!$Z$4:$AA$20, 2, FALSE), "FOL") &amp; "-" &amp; _xludf.WEEKNUM(A193, 2) &amp; "-" &amp; TEXT(ROW(A189),"000"))</f>
        <v/>
      </c>
    </row>
    <row r="194">
      <c r="A194" s="17625" t="n"/>
      <c r="E194">
        <f>VLOOKUP(TablaMarimba[[#This Row],[Equipo]],Catalogos!$V$4:$W$64,2,FALSE)</f>
        <v/>
      </c>
      <c r="F194" s="3" t="n"/>
      <c r="G194" s="17626" t="n"/>
      <c r="H194" s="3">
        <f>IF(ROW()=5,F194-G194,H193+F194-G194)</f>
        <v/>
      </c>
      <c r="I194" s="4" t="n">
        <v>28.3</v>
      </c>
      <c r="J194" s="4">
        <f>IFERROR((F194+G194)*I194,0)</f>
        <v/>
      </c>
      <c r="M194">
        <f>IF(A194="","", _xludf.WEEKNUM(A194, 2))</f>
        <v/>
      </c>
      <c r="N194">
        <f>IF(A194="","", "CM-" &amp; IFERROR(VLOOKUP(C194, Catalogos!$Z$4:$AA$20, 2, FALSE), "FOL") &amp; "-" &amp; _xludf.WEEKNUM(A194, 2) &amp; "-" &amp; TEXT(ROW(A190),"000"))</f>
        <v/>
      </c>
    </row>
    <row r="195">
      <c r="A195" s="17625" t="n"/>
      <c r="E195">
        <f>VLOOKUP(TablaMarimba[[#This Row],[Equipo]],Catalogos!$V$4:$W$64,2,FALSE)</f>
        <v/>
      </c>
      <c r="F195" s="3" t="n"/>
      <c r="G195" s="17626" t="n"/>
      <c r="H195" s="3">
        <f>IF(ROW()=5,F195-G195,H194+F195-G195)</f>
        <v/>
      </c>
      <c r="I195" s="4" t="n">
        <v>28.3</v>
      </c>
      <c r="J195" s="4">
        <f>IFERROR((F195+G195)*I195,0)</f>
        <v/>
      </c>
      <c r="M195">
        <f>IF(A195="","", _xludf.WEEKNUM(A195, 2))</f>
        <v/>
      </c>
      <c r="N195">
        <f>IF(A195="","", "CM-" &amp; IFERROR(VLOOKUP(C195, Catalogos!$Z$4:$AA$20, 2, FALSE), "FOL") &amp; "-" &amp; _xludf.WEEKNUM(A195, 2) &amp; "-" &amp; TEXT(ROW(A191),"000"))</f>
        <v/>
      </c>
    </row>
    <row r="196">
      <c r="A196" s="17625" t="n"/>
      <c r="E196">
        <f>VLOOKUP(TablaMarimba[[#This Row],[Equipo]],Catalogos!$V$4:$W$64,2,FALSE)</f>
        <v/>
      </c>
      <c r="F196" s="3" t="n"/>
      <c r="G196" s="17626" t="n"/>
      <c r="H196" s="3">
        <f>IF(ROW()=5,F196-G196,H195+F196-G196)</f>
        <v/>
      </c>
      <c r="I196" s="4" t="n">
        <v>28.3</v>
      </c>
      <c r="J196" s="4">
        <f>IFERROR((F196+G196)*I196,0)</f>
        <v/>
      </c>
      <c r="M196">
        <f>IF(A196="","", _xludf.WEEKNUM(A196, 2))</f>
        <v/>
      </c>
      <c r="N196">
        <f>IF(A196="","", "CM-" &amp; IFERROR(VLOOKUP(C196, Catalogos!$Z$4:$AA$20, 2, FALSE), "FOL") &amp; "-" &amp; _xludf.WEEKNUM(A196, 2) &amp; "-" &amp; TEXT(ROW(A192),"000"))</f>
        <v/>
      </c>
    </row>
    <row r="197">
      <c r="A197" s="17625" t="n"/>
      <c r="E197">
        <f>VLOOKUP(TablaMarimba[[#This Row],[Equipo]],Catalogos!$V$4:$W$64,2,FALSE)</f>
        <v/>
      </c>
      <c r="F197" s="3" t="n"/>
      <c r="G197" s="17626" t="n"/>
      <c r="H197" s="3">
        <f>IF(ROW()=5,F197-G197,H196+F197-G197)</f>
        <v/>
      </c>
      <c r="I197" s="4" t="n">
        <v>28.3</v>
      </c>
      <c r="J197" s="4">
        <f>IFERROR((F197+G197)*I197,0)</f>
        <v/>
      </c>
      <c r="M197">
        <f>IF(A197="","", _xludf.WEEKNUM(A197, 2))</f>
        <v/>
      </c>
      <c r="N197">
        <f>IF(A197="","", "CM-" &amp; IFERROR(VLOOKUP(C197, Catalogos!$Z$4:$AA$20, 2, FALSE), "FOL") &amp; "-" &amp; _xludf.WEEKNUM(A197, 2) &amp; "-" &amp; TEXT(ROW(A193),"000"))</f>
        <v/>
      </c>
    </row>
    <row r="198">
      <c r="A198" s="17625" t="n"/>
      <c r="E198">
        <f>VLOOKUP(TablaMarimba[[#This Row],[Equipo]],Catalogos!$V$4:$W$64,2,FALSE)</f>
        <v/>
      </c>
      <c r="F198" s="3" t="n"/>
      <c r="G198" s="17626" t="n"/>
      <c r="H198" s="3">
        <f>IF(ROW()=5,F198-G198,H197+F198-G198)</f>
        <v/>
      </c>
      <c r="I198" s="4" t="n">
        <v>28.3</v>
      </c>
      <c r="J198" s="4">
        <f>IFERROR((F198+G198)*I198,0)</f>
        <v/>
      </c>
      <c r="M198">
        <f>IF(A198="","", _xludf.WEEKNUM(A198, 2))</f>
        <v/>
      </c>
      <c r="N198">
        <f>IF(A198="","", "CM-" &amp; IFERROR(VLOOKUP(C198, Catalogos!$Z$4:$AA$20, 2, FALSE), "FOL") &amp; "-" &amp; _xludf.WEEKNUM(A198, 2) &amp; "-" &amp; TEXT(ROW(A194),"000"))</f>
        <v/>
      </c>
    </row>
    <row r="199">
      <c r="A199" s="17625" t="n"/>
      <c r="E199">
        <f>VLOOKUP(TablaMarimba[[#This Row],[Equipo]],Catalogos!$V$4:$W$64,2,FALSE)</f>
        <v/>
      </c>
      <c r="F199" s="3" t="n"/>
      <c r="G199" s="17626" t="n"/>
      <c r="H199" s="3">
        <f>IF(ROW()=5,F199-G199,H198+F199-G199)</f>
        <v/>
      </c>
      <c r="I199" s="4" t="n">
        <v>28.3</v>
      </c>
      <c r="J199" s="4">
        <f>IFERROR((F199+G199)*I199,0)</f>
        <v/>
      </c>
      <c r="M199">
        <f>IF(A199="","", _xludf.WEEKNUM(A199, 2))</f>
        <v/>
      </c>
      <c r="N199">
        <f>IF(A199="","", "CM-" &amp; IFERROR(VLOOKUP(C199, Catalogos!$Z$4:$AA$20, 2, FALSE), "FOL") &amp; "-" &amp; _xludf.WEEKNUM(A199, 2) &amp; "-" &amp; TEXT(ROW(A195),"000"))</f>
        <v/>
      </c>
    </row>
    <row r="200">
      <c r="A200" s="17625" t="n"/>
      <c r="E200">
        <f>VLOOKUP(TablaMarimba[[#This Row],[Equipo]],Catalogos!$V$4:$W$64,2,FALSE)</f>
        <v/>
      </c>
      <c r="F200" s="3" t="n"/>
      <c r="G200" s="17626" t="n"/>
      <c r="H200" s="3">
        <f>IF(ROW()=5,F200-G200,H199+F200-G200)</f>
        <v/>
      </c>
      <c r="I200" s="4" t="n">
        <v>28.3</v>
      </c>
      <c r="J200" s="4">
        <f>IFERROR((F200+G200)*I200,0)</f>
        <v/>
      </c>
      <c r="M200">
        <f>IF(A200="","", _xludf.WEEKNUM(A200, 2))</f>
        <v/>
      </c>
      <c r="N200">
        <f>IF(A200="","", "CM-" &amp; IFERROR(VLOOKUP(C200, Catalogos!$Z$4:$AA$20, 2, FALSE), "FOL") &amp; "-" &amp; _xludf.WEEKNUM(A200, 2) &amp; "-" &amp; TEXT(ROW(A196),"000"))</f>
        <v/>
      </c>
    </row>
    <row r="201">
      <c r="A201" s="17625" t="n"/>
      <c r="E201">
        <f>VLOOKUP(TablaMarimba[[#This Row],[Equipo]],Catalogos!$V$4:$W$64,2,FALSE)</f>
        <v/>
      </c>
      <c r="F201" s="3" t="n"/>
      <c r="G201" s="17626" t="n"/>
      <c r="H201" s="3">
        <f>IF(ROW()=5,F201-G201,H200+F201-G201)</f>
        <v/>
      </c>
      <c r="I201" s="4" t="n">
        <v>28.3</v>
      </c>
      <c r="J201" s="4">
        <f>IFERROR((F201+G201)*I201,0)</f>
        <v/>
      </c>
      <c r="M201">
        <f>IF(A201="","", _xludf.WEEKNUM(A201, 2))</f>
        <v/>
      </c>
    </row>
    <row r="202">
      <c r="A202" s="17625" t="n"/>
      <c r="E202">
        <f>VLOOKUP(TablaMarimba[[#This Row],[Equipo]],Catalogos!$V$4:$W$64,2,FALSE)</f>
        <v/>
      </c>
      <c r="F202" s="3" t="n"/>
      <c r="G202" s="17626" t="n"/>
      <c r="H202" s="3">
        <f>IF(ROW()=5,F202-G202,H201+F202-G202)</f>
        <v/>
      </c>
      <c r="I202" s="4" t="n">
        <v>28.3</v>
      </c>
      <c r="J202" s="4">
        <f>IFERROR((F202+G202)*I202,0)</f>
        <v/>
      </c>
      <c r="M202">
        <f>IF(A202="","", _xludf.WEEKNUM(A202, 2))</f>
        <v/>
      </c>
    </row>
    <row r="203">
      <c r="A203" s="17625" t="n"/>
      <c r="E203">
        <f>VLOOKUP(TablaMarimba[[#This Row],[Equipo]],Catalogos!$V$4:$W$64,2,FALSE)</f>
        <v/>
      </c>
      <c r="F203" s="3" t="n"/>
      <c r="G203" s="17626" t="n"/>
      <c r="H203" s="3">
        <f>IF(ROW()=5,F203-G203,H202+F203-G203)</f>
        <v/>
      </c>
      <c r="I203" s="4" t="n">
        <v>28.3</v>
      </c>
      <c r="J203" s="4">
        <f>IFERROR((F203+G203)*I203,0)</f>
        <v/>
      </c>
      <c r="M203">
        <f>IF(A203="","", _xludf.WEEKNUM(A203, 2))</f>
        <v/>
      </c>
    </row>
    <row r="204">
      <c r="A204" s="17625" t="n"/>
      <c r="E204">
        <f>VLOOKUP(TablaMarimba[[#This Row],[Equipo]],Catalogos!$V$4:$W$64,2,FALSE)</f>
        <v/>
      </c>
      <c r="F204" s="3" t="n"/>
      <c r="G204" s="17626" t="n"/>
      <c r="H204" s="3">
        <f>IF(ROW()=5,F204-G204,H203+F204-G204)</f>
        <v/>
      </c>
      <c r="I204" s="4" t="n">
        <v>28.3</v>
      </c>
      <c r="J204" s="4">
        <f>IFERROR((F204+G204)*I204,0)</f>
        <v/>
      </c>
      <c r="M204">
        <f>IF(A204="","", _xludf.WEEKNUM(A204, 2))</f>
        <v/>
      </c>
    </row>
    <row r="205">
      <c r="A205" s="17625" t="n"/>
      <c r="E205">
        <f>VLOOKUP(TablaMarimba[[#This Row],[Equipo]],Catalogos!$V$4:$W$64,2,FALSE)</f>
        <v/>
      </c>
      <c r="F205" s="3" t="n"/>
      <c r="G205" s="17626" t="n"/>
      <c r="H205" s="3">
        <f>IF(ROW()=5,F205-G205,H204+F205-G205)</f>
        <v/>
      </c>
      <c r="I205" s="4" t="n">
        <v>28.3</v>
      </c>
      <c r="J205" s="4">
        <f>IFERROR((F205+G205)*I205,0)</f>
        <v/>
      </c>
      <c r="M205">
        <f>IF(A205="","", _xludf.WEEKNUM(A205, 2))</f>
        <v/>
      </c>
    </row>
    <row r="206">
      <c r="A206" s="17625" t="n"/>
      <c r="E206">
        <f>VLOOKUP(TablaMarimba[[#This Row],[Equipo]],Catalogos!$V$4:$W$64,2,FALSE)</f>
        <v/>
      </c>
      <c r="F206" s="3" t="n"/>
      <c r="G206" s="17626" t="n"/>
      <c r="H206" s="3">
        <f>IF(ROW()=5,F206-G206,H205+F206-G206)</f>
        <v/>
      </c>
      <c r="I206" s="4" t="n">
        <v>28.3</v>
      </c>
      <c r="J206" s="4">
        <f>IFERROR((F206+G206)*I206,0)</f>
        <v/>
      </c>
      <c r="M206">
        <f>IF(A206="","", _xludf.WEEKNUM(A206, 2))</f>
        <v/>
      </c>
    </row>
    <row r="207">
      <c r="M207">
        <f>IF(A207="","", _xludf.WEEKNUM(A207, 2))</f>
        <v/>
      </c>
    </row>
    <row r="208">
      <c r="M208">
        <f>IF(A208="","", _xludf.WEEKNUM(A208, 2))</f>
        <v/>
      </c>
    </row>
    <row r="209">
      <c r="G209" s="17626" t="n"/>
      <c r="M209">
        <f>IF(A209="","", _xludf.WEEKNUM(A209, 2))</f>
        <v/>
      </c>
    </row>
    <row r="210">
      <c r="M210">
        <f>IF(A210="","", _xludf.WEEKNUM(A210, 2))</f>
        <v/>
      </c>
    </row>
    <row r="211">
      <c r="M211">
        <f>IF(A211="","", _xludf.WEEKNUM(A211, 2))</f>
        <v/>
      </c>
    </row>
    <row r="212">
      <c r="M212">
        <f>IF(A212="","", _xludf.WEEKNUM(A212, 2))</f>
        <v/>
      </c>
    </row>
    <row r="213">
      <c r="M213">
        <f>IF(A213="","", _xludf.WEEKNUM(A213, 2))</f>
        <v/>
      </c>
    </row>
    <row r="214">
      <c r="M214">
        <f>IF(A214="","", _xludf.WEEKNUM(A214, 2))</f>
        <v/>
      </c>
    </row>
    <row r="215">
      <c r="M215">
        <f>IF(A215="","", _xludf.WEEKNUM(A215, 2))</f>
        <v/>
      </c>
    </row>
    <row r="216">
      <c r="M216">
        <f>IF(A216="","", _xludf.WEEKNUM(A216, 2))</f>
        <v/>
      </c>
    </row>
    <row r="217">
      <c r="M217">
        <f>IF(A217="","", _xludf.WEEKNUM(A217, 2))</f>
        <v/>
      </c>
    </row>
    <row r="218">
      <c r="M218">
        <f>IF(A218="","", _xludf.WEEKNUM(A218, 2))</f>
        <v/>
      </c>
    </row>
    <row r="219">
      <c r="M219">
        <f>IF(A219="","", _xludf.WEEKNUM(A219, 2))</f>
        <v/>
      </c>
    </row>
    <row r="220">
      <c r="M220">
        <f>IF(A220="","", _xludf.WEEKNUM(A220, 2))</f>
        <v/>
      </c>
    </row>
    <row r="221">
      <c r="M221">
        <f>IF(A221="","", _xludf.WEEKNUM(A221, 2))</f>
        <v/>
      </c>
    </row>
    <row r="222">
      <c r="M222">
        <f>IF(A222="","", _xludf.WEEKNUM(A222, 2))</f>
        <v/>
      </c>
    </row>
    <row r="223">
      <c r="M223">
        <f>IF(A223="","", _xludf.WEEKNUM(A223, 2))</f>
        <v/>
      </c>
    </row>
    <row r="224">
      <c r="M224">
        <f>IF(A224="","", _xludf.WEEKNUM(A224, 2))</f>
        <v/>
      </c>
    </row>
    <row r="225">
      <c r="M225">
        <f>IF(A225="","", _xludf.WEEKNUM(A225, 2))</f>
        <v/>
      </c>
    </row>
    <row r="226">
      <c r="M226">
        <f>IF(A226="","", _xludf.WEEKNUM(A226, 2))</f>
        <v/>
      </c>
    </row>
    <row r="227">
      <c r="M227">
        <f>IF(A227="","", _xludf.WEEKNUM(A227, 2))</f>
        <v/>
      </c>
    </row>
    <row r="228">
      <c r="M228">
        <f>IF(A228="","", _xludf.WEEKNUM(A228, 2))</f>
        <v/>
      </c>
    </row>
    <row r="229">
      <c r="M229">
        <f>IF(A229="","", _xludf.WEEKNUM(A229, 2))</f>
        <v/>
      </c>
    </row>
    <row r="230">
      <c r="M230">
        <f>IF(A230="","", _xludf.WEEKNUM(A230, 2))</f>
        <v/>
      </c>
    </row>
    <row r="231">
      <c r="M231">
        <f>IF(A231="","", _xludf.WEEKNUM(A231, 2))</f>
        <v/>
      </c>
    </row>
    <row r="232">
      <c r="M232">
        <f>IF(A232="","", _xludf.WEEKNUM(A232, 2))</f>
        <v/>
      </c>
    </row>
    <row r="233">
      <c r="M233">
        <f>IF(A233="","", _xludf.WEEKNUM(A233, 2))</f>
        <v/>
      </c>
    </row>
    <row r="234">
      <c r="M234">
        <f>IF(A234="","", _xludf.WEEKNUM(A234, 2))</f>
        <v/>
      </c>
    </row>
    <row r="235">
      <c r="M235">
        <f>IF(A235="","", _xludf.WEEKNUM(A235, 2))</f>
        <v/>
      </c>
    </row>
    <row r="236">
      <c r="M236">
        <f>IF(A236="","", _xludf.WEEKNUM(A236, 2))</f>
        <v/>
      </c>
    </row>
    <row r="237">
      <c r="M237">
        <f>IF(A237="","", _xludf.WEEKNUM(A237, 2))</f>
        <v/>
      </c>
    </row>
    <row r="238">
      <c r="M238">
        <f>IF(A238="","", _xludf.WEEKNUM(A238, 2))</f>
        <v/>
      </c>
    </row>
    <row r="239">
      <c r="M239">
        <f>IF(A239="","", _xludf.WEEKNUM(A239, 2))</f>
        <v/>
      </c>
    </row>
    <row r="240">
      <c r="M240">
        <f>IF(A240="","", _xludf.WEEKNUM(A240, 2))</f>
        <v/>
      </c>
    </row>
    <row r="241">
      <c r="M241">
        <f>IF(A241="","", _xludf.WEEKNUM(A241, 2))</f>
        <v/>
      </c>
    </row>
    <row r="242">
      <c r="M242">
        <f>IF(A242="","", _xludf.WEEKNUM(A242, 2))</f>
        <v/>
      </c>
    </row>
    <row r="243">
      <c r="M243">
        <f>IF(A243="","", _xludf.WEEKNUM(A243, 2))</f>
        <v/>
      </c>
    </row>
    <row r="244">
      <c r="M244">
        <f>IF(A244="","", _xludf.WEEKNUM(A244, 2))</f>
        <v/>
      </c>
    </row>
    <row r="245">
      <c r="M245">
        <f>IF(A245="","", _xludf.WEEKNUM(A245, 2))</f>
        <v/>
      </c>
    </row>
    <row r="246">
      <c r="M246">
        <f>IF(A246="","", _xludf.WEEKNUM(A246, 2))</f>
        <v/>
      </c>
    </row>
    <row r="247">
      <c r="M247">
        <f>IF(A247="","", _xludf.WEEKNUM(A247, 2))</f>
        <v/>
      </c>
    </row>
    <row r="248">
      <c r="M248">
        <f>IF(A248="","", _xludf.WEEKNUM(A248, 2))</f>
        <v/>
      </c>
    </row>
    <row r="249">
      <c r="M249">
        <f>IF(A249="","", _xludf.WEEKNUM(A249, 2))</f>
        <v/>
      </c>
    </row>
    <row r="250">
      <c r="M250">
        <f>IF(A250="","", _xludf.WEEKNUM(A250, 2))</f>
        <v/>
      </c>
    </row>
    <row r="251">
      <c r="M251">
        <f>IF(A251="","", _xludf.WEEKNUM(A251, 2))</f>
        <v/>
      </c>
    </row>
    <row r="252">
      <c r="M252">
        <f>IF(A252="","", _xludf.WEEKNUM(A252, 2))</f>
        <v/>
      </c>
    </row>
    <row r="253">
      <c r="M253">
        <f>IF(A253="","", _xludf.WEEKNUM(A253, 2))</f>
        <v/>
      </c>
    </row>
    <row r="254">
      <c r="M254">
        <f>IF(A254="","", _xludf.WEEKNUM(A254, 2))</f>
        <v/>
      </c>
    </row>
    <row r="255">
      <c r="M255">
        <f>IF(A255="","", _xludf.WEEKNUM(A255, 2))</f>
        <v/>
      </c>
    </row>
    <row r="256">
      <c r="M256">
        <f>IF(A256="","", _xludf.WEEKNUM(A256, 2))</f>
        <v/>
      </c>
    </row>
    <row r="257">
      <c r="M257">
        <f>IF(A257="","", _xludf.WEEKNUM(A257, 2))</f>
        <v/>
      </c>
    </row>
    <row r="258">
      <c r="M258">
        <f>IF(A258="","", _xludf.WEEKNUM(A258, 2))</f>
        <v/>
      </c>
    </row>
    <row r="259">
      <c r="M259">
        <f>IF(A259="","", _xludf.WEEKNUM(A259, 2))</f>
        <v/>
      </c>
    </row>
    <row r="260">
      <c r="M260">
        <f>IF(A260="","", _xludf.WEEKNUM(A260, 2))</f>
        <v/>
      </c>
    </row>
    <row r="261">
      <c r="M261">
        <f>IF(A261="","", _xludf.WEEKNUM(A261, 2))</f>
        <v/>
      </c>
    </row>
    <row r="262">
      <c r="M262">
        <f>IF(A262="","", _xludf.WEEKNUM(A262, 2))</f>
        <v/>
      </c>
    </row>
    <row r="263">
      <c r="M263">
        <f>IF(A263="","", _xludf.WEEKNUM(A263, 2))</f>
        <v/>
      </c>
    </row>
    <row r="264">
      <c r="M264">
        <f>IF(A264="","", _xludf.WEEKNUM(A264, 2))</f>
        <v/>
      </c>
    </row>
    <row r="265">
      <c r="M265">
        <f>IF(A265="","", _xludf.WEEKNUM(A265, 2))</f>
        <v/>
      </c>
    </row>
    <row r="266">
      <c r="M266">
        <f>IF(A266="","", _xludf.WEEKNUM(A266, 2))</f>
        <v/>
      </c>
    </row>
    <row r="267">
      <c r="M267">
        <f>IF(A267="","", _xludf.WEEKNUM(A267, 2))</f>
        <v/>
      </c>
    </row>
    <row r="268">
      <c r="M268">
        <f>IF(A268="","", _xludf.WEEKNUM(A268, 2))</f>
        <v/>
      </c>
    </row>
    <row r="269">
      <c r="M269">
        <f>IF(A269="","", _xludf.WEEKNUM(A269, 2))</f>
        <v/>
      </c>
    </row>
    <row r="270">
      <c r="M270">
        <f>IF(A270="","", _xludf.WEEKNUM(A270, 2))</f>
        <v/>
      </c>
    </row>
    <row r="271">
      <c r="M271">
        <f>IF(A271="","", _xludf.WEEKNUM(A271, 2))</f>
        <v/>
      </c>
    </row>
    <row r="272">
      <c r="M272">
        <f>IF(A272="","", _xludf.WEEKNUM(A272, 2))</f>
        <v/>
      </c>
    </row>
    <row r="273">
      <c r="M273">
        <f>IF(A273="","", _xludf.WEEKNUM(A273, 2))</f>
        <v/>
      </c>
    </row>
    <row r="274">
      <c r="M274">
        <f>IF(A274="","", _xludf.WEEKNUM(A274, 2))</f>
        <v/>
      </c>
    </row>
    <row r="275">
      <c r="M275">
        <f>IF(A275="","", _xludf.WEEKNUM(A275, 2))</f>
        <v/>
      </c>
    </row>
    <row r="276">
      <c r="M276">
        <f>IF(A276="","", _xludf.WEEKNUM(A276, 2))</f>
        <v/>
      </c>
    </row>
    <row r="277">
      <c r="M277">
        <f>IF(A277="","", _xludf.WEEKNUM(A277, 2))</f>
        <v/>
      </c>
    </row>
    <row r="278">
      <c r="M278">
        <f>IF(A278="","", _xludf.WEEKNUM(A278, 2))</f>
        <v/>
      </c>
    </row>
    <row r="279">
      <c r="M279">
        <f>IF(A279="","", _xludf.WEEKNUM(A279, 2))</f>
        <v/>
      </c>
    </row>
    <row r="280">
      <c r="M280">
        <f>IF(A280="","", _xludf.WEEKNUM(A280, 2))</f>
        <v/>
      </c>
    </row>
    <row r="281">
      <c r="M281">
        <f>IF(A281="","", _xludf.WEEKNUM(A281, 2))</f>
        <v/>
      </c>
    </row>
    <row r="282">
      <c r="M282">
        <f>IF(A282="","", _xludf.WEEKNUM(A282, 2))</f>
        <v/>
      </c>
    </row>
    <row r="283">
      <c r="M283">
        <f>IF(A283="","", _xludf.WEEKNUM(A283, 2))</f>
        <v/>
      </c>
    </row>
    <row r="284">
      <c r="M284">
        <f>IF(A284="","", _xludf.WEEKNUM(A284, 2))</f>
        <v/>
      </c>
    </row>
    <row r="285">
      <c r="M285">
        <f>IF(A285="","", _xludf.WEEKNUM(A285, 2))</f>
        <v/>
      </c>
    </row>
    <row r="286">
      <c r="M286">
        <f>IF(A286="","", _xludf.WEEKNUM(A286, 2))</f>
        <v/>
      </c>
    </row>
    <row r="287">
      <c r="M287">
        <f>IF(A287="","", _xludf.WEEKNUM(A287, 2))</f>
        <v/>
      </c>
    </row>
    <row r="288">
      <c r="M288">
        <f>IF(A288="","", _xludf.WEEKNUM(A288, 2))</f>
        <v/>
      </c>
    </row>
    <row r="289">
      <c r="M289">
        <f>IF(A289="","", _xludf.WEEKNUM(A289, 2))</f>
        <v/>
      </c>
    </row>
    <row r="290">
      <c r="M290">
        <f>IF(A290="","", _xludf.WEEKNUM(A290, 2))</f>
        <v/>
      </c>
    </row>
    <row r="291">
      <c r="M291">
        <f>IF(A291="","", _xludf.WEEKNUM(A291, 2))</f>
        <v/>
      </c>
    </row>
    <row r="292">
      <c r="M292">
        <f>IF(A292="","", _xludf.WEEKNUM(A292, 2))</f>
        <v/>
      </c>
    </row>
    <row r="293">
      <c r="M293">
        <f>IF(A293="","", _xludf.WEEKNUM(A293, 2))</f>
        <v/>
      </c>
    </row>
    <row r="294">
      <c r="M294">
        <f>IF(A294="","", _xludf.WEEKNUM(A294, 2))</f>
        <v/>
      </c>
    </row>
    <row r="295">
      <c r="M295">
        <f>IF(A295="","", _xludf.WEEKNUM(A295, 2))</f>
        <v/>
      </c>
    </row>
    <row r="296">
      <c r="M296">
        <f>IF(A296="","", _xludf.WEEKNUM(A296, 2))</f>
        <v/>
      </c>
    </row>
    <row r="297">
      <c r="M297">
        <f>IF(A297="","", _xludf.WEEKNUM(A297, 2))</f>
        <v/>
      </c>
    </row>
    <row r="298">
      <c r="M298">
        <f>IF(A298="","", _xludf.WEEKNUM(A298, 2))</f>
        <v/>
      </c>
    </row>
    <row r="299">
      <c r="M299">
        <f>IF(A299="","", _xludf.WEEKNUM(A299, 2))</f>
        <v/>
      </c>
    </row>
    <row r="300">
      <c r="M300">
        <f>IF(A300="","", _xludf.WEEKNUM(A300, 2))</f>
        <v/>
      </c>
    </row>
    <row r="301">
      <c r="M301">
        <f>IF(A301="","", _xludf.WEEKNUM(A301, 2))</f>
        <v/>
      </c>
    </row>
    <row r="302">
      <c r="M302">
        <f>IF(A302="","", _xludf.WEEKNUM(A302, 2))</f>
        <v/>
      </c>
    </row>
    <row r="303">
      <c r="M303">
        <f>IF(A303="","", _xludf.WEEKNUM(A303, 2))</f>
        <v/>
      </c>
    </row>
    <row r="304">
      <c r="M304">
        <f>IF(A304="","", _xludf.WEEKNUM(A304, 2))</f>
        <v/>
      </c>
    </row>
    <row r="305">
      <c r="M305">
        <f>IF(A305="","", _xludf.WEEKNUM(A305, 2))</f>
        <v/>
      </c>
    </row>
    <row r="306">
      <c r="M306">
        <f>IF(A306="","", _xludf.WEEKNUM(A306, 2))</f>
        <v/>
      </c>
    </row>
    <row r="307">
      <c r="M307">
        <f>IF(A307="","", _xludf.WEEKNUM(A307, 2))</f>
        <v/>
      </c>
    </row>
    <row r="308">
      <c r="M308">
        <f>IF(A308="","", _xludf.WEEKNUM(A308, 2))</f>
        <v/>
      </c>
    </row>
    <row r="309">
      <c r="M309">
        <f>IF(A309="","", _xludf.WEEKNUM(A309, 2))</f>
        <v/>
      </c>
    </row>
    <row r="310">
      <c r="M310">
        <f>IF(A310="","", _xludf.WEEKNUM(A310, 2))</f>
        <v/>
      </c>
    </row>
    <row r="311">
      <c r="M311">
        <f>IF(A311="","", _xludf.WEEKNUM(A311, 2))</f>
        <v/>
      </c>
    </row>
    <row r="312">
      <c r="M312">
        <f>IF(A312="","", _xludf.WEEKNUM(A312, 2))</f>
        <v/>
      </c>
    </row>
    <row r="313">
      <c r="M313">
        <f>IF(A313="","", _xludf.WEEKNUM(A313, 2))</f>
        <v/>
      </c>
    </row>
    <row r="314">
      <c r="M314">
        <f>IF(A314="","", _xludf.WEEKNUM(A314, 2))</f>
        <v/>
      </c>
    </row>
    <row r="315">
      <c r="M315">
        <f>IF(A315="","", _xludf.WEEKNUM(A315, 2))</f>
        <v/>
      </c>
    </row>
    <row r="316">
      <c r="M316">
        <f>IF(A316="","", _xludf.WEEKNUM(A316, 2))</f>
        <v/>
      </c>
    </row>
    <row r="317">
      <c r="M317">
        <f>IF(A317="","", _xludf.WEEKNUM(A317, 2))</f>
        <v/>
      </c>
    </row>
    <row r="318">
      <c r="M318">
        <f>IF(A318="","", _xludf.WEEKNUM(A318, 2))</f>
        <v/>
      </c>
    </row>
    <row r="319">
      <c r="M319">
        <f>IF(A319="","", _xludf.WEEKNUM(A319, 2))</f>
        <v/>
      </c>
    </row>
    <row r="320">
      <c r="M320">
        <f>IF(A320="","", _xludf.WEEKNUM(A320, 2))</f>
        <v/>
      </c>
    </row>
    <row r="321">
      <c r="M321">
        <f>IF(A321="","", _xludf.WEEKNUM(A321, 2))</f>
        <v/>
      </c>
    </row>
    <row r="322">
      <c r="M322">
        <f>IF(A322="","", _xludf.WEEKNUM(A322, 2))</f>
        <v/>
      </c>
    </row>
    <row r="323">
      <c r="M323">
        <f>IF(A323="","", _xludf.WEEKNUM(A323, 2))</f>
        <v/>
      </c>
    </row>
    <row r="324">
      <c r="M324">
        <f>IF(A324="","", _xludf.WEEKNUM(A324, 2))</f>
        <v/>
      </c>
    </row>
    <row r="325">
      <c r="M325">
        <f>IF(A325="","", _xludf.WEEKNUM(A325, 2))</f>
        <v/>
      </c>
    </row>
    <row r="326">
      <c r="M326">
        <f>IF(A326="","", _xludf.WEEKNUM(A326, 2))</f>
        <v/>
      </c>
    </row>
    <row r="327">
      <c r="M327">
        <f>IF(A327="","", _xludf.WEEKNUM(A327, 2))</f>
        <v/>
      </c>
    </row>
    <row r="328">
      <c r="M328">
        <f>IF(A328="","", _xludf.WEEKNUM(A328, 2))</f>
        <v/>
      </c>
    </row>
    <row r="329">
      <c r="M329">
        <f>IF(A329="","", _xludf.WEEKNUM(A329, 2))</f>
        <v/>
      </c>
    </row>
    <row r="330">
      <c r="M330">
        <f>IF(A330="","", _xludf.WEEKNUM(A330, 2))</f>
        <v/>
      </c>
    </row>
    <row r="331">
      <c r="M331">
        <f>IF(A331="","", _xludf.WEEKNUM(A331, 2))</f>
        <v/>
      </c>
    </row>
    <row r="332">
      <c r="M332">
        <f>IF(A332="","", _xludf.WEEKNUM(A332, 2))</f>
        <v/>
      </c>
    </row>
    <row r="333">
      <c r="M333">
        <f>IF(A333="","", _xludf.WEEKNUM(A333, 2))</f>
        <v/>
      </c>
    </row>
    <row r="334">
      <c r="M334">
        <f>IF(A334="","", _xludf.WEEKNUM(A334, 2))</f>
        <v/>
      </c>
    </row>
    <row r="335">
      <c r="M335">
        <f>IF(A335="","", _xludf.WEEKNUM(A335, 2))</f>
        <v/>
      </c>
    </row>
    <row r="336">
      <c r="M336">
        <f>IF(A336="","", _xludf.WEEKNUM(A336, 2))</f>
        <v/>
      </c>
    </row>
    <row r="337">
      <c r="M337">
        <f>IF(A337="","", _xludf.WEEKNUM(A337, 2))</f>
        <v/>
      </c>
    </row>
    <row r="338">
      <c r="M338">
        <f>IF(A338="","", _xludf.WEEKNUM(A338, 2))</f>
        <v/>
      </c>
    </row>
    <row r="339">
      <c r="M339">
        <f>IF(A339="","", _xludf.WEEKNUM(A339, 2))</f>
        <v/>
      </c>
    </row>
    <row r="340">
      <c r="M340">
        <f>IF(A340="","", _xludf.WEEKNUM(A340, 2))</f>
        <v/>
      </c>
    </row>
    <row r="341">
      <c r="M341">
        <f>IF(A341="","", _xludf.WEEKNUM(A341, 2))</f>
        <v/>
      </c>
    </row>
    <row r="342">
      <c r="M342">
        <f>IF(A342="","", _xludf.WEEKNUM(A342, 2))</f>
        <v/>
      </c>
    </row>
    <row r="343">
      <c r="M343">
        <f>IF(A343="","", _xludf.WEEKNUM(A343, 2))</f>
        <v/>
      </c>
    </row>
    <row r="344">
      <c r="M344">
        <f>IF(A344="","", _xludf.WEEKNUM(A344, 2))</f>
        <v/>
      </c>
    </row>
    <row r="345">
      <c r="M345">
        <f>IF(A345="","", _xludf.WEEKNUM(A345, 2))</f>
        <v/>
      </c>
    </row>
    <row r="346">
      <c r="M346">
        <f>IF(A346="","", _xludf.WEEKNUM(A346, 2))</f>
        <v/>
      </c>
    </row>
    <row r="347">
      <c r="M347">
        <f>IF(A347="","", _xludf.WEEKNUM(A347, 2))</f>
        <v/>
      </c>
    </row>
    <row r="348">
      <c r="M348">
        <f>IF(A348="","", _xludf.WEEKNUM(A348, 2))</f>
        <v/>
      </c>
    </row>
    <row r="349">
      <c r="M349">
        <f>IF(A349="","", _xludf.WEEKNUM(A349, 2))</f>
        <v/>
      </c>
    </row>
    <row r="350">
      <c r="M350">
        <f>IF(A350="","", _xludf.WEEKNUM(A350, 2))</f>
        <v/>
      </c>
    </row>
    <row r="351">
      <c r="M351">
        <f>IF(A351="","", _xludf.WEEKNUM(A351, 2))</f>
        <v/>
      </c>
    </row>
    <row r="352">
      <c r="M352">
        <f>IF(A352="","", _xludf.WEEKNUM(A352, 2))</f>
        <v/>
      </c>
    </row>
    <row r="353">
      <c r="M353">
        <f>IF(A353="","", _xludf.WEEKNUM(A353, 2))</f>
        <v/>
      </c>
    </row>
    <row r="354">
      <c r="M354">
        <f>IF(A354="","", _xludf.WEEKNUM(A354, 2))</f>
        <v/>
      </c>
    </row>
    <row r="355">
      <c r="M355">
        <f>IF(A355="","", _xludf.WEEKNUM(A355, 2))</f>
        <v/>
      </c>
    </row>
    <row r="356">
      <c r="M356">
        <f>IF(A356="","", _xludf.WEEKNUM(A356, 2))</f>
        <v/>
      </c>
    </row>
    <row r="357">
      <c r="M357">
        <f>IF(A357="","", _xludf.WEEKNUM(A357, 2))</f>
        <v/>
      </c>
    </row>
    <row r="358">
      <c r="M358">
        <f>IF(A358="","", _xludf.WEEKNUM(A358, 2))</f>
        <v/>
      </c>
    </row>
    <row r="359">
      <c r="M359">
        <f>IF(A359="","", _xludf.WEEKNUM(A359, 2))</f>
        <v/>
      </c>
    </row>
    <row r="360">
      <c r="M360">
        <f>IF(A360="","", _xludf.WEEKNUM(A360, 2))</f>
        <v/>
      </c>
    </row>
    <row r="361">
      <c r="M361">
        <f>IF(A361="","", _xludf.WEEKNUM(A361, 2))</f>
        <v/>
      </c>
    </row>
    <row r="362">
      <c r="M362">
        <f>IF(A362="","", _xludf.WEEKNUM(A362, 2))</f>
        <v/>
      </c>
    </row>
    <row r="363">
      <c r="M363">
        <f>IF(A363="","", _xludf.WEEKNUM(A363, 2))</f>
        <v/>
      </c>
    </row>
    <row r="364">
      <c r="M364">
        <f>IF(A364="","", _xludf.WEEKNUM(A364, 2))</f>
        <v/>
      </c>
    </row>
    <row r="365">
      <c r="M365">
        <f>IF(A365="","", _xludf.WEEKNUM(A365, 2))</f>
        <v/>
      </c>
    </row>
    <row r="366">
      <c r="M366">
        <f>IF(A366="","", _xludf.WEEKNUM(A366, 2))</f>
        <v/>
      </c>
    </row>
    <row r="367">
      <c r="M367">
        <f>IF(A367="","", _xludf.WEEKNUM(A367, 2))</f>
        <v/>
      </c>
    </row>
    <row r="368">
      <c r="M368">
        <f>IF(A368="","", _xludf.WEEKNUM(A368, 2))</f>
        <v/>
      </c>
    </row>
    <row r="369">
      <c r="M369">
        <f>IF(A369="","", _xludf.WEEKNUM(A369, 2))</f>
        <v/>
      </c>
    </row>
    <row r="370">
      <c r="M370">
        <f>IF(A370="","", _xludf.WEEKNUM(A370, 2))</f>
        <v/>
      </c>
    </row>
    <row r="371">
      <c r="M371">
        <f>IF(A371="","", _xludf.WEEKNUM(A371, 2))</f>
        <v/>
      </c>
    </row>
    <row r="372">
      <c r="M372">
        <f>IF(A372="","", _xludf.WEEKNUM(A372, 2))</f>
        <v/>
      </c>
    </row>
    <row r="373">
      <c r="M373">
        <f>IF(A373="","", _xludf.WEEKNUM(A373, 2))</f>
        <v/>
      </c>
    </row>
    <row r="374">
      <c r="M374">
        <f>IF(A374="","", _xludf.WEEKNUM(A374, 2))</f>
        <v/>
      </c>
    </row>
    <row r="375">
      <c r="M375">
        <f>IF(A375="","", _xludf.WEEKNUM(A375, 2))</f>
        <v/>
      </c>
    </row>
    <row r="376">
      <c r="M376">
        <f>IF(A376="","", _xludf.WEEKNUM(A376, 2))</f>
        <v/>
      </c>
    </row>
    <row r="377">
      <c r="M377">
        <f>IF(A377="","", _xludf.WEEKNUM(A377, 2))</f>
        <v/>
      </c>
    </row>
    <row r="378">
      <c r="M378">
        <f>IF(A378="","", _xludf.WEEKNUM(A378, 2))</f>
        <v/>
      </c>
    </row>
    <row r="379">
      <c r="M379">
        <f>IF(A379="","", _xludf.WEEKNUM(A379, 2))</f>
        <v/>
      </c>
    </row>
    <row r="380">
      <c r="M380">
        <f>IF(A380="","", _xludf.WEEKNUM(A380, 2))</f>
        <v/>
      </c>
    </row>
    <row r="381">
      <c r="M381">
        <f>IF(A381="","", _xludf.WEEKNUM(A381, 2))</f>
        <v/>
      </c>
    </row>
    <row r="382">
      <c r="M382">
        <f>IF(A382="","", _xludf.WEEKNUM(A382, 2))</f>
        <v/>
      </c>
    </row>
    <row r="383">
      <c r="M383">
        <f>IF(A383="","", _xludf.WEEKNUM(A383, 2))</f>
        <v/>
      </c>
    </row>
    <row r="384">
      <c r="M384">
        <f>IF(A384="","", _xludf.WEEKNUM(A384, 2))</f>
        <v/>
      </c>
    </row>
    <row r="385">
      <c r="M385">
        <f>IF(A385="","", _xludf.WEEKNUM(A385, 2))</f>
        <v/>
      </c>
    </row>
    <row r="386">
      <c r="M386">
        <f>IF(A386="","", _xludf.WEEKNUM(A386, 2))</f>
        <v/>
      </c>
    </row>
    <row r="387">
      <c r="M387">
        <f>IF(A387="","", _xludf.WEEKNUM(A387, 2))</f>
        <v/>
      </c>
    </row>
    <row r="388">
      <c r="M388">
        <f>IF(A388="","", _xludf.WEEKNUM(A388, 2))</f>
        <v/>
      </c>
    </row>
    <row r="389">
      <c r="M389">
        <f>IF(A389="","", _xludf.WEEKNUM(A389, 2))</f>
        <v/>
      </c>
    </row>
    <row r="390">
      <c r="M390">
        <f>IF(A390="","", _xludf.WEEKNUM(A390, 2))</f>
        <v/>
      </c>
    </row>
    <row r="391">
      <c r="M391">
        <f>IF(A391="","", _xludf.WEEKNUM(A391, 2))</f>
        <v/>
      </c>
    </row>
    <row r="392">
      <c r="M392">
        <f>IF(A392="","", _xludf.WEEKNUM(A392, 2))</f>
        <v/>
      </c>
    </row>
    <row r="393">
      <c r="M393">
        <f>IF(A393="","", _xludf.WEEKNUM(A393, 2))</f>
        <v/>
      </c>
    </row>
    <row r="394">
      <c r="M394">
        <f>IF(A394="","", _xludf.WEEKNUM(A394, 2))</f>
        <v/>
      </c>
    </row>
    <row r="395">
      <c r="M395">
        <f>IF(A395="","", _xludf.WEEKNUM(A395, 2))</f>
        <v/>
      </c>
    </row>
    <row r="396">
      <c r="M396">
        <f>IF(A396="","", _xludf.WEEKNUM(A396, 2))</f>
        <v/>
      </c>
    </row>
    <row r="397">
      <c r="M397">
        <f>IF(A397="","", _xludf.WEEKNUM(A397, 2))</f>
        <v/>
      </c>
    </row>
    <row r="398">
      <c r="M398">
        <f>IF(A398="","", _xludf.WEEKNUM(A398, 2))</f>
        <v/>
      </c>
    </row>
    <row r="399">
      <c r="M399">
        <f>IF(A399="","", _xludf.WEEKNUM(A399, 2))</f>
        <v/>
      </c>
    </row>
    <row r="400">
      <c r="M400">
        <f>IF(A400="","", _xludf.WEEKNUM(A400, 2))</f>
        <v/>
      </c>
    </row>
    <row r="401">
      <c r="M401">
        <f>IF(A401="","", _xludf.WEEKNUM(A401, 2))</f>
        <v/>
      </c>
    </row>
    <row r="402">
      <c r="M402">
        <f>IF(A402="","", _xludf.WEEKNUM(A402, 2))</f>
        <v/>
      </c>
    </row>
    <row r="403">
      <c r="M403">
        <f>IF(A403="","", _xludf.WEEKNUM(A403, 2))</f>
        <v/>
      </c>
    </row>
    <row r="404">
      <c r="M404">
        <f>IF(A404="","", _xludf.WEEKNUM(A404, 2))</f>
        <v/>
      </c>
    </row>
    <row r="405">
      <c r="M405">
        <f>IF(A405="","", _xludf.WEEKNUM(A405, 2))</f>
        <v/>
      </c>
    </row>
    <row r="406">
      <c r="M406">
        <f>IF(A406="","", _xludf.WEEKNUM(A406, 2))</f>
        <v/>
      </c>
    </row>
    <row r="407">
      <c r="M407">
        <f>IF(A407="","", _xludf.WEEKNUM(A407, 2))</f>
        <v/>
      </c>
    </row>
    <row r="408">
      <c r="M408">
        <f>IF(A408="","", _xludf.WEEKNUM(A408, 2))</f>
        <v/>
      </c>
    </row>
    <row r="409">
      <c r="M409">
        <f>IF(A409="","", _xludf.WEEKNUM(A409, 2))</f>
        <v/>
      </c>
    </row>
    <row r="410">
      <c r="M410">
        <f>IF(A410="","", _xludf.WEEKNUM(A410, 2))</f>
        <v/>
      </c>
    </row>
    <row r="411">
      <c r="M411">
        <f>IF(A411="","", _xludf.WEEKNUM(A411, 2))</f>
        <v/>
      </c>
    </row>
    <row r="412">
      <c r="M412">
        <f>IF(A412="","", _xludf.WEEKNUM(A412, 2))</f>
        <v/>
      </c>
    </row>
    <row r="413">
      <c r="M413">
        <f>IF(A413="","", _xludf.WEEKNUM(A413, 2))</f>
        <v/>
      </c>
    </row>
    <row r="414">
      <c r="M414">
        <f>IF(A414="","", _xludf.WEEKNUM(A414, 2))</f>
        <v/>
      </c>
    </row>
    <row r="415">
      <c r="M415">
        <f>IF(A415="","", _xludf.WEEKNUM(A415, 2))</f>
        <v/>
      </c>
    </row>
    <row r="416">
      <c r="M416">
        <f>IF(A416="","", _xludf.WEEKNUM(A416, 2))</f>
        <v/>
      </c>
    </row>
    <row r="417">
      <c r="M417">
        <f>IF(A417="","", _xludf.WEEKNUM(A417, 2))</f>
        <v/>
      </c>
    </row>
    <row r="418">
      <c r="M418">
        <f>IF(A418="","", _xludf.WEEKNUM(A418, 2))</f>
        <v/>
      </c>
    </row>
    <row r="419">
      <c r="M419">
        <f>IF(A419="","", _xludf.WEEKNUM(A419, 2))</f>
        <v/>
      </c>
    </row>
    <row r="420">
      <c r="M420">
        <f>IF(A420="","", _xludf.WEEKNUM(A420, 2))</f>
        <v/>
      </c>
    </row>
    <row r="421">
      <c r="M421">
        <f>IF(A421="","", _xludf.WEEKNUM(A421, 2))</f>
        <v/>
      </c>
    </row>
    <row r="422">
      <c r="M422">
        <f>IF(A422="","", _xludf.WEEKNUM(A422, 2))</f>
        <v/>
      </c>
    </row>
    <row r="423">
      <c r="M423">
        <f>IF(A423="","", _xludf.WEEKNUM(A423, 2))</f>
        <v/>
      </c>
    </row>
    <row r="424">
      <c r="M424">
        <f>IF(A424="","", _xludf.WEEKNUM(A424, 2))</f>
        <v/>
      </c>
    </row>
    <row r="425">
      <c r="M425">
        <f>IF(A425="","", _xludf.WEEKNUM(A425, 2))</f>
        <v/>
      </c>
    </row>
    <row r="426">
      <c r="M426">
        <f>IF(A426="","", _xludf.WEEKNUM(A426, 2))</f>
        <v/>
      </c>
    </row>
    <row r="427">
      <c r="M427">
        <f>IF(A427="","", _xludf.WEEKNUM(A427, 2))</f>
        <v/>
      </c>
    </row>
    <row r="428">
      <c r="M428">
        <f>IF(A428="","", _xludf.WEEKNUM(A428, 2))</f>
        <v/>
      </c>
    </row>
    <row r="429">
      <c r="M429">
        <f>IF(A429="","", _xludf.WEEKNUM(A429, 2))</f>
        <v/>
      </c>
    </row>
    <row r="430">
      <c r="M430">
        <f>IF(A430="","", _xludf.WEEKNUM(A430, 2))</f>
        <v/>
      </c>
    </row>
    <row r="431">
      <c r="M431">
        <f>IF(A431="","", _xludf.WEEKNUM(A431, 2))</f>
        <v/>
      </c>
    </row>
    <row r="432">
      <c r="M432">
        <f>IF(A432="","", _xludf.WEEKNUM(A432, 2))</f>
        <v/>
      </c>
    </row>
    <row r="433">
      <c r="M433">
        <f>IF(A433="","", _xludf.WEEKNUM(A433, 2))</f>
        <v/>
      </c>
    </row>
    <row r="434">
      <c r="M434">
        <f>IF(A434="","", _xludf.WEEKNUM(A434, 2))</f>
        <v/>
      </c>
    </row>
    <row r="435">
      <c r="M435">
        <f>IF(A435="","", _xludf.WEEKNUM(A435, 2))</f>
        <v/>
      </c>
    </row>
    <row r="436">
      <c r="M436">
        <f>IF(A436="","", _xludf.WEEKNUM(A436, 2))</f>
        <v/>
      </c>
    </row>
    <row r="437">
      <c r="M437">
        <f>IF(A437="","", _xludf.WEEKNUM(A437, 2))</f>
        <v/>
      </c>
    </row>
    <row r="438">
      <c r="M438">
        <f>IF(A438="","", _xludf.WEEKNUM(A438, 2))</f>
        <v/>
      </c>
    </row>
    <row r="439">
      <c r="M439">
        <f>IF(A439="","", _xludf.WEEKNUM(A439, 2))</f>
        <v/>
      </c>
    </row>
    <row r="440">
      <c r="M440">
        <f>IF(A440="","", _xludf.WEEKNUM(A440, 2))</f>
        <v/>
      </c>
    </row>
    <row r="441">
      <c r="M441">
        <f>IF(A441="","", _xludf.WEEKNUM(A441, 2))</f>
        <v/>
      </c>
    </row>
    <row r="442">
      <c r="M442">
        <f>IF(A442="","", _xludf.WEEKNUM(A442, 2))</f>
        <v/>
      </c>
    </row>
    <row r="443">
      <c r="M443">
        <f>IF(A443="","", _xludf.WEEKNUM(A443, 2))</f>
        <v/>
      </c>
    </row>
    <row r="444">
      <c r="M444">
        <f>IF(A444="","", _xludf.WEEKNUM(A444, 2))</f>
        <v/>
      </c>
    </row>
    <row r="445">
      <c r="M445">
        <f>IF(A445="","", _xludf.WEEKNUM(A445, 2))</f>
        <v/>
      </c>
    </row>
    <row r="446">
      <c r="M446">
        <f>IF(A446="","", _xludf.WEEKNUM(A446, 2))</f>
        <v/>
      </c>
    </row>
    <row r="447">
      <c r="M447">
        <f>IF(A447="","", _xludf.WEEKNUM(A447, 2))</f>
        <v/>
      </c>
    </row>
    <row r="448">
      <c r="M448">
        <f>IF(A448="","", _xludf.WEEKNUM(A448, 2))</f>
        <v/>
      </c>
    </row>
    <row r="449">
      <c r="M449">
        <f>IF(A449="","", _xludf.WEEKNUM(A449, 2))</f>
        <v/>
      </c>
    </row>
    <row r="450">
      <c r="M450">
        <f>IF(A450="","", _xludf.WEEKNUM(A450, 2))</f>
        <v/>
      </c>
    </row>
    <row r="451">
      <c r="M451">
        <f>IF(A451="","", _xludf.WEEKNUM(A451, 2))</f>
        <v/>
      </c>
    </row>
    <row r="452">
      <c r="M452">
        <f>IF(A452="","", _xludf.WEEKNUM(A452, 2))</f>
        <v/>
      </c>
    </row>
    <row r="453">
      <c r="M453">
        <f>IF(A453="","", _xludf.WEEKNUM(A453, 2))</f>
        <v/>
      </c>
    </row>
    <row r="454">
      <c r="M454">
        <f>IF(A454="","", _xludf.WEEKNUM(A454, 2))</f>
        <v/>
      </c>
    </row>
    <row r="455">
      <c r="M455">
        <f>IF(A455="","", _xludf.WEEKNUM(A455, 2))</f>
        <v/>
      </c>
    </row>
    <row r="456">
      <c r="M456">
        <f>IF(A456="","", _xludf.WEEKNUM(A456, 2))</f>
        <v/>
      </c>
    </row>
    <row r="457">
      <c r="M457">
        <f>IF(A457="","", _xludf.WEEKNUM(A457, 2))</f>
        <v/>
      </c>
    </row>
    <row r="458">
      <c r="M458">
        <f>IF(A458="","", _xludf.WEEKNUM(A458, 2))</f>
        <v/>
      </c>
    </row>
    <row r="459">
      <c r="M459">
        <f>IF(A459="","", _xludf.WEEKNUM(A459, 2))</f>
        <v/>
      </c>
    </row>
    <row r="460">
      <c r="M460">
        <f>IF(A460="","", _xludf.WEEKNUM(A460, 2))</f>
        <v/>
      </c>
    </row>
    <row r="461">
      <c r="M461">
        <f>IF(A461="","", _xludf.WEEKNUM(A461, 2))</f>
        <v/>
      </c>
    </row>
    <row r="462">
      <c r="M462">
        <f>IF(A462="","", _xludf.WEEKNUM(A462, 2))</f>
        <v/>
      </c>
    </row>
    <row r="463">
      <c r="M463">
        <f>IF(A463="","", _xludf.WEEKNUM(A463, 2))</f>
        <v/>
      </c>
    </row>
    <row r="464">
      <c r="M464">
        <f>IF(A464="","", _xludf.WEEKNUM(A464, 2))</f>
        <v/>
      </c>
    </row>
    <row r="465">
      <c r="M465">
        <f>IF(A465="","", _xludf.WEEKNUM(A465, 2))</f>
        <v/>
      </c>
    </row>
    <row r="466">
      <c r="M466">
        <f>IF(A466="","", _xludf.WEEKNUM(A466, 2))</f>
        <v/>
      </c>
    </row>
    <row r="467">
      <c r="M467">
        <f>IF(A467="","", _xludf.WEEKNUM(A467, 2))</f>
        <v/>
      </c>
    </row>
    <row r="468">
      <c r="M468">
        <f>IF(A468="","", _xludf.WEEKNUM(A468, 2))</f>
        <v/>
      </c>
    </row>
    <row r="469">
      <c r="M469">
        <f>IF(A469="","", _xludf.WEEKNUM(A469, 2))</f>
        <v/>
      </c>
    </row>
    <row r="470">
      <c r="M470">
        <f>IF(A470="","", _xludf.WEEKNUM(A470, 2))</f>
        <v/>
      </c>
    </row>
    <row r="471">
      <c r="M471">
        <f>IF(A471="","", _xludf.WEEKNUM(A471, 2))</f>
        <v/>
      </c>
    </row>
    <row r="472">
      <c r="M472">
        <f>IF(A472="","", _xludf.WEEKNUM(A472, 2))</f>
        <v/>
      </c>
    </row>
    <row r="473">
      <c r="M473">
        <f>IF(A473="","", _xludf.WEEKNUM(A473, 2))</f>
        <v/>
      </c>
    </row>
    <row r="474">
      <c r="M474">
        <f>IF(A474="","", _xludf.WEEKNUM(A474, 2))</f>
        <v/>
      </c>
    </row>
    <row r="475">
      <c r="M475">
        <f>IF(A475="","", _xludf.WEEKNUM(A475, 2))</f>
        <v/>
      </c>
    </row>
    <row r="476">
      <c r="M476">
        <f>IF(A476="","", _xludf.WEEKNUM(A476, 2))</f>
        <v/>
      </c>
    </row>
    <row r="477">
      <c r="M477">
        <f>IF(A477="","", _xludf.WEEKNUM(A477, 2))</f>
        <v/>
      </c>
    </row>
    <row r="478">
      <c r="M478">
        <f>IF(A478="","", _xludf.WEEKNUM(A478, 2))</f>
        <v/>
      </c>
    </row>
    <row r="479">
      <c r="M479">
        <f>IF(A479="","", _xludf.WEEKNUM(A479, 2))</f>
        <v/>
      </c>
    </row>
    <row r="480">
      <c r="M480">
        <f>IF(A480="","", _xludf.WEEKNUM(A480, 2))</f>
        <v/>
      </c>
    </row>
    <row r="481">
      <c r="M481">
        <f>IF(A481="","", _xludf.WEEKNUM(A481, 2))</f>
        <v/>
      </c>
    </row>
    <row r="482">
      <c r="M482">
        <f>IF(A482="","", _xludf.WEEKNUM(A482, 2))</f>
        <v/>
      </c>
    </row>
    <row r="483">
      <c r="M483">
        <f>IF(A483="","", _xludf.WEEKNUM(A483, 2))</f>
        <v/>
      </c>
    </row>
    <row r="484">
      <c r="M484">
        <f>IF(A484="","", _xludf.WEEKNUM(A484, 2))</f>
        <v/>
      </c>
    </row>
    <row r="485">
      <c r="M485">
        <f>IF(A485="","", _xludf.WEEKNUM(A485, 2))</f>
        <v/>
      </c>
    </row>
    <row r="486">
      <c r="M486">
        <f>IF(A486="","", _xludf.WEEKNUM(A486, 2))</f>
        <v/>
      </c>
    </row>
    <row r="487">
      <c r="M487">
        <f>IF(A487="","", _xludf.WEEKNUM(A487, 2))</f>
        <v/>
      </c>
    </row>
    <row r="488">
      <c r="M488">
        <f>IF(A488="","", _xludf.WEEKNUM(A488, 2))</f>
        <v/>
      </c>
    </row>
    <row r="489">
      <c r="M489">
        <f>IF(A489="","", _xludf.WEEKNUM(A489, 2))</f>
        <v/>
      </c>
    </row>
    <row r="490">
      <c r="M490">
        <f>IF(A490="","", _xludf.WEEKNUM(A490, 2))</f>
        <v/>
      </c>
    </row>
    <row r="491">
      <c r="M491">
        <f>IF(A491="","", _xludf.WEEKNUM(A491, 2))</f>
        <v/>
      </c>
    </row>
    <row r="492">
      <c r="M492">
        <f>IF(A492="","", _xludf.WEEKNUM(A492, 2))</f>
        <v/>
      </c>
    </row>
    <row r="493">
      <c r="M493">
        <f>IF(A493="","", _xludf.WEEKNUM(A493, 2))</f>
        <v/>
      </c>
    </row>
    <row r="494">
      <c r="M494">
        <f>IF(A494="","", _xludf.WEEKNUM(A494, 2))</f>
        <v/>
      </c>
    </row>
    <row r="495">
      <c r="M495">
        <f>IF(A495="","", _xludf.WEEKNUM(A495, 2))</f>
        <v/>
      </c>
    </row>
    <row r="496">
      <c r="M496">
        <f>IF(A496="","", _xludf.WEEKNUM(A496, 2))</f>
        <v/>
      </c>
    </row>
    <row r="497">
      <c r="M497">
        <f>IF(A497="","", _xludf.WEEKNUM(A497, 2))</f>
        <v/>
      </c>
    </row>
    <row r="498">
      <c r="M498">
        <f>IF(A498="","", _xludf.WEEKNUM(A498, 2))</f>
        <v/>
      </c>
    </row>
    <row r="499">
      <c r="M499">
        <f>IF(A499="","", _xludf.WEEKNUM(A499, 2))</f>
        <v/>
      </c>
    </row>
    <row r="500">
      <c r="M500">
        <f>IF(A500="","", _xludf.WEEKNUM(A500, 2))</f>
        <v/>
      </c>
    </row>
    <row r="501">
      <c r="M501">
        <f>IF(A501="","", _xludf.WEEKNUM(A501, 2))</f>
        <v/>
      </c>
    </row>
    <row r="502">
      <c r="M502">
        <f>IF(A502="","", _xludf.WEEKNUM(A502, 2))</f>
        <v/>
      </c>
    </row>
    <row r="503">
      <c r="M503">
        <f>IF(A503="","", _xludf.WEEKNUM(A503, 2))</f>
        <v/>
      </c>
    </row>
    <row r="504">
      <c r="M504">
        <f>IF(A504="","", _xludf.WEEKNUM(A504, 2))</f>
        <v/>
      </c>
    </row>
    <row r="505">
      <c r="M505">
        <f>IF(A505="","", _xludf.WEEKNUM(A505, 2))</f>
        <v/>
      </c>
    </row>
    <row r="506">
      <c r="M506">
        <f>IF(A506="","", _xludf.WEEKNUM(A506, 2))</f>
        <v/>
      </c>
    </row>
    <row r="507">
      <c r="M507">
        <f>IF(A507="","", _xludf.WEEKNUM(A507, 2))</f>
        <v/>
      </c>
    </row>
    <row r="508">
      <c r="M508">
        <f>IF(A508="","", _xludf.WEEKNUM(A508, 2))</f>
        <v/>
      </c>
    </row>
    <row r="509">
      <c r="M509">
        <f>IF(A509="","", _xludf.WEEKNUM(A509, 2))</f>
        <v/>
      </c>
    </row>
    <row r="510">
      <c r="M510">
        <f>IF(A510="","", _xludf.WEEKNUM(A510, 2))</f>
        <v/>
      </c>
    </row>
    <row r="511">
      <c r="M511">
        <f>IF(A511="","", _xludf.WEEKNUM(A511, 2))</f>
        <v/>
      </c>
    </row>
    <row r="512">
      <c r="M512">
        <f>IF(A512="","", _xludf.WEEKNUM(A512, 2))</f>
        <v/>
      </c>
    </row>
    <row r="513">
      <c r="M513">
        <f>IF(A513="","", _xludf.WEEKNUM(A513, 2))</f>
        <v/>
      </c>
    </row>
    <row r="514">
      <c r="M514">
        <f>IF(A514="","", _xludf.WEEKNUM(A514, 2))</f>
        <v/>
      </c>
    </row>
    <row r="515">
      <c r="M515">
        <f>IF(A515="","", _xludf.WEEKNUM(A515, 2))</f>
        <v/>
      </c>
    </row>
    <row r="516">
      <c r="M516">
        <f>IF(A516="","", _xludf.WEEKNUM(A516, 2))</f>
        <v/>
      </c>
    </row>
    <row r="517">
      <c r="M517">
        <f>IF(A517="","", _xludf.WEEKNUM(A517, 2))</f>
        <v/>
      </c>
    </row>
    <row r="518">
      <c r="M518">
        <f>IF(A518="","", _xludf.WEEKNUM(A518, 2))</f>
        <v/>
      </c>
    </row>
    <row r="519">
      <c r="M519">
        <f>IF(A519="","", _xludf.WEEKNUM(A519, 2))</f>
        <v/>
      </c>
    </row>
    <row r="520">
      <c r="M520">
        <f>IF(A520="","", _xludf.WEEKNUM(A520, 2))</f>
        <v/>
      </c>
    </row>
    <row r="521">
      <c r="M521">
        <f>IF(A521="","", _xludf.WEEKNUM(A521, 2))</f>
        <v/>
      </c>
    </row>
    <row r="522">
      <c r="M522">
        <f>IF(A522="","", _xludf.WEEKNUM(A522, 2))</f>
        <v/>
      </c>
    </row>
    <row r="523">
      <c r="M523">
        <f>IF(A523="","", _xludf.WEEKNUM(A523, 2))</f>
        <v/>
      </c>
    </row>
    <row r="524">
      <c r="M524">
        <f>IF(A524="","", _xludf.WEEKNUM(A524, 2))</f>
        <v/>
      </c>
    </row>
    <row r="525">
      <c r="M525">
        <f>IF(A525="","", _xludf.WEEKNUM(A525, 2))</f>
        <v/>
      </c>
    </row>
    <row r="526">
      <c r="M526">
        <f>IF(A526="","", _xludf.WEEKNUM(A526, 2))</f>
        <v/>
      </c>
    </row>
    <row r="527">
      <c r="M527">
        <f>IF(A527="","", _xludf.WEEKNUM(A527, 2))</f>
        <v/>
      </c>
    </row>
    <row r="528">
      <c r="M528">
        <f>IF(A528="","", _xludf.WEEKNUM(A528, 2))</f>
        <v/>
      </c>
    </row>
    <row r="529">
      <c r="M529">
        <f>IF(A529="","", _xludf.WEEKNUM(A529, 2))</f>
        <v/>
      </c>
    </row>
    <row r="530">
      <c r="M530">
        <f>IF(A530="","", _xludf.WEEKNUM(A530, 2))</f>
        <v/>
      </c>
    </row>
    <row r="531">
      <c r="M531">
        <f>IF(A531="","", _xludf.WEEKNUM(A531, 2))</f>
        <v/>
      </c>
    </row>
    <row r="532">
      <c r="M532">
        <f>IF(A532="","", _xludf.WEEKNUM(A532, 2))</f>
        <v/>
      </c>
    </row>
    <row r="533">
      <c r="M533">
        <f>IF(A533="","", _xludf.WEEKNUM(A533, 2))</f>
        <v/>
      </c>
    </row>
    <row r="534">
      <c r="M534">
        <f>IF(A534="","", _xludf.WEEKNUM(A534, 2))</f>
        <v/>
      </c>
    </row>
    <row r="535">
      <c r="M535">
        <f>IF(A535="","", _xludf.WEEKNUM(A535, 2))</f>
        <v/>
      </c>
    </row>
    <row r="536">
      <c r="M536">
        <f>IF(A536="","", _xludf.WEEKNUM(A536, 2))</f>
        <v/>
      </c>
    </row>
    <row r="537">
      <c r="M537">
        <f>IF(A537="","", _xludf.WEEKNUM(A537, 2))</f>
        <v/>
      </c>
    </row>
    <row r="538">
      <c r="M538">
        <f>IF(A538="","", _xludf.WEEKNUM(A538, 2))</f>
        <v/>
      </c>
    </row>
    <row r="539">
      <c r="M539">
        <f>IF(A539="","", _xludf.WEEKNUM(A539, 2))</f>
        <v/>
      </c>
    </row>
    <row r="540">
      <c r="M540">
        <f>IF(A540="","", _xludf.WEEKNUM(A540, 2))</f>
        <v/>
      </c>
    </row>
    <row r="541">
      <c r="M541">
        <f>IF(A541="","", _xludf.WEEKNUM(A541, 2))</f>
        <v/>
      </c>
    </row>
    <row r="542">
      <c r="M542">
        <f>IF(A542="","", _xludf.WEEKNUM(A542, 2))</f>
        <v/>
      </c>
    </row>
    <row r="543">
      <c r="M543">
        <f>IF(A543="","", _xludf.WEEKNUM(A543, 2))</f>
        <v/>
      </c>
    </row>
    <row r="544">
      <c r="M544">
        <f>IF(A544="","", _xludf.WEEKNUM(A544, 2))</f>
        <v/>
      </c>
    </row>
    <row r="545">
      <c r="M545">
        <f>IF(A545="","", _xludf.WEEKNUM(A545, 2))</f>
        <v/>
      </c>
    </row>
    <row r="546">
      <c r="M546">
        <f>IF(A546="","", _xludf.WEEKNUM(A546, 2))</f>
        <v/>
      </c>
    </row>
    <row r="547">
      <c r="M547">
        <f>IF(A547="","", _xludf.WEEKNUM(A547, 2))</f>
        <v/>
      </c>
    </row>
    <row r="548">
      <c r="M548">
        <f>IF(A548="","", _xludf.WEEKNUM(A548, 2))</f>
        <v/>
      </c>
    </row>
    <row r="549">
      <c r="M549">
        <f>IF(A549="","", _xludf.WEEKNUM(A549, 2))</f>
        <v/>
      </c>
    </row>
    <row r="550">
      <c r="M550">
        <f>IF(A550="","", _xludf.WEEKNUM(A550, 2))</f>
        <v/>
      </c>
    </row>
    <row r="551">
      <c r="M551">
        <f>IF(A551="","", _xludf.WEEKNUM(A551, 2))</f>
        <v/>
      </c>
    </row>
    <row r="552">
      <c r="M552">
        <f>IF(A552="","", _xludf.WEEKNUM(A552, 2))</f>
        <v/>
      </c>
    </row>
    <row r="553">
      <c r="M553">
        <f>IF(A553="","", _xludf.WEEKNUM(A553, 2))</f>
        <v/>
      </c>
    </row>
    <row r="554">
      <c r="M554">
        <f>IF(A554="","", _xludf.WEEKNUM(A554, 2))</f>
        <v/>
      </c>
    </row>
    <row r="555">
      <c r="M555">
        <f>IF(A555="","", _xludf.WEEKNUM(A555, 2))</f>
        <v/>
      </c>
    </row>
    <row r="556">
      <c r="M556">
        <f>IF(A556="","", _xludf.WEEKNUM(A556, 2))</f>
        <v/>
      </c>
    </row>
    <row r="557">
      <c r="M557">
        <f>IF(A557="","", _xludf.WEEKNUM(A557, 2))</f>
        <v/>
      </c>
    </row>
    <row r="558">
      <c r="M558">
        <f>IF(A558="","", _xludf.WEEKNUM(A558, 2))</f>
        <v/>
      </c>
    </row>
    <row r="559">
      <c r="M559">
        <f>IF(A559="","", _xludf.WEEKNUM(A559, 2))</f>
        <v/>
      </c>
    </row>
    <row r="560">
      <c r="M560">
        <f>IF(A560="","", _xludf.WEEKNUM(A560, 2))</f>
        <v/>
      </c>
    </row>
    <row r="561">
      <c r="M561">
        <f>IF(A561="","", _xludf.WEEKNUM(A561, 2))</f>
        <v/>
      </c>
    </row>
    <row r="562">
      <c r="M562">
        <f>IF(A562="","", _xludf.WEEKNUM(A562, 2))</f>
        <v/>
      </c>
    </row>
    <row r="563">
      <c r="M563">
        <f>IF(A563="","", _xludf.WEEKNUM(A563, 2))</f>
        <v/>
      </c>
    </row>
    <row r="564">
      <c r="M564">
        <f>IF(A564="","", _xludf.WEEKNUM(A564, 2))</f>
        <v/>
      </c>
    </row>
    <row r="565">
      <c r="M565">
        <f>IF(A565="","", _xludf.WEEKNUM(A565, 2))</f>
        <v/>
      </c>
    </row>
    <row r="566">
      <c r="M566">
        <f>IF(A566="","", _xludf.WEEKNUM(A566, 2))</f>
        <v/>
      </c>
    </row>
    <row r="567">
      <c r="M567">
        <f>IF(A567="","", _xludf.WEEKNUM(A567, 2))</f>
        <v/>
      </c>
    </row>
    <row r="568">
      <c r="M568">
        <f>IF(A568="","", _xludf.WEEKNUM(A568, 2))</f>
        <v/>
      </c>
    </row>
    <row r="569">
      <c r="M569">
        <f>IF(A569="","", _xludf.WEEKNUM(A569, 2))</f>
        <v/>
      </c>
    </row>
    <row r="570">
      <c r="M570">
        <f>IF(A570="","", _xludf.WEEKNUM(A570, 2))</f>
        <v/>
      </c>
    </row>
    <row r="571">
      <c r="M571">
        <f>IF(A571="","", _xludf.WEEKNUM(A571, 2))</f>
        <v/>
      </c>
    </row>
    <row r="572">
      <c r="M572">
        <f>IF(A572="","", _xludf.WEEKNUM(A572, 2))</f>
        <v/>
      </c>
    </row>
    <row r="573">
      <c r="M573">
        <f>IF(A573="","", _xludf.WEEKNUM(A573, 2))</f>
        <v/>
      </c>
    </row>
    <row r="574">
      <c r="M574">
        <f>IF(A574="","", _xludf.WEEKNUM(A574, 2))</f>
        <v/>
      </c>
    </row>
    <row r="575">
      <c r="M575">
        <f>IF(A575="","", _xludf.WEEKNUM(A575, 2))</f>
        <v/>
      </c>
    </row>
    <row r="576">
      <c r="M576">
        <f>IF(A576="","", _xludf.WEEKNUM(A576, 2))</f>
        <v/>
      </c>
    </row>
    <row r="577">
      <c r="M577">
        <f>IF(A577="","", _xludf.WEEKNUM(A577, 2))</f>
        <v/>
      </c>
    </row>
    <row r="578">
      <c r="M578">
        <f>IF(A578="","", _xludf.WEEKNUM(A578, 2))</f>
        <v/>
      </c>
    </row>
    <row r="579">
      <c r="M579">
        <f>IF(A579="","", _xludf.WEEKNUM(A579, 2))</f>
        <v/>
      </c>
    </row>
    <row r="580">
      <c r="M580">
        <f>IF(A580="","", _xludf.WEEKNUM(A580, 2))</f>
        <v/>
      </c>
    </row>
    <row r="581">
      <c r="M581">
        <f>IF(A581="","", _xludf.WEEKNUM(A581, 2))</f>
        <v/>
      </c>
    </row>
    <row r="582">
      <c r="M582">
        <f>IF(A582="","", _xludf.WEEKNUM(A582, 2))</f>
        <v/>
      </c>
    </row>
    <row r="583">
      <c r="M583">
        <f>IF(A583="","", _xludf.WEEKNUM(A583, 2))</f>
        <v/>
      </c>
    </row>
    <row r="584">
      <c r="M584">
        <f>IF(A584="","", _xludf.WEEKNUM(A584, 2))</f>
        <v/>
      </c>
    </row>
    <row r="585">
      <c r="M585">
        <f>IF(A585="","", _xludf.WEEKNUM(A585, 2))</f>
        <v/>
      </c>
    </row>
    <row r="586">
      <c r="M586">
        <f>IF(A586="","", _xludf.WEEKNUM(A586, 2))</f>
        <v/>
      </c>
    </row>
    <row r="587">
      <c r="M587">
        <f>IF(A587="","", _xludf.WEEKNUM(A587, 2))</f>
        <v/>
      </c>
    </row>
    <row r="588">
      <c r="M588">
        <f>IF(A588="","", _xludf.WEEKNUM(A588, 2))</f>
        <v/>
      </c>
    </row>
    <row r="589">
      <c r="M589">
        <f>IF(A589="","", _xludf.WEEKNUM(A589, 2))</f>
        <v/>
      </c>
    </row>
    <row r="590">
      <c r="M590">
        <f>IF(A590="","", _xludf.WEEKNUM(A590, 2))</f>
        <v/>
      </c>
    </row>
    <row r="591">
      <c r="M591">
        <f>IF(A591="","", _xludf.WEEKNUM(A591, 2))</f>
        <v/>
      </c>
    </row>
    <row r="592">
      <c r="M592">
        <f>IF(A592="","", _xludf.WEEKNUM(A592, 2))</f>
        <v/>
      </c>
    </row>
    <row r="593">
      <c r="M593">
        <f>IF(A593="","", _xludf.WEEKNUM(A593, 2))</f>
        <v/>
      </c>
    </row>
    <row r="594">
      <c r="M594">
        <f>IF(A594="","", _xludf.WEEKNUM(A594, 2))</f>
        <v/>
      </c>
    </row>
    <row r="595">
      <c r="M595">
        <f>IF(A595="","", _xludf.WEEKNUM(A595, 2))</f>
        <v/>
      </c>
    </row>
    <row r="596">
      <c r="M596">
        <f>IF(A596="","", _xludf.WEEKNUM(A596, 2))</f>
        <v/>
      </c>
    </row>
    <row r="597">
      <c r="M597">
        <f>IF(A597="","", _xludf.WEEKNUM(A597, 2))</f>
        <v/>
      </c>
    </row>
    <row r="598">
      <c r="M598">
        <f>IF(A598="","", _xludf.WEEKNUM(A598, 2))</f>
        <v/>
      </c>
    </row>
    <row r="599">
      <c r="M599">
        <f>IF(A599="","", _xludf.WEEKNUM(A599, 2))</f>
        <v/>
      </c>
    </row>
    <row r="600">
      <c r="M600">
        <f>IF(A600="","", _xludf.WEEKNUM(A600, 2))</f>
        <v/>
      </c>
    </row>
    <row r="601">
      <c r="M601">
        <f>IF(A601="","", _xludf.WEEKNUM(A601, 2))</f>
        <v/>
      </c>
    </row>
    <row r="602">
      <c r="M602">
        <f>IF(A602="","", _xludf.WEEKNUM(A602, 2))</f>
        <v/>
      </c>
    </row>
    <row r="603">
      <c r="M603">
        <f>IF(A603="","", _xludf.WEEKNUM(A603, 2))</f>
        <v/>
      </c>
    </row>
    <row r="604">
      <c r="M604">
        <f>IF(A604="","", _xludf.WEEKNUM(A604, 2))</f>
        <v/>
      </c>
    </row>
    <row r="605">
      <c r="M605">
        <f>IF(A605="","", _xludf.WEEKNUM(A605, 2))</f>
        <v/>
      </c>
    </row>
    <row r="606">
      <c r="M606">
        <f>IF(A606="","", _xludf.WEEKNUM(A606, 2))</f>
        <v/>
      </c>
    </row>
    <row r="607">
      <c r="M607">
        <f>IF(A607="","", _xludf.WEEKNUM(A607, 2))</f>
        <v/>
      </c>
    </row>
    <row r="608">
      <c r="M608">
        <f>IF(A608="","", _xludf.WEEKNUM(A608, 2))</f>
        <v/>
      </c>
    </row>
    <row r="609">
      <c r="M609">
        <f>IF(A609="","", _xludf.WEEKNUM(A609, 2))</f>
        <v/>
      </c>
    </row>
    <row r="610">
      <c r="M610">
        <f>IF(A610="","", _xludf.WEEKNUM(A610, 2))</f>
        <v/>
      </c>
    </row>
    <row r="611">
      <c r="M611">
        <f>IF(A611="","", _xludf.WEEKNUM(A611, 2))</f>
        <v/>
      </c>
    </row>
    <row r="612">
      <c r="M612">
        <f>IF(A612="","", _xludf.WEEKNUM(A612, 2))</f>
        <v/>
      </c>
    </row>
    <row r="613">
      <c r="M613">
        <f>IF(A613="","", _xludf.WEEKNUM(A613, 2))</f>
        <v/>
      </c>
    </row>
    <row r="614">
      <c r="M614">
        <f>IF(A614="","", _xludf.WEEKNUM(A614, 2))</f>
        <v/>
      </c>
    </row>
    <row r="615">
      <c r="M615">
        <f>IF(A615="","", _xludf.WEEKNUM(A615, 2))</f>
        <v/>
      </c>
    </row>
    <row r="616">
      <c r="M616">
        <f>IF(A616="","", _xludf.WEEKNUM(A616, 2))</f>
        <v/>
      </c>
    </row>
    <row r="617">
      <c r="M617">
        <f>IF(A617="","", _xludf.WEEKNUM(A617, 2))</f>
        <v/>
      </c>
    </row>
    <row r="618">
      <c r="M618">
        <f>IF(A618="","", _xludf.WEEKNUM(A618, 2))</f>
        <v/>
      </c>
    </row>
    <row r="619">
      <c r="M619">
        <f>IF(A619="","", _xludf.WEEKNUM(A619, 2))</f>
        <v/>
      </c>
    </row>
    <row r="620">
      <c r="M620">
        <f>IF(A620="","", _xludf.WEEKNUM(A620, 2))</f>
        <v/>
      </c>
    </row>
    <row r="621">
      <c r="M621">
        <f>IF(A621="","", _xludf.WEEKNUM(A621, 2))</f>
        <v/>
      </c>
    </row>
    <row r="622">
      <c r="M622">
        <f>IF(A622="","", _xludf.WEEKNUM(A622, 2))</f>
        <v/>
      </c>
    </row>
    <row r="623">
      <c r="M623">
        <f>IF(A623="","", _xludf.WEEKNUM(A623, 2))</f>
        <v/>
      </c>
    </row>
    <row r="624">
      <c r="M624">
        <f>IF(A624="","", _xludf.WEEKNUM(A624, 2))</f>
        <v/>
      </c>
    </row>
    <row r="625">
      <c r="M625">
        <f>IF(A625="","", _xludf.WEEKNUM(A625, 2))</f>
        <v/>
      </c>
    </row>
    <row r="626">
      <c r="M626">
        <f>IF(A626="","", _xludf.WEEKNUM(A626, 2))</f>
        <v/>
      </c>
    </row>
    <row r="627">
      <c r="M627">
        <f>IF(A627="","", _xludf.WEEKNUM(A627, 2))</f>
        <v/>
      </c>
    </row>
    <row r="628">
      <c r="M628">
        <f>IF(A628="","", _xludf.WEEKNUM(A628, 2))</f>
        <v/>
      </c>
    </row>
    <row r="629">
      <c r="M629">
        <f>IF(A629="","", _xludf.WEEKNUM(A629, 2))</f>
        <v/>
      </c>
    </row>
    <row r="630">
      <c r="M630">
        <f>IF(A630="","", _xludf.WEEKNUM(A630, 2))</f>
        <v/>
      </c>
    </row>
    <row r="631">
      <c r="M631">
        <f>IF(A631="","", _xludf.WEEKNUM(A631, 2))</f>
        <v/>
      </c>
    </row>
    <row r="632">
      <c r="M632">
        <f>IF(A632="","", _xludf.WEEKNUM(A632, 2))</f>
        <v/>
      </c>
    </row>
    <row r="633">
      <c r="M633">
        <f>IF(A633="","", _xludf.WEEKNUM(A633, 2))</f>
        <v/>
      </c>
    </row>
    <row r="634">
      <c r="M634">
        <f>IF(A634="","", _xludf.WEEKNUM(A634, 2))</f>
        <v/>
      </c>
    </row>
    <row r="635">
      <c r="M635">
        <f>IF(A635="","", _xludf.WEEKNUM(A635, 2))</f>
        <v/>
      </c>
    </row>
    <row r="636">
      <c r="M636">
        <f>IF(A636="","", _xludf.WEEKNUM(A636, 2))</f>
        <v/>
      </c>
    </row>
    <row r="637">
      <c r="M637">
        <f>IF(A637="","", _xludf.WEEKNUM(A637, 2))</f>
        <v/>
      </c>
    </row>
    <row r="638">
      <c r="M638">
        <f>IF(A638="","", _xludf.WEEKNUM(A638, 2))</f>
        <v/>
      </c>
    </row>
    <row r="639">
      <c r="M639">
        <f>IF(A639="","", _xludf.WEEKNUM(A639, 2))</f>
        <v/>
      </c>
    </row>
    <row r="640">
      <c r="M640">
        <f>IF(A640="","", _xludf.WEEKNUM(A640, 2))</f>
        <v/>
      </c>
    </row>
    <row r="641">
      <c r="M641">
        <f>IF(A641="","", _xludf.WEEKNUM(A641, 2))</f>
        <v/>
      </c>
    </row>
    <row r="642">
      <c r="M642">
        <f>IF(A642="","", _xludf.WEEKNUM(A642, 2))</f>
        <v/>
      </c>
    </row>
    <row r="643">
      <c r="M643">
        <f>IF(A643="","", _xludf.WEEKNUM(A643, 2))</f>
        <v/>
      </c>
    </row>
    <row r="644">
      <c r="M644">
        <f>IF(A644="","", _xludf.WEEKNUM(A644, 2))</f>
        <v/>
      </c>
    </row>
    <row r="645">
      <c r="M645">
        <f>IF(A645="","", _xludf.WEEKNUM(A645, 2))</f>
        <v/>
      </c>
    </row>
    <row r="646">
      <c r="M646">
        <f>IF(A646="","", _xludf.WEEKNUM(A646, 2))</f>
        <v/>
      </c>
    </row>
    <row r="647">
      <c r="M647">
        <f>IF(A647="","", _xludf.WEEKNUM(A647, 2))</f>
        <v/>
      </c>
    </row>
    <row r="648">
      <c r="M648">
        <f>IF(A648="","", _xludf.WEEKNUM(A648, 2))</f>
        <v/>
      </c>
    </row>
    <row r="649">
      <c r="M649">
        <f>IF(A649="","", _xludf.WEEKNUM(A649, 2))</f>
        <v/>
      </c>
    </row>
    <row r="650">
      <c r="M650">
        <f>IF(A650="","", _xludf.WEEKNUM(A650, 2))</f>
        <v/>
      </c>
    </row>
    <row r="651">
      <c r="M651">
        <f>IF(A651="","", _xludf.WEEKNUM(A651, 2))</f>
        <v/>
      </c>
    </row>
    <row r="652">
      <c r="M652">
        <f>IF(A652="","", _xludf.WEEKNUM(A652, 2))</f>
        <v/>
      </c>
    </row>
    <row r="653">
      <c r="M653">
        <f>IF(A653="","", _xludf.WEEKNUM(A653, 2))</f>
        <v/>
      </c>
    </row>
    <row r="654">
      <c r="M654">
        <f>IF(A654="","", _xludf.WEEKNUM(A654, 2))</f>
        <v/>
      </c>
    </row>
    <row r="655">
      <c r="M655">
        <f>IF(A655="","", _xludf.WEEKNUM(A655, 2))</f>
        <v/>
      </c>
    </row>
    <row r="656">
      <c r="M656">
        <f>IF(A656="","", _xludf.WEEKNUM(A656, 2))</f>
        <v/>
      </c>
    </row>
    <row r="657">
      <c r="M657">
        <f>IF(A657="","", _xludf.WEEKNUM(A657, 2))</f>
        <v/>
      </c>
    </row>
    <row r="658">
      <c r="M658">
        <f>IF(A658="","", _xludf.WEEKNUM(A658, 2))</f>
        <v/>
      </c>
    </row>
    <row r="659">
      <c r="M659">
        <f>IF(A659="","", _xludf.WEEKNUM(A659, 2))</f>
        <v/>
      </c>
    </row>
    <row r="660">
      <c r="M660">
        <f>IF(A660="","", _xludf.WEEKNUM(A660, 2))</f>
        <v/>
      </c>
    </row>
    <row r="661">
      <c r="M661">
        <f>IF(A661="","", _xludf.WEEKNUM(A661, 2))</f>
        <v/>
      </c>
    </row>
    <row r="662">
      <c r="M662">
        <f>IF(A662="","", _xludf.WEEKNUM(A662, 2))</f>
        <v/>
      </c>
    </row>
    <row r="663">
      <c r="M663">
        <f>IF(A663="","", _xludf.WEEKNUM(A663, 2))</f>
        <v/>
      </c>
    </row>
    <row r="664">
      <c r="M664">
        <f>IF(A664="","", _xludf.WEEKNUM(A664, 2))</f>
        <v/>
      </c>
    </row>
    <row r="665">
      <c r="M665">
        <f>IF(A665="","", _xludf.WEEKNUM(A665, 2))</f>
        <v/>
      </c>
    </row>
    <row r="666">
      <c r="M666">
        <f>IF(A666="","", _xludf.WEEKNUM(A666, 2))</f>
        <v/>
      </c>
    </row>
    <row r="667">
      <c r="M667">
        <f>IF(A667="","", _xludf.WEEKNUM(A667, 2))</f>
        <v/>
      </c>
    </row>
    <row r="668">
      <c r="M668">
        <f>IF(A668="","", _xludf.WEEKNUM(A668, 2))</f>
        <v/>
      </c>
    </row>
    <row r="669">
      <c r="M669">
        <f>IF(A669="","", _xludf.WEEKNUM(A669, 2))</f>
        <v/>
      </c>
    </row>
    <row r="670">
      <c r="M670">
        <f>IF(A670="","", _xludf.WEEKNUM(A670, 2))</f>
        <v/>
      </c>
    </row>
    <row r="671">
      <c r="M671">
        <f>IF(A671="","", _xludf.WEEKNUM(A671, 2))</f>
        <v/>
      </c>
    </row>
    <row r="672">
      <c r="M672">
        <f>IF(A672="","", _xludf.WEEKNUM(A672, 2))</f>
        <v/>
      </c>
    </row>
    <row r="673">
      <c r="M673">
        <f>IF(A673="","", _xludf.WEEKNUM(A673, 2))</f>
        <v/>
      </c>
    </row>
    <row r="674">
      <c r="M674">
        <f>IF(A674="","", _xludf.WEEKNUM(A674, 2))</f>
        <v/>
      </c>
    </row>
    <row r="675">
      <c r="M675">
        <f>IF(A675="","", _xludf.WEEKNUM(A675, 2))</f>
        <v/>
      </c>
    </row>
    <row r="676">
      <c r="M676">
        <f>IF(A676="","", _xludf.WEEKNUM(A676, 2))</f>
        <v/>
      </c>
    </row>
    <row r="677">
      <c r="M677">
        <f>IF(A677="","", _xludf.WEEKNUM(A677, 2))</f>
        <v/>
      </c>
    </row>
    <row r="678">
      <c r="M678">
        <f>IF(A678="","", _xludf.WEEKNUM(A678, 2))</f>
        <v/>
      </c>
    </row>
    <row r="679">
      <c r="M679">
        <f>IF(A679="","", _xludf.WEEKNUM(A679, 2))</f>
        <v/>
      </c>
    </row>
    <row r="680">
      <c r="M680">
        <f>IF(A680="","", _xludf.WEEKNUM(A680, 2))</f>
        <v/>
      </c>
    </row>
    <row r="681">
      <c r="M681">
        <f>IF(A681="","", _xludf.WEEKNUM(A681, 2))</f>
        <v/>
      </c>
    </row>
    <row r="682">
      <c r="M682">
        <f>IF(A682="","", _xludf.WEEKNUM(A682, 2))</f>
        <v/>
      </c>
    </row>
    <row r="683">
      <c r="M683">
        <f>IF(A683="","", _xludf.WEEKNUM(A683, 2))</f>
        <v/>
      </c>
    </row>
    <row r="684">
      <c r="M684">
        <f>IF(A684="","", _xludf.WEEKNUM(A684, 2))</f>
        <v/>
      </c>
    </row>
    <row r="685">
      <c r="M685">
        <f>IF(A685="","", _xludf.WEEKNUM(A685, 2))</f>
        <v/>
      </c>
    </row>
    <row r="686">
      <c r="M686">
        <f>IF(A686="","", _xludf.WEEKNUM(A686, 2))</f>
        <v/>
      </c>
    </row>
    <row r="687">
      <c r="M687">
        <f>IF(A687="","", _xludf.WEEKNUM(A687, 2))</f>
        <v/>
      </c>
    </row>
    <row r="688">
      <c r="M688">
        <f>IF(A688="","", _xludf.WEEKNUM(A688, 2))</f>
        <v/>
      </c>
    </row>
    <row r="689">
      <c r="M689">
        <f>IF(A689="","", _xludf.WEEKNUM(A689, 2))</f>
        <v/>
      </c>
    </row>
    <row r="690">
      <c r="M690">
        <f>IF(A690="","", _xludf.WEEKNUM(A690, 2))</f>
        <v/>
      </c>
    </row>
    <row r="691">
      <c r="M691">
        <f>IF(A691="","", _xludf.WEEKNUM(A691, 2))</f>
        <v/>
      </c>
    </row>
    <row r="692">
      <c r="M692">
        <f>IF(A692="","", _xludf.WEEKNUM(A692, 2))</f>
        <v/>
      </c>
    </row>
    <row r="693">
      <c r="M693">
        <f>IF(A693="","", _xludf.WEEKNUM(A693, 2))</f>
        <v/>
      </c>
    </row>
    <row r="694">
      <c r="M694">
        <f>IF(A694="","", _xludf.WEEKNUM(A694, 2))</f>
        <v/>
      </c>
    </row>
    <row r="695">
      <c r="M695">
        <f>IF(A695="","", _xludf.WEEKNUM(A695, 2))</f>
        <v/>
      </c>
    </row>
    <row r="696">
      <c r="M696">
        <f>IF(A696="","", _xludf.WEEKNUM(A696, 2))</f>
        <v/>
      </c>
    </row>
    <row r="697">
      <c r="M697">
        <f>IF(A697="","", _xludf.WEEKNUM(A697, 2))</f>
        <v/>
      </c>
    </row>
    <row r="698">
      <c r="M698">
        <f>IF(A698="","", _xludf.WEEKNUM(A698, 2))</f>
        <v/>
      </c>
    </row>
    <row r="699">
      <c r="M699">
        <f>IF(A699="","", _xludf.WEEKNUM(A699, 2))</f>
        <v/>
      </c>
    </row>
    <row r="700">
      <c r="M700">
        <f>IF(A700="","", _xludf.WEEKNUM(A700, 2))</f>
        <v/>
      </c>
    </row>
    <row r="701">
      <c r="M701">
        <f>IF(A701="","", _xludf.WEEKNUM(A701, 2))</f>
        <v/>
      </c>
    </row>
    <row r="702">
      <c r="M702">
        <f>IF(A702="","", _xludf.WEEKNUM(A702, 2))</f>
        <v/>
      </c>
    </row>
    <row r="703">
      <c r="M703">
        <f>IF(A703="","", _xludf.WEEKNUM(A703, 2))</f>
        <v/>
      </c>
    </row>
    <row r="704">
      <c r="M704">
        <f>IF(A704="","", _xludf.WEEKNUM(A704, 2))</f>
        <v/>
      </c>
    </row>
    <row r="705">
      <c r="M705">
        <f>IF(A705="","", _xludf.WEEKNUM(A705, 2))</f>
        <v/>
      </c>
    </row>
    <row r="706">
      <c r="M706">
        <f>IF(A706="","", _xludf.WEEKNUM(A706, 2))</f>
        <v/>
      </c>
    </row>
    <row r="707">
      <c r="M707">
        <f>IF(A707="","", _xludf.WEEKNUM(A707, 2))</f>
        <v/>
      </c>
    </row>
    <row r="708">
      <c r="M708">
        <f>IF(A708="","", _xludf.WEEKNUM(A708, 2))</f>
        <v/>
      </c>
    </row>
    <row r="709">
      <c r="M709">
        <f>IF(A709="","", _xludf.WEEKNUM(A709, 2))</f>
        <v/>
      </c>
    </row>
    <row r="710">
      <c r="M710">
        <f>IF(A710="","", _xludf.WEEKNUM(A710, 2))</f>
        <v/>
      </c>
    </row>
    <row r="711">
      <c r="M711">
        <f>IF(A711="","", _xludf.WEEKNUM(A711, 2))</f>
        <v/>
      </c>
    </row>
    <row r="712">
      <c r="M712">
        <f>IF(A712="","", _xludf.WEEKNUM(A712, 2))</f>
        <v/>
      </c>
    </row>
    <row r="713">
      <c r="M713">
        <f>IF(A713="","", _xludf.WEEKNUM(A713, 2))</f>
        <v/>
      </c>
    </row>
    <row r="714">
      <c r="M714">
        <f>IF(A714="","", _xludf.WEEKNUM(A714, 2))</f>
        <v/>
      </c>
    </row>
    <row r="715">
      <c r="M715">
        <f>IF(A715="","", _xludf.WEEKNUM(A715, 2))</f>
        <v/>
      </c>
    </row>
    <row r="716">
      <c r="M716">
        <f>IF(A716="","", _xludf.WEEKNUM(A716, 2))</f>
        <v/>
      </c>
    </row>
    <row r="717">
      <c r="M717">
        <f>IF(A717="","", _xludf.WEEKNUM(A717, 2))</f>
        <v/>
      </c>
    </row>
    <row r="718">
      <c r="M718">
        <f>IF(A718="","", _xludf.WEEKNUM(A718, 2))</f>
        <v/>
      </c>
    </row>
    <row r="719">
      <c r="M719">
        <f>IF(A719="","", _xludf.WEEKNUM(A719, 2))</f>
        <v/>
      </c>
    </row>
    <row r="720">
      <c r="M720">
        <f>IF(A720="","", _xludf.WEEKNUM(A720, 2))</f>
        <v/>
      </c>
    </row>
    <row r="721">
      <c r="M721">
        <f>IF(A721="","", _xludf.WEEKNUM(A721, 2))</f>
        <v/>
      </c>
    </row>
    <row r="722">
      <c r="M722">
        <f>IF(A722="","", _xludf.WEEKNUM(A722, 2))</f>
        <v/>
      </c>
    </row>
    <row r="723">
      <c r="M723">
        <f>IF(A723="","", _xludf.WEEKNUM(A723, 2))</f>
        <v/>
      </c>
    </row>
    <row r="724">
      <c r="M724">
        <f>IF(A724="","", _xludf.WEEKNUM(A724, 2))</f>
        <v/>
      </c>
    </row>
    <row r="725">
      <c r="M725">
        <f>IF(A725="","", _xludf.WEEKNUM(A725, 2))</f>
        <v/>
      </c>
    </row>
    <row r="726">
      <c r="M726">
        <f>IF(A726="","", _xludf.WEEKNUM(A726, 2))</f>
        <v/>
      </c>
    </row>
    <row r="727">
      <c r="M727">
        <f>IF(A727="","", _xludf.WEEKNUM(A727, 2))</f>
        <v/>
      </c>
    </row>
    <row r="728">
      <c r="M728">
        <f>IF(A728="","", _xludf.WEEKNUM(A728, 2))</f>
        <v/>
      </c>
    </row>
    <row r="729">
      <c r="M729">
        <f>IF(A729="","", _xludf.WEEKNUM(A729, 2))</f>
        <v/>
      </c>
    </row>
    <row r="730">
      <c r="M730">
        <f>IF(A730="","", _xludf.WEEKNUM(A730, 2))</f>
        <v/>
      </c>
    </row>
    <row r="731">
      <c r="M731">
        <f>IF(A731="","", _xludf.WEEKNUM(A731, 2))</f>
        <v/>
      </c>
    </row>
    <row r="732">
      <c r="M732">
        <f>IF(A732="","", _xludf.WEEKNUM(A732, 2))</f>
        <v/>
      </c>
    </row>
    <row r="733">
      <c r="M733">
        <f>IF(A733="","", _xludf.WEEKNUM(A733, 2))</f>
        <v/>
      </c>
    </row>
    <row r="734">
      <c r="M734">
        <f>IF(A734="","", _xludf.WEEKNUM(A734, 2))</f>
        <v/>
      </c>
    </row>
    <row r="735">
      <c r="M735">
        <f>IF(A735="","", _xludf.WEEKNUM(A735, 2))</f>
        <v/>
      </c>
    </row>
    <row r="736">
      <c r="M736">
        <f>IF(A736="","", _xludf.WEEKNUM(A736, 2))</f>
        <v/>
      </c>
    </row>
    <row r="737">
      <c r="M737">
        <f>IF(A737="","", _xludf.WEEKNUM(A737, 2))</f>
        <v/>
      </c>
    </row>
    <row r="738">
      <c r="M738">
        <f>IF(A738="","", _xludf.WEEKNUM(A738, 2))</f>
        <v/>
      </c>
    </row>
    <row r="739">
      <c r="M739">
        <f>IF(A739="","", _xludf.WEEKNUM(A739, 2))</f>
        <v/>
      </c>
    </row>
    <row r="740">
      <c r="M740">
        <f>IF(A740="","", _xludf.WEEKNUM(A740, 2))</f>
        <v/>
      </c>
    </row>
    <row r="741">
      <c r="M741">
        <f>IF(A741="","", _xludf.WEEKNUM(A741, 2))</f>
        <v/>
      </c>
    </row>
    <row r="742">
      <c r="M742">
        <f>IF(A742="","", _xludf.WEEKNUM(A742, 2))</f>
        <v/>
      </c>
    </row>
    <row r="743">
      <c r="M743">
        <f>IF(A743="","", _xludf.WEEKNUM(A743, 2))</f>
        <v/>
      </c>
    </row>
    <row r="744">
      <c r="M744">
        <f>IF(A744="","", _xludf.WEEKNUM(A744, 2))</f>
        <v/>
      </c>
    </row>
    <row r="745">
      <c r="M745">
        <f>IF(A745="","", _xludf.WEEKNUM(A745, 2))</f>
        <v/>
      </c>
    </row>
    <row r="746">
      <c r="M746">
        <f>IF(A746="","", _xludf.WEEKNUM(A746, 2))</f>
        <v/>
      </c>
    </row>
    <row r="747">
      <c r="M747">
        <f>IF(A747="","", _xludf.WEEKNUM(A747, 2))</f>
        <v/>
      </c>
    </row>
    <row r="748">
      <c r="M748">
        <f>IF(A748="","", _xludf.WEEKNUM(A748, 2))</f>
        <v/>
      </c>
    </row>
    <row r="749">
      <c r="M749">
        <f>IF(A749="","", _xludf.WEEKNUM(A749, 2))</f>
        <v/>
      </c>
    </row>
    <row r="750">
      <c r="M750">
        <f>IF(A750="","", _xludf.WEEKNUM(A750, 2))</f>
        <v/>
      </c>
    </row>
    <row r="751">
      <c r="M751">
        <f>IF(A751="","", _xludf.WEEKNUM(A751, 2))</f>
        <v/>
      </c>
    </row>
    <row r="752">
      <c r="M752">
        <f>IF(A752="","", _xludf.WEEKNUM(A752, 2))</f>
        <v/>
      </c>
    </row>
    <row r="753">
      <c r="M753">
        <f>IF(A753="","", _xludf.WEEKNUM(A753, 2))</f>
        <v/>
      </c>
    </row>
    <row r="754">
      <c r="M754">
        <f>IF(A754="","", _xludf.WEEKNUM(A754, 2))</f>
        <v/>
      </c>
    </row>
    <row r="755">
      <c r="M755">
        <f>IF(A755="","", _xludf.WEEKNUM(A755, 2))</f>
        <v/>
      </c>
    </row>
    <row r="756">
      <c r="M756">
        <f>IF(A756="","", _xludf.WEEKNUM(A756, 2))</f>
        <v/>
      </c>
    </row>
    <row r="757">
      <c r="M757">
        <f>IF(A757="","", _xludf.WEEKNUM(A757, 2))</f>
        <v/>
      </c>
    </row>
    <row r="758">
      <c r="M758">
        <f>IF(A758="","", _xludf.WEEKNUM(A758, 2))</f>
        <v/>
      </c>
    </row>
    <row r="759">
      <c r="M759">
        <f>IF(A759="","", _xludf.WEEKNUM(A759, 2))</f>
        <v/>
      </c>
    </row>
    <row r="760">
      <c r="M760">
        <f>IF(A760="","", _xludf.WEEKNUM(A760, 2))</f>
        <v/>
      </c>
    </row>
    <row r="761">
      <c r="M761">
        <f>IF(A761="","", _xludf.WEEKNUM(A761, 2))</f>
        <v/>
      </c>
    </row>
    <row r="762">
      <c r="M762">
        <f>IF(A762="","", _xludf.WEEKNUM(A762, 2))</f>
        <v/>
      </c>
    </row>
    <row r="763">
      <c r="M763">
        <f>IF(A763="","", _xludf.WEEKNUM(A763, 2))</f>
        <v/>
      </c>
    </row>
    <row r="764">
      <c r="M764">
        <f>IF(A764="","", _xludf.WEEKNUM(A764, 2))</f>
        <v/>
      </c>
    </row>
    <row r="765">
      <c r="M765">
        <f>IF(A765="","", _xludf.WEEKNUM(A765, 2))</f>
        <v/>
      </c>
    </row>
    <row r="766">
      <c r="M766">
        <f>IF(A766="","", _xludf.WEEKNUM(A766, 2))</f>
        <v/>
      </c>
    </row>
    <row r="767">
      <c r="M767">
        <f>IF(A767="","", _xludf.WEEKNUM(A767, 2))</f>
        <v/>
      </c>
    </row>
    <row r="768">
      <c r="M768">
        <f>IF(A768="","", _xludf.WEEKNUM(A768, 2))</f>
        <v/>
      </c>
    </row>
    <row r="769">
      <c r="M769">
        <f>IF(A769="","", _xludf.WEEKNUM(A769, 2))</f>
        <v/>
      </c>
    </row>
    <row r="770">
      <c r="M770">
        <f>IF(A770="","", _xludf.WEEKNUM(A770, 2))</f>
        <v/>
      </c>
    </row>
    <row r="771">
      <c r="M771">
        <f>IF(A771="","", _xludf.WEEKNUM(A771, 2))</f>
        <v/>
      </c>
    </row>
    <row r="772">
      <c r="M772">
        <f>IF(A772="","", _xludf.WEEKNUM(A772, 2))</f>
        <v/>
      </c>
    </row>
    <row r="773">
      <c r="M773">
        <f>IF(A773="","", _xludf.WEEKNUM(A773, 2))</f>
        <v/>
      </c>
    </row>
    <row r="774">
      <c r="M774">
        <f>IF(A774="","", _xludf.WEEKNUM(A774, 2))</f>
        <v/>
      </c>
    </row>
    <row r="775">
      <c r="M775">
        <f>IF(A775="","", _xludf.WEEKNUM(A775, 2))</f>
        <v/>
      </c>
    </row>
    <row r="776">
      <c r="M776">
        <f>IF(A776="","", _xludf.WEEKNUM(A776, 2))</f>
        <v/>
      </c>
    </row>
    <row r="777">
      <c r="M777">
        <f>IF(A777="","", _xludf.WEEKNUM(A777, 2))</f>
        <v/>
      </c>
    </row>
    <row r="778">
      <c r="M778">
        <f>IF(A778="","", _xludf.WEEKNUM(A778, 2))</f>
        <v/>
      </c>
    </row>
    <row r="779">
      <c r="M779">
        <f>IF(A779="","", _xludf.WEEKNUM(A779, 2))</f>
        <v/>
      </c>
    </row>
    <row r="780">
      <c r="M780">
        <f>IF(A780="","", _xludf.WEEKNUM(A780, 2))</f>
        <v/>
      </c>
    </row>
    <row r="781">
      <c r="M781">
        <f>IF(A781="","", _xludf.WEEKNUM(A781, 2))</f>
        <v/>
      </c>
    </row>
    <row r="782">
      <c r="M782">
        <f>IF(A782="","", _xludf.WEEKNUM(A782, 2))</f>
        <v/>
      </c>
    </row>
    <row r="783">
      <c r="M783">
        <f>IF(A783="","", _xludf.WEEKNUM(A783, 2))</f>
        <v/>
      </c>
    </row>
    <row r="784">
      <c r="M784">
        <f>IF(A784="","", _xludf.WEEKNUM(A784, 2))</f>
        <v/>
      </c>
    </row>
    <row r="785">
      <c r="M785">
        <f>IF(A785="","", _xludf.WEEKNUM(A785, 2))</f>
        <v/>
      </c>
    </row>
    <row r="786">
      <c r="M786">
        <f>IF(A786="","", _xludf.WEEKNUM(A786, 2))</f>
        <v/>
      </c>
    </row>
    <row r="787">
      <c r="M787">
        <f>IF(A787="","", _xludf.WEEKNUM(A787, 2))</f>
        <v/>
      </c>
    </row>
    <row r="788">
      <c r="M788">
        <f>IF(A788="","", _xludf.WEEKNUM(A788, 2))</f>
        <v/>
      </c>
    </row>
    <row r="789">
      <c r="M789">
        <f>IF(A789="","", _xludf.WEEKNUM(A789, 2))</f>
        <v/>
      </c>
    </row>
    <row r="790">
      <c r="M790">
        <f>IF(A790="","", _xludf.WEEKNUM(A790, 2))</f>
        <v/>
      </c>
    </row>
    <row r="791">
      <c r="M791">
        <f>IF(A791="","", _xludf.WEEKNUM(A791, 2))</f>
        <v/>
      </c>
    </row>
    <row r="792">
      <c r="M792">
        <f>IF(A792="","", _xludf.WEEKNUM(A792, 2))</f>
        <v/>
      </c>
    </row>
    <row r="793">
      <c r="M793">
        <f>IF(A793="","", _xludf.WEEKNUM(A793, 2))</f>
        <v/>
      </c>
    </row>
    <row r="794">
      <c r="M794">
        <f>IF(A794="","", _xludf.WEEKNUM(A794, 2))</f>
        <v/>
      </c>
    </row>
    <row r="795">
      <c r="M795">
        <f>IF(A795="","", _xludf.WEEKNUM(A795, 2))</f>
        <v/>
      </c>
    </row>
    <row r="796">
      <c r="M796">
        <f>IF(A796="","", _xludf.WEEKNUM(A796, 2))</f>
        <v/>
      </c>
    </row>
    <row r="797">
      <c r="M797">
        <f>IF(A797="","", _xludf.WEEKNUM(A797, 2))</f>
        <v/>
      </c>
    </row>
    <row r="798">
      <c r="M798">
        <f>IF(A798="","", _xludf.WEEKNUM(A798, 2))</f>
        <v/>
      </c>
    </row>
    <row r="799">
      <c r="M799">
        <f>IF(A799="","", _xludf.WEEKNUM(A799, 2))</f>
        <v/>
      </c>
    </row>
    <row r="800">
      <c r="M800">
        <f>IF(A800="","", _xludf.WEEKNUM(A800, 2))</f>
        <v/>
      </c>
    </row>
    <row r="801">
      <c r="M801">
        <f>IF(A801="","", _xludf.WEEKNUM(A801, 2))</f>
        <v/>
      </c>
    </row>
    <row r="802">
      <c r="M802">
        <f>IF(A802="","", _xludf.WEEKNUM(A802, 2))</f>
        <v/>
      </c>
    </row>
    <row r="803">
      <c r="M803">
        <f>IF(A803="","", _xludf.WEEKNUM(A803, 2))</f>
        <v/>
      </c>
    </row>
    <row r="804">
      <c r="M804">
        <f>IF(A804="","", _xludf.WEEKNUM(A804, 2))</f>
        <v/>
      </c>
    </row>
    <row r="805">
      <c r="M805">
        <f>IF(A805="","", _xludf.WEEKNUM(A805, 2))</f>
        <v/>
      </c>
    </row>
    <row r="806">
      <c r="M806">
        <f>IF(A806="","", _xludf.WEEKNUM(A806, 2))</f>
        <v/>
      </c>
    </row>
    <row r="807">
      <c r="M807">
        <f>IF(A807="","", _xludf.WEEKNUM(A807, 2))</f>
        <v/>
      </c>
    </row>
    <row r="808">
      <c r="M808">
        <f>IF(A808="","", _xludf.WEEKNUM(A808, 2))</f>
        <v/>
      </c>
    </row>
    <row r="809">
      <c r="M809">
        <f>IF(A809="","", _xludf.WEEKNUM(A809, 2))</f>
        <v/>
      </c>
    </row>
    <row r="810">
      <c r="M810">
        <f>IF(A810="","", _xludf.WEEKNUM(A810, 2))</f>
        <v/>
      </c>
    </row>
    <row r="811">
      <c r="M811">
        <f>IF(A811="","", _xludf.WEEKNUM(A811, 2))</f>
        <v/>
      </c>
    </row>
    <row r="812">
      <c r="M812">
        <f>IF(A812="","", _xludf.WEEKNUM(A812, 2))</f>
        <v/>
      </c>
    </row>
    <row r="813">
      <c r="M813">
        <f>IF(A813="","", _xludf.WEEKNUM(A813, 2))</f>
        <v/>
      </c>
    </row>
    <row r="814">
      <c r="M814">
        <f>IF(A814="","", _xludf.WEEKNUM(A814, 2))</f>
        <v/>
      </c>
    </row>
    <row r="815">
      <c r="M815">
        <f>IF(A815="","", _xludf.WEEKNUM(A815, 2))</f>
        <v/>
      </c>
    </row>
    <row r="816">
      <c r="M816">
        <f>IF(A816="","", _xludf.WEEKNUM(A816, 2))</f>
        <v/>
      </c>
    </row>
    <row r="817">
      <c r="M817">
        <f>IF(A817="","", _xludf.WEEKNUM(A817, 2))</f>
        <v/>
      </c>
    </row>
    <row r="818">
      <c r="M818">
        <f>IF(A818="","", _xludf.WEEKNUM(A818, 2))</f>
        <v/>
      </c>
    </row>
    <row r="819">
      <c r="M819">
        <f>IF(A819="","", _xludf.WEEKNUM(A819, 2))</f>
        <v/>
      </c>
    </row>
    <row r="820">
      <c r="M820">
        <f>IF(A820="","", _xludf.WEEKNUM(A820, 2))</f>
        <v/>
      </c>
    </row>
    <row r="821">
      <c r="M821">
        <f>IF(A821="","", _xludf.WEEKNUM(A821, 2))</f>
        <v/>
      </c>
    </row>
    <row r="822">
      <c r="M822">
        <f>IF(A822="","", _xludf.WEEKNUM(A822, 2))</f>
        <v/>
      </c>
    </row>
    <row r="823">
      <c r="M823">
        <f>IF(A823="","", _xludf.WEEKNUM(A823, 2))</f>
        <v/>
      </c>
    </row>
    <row r="824">
      <c r="M824">
        <f>IF(A824="","", _xludf.WEEKNUM(A824, 2))</f>
        <v/>
      </c>
    </row>
    <row r="825">
      <c r="M825">
        <f>IF(A825="","", _xludf.WEEKNUM(A825, 2))</f>
        <v/>
      </c>
    </row>
    <row r="826">
      <c r="M826">
        <f>IF(A826="","", _xludf.WEEKNUM(A826, 2))</f>
        <v/>
      </c>
    </row>
    <row r="827">
      <c r="M827">
        <f>IF(A827="","", _xludf.WEEKNUM(A827, 2))</f>
        <v/>
      </c>
    </row>
    <row r="828">
      <c r="M828">
        <f>IF(A828="","", _xludf.WEEKNUM(A828, 2))</f>
        <v/>
      </c>
    </row>
    <row r="829">
      <c r="M829">
        <f>IF(A829="","", _xludf.WEEKNUM(A829, 2))</f>
        <v/>
      </c>
    </row>
    <row r="830">
      <c r="M830">
        <f>IF(A830="","", _xludf.WEEKNUM(A830, 2))</f>
        <v/>
      </c>
    </row>
    <row r="831">
      <c r="M831">
        <f>IF(A831="","", _xludf.WEEKNUM(A831, 2))</f>
        <v/>
      </c>
    </row>
    <row r="832">
      <c r="M832">
        <f>IF(A832="","", _xludf.WEEKNUM(A832, 2))</f>
        <v/>
      </c>
    </row>
    <row r="833">
      <c r="M833">
        <f>IF(A833="","", _xludf.WEEKNUM(A833, 2))</f>
        <v/>
      </c>
    </row>
    <row r="834">
      <c r="M834">
        <f>IF(A834="","", _xludf.WEEKNUM(A834, 2))</f>
        <v/>
      </c>
    </row>
    <row r="835">
      <c r="M835">
        <f>IF(A835="","", _xludf.WEEKNUM(A835, 2))</f>
        <v/>
      </c>
    </row>
    <row r="836">
      <c r="M836">
        <f>IF(A836="","", _xludf.WEEKNUM(A836, 2))</f>
        <v/>
      </c>
    </row>
    <row r="837">
      <c r="M837">
        <f>IF(A837="","", _xludf.WEEKNUM(A837, 2))</f>
        <v/>
      </c>
    </row>
    <row r="838">
      <c r="M838">
        <f>IF(A838="","", _xludf.WEEKNUM(A838, 2))</f>
        <v/>
      </c>
    </row>
    <row r="839">
      <c r="M839">
        <f>IF(A839="","", _xludf.WEEKNUM(A839, 2))</f>
        <v/>
      </c>
    </row>
    <row r="840">
      <c r="M840">
        <f>IF(A840="","", _xludf.WEEKNUM(A840, 2))</f>
        <v/>
      </c>
    </row>
    <row r="841">
      <c r="M841">
        <f>IF(A841="","", _xludf.WEEKNUM(A841, 2))</f>
        <v/>
      </c>
    </row>
    <row r="842">
      <c r="M842">
        <f>IF(A842="","", _xludf.WEEKNUM(A842, 2))</f>
        <v/>
      </c>
    </row>
    <row r="843">
      <c r="M843">
        <f>IF(A843="","", _xludf.WEEKNUM(A843, 2))</f>
        <v/>
      </c>
    </row>
    <row r="844">
      <c r="M844">
        <f>IF(A844="","", _xludf.WEEKNUM(A844, 2))</f>
        <v/>
      </c>
    </row>
    <row r="845">
      <c r="M845">
        <f>IF(A845="","", _xludf.WEEKNUM(A845, 2))</f>
        <v/>
      </c>
    </row>
    <row r="846">
      <c r="M846">
        <f>IF(A846="","", _xludf.WEEKNUM(A846, 2))</f>
        <v/>
      </c>
    </row>
    <row r="847">
      <c r="M847">
        <f>IF(A847="","", _xludf.WEEKNUM(A847, 2))</f>
        <v/>
      </c>
    </row>
    <row r="848">
      <c r="M848">
        <f>IF(A848="","", _xludf.WEEKNUM(A848, 2))</f>
        <v/>
      </c>
    </row>
    <row r="849">
      <c r="M849">
        <f>IF(A849="","", _xludf.WEEKNUM(A849, 2))</f>
        <v/>
      </c>
    </row>
    <row r="850">
      <c r="M850">
        <f>IF(A850="","", _xludf.WEEKNUM(A850, 2))</f>
        <v/>
      </c>
    </row>
    <row r="851">
      <c r="M851">
        <f>IF(A851="","", _xludf.WEEKNUM(A851, 2))</f>
        <v/>
      </c>
    </row>
    <row r="852">
      <c r="M852">
        <f>IF(A852="","", _xludf.WEEKNUM(A852, 2))</f>
        <v/>
      </c>
    </row>
    <row r="853">
      <c r="M853">
        <f>IF(A853="","", _xludf.WEEKNUM(A853, 2))</f>
        <v/>
      </c>
    </row>
    <row r="854">
      <c r="M854">
        <f>IF(A854="","", _xludf.WEEKNUM(A854, 2))</f>
        <v/>
      </c>
    </row>
    <row r="855">
      <c r="M855">
        <f>IF(A855="","", _xludf.WEEKNUM(A855, 2))</f>
        <v/>
      </c>
    </row>
    <row r="856">
      <c r="M856">
        <f>IF(A856="","", _xludf.WEEKNUM(A856, 2))</f>
        <v/>
      </c>
    </row>
    <row r="857">
      <c r="M857">
        <f>IF(A857="","", _xludf.WEEKNUM(A857, 2))</f>
        <v/>
      </c>
    </row>
    <row r="858">
      <c r="M858">
        <f>IF(A858="","", _xludf.WEEKNUM(A858, 2))</f>
        <v/>
      </c>
    </row>
    <row r="859">
      <c r="M859">
        <f>IF(A859="","", _xludf.WEEKNUM(A859, 2))</f>
        <v/>
      </c>
    </row>
    <row r="860">
      <c r="M860">
        <f>IF(A860="","", _xludf.WEEKNUM(A860, 2))</f>
        <v/>
      </c>
    </row>
    <row r="861">
      <c r="M861">
        <f>IF(A861="","", _xludf.WEEKNUM(A861, 2))</f>
        <v/>
      </c>
    </row>
    <row r="862">
      <c r="M862">
        <f>IF(A862="","", _xludf.WEEKNUM(A862, 2))</f>
        <v/>
      </c>
    </row>
    <row r="863">
      <c r="M863">
        <f>IF(A863="","", _xludf.WEEKNUM(A863, 2))</f>
        <v/>
      </c>
    </row>
    <row r="864">
      <c r="M864">
        <f>IF(A864="","", _xludf.WEEKNUM(A864, 2))</f>
        <v/>
      </c>
    </row>
    <row r="865">
      <c r="M865">
        <f>IF(A865="","", _xludf.WEEKNUM(A865, 2))</f>
        <v/>
      </c>
    </row>
    <row r="866">
      <c r="M866">
        <f>IF(A866="","", _xludf.WEEKNUM(A866, 2))</f>
        <v/>
      </c>
    </row>
    <row r="867">
      <c r="M867">
        <f>IF(A867="","", _xludf.WEEKNUM(A867, 2))</f>
        <v/>
      </c>
    </row>
    <row r="868">
      <c r="M868">
        <f>IF(A868="","", _xludf.WEEKNUM(A868, 2))</f>
        <v/>
      </c>
    </row>
    <row r="869">
      <c r="M869">
        <f>IF(A869="","", _xludf.WEEKNUM(A869, 2))</f>
        <v/>
      </c>
    </row>
    <row r="870">
      <c r="M870">
        <f>IF(A870="","", _xludf.WEEKNUM(A870, 2))</f>
        <v/>
      </c>
    </row>
    <row r="871">
      <c r="M871">
        <f>IF(A871="","", _xludf.WEEKNUM(A871, 2))</f>
        <v/>
      </c>
    </row>
    <row r="872">
      <c r="M872">
        <f>IF(A872="","", _xludf.WEEKNUM(A872, 2))</f>
        <v/>
      </c>
    </row>
    <row r="873">
      <c r="M873">
        <f>IF(A873="","", _xludf.WEEKNUM(A873, 2))</f>
        <v/>
      </c>
    </row>
    <row r="874">
      <c r="M874">
        <f>IF(A874="","", _xludf.WEEKNUM(A874, 2))</f>
        <v/>
      </c>
    </row>
    <row r="875">
      <c r="M875">
        <f>IF(A875="","", _xludf.WEEKNUM(A875, 2))</f>
        <v/>
      </c>
    </row>
    <row r="876">
      <c r="M876">
        <f>IF(A876="","", _xludf.WEEKNUM(A876, 2))</f>
        <v/>
      </c>
    </row>
    <row r="877">
      <c r="M877">
        <f>IF(A877="","", _xludf.WEEKNUM(A877, 2))</f>
        <v/>
      </c>
    </row>
    <row r="878">
      <c r="M878">
        <f>IF(A878="","", _xludf.WEEKNUM(A878, 2))</f>
        <v/>
      </c>
    </row>
    <row r="879">
      <c r="M879">
        <f>IF(A879="","", _xludf.WEEKNUM(A879, 2))</f>
        <v/>
      </c>
    </row>
    <row r="880">
      <c r="M880">
        <f>IF(A880="","", _xludf.WEEKNUM(A880, 2))</f>
        <v/>
      </c>
    </row>
    <row r="881">
      <c r="M881">
        <f>IF(A881="","", _xludf.WEEKNUM(A881, 2))</f>
        <v/>
      </c>
    </row>
    <row r="882">
      <c r="M882">
        <f>IF(A882="","", _xludf.WEEKNUM(A882, 2))</f>
        <v/>
      </c>
    </row>
    <row r="883">
      <c r="M883">
        <f>IF(A883="","", _xludf.WEEKNUM(A883, 2))</f>
        <v/>
      </c>
    </row>
    <row r="884">
      <c r="M884">
        <f>IF(A884="","", _xludf.WEEKNUM(A884, 2))</f>
        <v/>
      </c>
    </row>
    <row r="885">
      <c r="M885">
        <f>IF(A885="","", _xludf.WEEKNUM(A885, 2))</f>
        <v/>
      </c>
    </row>
    <row r="886">
      <c r="M886">
        <f>IF(A886="","", _xludf.WEEKNUM(A886, 2))</f>
        <v/>
      </c>
    </row>
    <row r="887">
      <c r="M887">
        <f>IF(A887="","", _xludf.WEEKNUM(A887, 2))</f>
        <v/>
      </c>
    </row>
    <row r="888">
      <c r="M888">
        <f>IF(A888="","", _xludf.WEEKNUM(A888, 2))</f>
        <v/>
      </c>
    </row>
    <row r="889">
      <c r="M889">
        <f>IF(A889="","", _xludf.WEEKNUM(A889, 2))</f>
        <v/>
      </c>
    </row>
    <row r="890">
      <c r="M890">
        <f>IF(A890="","", _xludf.WEEKNUM(A890, 2))</f>
        <v/>
      </c>
    </row>
    <row r="891">
      <c r="M891">
        <f>IF(A891="","", _xludf.WEEKNUM(A891, 2))</f>
        <v/>
      </c>
    </row>
    <row r="892">
      <c r="M892">
        <f>IF(A892="","", _xludf.WEEKNUM(A892, 2))</f>
        <v/>
      </c>
    </row>
    <row r="893">
      <c r="M893">
        <f>IF(A893="","", _xludf.WEEKNUM(A893, 2))</f>
        <v/>
      </c>
    </row>
    <row r="894">
      <c r="M894">
        <f>IF(A894="","", _xludf.WEEKNUM(A894, 2))</f>
        <v/>
      </c>
    </row>
    <row r="895">
      <c r="M895">
        <f>IF(A895="","", _xludf.WEEKNUM(A895, 2))</f>
        <v/>
      </c>
    </row>
    <row r="896">
      <c r="M896">
        <f>IF(A896="","", _xludf.WEEKNUM(A896, 2))</f>
        <v/>
      </c>
    </row>
    <row r="897">
      <c r="M897">
        <f>IF(A897="","", _xludf.WEEKNUM(A897, 2))</f>
        <v/>
      </c>
    </row>
    <row r="898">
      <c r="M898">
        <f>IF(A898="","", _xludf.WEEKNUM(A898, 2))</f>
        <v/>
      </c>
    </row>
    <row r="899">
      <c r="M899">
        <f>IF(A899="","", _xludf.WEEKNUM(A899, 2))</f>
        <v/>
      </c>
    </row>
    <row r="900">
      <c r="M900">
        <f>IF(A900="","", _xludf.WEEKNUM(A900, 2))</f>
        <v/>
      </c>
    </row>
    <row r="901">
      <c r="M901">
        <f>IF(A901="","", _xludf.WEEKNUM(A901, 2))</f>
        <v/>
      </c>
    </row>
    <row r="902">
      <c r="M902">
        <f>IF(A902="","", _xludf.WEEKNUM(A902, 2))</f>
        <v/>
      </c>
    </row>
    <row r="903">
      <c r="M903">
        <f>IF(A903="","", _xludf.WEEKNUM(A903, 2))</f>
        <v/>
      </c>
    </row>
    <row r="904">
      <c r="M904">
        <f>IF(A904="","", _xludf.WEEKNUM(A904, 2))</f>
        <v/>
      </c>
    </row>
    <row r="905">
      <c r="M905">
        <f>IF(A905="","", _xludf.WEEKNUM(A905, 2))</f>
        <v/>
      </c>
    </row>
    <row r="906">
      <c r="M906">
        <f>IF(A906="","", _xludf.WEEKNUM(A906, 2))</f>
        <v/>
      </c>
    </row>
    <row r="907">
      <c r="M907">
        <f>IF(A907="","", _xludf.WEEKNUM(A907, 2))</f>
        <v/>
      </c>
    </row>
    <row r="908">
      <c r="M908">
        <f>IF(A908="","", _xludf.WEEKNUM(A908, 2))</f>
        <v/>
      </c>
    </row>
    <row r="909">
      <c r="M909">
        <f>IF(A909="","", _xludf.WEEKNUM(A909, 2))</f>
        <v/>
      </c>
    </row>
    <row r="910">
      <c r="M910">
        <f>IF(A910="","", _xludf.WEEKNUM(A910, 2))</f>
        <v/>
      </c>
    </row>
    <row r="911">
      <c r="M911">
        <f>IF(A911="","", _xludf.WEEKNUM(A911, 2))</f>
        <v/>
      </c>
    </row>
    <row r="912">
      <c r="M912">
        <f>IF(A912="","", _xludf.WEEKNUM(A912, 2))</f>
        <v/>
      </c>
    </row>
    <row r="913">
      <c r="M913">
        <f>IF(A913="","", _xludf.WEEKNUM(A913, 2))</f>
        <v/>
      </c>
    </row>
    <row r="914">
      <c r="M914">
        <f>IF(A914="","", _xludf.WEEKNUM(A914, 2))</f>
        <v/>
      </c>
    </row>
    <row r="915">
      <c r="M915">
        <f>IF(A915="","", _xludf.WEEKNUM(A915, 2))</f>
        <v/>
      </c>
    </row>
    <row r="916">
      <c r="M916">
        <f>IF(A916="","", _xludf.WEEKNUM(A916, 2))</f>
        <v/>
      </c>
    </row>
    <row r="917">
      <c r="M917">
        <f>IF(A917="","", _xludf.WEEKNUM(A917, 2))</f>
        <v/>
      </c>
    </row>
    <row r="918">
      <c r="M918">
        <f>IF(A918="","", _xludf.WEEKNUM(A918, 2))</f>
        <v/>
      </c>
    </row>
    <row r="919">
      <c r="M919">
        <f>IF(A919="","", _xludf.WEEKNUM(A919, 2))</f>
        <v/>
      </c>
    </row>
    <row r="920">
      <c r="M920">
        <f>IF(A920="","", _xludf.WEEKNUM(A920, 2))</f>
        <v/>
      </c>
    </row>
    <row r="921">
      <c r="M921">
        <f>IF(A921="","", _xludf.WEEKNUM(A921, 2))</f>
        <v/>
      </c>
    </row>
    <row r="922">
      <c r="M922">
        <f>IF(A922="","", _xludf.WEEKNUM(A922, 2))</f>
        <v/>
      </c>
    </row>
    <row r="923">
      <c r="M923">
        <f>IF(A923="","", _xludf.WEEKNUM(A923, 2))</f>
        <v/>
      </c>
    </row>
    <row r="924">
      <c r="M924">
        <f>IF(A924="","", _xludf.WEEKNUM(A924, 2))</f>
        <v/>
      </c>
    </row>
    <row r="925">
      <c r="M925">
        <f>IF(A925="","", _xludf.WEEKNUM(A925, 2))</f>
        <v/>
      </c>
    </row>
    <row r="926">
      <c r="M926">
        <f>IF(A926="","", _xludf.WEEKNUM(A926, 2))</f>
        <v/>
      </c>
    </row>
    <row r="927">
      <c r="M927">
        <f>IF(A927="","", _xludf.WEEKNUM(A927, 2))</f>
        <v/>
      </c>
    </row>
    <row r="928">
      <c r="M928">
        <f>IF(A928="","", _xludf.WEEKNUM(A928, 2))</f>
        <v/>
      </c>
    </row>
    <row r="929">
      <c r="M929">
        <f>IF(A929="","", _xludf.WEEKNUM(A929, 2))</f>
        <v/>
      </c>
    </row>
    <row r="930">
      <c r="M930">
        <f>IF(A930="","", _xludf.WEEKNUM(A930, 2))</f>
        <v/>
      </c>
    </row>
    <row r="931">
      <c r="M931">
        <f>IF(A931="","", _xludf.WEEKNUM(A931, 2))</f>
        <v/>
      </c>
    </row>
    <row r="932">
      <c r="M932">
        <f>IF(A932="","", _xludf.WEEKNUM(A932, 2))</f>
        <v/>
      </c>
    </row>
    <row r="933">
      <c r="M933">
        <f>IF(A933="","", _xludf.WEEKNUM(A933, 2))</f>
        <v/>
      </c>
    </row>
    <row r="934">
      <c r="M934">
        <f>IF(A934="","", _xludf.WEEKNUM(A934, 2))</f>
        <v/>
      </c>
    </row>
    <row r="935">
      <c r="M935">
        <f>IF(A935="","", _xludf.WEEKNUM(A935, 2))</f>
        <v/>
      </c>
    </row>
    <row r="936">
      <c r="M936">
        <f>IF(A936="","", _xludf.WEEKNUM(A936, 2))</f>
        <v/>
      </c>
    </row>
    <row r="937">
      <c r="M937">
        <f>IF(A937="","", _xludf.WEEKNUM(A937, 2))</f>
        <v/>
      </c>
    </row>
    <row r="938">
      <c r="M938">
        <f>IF(A938="","", _xludf.WEEKNUM(A938, 2))</f>
        <v/>
      </c>
    </row>
    <row r="939">
      <c r="M939">
        <f>IF(A939="","", _xludf.WEEKNUM(A939, 2))</f>
        <v/>
      </c>
    </row>
    <row r="940">
      <c r="M940">
        <f>IF(A940="","", _xludf.WEEKNUM(A940, 2))</f>
        <v/>
      </c>
    </row>
    <row r="941">
      <c r="M941">
        <f>IF(A941="","", _xludf.WEEKNUM(A941, 2))</f>
        <v/>
      </c>
    </row>
    <row r="942">
      <c r="M942">
        <f>IF(A942="","", _xludf.WEEKNUM(A942, 2))</f>
        <v/>
      </c>
    </row>
    <row r="943">
      <c r="M943">
        <f>IF(A943="","", _xludf.WEEKNUM(A943, 2))</f>
        <v/>
      </c>
    </row>
    <row r="944">
      <c r="M944">
        <f>IF(A944="","", _xludf.WEEKNUM(A944, 2))</f>
        <v/>
      </c>
    </row>
    <row r="945">
      <c r="M945">
        <f>IF(A945="","", _xludf.WEEKNUM(A945, 2))</f>
        <v/>
      </c>
    </row>
    <row r="946">
      <c r="M946">
        <f>IF(A946="","", _xludf.WEEKNUM(A946, 2))</f>
        <v/>
      </c>
    </row>
    <row r="947">
      <c r="M947">
        <f>IF(A947="","", _xludf.WEEKNUM(A947, 2))</f>
        <v/>
      </c>
    </row>
    <row r="948">
      <c r="M948">
        <f>IF(A948="","", _xludf.WEEKNUM(A948, 2))</f>
        <v/>
      </c>
    </row>
    <row r="949">
      <c r="M949">
        <f>IF(A949="","", _xludf.WEEKNUM(A949, 2))</f>
        <v/>
      </c>
    </row>
    <row r="950">
      <c r="M950">
        <f>IF(A950="","", _xludf.WEEKNUM(A950, 2))</f>
        <v/>
      </c>
    </row>
    <row r="951">
      <c r="M951">
        <f>IF(A951="","", _xludf.WEEKNUM(A951, 2))</f>
        <v/>
      </c>
    </row>
    <row r="952">
      <c r="M952">
        <f>IF(A952="","", _xludf.WEEKNUM(A952, 2))</f>
        <v/>
      </c>
    </row>
    <row r="953">
      <c r="M953">
        <f>IF(A953="","", _xludf.WEEKNUM(A953, 2))</f>
        <v/>
      </c>
    </row>
    <row r="954">
      <c r="M954">
        <f>IF(A954="","", _xludf.WEEKNUM(A954, 2))</f>
        <v/>
      </c>
    </row>
    <row r="955">
      <c r="M955">
        <f>IF(A955="","", _xludf.WEEKNUM(A955, 2))</f>
        <v/>
      </c>
    </row>
    <row r="956">
      <c r="M956">
        <f>IF(A956="","", _xludf.WEEKNUM(A956, 2))</f>
        <v/>
      </c>
    </row>
    <row r="957">
      <c r="M957">
        <f>IF(A957="","", _xludf.WEEKNUM(A957, 2))</f>
        <v/>
      </c>
    </row>
    <row r="958">
      <c r="M958">
        <f>IF(A958="","", _xludf.WEEKNUM(A958, 2))</f>
        <v/>
      </c>
    </row>
    <row r="959">
      <c r="M959">
        <f>IF(A959="","", _xludf.WEEKNUM(A959, 2))</f>
        <v/>
      </c>
    </row>
    <row r="960">
      <c r="M960">
        <f>IF(A960="","", _xludf.WEEKNUM(A960, 2))</f>
        <v/>
      </c>
    </row>
    <row r="961">
      <c r="M961">
        <f>IF(A961="","", _xludf.WEEKNUM(A961, 2))</f>
        <v/>
      </c>
    </row>
    <row r="962">
      <c r="M962">
        <f>IF(A962="","", _xludf.WEEKNUM(A962, 2))</f>
        <v/>
      </c>
    </row>
    <row r="963">
      <c r="M963">
        <f>IF(A963="","", _xludf.WEEKNUM(A963, 2))</f>
        <v/>
      </c>
    </row>
    <row r="964">
      <c r="M964">
        <f>IF(A964="","", _xludf.WEEKNUM(A964, 2))</f>
        <v/>
      </c>
    </row>
    <row r="965">
      <c r="M965">
        <f>IF(A965="","", _xludf.WEEKNUM(A965, 2))</f>
        <v/>
      </c>
    </row>
    <row r="966">
      <c r="M966">
        <f>IF(A966="","", _xludf.WEEKNUM(A966, 2))</f>
        <v/>
      </c>
    </row>
    <row r="967">
      <c r="M967">
        <f>IF(A967="","", _xludf.WEEKNUM(A967, 2))</f>
        <v/>
      </c>
    </row>
    <row r="968">
      <c r="M968">
        <f>IF(A968="","", _xludf.WEEKNUM(A968, 2))</f>
        <v/>
      </c>
    </row>
    <row r="969">
      <c r="M969">
        <f>IF(A969="","", _xludf.WEEKNUM(A969, 2))</f>
        <v/>
      </c>
    </row>
    <row r="970">
      <c r="M970">
        <f>IF(A970="","", _xludf.WEEKNUM(A970, 2))</f>
        <v/>
      </c>
    </row>
    <row r="971">
      <c r="M971">
        <f>IF(A971="","", _xludf.WEEKNUM(A971, 2))</f>
        <v/>
      </c>
    </row>
    <row r="972">
      <c r="M972">
        <f>IF(A972="","", _xludf.WEEKNUM(A972, 2))</f>
        <v/>
      </c>
    </row>
    <row r="973">
      <c r="M973">
        <f>IF(A973="","", _xludf.WEEKNUM(A973, 2))</f>
        <v/>
      </c>
    </row>
    <row r="974">
      <c r="M974">
        <f>IF(A974="","", _xludf.WEEKNUM(A974, 2))</f>
        <v/>
      </c>
    </row>
    <row r="975">
      <c r="M975">
        <f>IF(A975="","", _xludf.WEEKNUM(A975, 2))</f>
        <v/>
      </c>
    </row>
    <row r="976">
      <c r="M976">
        <f>IF(A976="","", _xludf.WEEKNUM(A976, 2))</f>
        <v/>
      </c>
    </row>
    <row r="977">
      <c r="M977">
        <f>IF(A977="","", _xludf.WEEKNUM(A977, 2))</f>
        <v/>
      </c>
    </row>
    <row r="978">
      <c r="M978">
        <f>IF(A978="","", _xludf.WEEKNUM(A978, 2))</f>
        <v/>
      </c>
    </row>
    <row r="979">
      <c r="M979">
        <f>IF(A979="","", _xludf.WEEKNUM(A979, 2))</f>
        <v/>
      </c>
    </row>
    <row r="980">
      <c r="M980">
        <f>IF(A980="","", _xludf.WEEKNUM(A980, 2))</f>
        <v/>
      </c>
    </row>
    <row r="981">
      <c r="M981">
        <f>IF(A981="","", _xludf.WEEKNUM(A981, 2))</f>
        <v/>
      </c>
    </row>
    <row r="982">
      <c r="M982">
        <f>IF(A982="","", _xludf.WEEKNUM(A982, 2))</f>
        <v/>
      </c>
    </row>
    <row r="983">
      <c r="M983">
        <f>IF(A983="","", _xludf.WEEKNUM(A983, 2))</f>
        <v/>
      </c>
    </row>
    <row r="984">
      <c r="M984">
        <f>IF(A984="","", _xludf.WEEKNUM(A984, 2))</f>
        <v/>
      </c>
    </row>
    <row r="985">
      <c r="M985">
        <f>IF(A985="","", _xludf.WEEKNUM(A985, 2))</f>
        <v/>
      </c>
    </row>
    <row r="986">
      <c r="M986">
        <f>IF(A986="","", _xludf.WEEKNUM(A986, 2))</f>
        <v/>
      </c>
    </row>
    <row r="987">
      <c r="M987">
        <f>IF(A987="","", _xludf.WEEKNUM(A987, 2))</f>
        <v/>
      </c>
    </row>
    <row r="988">
      <c r="M988">
        <f>IF(A988="","", _xludf.WEEKNUM(A988, 2))</f>
        <v/>
      </c>
    </row>
    <row r="989">
      <c r="M989">
        <f>IF(A989="","", _xludf.WEEKNUM(A989, 2))</f>
        <v/>
      </c>
    </row>
    <row r="990">
      <c r="M990">
        <f>IF(A990="","", _xludf.WEEKNUM(A990, 2))</f>
        <v/>
      </c>
    </row>
    <row r="991">
      <c r="M991">
        <f>IF(A991="","", _xludf.WEEKNUM(A991, 2))</f>
        <v/>
      </c>
    </row>
    <row r="992">
      <c r="M992">
        <f>IF(A992="","", _xludf.WEEKNUM(A992, 2))</f>
        <v/>
      </c>
    </row>
    <row r="993">
      <c r="M993">
        <f>IF(A993="","", _xludf.WEEKNUM(A993, 2))</f>
        <v/>
      </c>
    </row>
    <row r="994">
      <c r="M994">
        <f>IF(A994="","", _xludf.WEEKNUM(A994, 2))</f>
        <v/>
      </c>
    </row>
    <row r="995">
      <c r="M995">
        <f>IF(A995="","", _xludf.WEEKNUM(A995, 2))</f>
        <v/>
      </c>
    </row>
    <row r="996">
      <c r="M996">
        <f>IF(A996="","", _xludf.WEEKNUM(A996, 2))</f>
        <v/>
      </c>
    </row>
    <row r="997">
      <c r="M997">
        <f>IF(A997="","", _xludf.WEEKNUM(A997, 2))</f>
        <v/>
      </c>
    </row>
    <row r="998">
      <c r="M998">
        <f>IF(A998="","", _xludf.WEEKNUM(A998, 2))</f>
        <v/>
      </c>
    </row>
    <row r="999">
      <c r="M999">
        <f>IF(A999="","", _xludf.WEEKNUM(A999, 2))</f>
        <v/>
      </c>
    </row>
    <row r="1000">
      <c r="M1000">
        <f>IF(A1000="","", _xludf.WEEKNUM(A1000, 2))</f>
        <v/>
      </c>
    </row>
    <row r="1001">
      <c r="M1001">
        <f>IF(A1001="","", _xludf.WEEKNUM(A1001, 2))</f>
        <v/>
      </c>
    </row>
    <row r="1002">
      <c r="M1002">
        <f>IF(A1002="","", _xludf.WEEKNUM(A1002, 2))</f>
        <v/>
      </c>
    </row>
    <row r="1003">
      <c r="M1003">
        <f>IF(A1003="","", _xludf.WEEKNUM(A1003, 2))</f>
        <v/>
      </c>
    </row>
    <row r="1004">
      <c r="M1004">
        <f>IF(A1004="","", _xludf.WEEKNUM(A1004, 2))</f>
        <v/>
      </c>
    </row>
    <row r="1005">
      <c r="M1005">
        <f>IF(A1005="","", _xludf.WEEKNUM(A1005, 2))</f>
        <v/>
      </c>
    </row>
    <row r="1006">
      <c r="M1006">
        <f>IF(A1006="","", _xludf.WEEKNUM(A1006, 2))</f>
        <v/>
      </c>
    </row>
    <row r="1007">
      <c r="M1007">
        <f>IF(A1007="","", _xludf.WEEKNUM(A1007, 2))</f>
        <v/>
      </c>
    </row>
    <row r="1008">
      <c r="M1008">
        <f>IF(A1008="","", _xludf.WEEKNUM(A1008, 2))</f>
        <v/>
      </c>
    </row>
    <row r="1009">
      <c r="M1009">
        <f>IF(A1009="","", _xludf.WEEKNUM(A1009, 2))</f>
        <v/>
      </c>
    </row>
    <row r="1010">
      <c r="M1010">
        <f>IF(A1010="","", _xludf.WEEKNUM(A1010, 2))</f>
        <v/>
      </c>
    </row>
    <row r="1011">
      <c r="M1011">
        <f>IF(A1011="","", _xludf.WEEKNUM(A1011, 2))</f>
        <v/>
      </c>
    </row>
    <row r="1012">
      <c r="M1012">
        <f>IF(A1012="","", _xludf.WEEKNUM(A1012, 2))</f>
        <v/>
      </c>
    </row>
    <row r="1013">
      <c r="M1013">
        <f>IF(A1013="","", _xludf.WEEKNUM(A1013, 2))</f>
        <v/>
      </c>
    </row>
    <row r="1014">
      <c r="M1014">
        <f>IF(A1014="","", _xludf.WEEKNUM(A1014, 2))</f>
        <v/>
      </c>
    </row>
    <row r="1015">
      <c r="M1015">
        <f>IF(A1015="","", _xludf.WEEKNUM(A1015, 2))</f>
        <v/>
      </c>
    </row>
    <row r="1016">
      <c r="M1016">
        <f>IF(A1016="","", _xludf.WEEKNUM(A1016, 2))</f>
        <v/>
      </c>
    </row>
    <row r="1017">
      <c r="M1017">
        <f>IF(A1017="","", _xludf.WEEKNUM(A1017, 2))</f>
        <v/>
      </c>
    </row>
    <row r="1018">
      <c r="M1018">
        <f>IF(A1018="","", _xludf.WEEKNUM(A1018, 2))</f>
        <v/>
      </c>
    </row>
    <row r="1019">
      <c r="M1019">
        <f>IF(A1019="","", _xludf.WEEKNUM(A1019, 2))</f>
        <v/>
      </c>
    </row>
    <row r="1020">
      <c r="M1020">
        <f>IF(A1020="","", _xludf.WEEKNUM(A1020, 2))</f>
        <v/>
      </c>
    </row>
    <row r="1021">
      <c r="M1021">
        <f>IF(A1021="","", _xludf.WEEKNUM(A1021, 2))</f>
        <v/>
      </c>
    </row>
    <row r="1022">
      <c r="M1022">
        <f>IF(A1022="","", _xludf.WEEKNUM(A1022, 2))</f>
        <v/>
      </c>
    </row>
    <row r="1023">
      <c r="M1023">
        <f>IF(A1023="","", _xludf.WEEKNUM(A1023, 2))</f>
        <v/>
      </c>
    </row>
    <row r="1024">
      <c r="M1024">
        <f>IF(A1024="","", _xludf.WEEKNUM(A1024, 2))</f>
        <v/>
      </c>
    </row>
    <row r="1025">
      <c r="M1025">
        <f>IF(A1025="","", _xludf.WEEKNUM(A1025, 2))</f>
        <v/>
      </c>
    </row>
    <row r="1026">
      <c r="M1026">
        <f>IF(A1026="","", _xludf.WEEKNUM(A1026, 2))</f>
        <v/>
      </c>
    </row>
    <row r="1027">
      <c r="M1027">
        <f>IF(A1027="","", _xludf.WEEKNUM(A1027, 2))</f>
        <v/>
      </c>
    </row>
    <row r="1028">
      <c r="M1028">
        <f>IF(A1028="","", _xludf.WEEKNUM(A1028, 2))</f>
        <v/>
      </c>
    </row>
    <row r="1029">
      <c r="M1029">
        <f>IF(A1029="","", _xludf.WEEKNUM(A1029, 2))</f>
        <v/>
      </c>
    </row>
    <row r="1030">
      <c r="M1030">
        <f>IF(A1030="","", _xludf.WEEKNUM(A1030, 2))</f>
        <v/>
      </c>
    </row>
    <row r="1031">
      <c r="M1031">
        <f>IF(A1031="","", _xludf.WEEKNUM(A1031, 2))</f>
        <v/>
      </c>
    </row>
    <row r="1032">
      <c r="M1032">
        <f>IF(A1032="","", _xludf.WEEKNUM(A1032, 2))</f>
        <v/>
      </c>
    </row>
    <row r="1033">
      <c r="M1033">
        <f>IF(A1033="","", _xludf.WEEKNUM(A1033, 2))</f>
        <v/>
      </c>
    </row>
    <row r="1034">
      <c r="M1034">
        <f>IF(A1034="","", _xludf.WEEKNUM(A1034, 2))</f>
        <v/>
      </c>
    </row>
    <row r="1035">
      <c r="M1035">
        <f>IF(A1035="","", _xludf.WEEKNUM(A1035, 2))</f>
        <v/>
      </c>
    </row>
    <row r="1036">
      <c r="M1036">
        <f>IF(A1036="","", _xludf.WEEKNUM(A1036, 2))</f>
        <v/>
      </c>
    </row>
    <row r="1037">
      <c r="M1037">
        <f>IF(A1037="","", _xludf.WEEKNUM(A1037, 2))</f>
        <v/>
      </c>
    </row>
    <row r="1038">
      <c r="M1038">
        <f>IF(A1038="","", _xludf.WEEKNUM(A1038, 2))</f>
        <v/>
      </c>
    </row>
    <row r="1039">
      <c r="M1039">
        <f>IF(A1039="","", _xludf.WEEKNUM(A1039, 2))</f>
        <v/>
      </c>
    </row>
    <row r="1040">
      <c r="M1040">
        <f>IF(A1040="","", _xludf.WEEKNUM(A1040, 2))</f>
        <v/>
      </c>
    </row>
    <row r="1041">
      <c r="M1041">
        <f>IF(A1041="","", _xludf.WEEKNUM(A1041, 2))</f>
        <v/>
      </c>
    </row>
    <row r="1042">
      <c r="M1042">
        <f>IF(A1042="","", _xludf.WEEKNUM(A1042, 2))</f>
        <v/>
      </c>
    </row>
    <row r="1043">
      <c r="M1043">
        <f>IF(A1043="","", _xludf.WEEKNUM(A1043, 2))</f>
        <v/>
      </c>
    </row>
    <row r="1044">
      <c r="M1044">
        <f>IF(A1044="","", _xludf.WEEKNUM(A1044, 2))</f>
        <v/>
      </c>
    </row>
    <row r="1045">
      <c r="M1045">
        <f>IF(A1045="","", _xludf.WEEKNUM(A1045, 2))</f>
        <v/>
      </c>
    </row>
    <row r="1046">
      <c r="M1046">
        <f>IF(A1046="","", _xludf.WEEKNUM(A1046, 2))</f>
        <v/>
      </c>
    </row>
    <row r="1047">
      <c r="M1047">
        <f>IF(A1047="","", _xludf.WEEKNUM(A1047, 2))</f>
        <v/>
      </c>
    </row>
    <row r="1048">
      <c r="M1048">
        <f>IF(A1048="","", _xludf.WEEKNUM(A1048, 2))</f>
        <v/>
      </c>
    </row>
    <row r="1049">
      <c r="M1049">
        <f>IF(A1049="","", _xludf.WEEKNUM(A1049, 2))</f>
        <v/>
      </c>
    </row>
    <row r="1050">
      <c r="M1050">
        <f>IF(A1050="","", _xludf.WEEKNUM(A1050, 2))</f>
        <v/>
      </c>
    </row>
    <row r="1051">
      <c r="M1051">
        <f>IF(A1051="","", _xludf.WEEKNUM(A1051, 2))</f>
        <v/>
      </c>
    </row>
    <row r="1052">
      <c r="M1052">
        <f>IF(A1052="","", _xludf.WEEKNUM(A1052, 2))</f>
        <v/>
      </c>
    </row>
    <row r="1053">
      <c r="M1053">
        <f>IF(A1053="","", _xludf.WEEKNUM(A1053, 2))</f>
        <v/>
      </c>
    </row>
    <row r="1054">
      <c r="M1054">
        <f>IF(A1054="","", _xludf.WEEKNUM(A1054, 2))</f>
        <v/>
      </c>
    </row>
    <row r="1055">
      <c r="M1055">
        <f>IF(A1055="","", _xludf.WEEKNUM(A1055, 2))</f>
        <v/>
      </c>
    </row>
    <row r="1056">
      <c r="M1056">
        <f>IF(A1056="","", _xludf.WEEKNUM(A1056, 2))</f>
        <v/>
      </c>
    </row>
    <row r="1057">
      <c r="M1057">
        <f>IF(A1057="","", _xludf.WEEKNUM(A1057, 2))</f>
        <v/>
      </c>
    </row>
    <row r="1058">
      <c r="M1058">
        <f>IF(A1058="","", _xludf.WEEKNUM(A1058, 2))</f>
        <v/>
      </c>
    </row>
    <row r="1059">
      <c r="M1059">
        <f>IF(A1059="","", _xludf.WEEKNUM(A1059, 2))</f>
        <v/>
      </c>
    </row>
    <row r="1060">
      <c r="M1060">
        <f>IF(A1060="","", _xludf.WEEKNUM(A1060, 2))</f>
        <v/>
      </c>
    </row>
    <row r="1061">
      <c r="M1061">
        <f>IF(A1061="","", _xludf.WEEKNUM(A1061, 2))</f>
        <v/>
      </c>
    </row>
    <row r="1062">
      <c r="M1062">
        <f>IF(A1062="","", _xludf.WEEKNUM(A1062, 2))</f>
        <v/>
      </c>
    </row>
    <row r="1063">
      <c r="M1063">
        <f>IF(A1063="","", _xludf.WEEKNUM(A1063, 2))</f>
        <v/>
      </c>
    </row>
    <row r="1064">
      <c r="M1064">
        <f>IF(A1064="","", _xludf.WEEKNUM(A1064, 2))</f>
        <v/>
      </c>
    </row>
    <row r="1065">
      <c r="M1065">
        <f>IF(A1065="","", _xludf.WEEKNUM(A1065, 2))</f>
        <v/>
      </c>
    </row>
    <row r="1066">
      <c r="M1066">
        <f>IF(A1066="","", _xludf.WEEKNUM(A1066, 2))</f>
        <v/>
      </c>
    </row>
    <row r="1067">
      <c r="M1067">
        <f>IF(A1067="","", _xludf.WEEKNUM(A1067, 2))</f>
        <v/>
      </c>
    </row>
    <row r="1068">
      <c r="M1068">
        <f>IF(A1068="","", _xludf.WEEKNUM(A1068, 2))</f>
        <v/>
      </c>
    </row>
    <row r="1069">
      <c r="M1069">
        <f>IF(A1069="","", _xludf.WEEKNUM(A1069, 2))</f>
        <v/>
      </c>
    </row>
    <row r="1070">
      <c r="M1070">
        <f>IF(A1070="","", _xludf.WEEKNUM(A1070, 2))</f>
        <v/>
      </c>
    </row>
    <row r="1071">
      <c r="M1071">
        <f>IF(A1071="","", _xludf.WEEKNUM(A1071, 2))</f>
        <v/>
      </c>
    </row>
    <row r="1072">
      <c r="M1072">
        <f>IF(A1072="","", _xludf.WEEKNUM(A1072, 2))</f>
        <v/>
      </c>
    </row>
    <row r="1073">
      <c r="M1073">
        <f>IF(A1073="","", _xludf.WEEKNUM(A1073, 2))</f>
        <v/>
      </c>
    </row>
    <row r="1074">
      <c r="M1074">
        <f>IF(A1074="","", _xludf.WEEKNUM(A1074, 2))</f>
        <v/>
      </c>
    </row>
    <row r="1075">
      <c r="M1075">
        <f>IF(A1075="","", _xludf.WEEKNUM(A1075, 2))</f>
        <v/>
      </c>
    </row>
    <row r="1076">
      <c r="M1076">
        <f>IF(A1076="","", _xludf.WEEKNUM(A1076, 2))</f>
        <v/>
      </c>
    </row>
    <row r="1077">
      <c r="M1077">
        <f>IF(A1077="","", _xludf.WEEKNUM(A1077, 2))</f>
        <v/>
      </c>
    </row>
    <row r="1078">
      <c r="M1078">
        <f>IF(A1078="","", _xludf.WEEKNUM(A1078, 2))</f>
        <v/>
      </c>
    </row>
    <row r="1079">
      <c r="M1079">
        <f>IF(A1079="","", _xludf.WEEKNUM(A1079, 2))</f>
        <v/>
      </c>
    </row>
    <row r="1080">
      <c r="M1080">
        <f>IF(A1080="","", _xludf.WEEKNUM(A1080, 2))</f>
        <v/>
      </c>
    </row>
    <row r="1081">
      <c r="M1081">
        <f>IF(A1081="","", _xludf.WEEKNUM(A1081, 2))</f>
        <v/>
      </c>
    </row>
    <row r="1082">
      <c r="M1082">
        <f>IF(A1082="","", _xludf.WEEKNUM(A1082, 2))</f>
        <v/>
      </c>
    </row>
    <row r="1083">
      <c r="M1083">
        <f>IF(A1083="","", _xludf.WEEKNUM(A1083, 2))</f>
        <v/>
      </c>
    </row>
    <row r="1084">
      <c r="M1084">
        <f>IF(A1084="","", _xludf.WEEKNUM(A1084, 2))</f>
        <v/>
      </c>
    </row>
    <row r="1085">
      <c r="M1085">
        <f>IF(A1085="","", _xludf.WEEKNUM(A1085, 2))</f>
        <v/>
      </c>
    </row>
    <row r="1086">
      <c r="M1086">
        <f>IF(A1086="","", _xludf.WEEKNUM(A1086, 2))</f>
        <v/>
      </c>
    </row>
    <row r="1087">
      <c r="M1087">
        <f>IF(A1087="","", _xludf.WEEKNUM(A1087, 2))</f>
        <v/>
      </c>
    </row>
    <row r="1088">
      <c r="M1088">
        <f>IF(A1088="","", _xludf.WEEKNUM(A1088, 2))</f>
        <v/>
      </c>
    </row>
    <row r="1089">
      <c r="M1089">
        <f>IF(A1089="","", _xludf.WEEKNUM(A1089, 2))</f>
        <v/>
      </c>
    </row>
    <row r="1090">
      <c r="M1090">
        <f>IF(A1090="","", _xludf.WEEKNUM(A1090, 2))</f>
        <v/>
      </c>
    </row>
    <row r="1091">
      <c r="M1091">
        <f>IF(A1091="","", _xludf.WEEKNUM(A1091, 2))</f>
        <v/>
      </c>
    </row>
    <row r="1092">
      <c r="M1092">
        <f>IF(A1092="","", _xludf.WEEKNUM(A1092, 2))</f>
        <v/>
      </c>
    </row>
    <row r="1093">
      <c r="M1093">
        <f>IF(A1093="","", _xludf.WEEKNUM(A1093, 2))</f>
        <v/>
      </c>
    </row>
    <row r="1094">
      <c r="M1094">
        <f>IF(A1094="","", _xludf.WEEKNUM(A1094, 2))</f>
        <v/>
      </c>
    </row>
    <row r="1095">
      <c r="M1095">
        <f>IF(A1095="","", _xludf.WEEKNUM(A1095, 2))</f>
        <v/>
      </c>
    </row>
    <row r="1096">
      <c r="M1096">
        <f>IF(A1096="","", _xludf.WEEKNUM(A1096, 2))</f>
        <v/>
      </c>
    </row>
    <row r="1097">
      <c r="M1097">
        <f>IF(A1097="","", _xludf.WEEKNUM(A1097, 2))</f>
        <v/>
      </c>
    </row>
    <row r="1098">
      <c r="M1098">
        <f>IF(A1098="","", _xludf.WEEKNUM(A1098, 2))</f>
        <v/>
      </c>
    </row>
    <row r="1099">
      <c r="M1099">
        <f>IF(A1099="","", _xludf.WEEKNUM(A1099, 2))</f>
        <v/>
      </c>
    </row>
    <row r="1100">
      <c r="M1100">
        <f>IF(A1100="","", _xludf.WEEKNUM(A1100, 2))</f>
        <v/>
      </c>
    </row>
    <row r="1101">
      <c r="M1101">
        <f>IF(A1101="","", _xludf.WEEKNUM(A1101, 2))</f>
        <v/>
      </c>
    </row>
    <row r="1102">
      <c r="M1102">
        <f>IF(A1102="","", _xludf.WEEKNUM(A1102, 2))</f>
        <v/>
      </c>
    </row>
    <row r="1103">
      <c r="M1103">
        <f>IF(A1103="","", _xludf.WEEKNUM(A1103, 2))</f>
        <v/>
      </c>
    </row>
    <row r="1104">
      <c r="M1104">
        <f>IF(A1104="","", _xludf.WEEKNUM(A1104, 2))</f>
        <v/>
      </c>
    </row>
    <row r="1105">
      <c r="M1105">
        <f>IF(A1105="","", _xludf.WEEKNUM(A1105, 2))</f>
        <v/>
      </c>
    </row>
    <row r="1106">
      <c r="M1106">
        <f>IF(A1106="","", _xludf.WEEKNUM(A1106, 2))</f>
        <v/>
      </c>
    </row>
    <row r="1107">
      <c r="M1107">
        <f>IF(A1107="","", _xludf.WEEKNUM(A1107, 2))</f>
        <v/>
      </c>
    </row>
    <row r="1108">
      <c r="M1108">
        <f>IF(A1108="","", _xludf.WEEKNUM(A1108, 2))</f>
        <v/>
      </c>
    </row>
    <row r="1109">
      <c r="M1109">
        <f>IF(A1109="","", _xludf.WEEKNUM(A1109, 2))</f>
        <v/>
      </c>
    </row>
    <row r="1110">
      <c r="M1110">
        <f>IF(A1110="","", _xludf.WEEKNUM(A1110, 2))</f>
        <v/>
      </c>
    </row>
    <row r="1111">
      <c r="M1111">
        <f>IF(A1111="","", _xludf.WEEKNUM(A1111, 2))</f>
        <v/>
      </c>
    </row>
    <row r="1112">
      <c r="M1112">
        <f>IF(A1112="","", _xludf.WEEKNUM(A1112, 2))</f>
        <v/>
      </c>
    </row>
    <row r="1113">
      <c r="M1113">
        <f>IF(A1113="","", _xludf.WEEKNUM(A1113, 2))</f>
        <v/>
      </c>
    </row>
    <row r="1114">
      <c r="M1114">
        <f>IF(A1114="","", _xludf.WEEKNUM(A1114, 2))</f>
        <v/>
      </c>
    </row>
    <row r="1115">
      <c r="M1115">
        <f>IF(A1115="","", _xludf.WEEKNUM(A1115, 2))</f>
        <v/>
      </c>
    </row>
    <row r="1116">
      <c r="M1116">
        <f>IF(A1116="","", _xludf.WEEKNUM(A1116, 2))</f>
        <v/>
      </c>
    </row>
    <row r="1117">
      <c r="M1117">
        <f>IF(A1117="","", _xludf.WEEKNUM(A1117, 2))</f>
        <v/>
      </c>
    </row>
    <row r="1118">
      <c r="M1118">
        <f>IF(A1118="","", _xludf.WEEKNUM(A1118, 2))</f>
        <v/>
      </c>
    </row>
    <row r="1119">
      <c r="M1119">
        <f>IF(A1119="","", _xludf.WEEKNUM(A1119, 2))</f>
        <v/>
      </c>
    </row>
    <row r="1120">
      <c r="M1120">
        <f>IF(A1120="","", _xludf.WEEKNUM(A1120, 2))</f>
        <v/>
      </c>
    </row>
    <row r="1121">
      <c r="M1121">
        <f>IF(A1121="","", _xludf.WEEKNUM(A1121, 2))</f>
        <v/>
      </c>
    </row>
    <row r="1122">
      <c r="M1122">
        <f>IF(A1122="","", _xludf.WEEKNUM(A1122, 2))</f>
        <v/>
      </c>
    </row>
    <row r="1123">
      <c r="M1123">
        <f>IF(A1123="","", _xludf.WEEKNUM(A1123, 2))</f>
        <v/>
      </c>
    </row>
    <row r="1124">
      <c r="M1124">
        <f>IF(A1124="","", _xludf.WEEKNUM(A1124, 2))</f>
        <v/>
      </c>
    </row>
    <row r="1125">
      <c r="M1125">
        <f>IF(A1125="","", _xludf.WEEKNUM(A1125, 2))</f>
        <v/>
      </c>
    </row>
    <row r="1126">
      <c r="M1126">
        <f>IF(A1126="","", _xludf.WEEKNUM(A1126, 2))</f>
        <v/>
      </c>
    </row>
    <row r="1127">
      <c r="M1127">
        <f>IF(A1127="","", _xludf.WEEKNUM(A1127, 2))</f>
        <v/>
      </c>
    </row>
    <row r="1128">
      <c r="M1128">
        <f>IF(A1128="","", _xludf.WEEKNUM(A1128, 2))</f>
        <v/>
      </c>
    </row>
    <row r="1129">
      <c r="M1129">
        <f>IF(A1129="","", _xludf.WEEKNUM(A1129, 2))</f>
        <v/>
      </c>
    </row>
    <row r="1130">
      <c r="M1130">
        <f>IF(A1130="","", _xludf.WEEKNUM(A1130, 2))</f>
        <v/>
      </c>
    </row>
    <row r="1131">
      <c r="M1131">
        <f>IF(A1131="","", _xludf.WEEKNUM(A1131, 2))</f>
        <v/>
      </c>
    </row>
    <row r="1132">
      <c r="M1132">
        <f>IF(A1132="","", _xludf.WEEKNUM(A1132, 2))</f>
        <v/>
      </c>
    </row>
    <row r="1133">
      <c r="M1133">
        <f>IF(A1133="","", _xludf.WEEKNUM(A1133, 2))</f>
        <v/>
      </c>
    </row>
    <row r="1134">
      <c r="M1134">
        <f>IF(A1134="","", _xludf.WEEKNUM(A1134, 2))</f>
        <v/>
      </c>
    </row>
    <row r="1135">
      <c r="M1135">
        <f>IF(A1135="","", _xludf.WEEKNUM(A1135, 2))</f>
        <v/>
      </c>
    </row>
    <row r="1136">
      <c r="M1136">
        <f>IF(A1136="","", _xludf.WEEKNUM(A1136, 2))</f>
        <v/>
      </c>
    </row>
    <row r="1137">
      <c r="M1137">
        <f>IF(A1137="","", _xludf.WEEKNUM(A1137, 2))</f>
        <v/>
      </c>
    </row>
    <row r="1138">
      <c r="M1138">
        <f>IF(A1138="","", _xludf.WEEKNUM(A1138, 2))</f>
        <v/>
      </c>
    </row>
    <row r="1139">
      <c r="M1139">
        <f>IF(A1139="","", _xludf.WEEKNUM(A1139, 2))</f>
        <v/>
      </c>
    </row>
    <row r="1140">
      <c r="M1140">
        <f>IF(A1140="","", _xludf.WEEKNUM(A1140, 2))</f>
        <v/>
      </c>
    </row>
    <row r="1141">
      <c r="M1141">
        <f>IF(A1141="","", _xludf.WEEKNUM(A1141, 2))</f>
        <v/>
      </c>
    </row>
    <row r="1142">
      <c r="M1142">
        <f>IF(A1142="","", _xludf.WEEKNUM(A1142, 2))</f>
        <v/>
      </c>
    </row>
    <row r="1143">
      <c r="M1143">
        <f>IF(A1143="","", _xludf.WEEKNUM(A1143, 2))</f>
        <v/>
      </c>
    </row>
    <row r="1144">
      <c r="M1144">
        <f>IF(A1144="","", _xludf.WEEKNUM(A1144, 2))</f>
        <v/>
      </c>
    </row>
    <row r="1145">
      <c r="M1145">
        <f>IF(A1145="","", _xludf.WEEKNUM(A1145, 2))</f>
        <v/>
      </c>
    </row>
    <row r="1146">
      <c r="M1146">
        <f>IF(A1146="","", _xludf.WEEKNUM(A1146, 2))</f>
        <v/>
      </c>
    </row>
    <row r="1147">
      <c r="M1147">
        <f>IF(A1147="","", _xludf.WEEKNUM(A1147, 2))</f>
        <v/>
      </c>
    </row>
    <row r="1148">
      <c r="M1148">
        <f>IF(A1148="","", _xludf.WEEKNUM(A1148, 2))</f>
        <v/>
      </c>
    </row>
    <row r="1149">
      <c r="M1149">
        <f>IF(A1149="","", _xludf.WEEKNUM(A1149, 2))</f>
        <v/>
      </c>
    </row>
    <row r="1150">
      <c r="M1150">
        <f>IF(A1150="","", _xludf.WEEKNUM(A1150, 2))</f>
        <v/>
      </c>
    </row>
    <row r="1151">
      <c r="M1151">
        <f>IF(A1151="","", _xludf.WEEKNUM(A1151, 2))</f>
        <v/>
      </c>
    </row>
    <row r="1152">
      <c r="M1152">
        <f>IF(A1152="","", _xludf.WEEKNUM(A1152, 2))</f>
        <v/>
      </c>
    </row>
    <row r="1153">
      <c r="M1153">
        <f>IF(A1153="","", _xludf.WEEKNUM(A1153, 2))</f>
        <v/>
      </c>
    </row>
    <row r="1154">
      <c r="M1154">
        <f>IF(A1154="","", _xludf.WEEKNUM(A1154, 2))</f>
        <v/>
      </c>
    </row>
    <row r="1155">
      <c r="M1155">
        <f>IF(A1155="","", _xludf.WEEKNUM(A1155, 2))</f>
        <v/>
      </c>
    </row>
    <row r="1156">
      <c r="M1156">
        <f>IF(A1156="","", _xludf.WEEKNUM(A1156, 2))</f>
        <v/>
      </c>
    </row>
    <row r="1157">
      <c r="M1157">
        <f>IF(A1157="","", _xludf.WEEKNUM(A1157, 2))</f>
        <v/>
      </c>
    </row>
    <row r="1158">
      <c r="M1158">
        <f>IF(A1158="","", _xludf.WEEKNUM(A1158, 2))</f>
        <v/>
      </c>
    </row>
    <row r="1159">
      <c r="M1159">
        <f>IF(A1159="","", _xludf.WEEKNUM(A1159, 2))</f>
        <v/>
      </c>
    </row>
    <row r="1160">
      <c r="M1160">
        <f>IF(A1160="","", _xludf.WEEKNUM(A1160, 2))</f>
        <v/>
      </c>
    </row>
    <row r="1161">
      <c r="M1161">
        <f>IF(A1161="","", _xludf.WEEKNUM(A1161, 2))</f>
        <v/>
      </c>
    </row>
    <row r="1162">
      <c r="M1162">
        <f>IF(A1162="","", _xludf.WEEKNUM(A1162, 2))</f>
        <v/>
      </c>
    </row>
    <row r="1163">
      <c r="M1163">
        <f>IF(A1163="","", _xludf.WEEKNUM(A1163, 2))</f>
        <v/>
      </c>
    </row>
    <row r="1164">
      <c r="M1164">
        <f>IF(A1164="","", _xludf.WEEKNUM(A1164, 2))</f>
        <v/>
      </c>
    </row>
    <row r="1165">
      <c r="M1165">
        <f>IF(A1165="","", _xludf.WEEKNUM(A1165, 2))</f>
        <v/>
      </c>
    </row>
    <row r="1166">
      <c r="M1166">
        <f>IF(A1166="","", _xludf.WEEKNUM(A1166, 2))</f>
        <v/>
      </c>
    </row>
    <row r="1167">
      <c r="M1167">
        <f>IF(A1167="","", _xludf.WEEKNUM(A1167, 2))</f>
        <v/>
      </c>
    </row>
    <row r="1168">
      <c r="M1168">
        <f>IF(A1168="","", _xludf.WEEKNUM(A1168, 2))</f>
        <v/>
      </c>
    </row>
    <row r="1169">
      <c r="M1169">
        <f>IF(A1169="","", _xludf.WEEKNUM(A1169, 2))</f>
        <v/>
      </c>
    </row>
    <row r="1170">
      <c r="M1170">
        <f>IF(A1170="","", _xludf.WEEKNUM(A1170, 2))</f>
        <v/>
      </c>
    </row>
    <row r="1171">
      <c r="M1171">
        <f>IF(A1171="","", _xludf.WEEKNUM(A1171, 2))</f>
        <v/>
      </c>
    </row>
    <row r="1172">
      <c r="M1172">
        <f>IF(A1172="","", _xludf.WEEKNUM(A1172, 2))</f>
        <v/>
      </c>
    </row>
    <row r="1173">
      <c r="M1173">
        <f>IF(A1173="","", _xludf.WEEKNUM(A1173, 2))</f>
        <v/>
      </c>
    </row>
    <row r="1174">
      <c r="M1174">
        <f>IF(A1174="","", _xludf.WEEKNUM(A1174, 2))</f>
        <v/>
      </c>
    </row>
    <row r="1175">
      <c r="M1175">
        <f>IF(A1175="","", _xludf.WEEKNUM(A1175, 2))</f>
        <v/>
      </c>
    </row>
    <row r="1176">
      <c r="M1176">
        <f>IF(A1176="","", _xludf.WEEKNUM(A1176, 2))</f>
        <v/>
      </c>
    </row>
    <row r="1177">
      <c r="M1177">
        <f>IF(A1177="","", _xludf.WEEKNUM(A1177, 2))</f>
        <v/>
      </c>
    </row>
    <row r="1178">
      <c r="M1178">
        <f>IF(A1178="","", _xludf.WEEKNUM(A1178, 2))</f>
        <v/>
      </c>
    </row>
    <row r="1179">
      <c r="M1179">
        <f>IF(A1179="","", _xludf.WEEKNUM(A1179, 2))</f>
        <v/>
      </c>
    </row>
    <row r="1180">
      <c r="M1180">
        <f>IF(A1180="","", _xludf.WEEKNUM(A1180, 2))</f>
        <v/>
      </c>
    </row>
    <row r="1181">
      <c r="M1181">
        <f>IF(A1181="","", _xludf.WEEKNUM(A1181, 2))</f>
        <v/>
      </c>
    </row>
    <row r="1182">
      <c r="M1182">
        <f>IF(A1182="","", _xludf.WEEKNUM(A1182, 2))</f>
        <v/>
      </c>
    </row>
    <row r="1183">
      <c r="M1183">
        <f>IF(A1183="","", _xludf.WEEKNUM(A1183, 2))</f>
        <v/>
      </c>
    </row>
    <row r="1184">
      <c r="M1184">
        <f>IF(A1184="","", _xludf.WEEKNUM(A1184, 2))</f>
        <v/>
      </c>
    </row>
    <row r="1185">
      <c r="M1185">
        <f>IF(A1185="","", _xludf.WEEKNUM(A1185, 2))</f>
        <v/>
      </c>
    </row>
    <row r="1186">
      <c r="M1186">
        <f>IF(A1186="","", _xludf.WEEKNUM(A1186, 2))</f>
        <v/>
      </c>
    </row>
    <row r="1187">
      <c r="M1187">
        <f>IF(A1187="","", _xludf.WEEKNUM(A1187, 2))</f>
        <v/>
      </c>
    </row>
    <row r="1188">
      <c r="M1188">
        <f>IF(A1188="","", _xludf.WEEKNUM(A1188, 2))</f>
        <v/>
      </c>
    </row>
    <row r="1189">
      <c r="M1189">
        <f>IF(A1189="","", _xludf.WEEKNUM(A1189, 2))</f>
        <v/>
      </c>
    </row>
    <row r="1190">
      <c r="M1190">
        <f>IF(A1190="","", _xludf.WEEKNUM(A1190, 2))</f>
        <v/>
      </c>
    </row>
    <row r="1191">
      <c r="M1191">
        <f>IF(A1191="","", _xludf.WEEKNUM(A1191, 2))</f>
        <v/>
      </c>
    </row>
    <row r="1192">
      <c r="M1192">
        <f>IF(A1192="","", _xludf.WEEKNUM(A1192, 2))</f>
        <v/>
      </c>
    </row>
    <row r="1193">
      <c r="M1193">
        <f>IF(A1193="","", _xludf.WEEKNUM(A1193, 2))</f>
        <v/>
      </c>
    </row>
    <row r="1194">
      <c r="M1194">
        <f>IF(A1194="","", _xludf.WEEKNUM(A1194, 2))</f>
        <v/>
      </c>
    </row>
    <row r="1195">
      <c r="M1195">
        <f>IF(A1195="","", _xludf.WEEKNUM(A1195, 2))</f>
        <v/>
      </c>
    </row>
    <row r="1196">
      <c r="M1196">
        <f>IF(A1196="","", _xludf.WEEKNUM(A1196, 2))</f>
        <v/>
      </c>
    </row>
    <row r="1197">
      <c r="M1197">
        <f>IF(A1197="","", _xludf.WEEKNUM(A1197, 2))</f>
        <v/>
      </c>
    </row>
    <row r="1198">
      <c r="M1198">
        <f>IF(A1198="","", _xludf.WEEKNUM(A1198, 2))</f>
        <v/>
      </c>
    </row>
    <row r="1199">
      <c r="M1199">
        <f>IF(A1199="","", _xludf.WEEKNUM(A1199, 2))</f>
        <v/>
      </c>
    </row>
    <row r="1200">
      <c r="M1200">
        <f>IF(A1200="","", _xludf.WEEKNUM(A1200, 2))</f>
        <v/>
      </c>
    </row>
    <row r="1201">
      <c r="M1201">
        <f>IF(A1201="","", _xludf.WEEKNUM(A1201, 2))</f>
        <v/>
      </c>
    </row>
    <row r="1202">
      <c r="M1202">
        <f>IF(A1202="","", _xludf.WEEKNUM(A1202, 2))</f>
        <v/>
      </c>
    </row>
    <row r="1203">
      <c r="M1203">
        <f>IF(A1203="","", _xludf.WEEKNUM(A1203, 2))</f>
        <v/>
      </c>
    </row>
    <row r="1204">
      <c r="M1204">
        <f>IF(A1204="","", _xludf.WEEKNUM(A1204, 2))</f>
        <v/>
      </c>
    </row>
    <row r="1205">
      <c r="M1205">
        <f>IF(A1205="","", _xludf.WEEKNUM(A1205, 2))</f>
        <v/>
      </c>
    </row>
    <row r="1206">
      <c r="M1206">
        <f>IF(A1206="","", _xludf.WEEKNUM(A1206, 2))</f>
        <v/>
      </c>
    </row>
    <row r="1207">
      <c r="M1207">
        <f>IF(A1207="","", _xludf.WEEKNUM(A1207, 2))</f>
        <v/>
      </c>
    </row>
    <row r="1208">
      <c r="M1208">
        <f>IF(A1208="","", _xludf.WEEKNUM(A1208, 2))</f>
        <v/>
      </c>
    </row>
    <row r="1209">
      <c r="M1209">
        <f>IF(A1209="","", _xludf.WEEKNUM(A1209, 2))</f>
        <v/>
      </c>
    </row>
    <row r="1210">
      <c r="M1210">
        <f>IF(A1210="","", _xludf.WEEKNUM(A1210, 2))</f>
        <v/>
      </c>
    </row>
    <row r="1211">
      <c r="M1211">
        <f>IF(A1211="","", _xludf.WEEKNUM(A1211, 2))</f>
        <v/>
      </c>
    </row>
    <row r="1212">
      <c r="M1212">
        <f>IF(A1212="","", _xludf.WEEKNUM(A1212, 2))</f>
        <v/>
      </c>
    </row>
    <row r="1213">
      <c r="M1213">
        <f>IF(A1213="","", _xludf.WEEKNUM(A1213, 2))</f>
        <v/>
      </c>
    </row>
    <row r="1214">
      <c r="M1214">
        <f>IF(A1214="","", _xludf.WEEKNUM(A1214, 2))</f>
        <v/>
      </c>
    </row>
    <row r="1215">
      <c r="M1215">
        <f>IF(A1215="","", _xludf.WEEKNUM(A1215, 2))</f>
        <v/>
      </c>
    </row>
    <row r="1216">
      <c r="M1216">
        <f>IF(A1216="","", _xludf.WEEKNUM(A1216, 2))</f>
        <v/>
      </c>
    </row>
    <row r="1217">
      <c r="M1217">
        <f>IF(A1217="","", _xludf.WEEKNUM(A1217, 2))</f>
        <v/>
      </c>
    </row>
    <row r="1218">
      <c r="M1218">
        <f>IF(A1218="","", _xludf.WEEKNUM(A1218, 2))</f>
        <v/>
      </c>
    </row>
    <row r="1219">
      <c r="M1219">
        <f>IF(A1219="","", _xludf.WEEKNUM(A1219, 2))</f>
        <v/>
      </c>
    </row>
    <row r="1220">
      <c r="M1220">
        <f>IF(A1220="","", _xludf.WEEKNUM(A1220, 2))</f>
        <v/>
      </c>
    </row>
    <row r="1221">
      <c r="M1221">
        <f>IF(A1221="","", _xludf.WEEKNUM(A1221, 2))</f>
        <v/>
      </c>
    </row>
    <row r="1222">
      <c r="M1222">
        <f>IF(A1222="","", _xludf.WEEKNUM(A1222, 2))</f>
        <v/>
      </c>
    </row>
    <row r="1223">
      <c r="M1223">
        <f>IF(A1223="","", _xludf.WEEKNUM(A1223, 2))</f>
        <v/>
      </c>
    </row>
    <row r="1224">
      <c r="M1224">
        <f>IF(A1224="","", _xludf.WEEKNUM(A1224, 2))</f>
        <v/>
      </c>
    </row>
    <row r="1225">
      <c r="M1225">
        <f>IF(A1225="","", _xludf.WEEKNUM(A1225, 2))</f>
        <v/>
      </c>
    </row>
    <row r="1226">
      <c r="M1226">
        <f>IF(A1226="","", _xludf.WEEKNUM(A1226, 2))</f>
        <v/>
      </c>
    </row>
    <row r="1227">
      <c r="M1227">
        <f>IF(A1227="","", _xludf.WEEKNUM(A1227, 2))</f>
        <v/>
      </c>
    </row>
    <row r="1228">
      <c r="M1228">
        <f>IF(A1228="","", _xludf.WEEKNUM(A1228, 2))</f>
        <v/>
      </c>
    </row>
    <row r="1229">
      <c r="M1229">
        <f>IF(A1229="","", _xludf.WEEKNUM(A1229, 2))</f>
        <v/>
      </c>
    </row>
    <row r="1230">
      <c r="M1230">
        <f>IF(A1230="","", _xludf.WEEKNUM(A1230, 2))</f>
        <v/>
      </c>
    </row>
    <row r="1231">
      <c r="M1231">
        <f>IF(A1231="","", _xludf.WEEKNUM(A1231, 2))</f>
        <v/>
      </c>
    </row>
    <row r="1232">
      <c r="M1232">
        <f>IF(A1232="","", _xludf.WEEKNUM(A1232, 2))</f>
        <v/>
      </c>
    </row>
    <row r="1233">
      <c r="M1233">
        <f>IF(A1233="","", _xludf.WEEKNUM(A1233, 2))</f>
        <v/>
      </c>
    </row>
    <row r="1234">
      <c r="M1234">
        <f>IF(A1234="","", _xludf.WEEKNUM(A1234, 2))</f>
        <v/>
      </c>
    </row>
    <row r="1235">
      <c r="M1235">
        <f>IF(A1235="","", _xludf.WEEKNUM(A1235, 2))</f>
        <v/>
      </c>
    </row>
    <row r="1236">
      <c r="M1236">
        <f>IF(A1236="","", _xludf.WEEKNUM(A1236, 2))</f>
        <v/>
      </c>
    </row>
    <row r="1237">
      <c r="M1237">
        <f>IF(A1237="","", _xludf.WEEKNUM(A1237, 2))</f>
        <v/>
      </c>
    </row>
    <row r="1238">
      <c r="M1238">
        <f>IF(A1238="","", _xludf.WEEKNUM(A1238, 2))</f>
        <v/>
      </c>
    </row>
    <row r="1239">
      <c r="M1239">
        <f>IF(A1239="","", _xludf.WEEKNUM(A1239, 2))</f>
        <v/>
      </c>
    </row>
    <row r="1240">
      <c r="M1240">
        <f>IF(A1240="","", _xludf.WEEKNUM(A1240, 2))</f>
        <v/>
      </c>
    </row>
    <row r="1241">
      <c r="M1241">
        <f>IF(A1241="","", _xludf.WEEKNUM(A1241, 2))</f>
        <v/>
      </c>
    </row>
    <row r="1242">
      <c r="M1242">
        <f>IF(A1242="","", _xludf.WEEKNUM(A1242, 2))</f>
        <v/>
      </c>
    </row>
    <row r="1243">
      <c r="M1243">
        <f>IF(A1243="","", _xludf.WEEKNUM(A1243, 2))</f>
        <v/>
      </c>
    </row>
    <row r="1244">
      <c r="M1244">
        <f>IF(A1244="","", _xludf.WEEKNUM(A1244, 2))</f>
        <v/>
      </c>
    </row>
    <row r="1245">
      <c r="M1245">
        <f>IF(A1245="","", _xludf.WEEKNUM(A1245, 2))</f>
        <v/>
      </c>
    </row>
    <row r="1246">
      <c r="M1246">
        <f>IF(A1246="","", _xludf.WEEKNUM(A1246, 2))</f>
        <v/>
      </c>
    </row>
    <row r="1247">
      <c r="M1247">
        <f>IF(A1247="","", _xludf.WEEKNUM(A1247, 2))</f>
        <v/>
      </c>
    </row>
    <row r="1248">
      <c r="M1248">
        <f>IF(A1248="","", _xludf.WEEKNUM(A1248, 2))</f>
        <v/>
      </c>
    </row>
    <row r="1249">
      <c r="M1249">
        <f>IF(A1249="","", _xludf.WEEKNUM(A1249, 2))</f>
        <v/>
      </c>
    </row>
    <row r="1250">
      <c r="M1250">
        <f>IF(A1250="","", _xludf.WEEKNUM(A1250, 2))</f>
        <v/>
      </c>
    </row>
    <row r="1251">
      <c r="M1251">
        <f>IF(A1251="","", _xludf.WEEKNUM(A1251, 2))</f>
        <v/>
      </c>
    </row>
    <row r="1252">
      <c r="M1252">
        <f>IF(A1252="","", _xludf.WEEKNUM(A1252, 2))</f>
        <v/>
      </c>
    </row>
    <row r="1253">
      <c r="M1253">
        <f>IF(A1253="","", _xludf.WEEKNUM(A1253, 2))</f>
        <v/>
      </c>
    </row>
    <row r="1254">
      <c r="M1254">
        <f>IF(A1254="","", _xludf.WEEKNUM(A1254, 2))</f>
        <v/>
      </c>
    </row>
    <row r="1255">
      <c r="M1255">
        <f>IF(A1255="","", _xludf.WEEKNUM(A1255, 2))</f>
        <v/>
      </c>
    </row>
    <row r="1256">
      <c r="M1256">
        <f>IF(A1256="","", _xludf.WEEKNUM(A1256, 2))</f>
        <v/>
      </c>
    </row>
    <row r="1257">
      <c r="M1257">
        <f>IF(A1257="","", _xludf.WEEKNUM(A1257, 2))</f>
        <v/>
      </c>
    </row>
    <row r="1258">
      <c r="M1258">
        <f>IF(A1258="","", _xludf.WEEKNUM(A1258, 2))</f>
        <v/>
      </c>
    </row>
    <row r="1259">
      <c r="M1259">
        <f>IF(A1259="","", _xludf.WEEKNUM(A1259, 2))</f>
        <v/>
      </c>
    </row>
    <row r="1260">
      <c r="M1260">
        <f>IF(A1260="","", _xludf.WEEKNUM(A1260, 2))</f>
        <v/>
      </c>
    </row>
    <row r="1261">
      <c r="M1261">
        <f>IF(A1261="","", _xludf.WEEKNUM(A1261, 2))</f>
        <v/>
      </c>
    </row>
    <row r="1262">
      <c r="M1262">
        <f>IF(A1262="","", _xludf.WEEKNUM(A1262, 2))</f>
        <v/>
      </c>
    </row>
    <row r="1263">
      <c r="M1263">
        <f>IF(A1263="","", _xludf.WEEKNUM(A1263, 2))</f>
        <v/>
      </c>
    </row>
    <row r="1264">
      <c r="M1264">
        <f>IF(A1264="","", _xludf.WEEKNUM(A1264, 2))</f>
        <v/>
      </c>
    </row>
    <row r="1265">
      <c r="M1265">
        <f>IF(A1265="","", _xludf.WEEKNUM(A1265, 2))</f>
        <v/>
      </c>
    </row>
    <row r="1266">
      <c r="M1266">
        <f>IF(A1266="","", _xludf.WEEKNUM(A1266, 2))</f>
        <v/>
      </c>
    </row>
    <row r="1267">
      <c r="M1267">
        <f>IF(A1267="","", _xludf.WEEKNUM(A1267, 2))</f>
        <v/>
      </c>
    </row>
    <row r="1268">
      <c r="M1268">
        <f>IF(A1268="","", _xludf.WEEKNUM(A1268, 2))</f>
        <v/>
      </c>
    </row>
    <row r="1269">
      <c r="M1269">
        <f>IF(A1269="","", _xludf.WEEKNUM(A1269, 2))</f>
        <v/>
      </c>
    </row>
    <row r="1270">
      <c r="M1270">
        <f>IF(A1270="","", _xludf.WEEKNUM(A1270, 2))</f>
        <v/>
      </c>
    </row>
    <row r="1271">
      <c r="M1271">
        <f>IF(A1271="","", _xludf.WEEKNUM(A1271, 2))</f>
        <v/>
      </c>
    </row>
    <row r="1272">
      <c r="M1272">
        <f>IF(A1272="","", _xludf.WEEKNUM(A1272, 2))</f>
        <v/>
      </c>
    </row>
    <row r="1273">
      <c r="M1273">
        <f>IF(A1273="","", _xludf.WEEKNUM(A1273, 2))</f>
        <v/>
      </c>
    </row>
    <row r="1274">
      <c r="M1274">
        <f>IF(A1274="","", _xludf.WEEKNUM(A1274, 2))</f>
        <v/>
      </c>
    </row>
    <row r="1275">
      <c r="M1275">
        <f>IF(A1275="","", _xludf.WEEKNUM(A1275, 2))</f>
        <v/>
      </c>
    </row>
    <row r="1276">
      <c r="M1276">
        <f>IF(A1276="","", _xludf.WEEKNUM(A1276, 2))</f>
        <v/>
      </c>
    </row>
    <row r="1277">
      <c r="M1277">
        <f>IF(A1277="","", _xludf.WEEKNUM(A1277, 2))</f>
        <v/>
      </c>
    </row>
    <row r="1278">
      <c r="M1278">
        <f>IF(A1278="","", _xludf.WEEKNUM(A1278, 2))</f>
        <v/>
      </c>
    </row>
    <row r="1279">
      <c r="M1279">
        <f>IF(A1279="","", _xludf.WEEKNUM(A1279, 2))</f>
        <v/>
      </c>
    </row>
    <row r="1280">
      <c r="M1280">
        <f>IF(A1280="","", _xludf.WEEKNUM(A1280, 2))</f>
        <v/>
      </c>
    </row>
    <row r="1281">
      <c r="M1281">
        <f>IF(A1281="","", _xludf.WEEKNUM(A1281, 2))</f>
        <v/>
      </c>
    </row>
    <row r="1282">
      <c r="M1282">
        <f>IF(A1282="","", _xludf.WEEKNUM(A1282, 2))</f>
        <v/>
      </c>
    </row>
    <row r="1283">
      <c r="M1283">
        <f>IF(A1283="","", _xludf.WEEKNUM(A1283, 2))</f>
        <v/>
      </c>
    </row>
    <row r="1284">
      <c r="M1284">
        <f>IF(A1284="","", _xludf.WEEKNUM(A1284, 2))</f>
        <v/>
      </c>
    </row>
    <row r="1285">
      <c r="M1285">
        <f>IF(A1285="","", _xludf.WEEKNUM(A1285, 2))</f>
        <v/>
      </c>
    </row>
    <row r="1286">
      <c r="M1286">
        <f>IF(A1286="","", _xludf.WEEKNUM(A1286, 2))</f>
        <v/>
      </c>
    </row>
    <row r="1287">
      <c r="M1287">
        <f>IF(A1287="","", _xludf.WEEKNUM(A1287, 2))</f>
        <v/>
      </c>
    </row>
    <row r="1288">
      <c r="M1288">
        <f>IF(A1288="","", _xludf.WEEKNUM(A1288, 2))</f>
        <v/>
      </c>
    </row>
    <row r="1289">
      <c r="M1289">
        <f>IF(A1289="","", _xludf.WEEKNUM(A1289, 2))</f>
        <v/>
      </c>
    </row>
    <row r="1290">
      <c r="M1290">
        <f>IF(A1290="","", _xludf.WEEKNUM(A1290, 2))</f>
        <v/>
      </c>
    </row>
    <row r="1291">
      <c r="M1291">
        <f>IF(A1291="","", _xludf.WEEKNUM(A1291, 2))</f>
        <v/>
      </c>
    </row>
    <row r="1292">
      <c r="M1292">
        <f>IF(A1292="","", _xludf.WEEKNUM(A1292, 2))</f>
        <v/>
      </c>
    </row>
    <row r="1293">
      <c r="M1293">
        <f>IF(A1293="","", _xludf.WEEKNUM(A1293, 2))</f>
        <v/>
      </c>
    </row>
    <row r="1294">
      <c r="M1294">
        <f>IF(A1294="","", _xludf.WEEKNUM(A1294, 2))</f>
        <v/>
      </c>
    </row>
    <row r="1295">
      <c r="M1295">
        <f>IF(A1295="","", _xludf.WEEKNUM(A1295, 2))</f>
        <v/>
      </c>
    </row>
    <row r="1296">
      <c r="M1296">
        <f>IF(A1296="","", _xludf.WEEKNUM(A1296, 2))</f>
        <v/>
      </c>
    </row>
    <row r="1297">
      <c r="M1297">
        <f>IF(A1297="","", _xludf.WEEKNUM(A1297, 2))</f>
        <v/>
      </c>
    </row>
    <row r="1298">
      <c r="M1298">
        <f>IF(A1298="","", _xludf.WEEKNUM(A1298, 2))</f>
        <v/>
      </c>
    </row>
    <row r="1299">
      <c r="M1299">
        <f>IF(A1299="","", _xludf.WEEKNUM(A1299, 2))</f>
        <v/>
      </c>
    </row>
    <row r="1300">
      <c r="M1300">
        <f>IF(A1300="","", _xludf.WEEKNUM(A1300, 2))</f>
        <v/>
      </c>
    </row>
    <row r="1301">
      <c r="M1301">
        <f>IF(A1301="","", _xludf.WEEKNUM(A1301, 2))</f>
        <v/>
      </c>
    </row>
    <row r="1302">
      <c r="M1302">
        <f>IF(A1302="","", _xludf.WEEKNUM(A1302, 2))</f>
        <v/>
      </c>
    </row>
    <row r="1303">
      <c r="M1303">
        <f>IF(A1303="","", _xludf.WEEKNUM(A1303, 2))</f>
        <v/>
      </c>
    </row>
    <row r="1304">
      <c r="M1304">
        <f>IF(A1304="","", _xludf.WEEKNUM(A1304, 2))</f>
        <v/>
      </c>
    </row>
    <row r="1305">
      <c r="M1305">
        <f>IF(A1305="","", _xludf.WEEKNUM(A1305, 2))</f>
        <v/>
      </c>
    </row>
    <row r="1306">
      <c r="M1306">
        <f>IF(A1306="","", _xludf.WEEKNUM(A1306, 2))</f>
        <v/>
      </c>
    </row>
    <row r="1307">
      <c r="M1307">
        <f>IF(A1307="","", _xludf.WEEKNUM(A1307, 2))</f>
        <v/>
      </c>
    </row>
    <row r="1308">
      <c r="M1308">
        <f>IF(A1308="","", _xludf.WEEKNUM(A1308, 2))</f>
        <v/>
      </c>
    </row>
    <row r="1309">
      <c r="M1309">
        <f>IF(A1309="","", _xludf.WEEKNUM(A1309, 2))</f>
        <v/>
      </c>
    </row>
    <row r="1310">
      <c r="M1310">
        <f>IF(A1310="","", _xludf.WEEKNUM(A1310, 2))</f>
        <v/>
      </c>
    </row>
    <row r="1311">
      <c r="M1311">
        <f>IF(A1311="","", _xludf.WEEKNUM(A1311, 2))</f>
        <v/>
      </c>
    </row>
    <row r="1312">
      <c r="M1312">
        <f>IF(A1312="","", _xludf.WEEKNUM(A1312, 2))</f>
        <v/>
      </c>
    </row>
    <row r="1313">
      <c r="M1313">
        <f>IF(A1313="","", _xludf.WEEKNUM(A1313, 2))</f>
        <v/>
      </c>
    </row>
    <row r="1314">
      <c r="M1314">
        <f>IF(A1314="","", _xludf.WEEKNUM(A1314, 2))</f>
        <v/>
      </c>
    </row>
    <row r="1315">
      <c r="M1315">
        <f>IF(A1315="","", _xludf.WEEKNUM(A1315, 2))</f>
        <v/>
      </c>
    </row>
    <row r="1316">
      <c r="M1316">
        <f>IF(A1316="","", _xludf.WEEKNUM(A1316, 2))</f>
        <v/>
      </c>
    </row>
    <row r="1317">
      <c r="M1317">
        <f>IF(A1317="","", _xludf.WEEKNUM(A1317, 2))</f>
        <v/>
      </c>
    </row>
    <row r="1318">
      <c r="M1318">
        <f>IF(A1318="","", _xludf.WEEKNUM(A1318, 2))</f>
        <v/>
      </c>
    </row>
    <row r="1319">
      <c r="M1319">
        <f>IF(A1319="","", _xludf.WEEKNUM(A1319, 2))</f>
        <v/>
      </c>
    </row>
    <row r="1320">
      <c r="M1320">
        <f>IF(A1320="","", _xludf.WEEKNUM(A1320, 2))</f>
        <v/>
      </c>
    </row>
    <row r="1321">
      <c r="M1321">
        <f>IF(A1321="","", _xludf.WEEKNUM(A1321, 2))</f>
        <v/>
      </c>
    </row>
    <row r="1322">
      <c r="M1322">
        <f>IF(A1322="","", _xludf.WEEKNUM(A1322, 2))</f>
        <v/>
      </c>
    </row>
    <row r="1323">
      <c r="M1323">
        <f>IF(A1323="","", _xludf.WEEKNUM(A1323, 2))</f>
        <v/>
      </c>
    </row>
    <row r="1324">
      <c r="M1324">
        <f>IF(A1324="","", _xludf.WEEKNUM(A1324, 2))</f>
        <v/>
      </c>
    </row>
    <row r="1325">
      <c r="M1325">
        <f>IF(A1325="","", _xludf.WEEKNUM(A1325, 2))</f>
        <v/>
      </c>
    </row>
    <row r="1326">
      <c r="M1326">
        <f>IF(A1326="","", _xludf.WEEKNUM(A1326, 2))</f>
        <v/>
      </c>
    </row>
    <row r="1327">
      <c r="M1327">
        <f>IF(A1327="","", _xludf.WEEKNUM(A1327, 2))</f>
        <v/>
      </c>
    </row>
    <row r="1328">
      <c r="M1328">
        <f>IF(A1328="","", _xludf.WEEKNUM(A1328, 2))</f>
        <v/>
      </c>
    </row>
    <row r="1329">
      <c r="M1329">
        <f>IF(A1329="","", _xludf.WEEKNUM(A1329, 2))</f>
        <v/>
      </c>
    </row>
    <row r="1330">
      <c r="M1330">
        <f>IF(A1330="","", _xludf.WEEKNUM(A1330, 2))</f>
        <v/>
      </c>
    </row>
    <row r="1331">
      <c r="M1331">
        <f>IF(A1331="","", _xludf.WEEKNUM(A1331, 2))</f>
        <v/>
      </c>
    </row>
    <row r="1332">
      <c r="M1332">
        <f>IF(A1332="","", _xludf.WEEKNUM(A1332, 2))</f>
        <v/>
      </c>
    </row>
    <row r="1333">
      <c r="M1333">
        <f>IF(A1333="","", _xludf.WEEKNUM(A1333, 2))</f>
        <v/>
      </c>
    </row>
    <row r="1334">
      <c r="M1334">
        <f>IF(A1334="","", _xludf.WEEKNUM(A1334, 2))</f>
        <v/>
      </c>
    </row>
    <row r="1335">
      <c r="M1335">
        <f>IF(A1335="","", _xludf.WEEKNUM(A1335, 2))</f>
        <v/>
      </c>
    </row>
    <row r="1336">
      <c r="M1336">
        <f>IF(A1336="","", _xludf.WEEKNUM(A1336, 2))</f>
        <v/>
      </c>
    </row>
    <row r="1337">
      <c r="M1337">
        <f>IF(A1337="","", _xludf.WEEKNUM(A1337, 2))</f>
        <v/>
      </c>
    </row>
    <row r="1338">
      <c r="M1338">
        <f>IF(A1338="","", _xludf.WEEKNUM(A1338, 2))</f>
        <v/>
      </c>
    </row>
    <row r="1339">
      <c r="M1339">
        <f>IF(A1339="","", _xludf.WEEKNUM(A1339, 2))</f>
        <v/>
      </c>
    </row>
    <row r="1340">
      <c r="M1340">
        <f>IF(A1340="","", _xludf.WEEKNUM(A1340, 2))</f>
        <v/>
      </c>
    </row>
    <row r="1341">
      <c r="M1341">
        <f>IF(A1341="","", _xludf.WEEKNUM(A1341, 2))</f>
        <v/>
      </c>
    </row>
    <row r="1342">
      <c r="M1342">
        <f>IF(A1342="","", _xludf.WEEKNUM(A1342, 2))</f>
        <v/>
      </c>
    </row>
    <row r="1343">
      <c r="M1343">
        <f>IF(A1343="","", _xludf.WEEKNUM(A1343, 2))</f>
        <v/>
      </c>
    </row>
    <row r="1344">
      <c r="M1344">
        <f>IF(A1344="","", _xludf.WEEKNUM(A1344, 2))</f>
        <v/>
      </c>
    </row>
    <row r="1345">
      <c r="M1345">
        <f>IF(A1345="","", _xludf.WEEKNUM(A1345, 2))</f>
        <v/>
      </c>
    </row>
    <row r="1346">
      <c r="M1346">
        <f>IF(A1346="","", _xludf.WEEKNUM(A1346, 2))</f>
        <v/>
      </c>
    </row>
    <row r="1347">
      <c r="M1347">
        <f>IF(A1347="","", _xludf.WEEKNUM(A1347, 2))</f>
        <v/>
      </c>
    </row>
    <row r="1348">
      <c r="M1348">
        <f>IF(A1348="","", _xludf.WEEKNUM(A1348, 2))</f>
        <v/>
      </c>
    </row>
    <row r="1349">
      <c r="M1349">
        <f>IF(A1349="","", _xludf.WEEKNUM(A1349, 2))</f>
        <v/>
      </c>
    </row>
    <row r="1350">
      <c r="M1350">
        <f>IF(A1350="","", _xludf.WEEKNUM(A1350, 2))</f>
        <v/>
      </c>
    </row>
    <row r="1351">
      <c r="M1351">
        <f>IF(A1351="","", _xludf.WEEKNUM(A1351, 2))</f>
        <v/>
      </c>
    </row>
    <row r="1352">
      <c r="M1352">
        <f>IF(A1352="","", _xludf.WEEKNUM(A1352, 2))</f>
        <v/>
      </c>
    </row>
    <row r="1353">
      <c r="M1353">
        <f>IF(A1353="","", _xludf.WEEKNUM(A1353, 2))</f>
        <v/>
      </c>
    </row>
    <row r="1354">
      <c r="M1354">
        <f>IF(A1354="","", _xludf.WEEKNUM(A1354, 2))</f>
        <v/>
      </c>
    </row>
    <row r="1355">
      <c r="M1355">
        <f>IF(A1355="","", _xludf.WEEKNUM(A1355, 2))</f>
        <v/>
      </c>
    </row>
    <row r="1356">
      <c r="M1356">
        <f>IF(A1356="","", _xludf.WEEKNUM(A1356, 2))</f>
        <v/>
      </c>
    </row>
    <row r="1357">
      <c r="M1357">
        <f>IF(A1357="","", _xludf.WEEKNUM(A1357, 2))</f>
        <v/>
      </c>
    </row>
    <row r="1358">
      <c r="M1358">
        <f>IF(A1358="","", _xludf.WEEKNUM(A1358, 2))</f>
        <v/>
      </c>
    </row>
    <row r="1359">
      <c r="M1359">
        <f>IF(A1359="","", _xludf.WEEKNUM(A1359, 2))</f>
        <v/>
      </c>
    </row>
    <row r="1360">
      <c r="M1360">
        <f>IF(A1360="","", _xludf.WEEKNUM(A1360, 2))</f>
        <v/>
      </c>
    </row>
    <row r="1361">
      <c r="M1361">
        <f>IF(A1361="","", _xludf.WEEKNUM(A1361, 2))</f>
        <v/>
      </c>
    </row>
    <row r="1362">
      <c r="M1362">
        <f>IF(A1362="","", _xludf.WEEKNUM(A1362, 2))</f>
        <v/>
      </c>
    </row>
    <row r="1363">
      <c r="M1363">
        <f>IF(A1363="","", _xludf.WEEKNUM(A1363, 2))</f>
        <v/>
      </c>
    </row>
    <row r="1364">
      <c r="M1364">
        <f>IF(A1364="","", _xludf.WEEKNUM(A1364, 2))</f>
        <v/>
      </c>
    </row>
    <row r="1365">
      <c r="M1365">
        <f>IF(A1365="","", _xludf.WEEKNUM(A1365, 2))</f>
        <v/>
      </c>
    </row>
    <row r="1366">
      <c r="M1366">
        <f>IF(A1366="","", _xludf.WEEKNUM(A1366, 2))</f>
        <v/>
      </c>
    </row>
    <row r="1367">
      <c r="M1367">
        <f>IF(A1367="","", _xludf.WEEKNUM(A1367, 2))</f>
        <v/>
      </c>
    </row>
    <row r="1368">
      <c r="M1368">
        <f>IF(A1368="","", _xludf.WEEKNUM(A1368, 2))</f>
        <v/>
      </c>
    </row>
    <row r="1369">
      <c r="M1369">
        <f>IF(A1369="","", _xludf.WEEKNUM(A1369, 2))</f>
        <v/>
      </c>
    </row>
    <row r="1370">
      <c r="M1370">
        <f>IF(A1370="","", _xludf.WEEKNUM(A1370, 2))</f>
        <v/>
      </c>
    </row>
    <row r="1371">
      <c r="M1371">
        <f>IF(A1371="","", _xludf.WEEKNUM(A1371, 2))</f>
        <v/>
      </c>
    </row>
    <row r="1372">
      <c r="M1372">
        <f>IF(A1372="","", _xludf.WEEKNUM(A1372, 2))</f>
        <v/>
      </c>
    </row>
    <row r="1373">
      <c r="M1373">
        <f>IF(A1373="","", _xludf.WEEKNUM(A1373, 2))</f>
        <v/>
      </c>
    </row>
    <row r="1374">
      <c r="M1374">
        <f>IF(A1374="","", _xludf.WEEKNUM(A1374, 2))</f>
        <v/>
      </c>
    </row>
    <row r="1375">
      <c r="M1375">
        <f>IF(A1375="","", _xludf.WEEKNUM(A1375, 2))</f>
        <v/>
      </c>
    </row>
    <row r="1376">
      <c r="M1376">
        <f>IF(A1376="","", _xludf.WEEKNUM(A1376, 2))</f>
        <v/>
      </c>
    </row>
    <row r="1377">
      <c r="M1377">
        <f>IF(A1377="","", _xludf.WEEKNUM(A1377, 2))</f>
        <v/>
      </c>
    </row>
    <row r="1378">
      <c r="M1378">
        <f>IF(A1378="","", _xludf.WEEKNUM(A1378, 2))</f>
        <v/>
      </c>
    </row>
    <row r="1379">
      <c r="M1379">
        <f>IF(A1379="","", _xludf.WEEKNUM(A1379, 2))</f>
        <v/>
      </c>
    </row>
    <row r="1380">
      <c r="M1380">
        <f>IF(A1380="","", _xludf.WEEKNUM(A1380, 2))</f>
        <v/>
      </c>
    </row>
    <row r="1381">
      <c r="M1381">
        <f>IF(A1381="","", _xludf.WEEKNUM(A1381, 2))</f>
        <v/>
      </c>
    </row>
    <row r="1382">
      <c r="M1382">
        <f>IF(A1382="","", _xludf.WEEKNUM(A1382, 2))</f>
        <v/>
      </c>
    </row>
    <row r="1383">
      <c r="M1383">
        <f>IF(A1383="","", _xludf.WEEKNUM(A1383, 2))</f>
        <v/>
      </c>
    </row>
    <row r="1384">
      <c r="M1384">
        <f>IF(A1384="","", _xludf.WEEKNUM(A1384, 2))</f>
        <v/>
      </c>
    </row>
    <row r="1385">
      <c r="M1385">
        <f>IF(A1385="","", _xludf.WEEKNUM(A1385, 2))</f>
        <v/>
      </c>
    </row>
    <row r="1386">
      <c r="M1386">
        <f>IF(A1386="","", _xludf.WEEKNUM(A1386, 2))</f>
        <v/>
      </c>
    </row>
    <row r="1387">
      <c r="M1387">
        <f>IF(A1387="","", _xludf.WEEKNUM(A1387, 2))</f>
        <v/>
      </c>
    </row>
    <row r="1388">
      <c r="M1388">
        <f>IF(A1388="","", _xludf.WEEKNUM(A1388, 2))</f>
        <v/>
      </c>
    </row>
    <row r="1389">
      <c r="M1389">
        <f>IF(A1389="","", _xludf.WEEKNUM(A1389, 2))</f>
        <v/>
      </c>
    </row>
    <row r="1390">
      <c r="M1390">
        <f>IF(A1390="","", _xludf.WEEKNUM(A1390, 2))</f>
        <v/>
      </c>
    </row>
    <row r="1391">
      <c r="M1391">
        <f>IF(A1391="","", _xludf.WEEKNUM(A1391, 2))</f>
        <v/>
      </c>
    </row>
    <row r="1392">
      <c r="M1392">
        <f>IF(A1392="","", _xludf.WEEKNUM(A1392, 2))</f>
        <v/>
      </c>
    </row>
    <row r="1393">
      <c r="M1393">
        <f>IF(A1393="","", _xludf.WEEKNUM(A1393, 2))</f>
        <v/>
      </c>
    </row>
    <row r="1394">
      <c r="M1394">
        <f>IF(A1394="","", _xludf.WEEKNUM(A1394, 2))</f>
        <v/>
      </c>
    </row>
    <row r="1395">
      <c r="M1395">
        <f>IF(A1395="","", _xludf.WEEKNUM(A1395, 2))</f>
        <v/>
      </c>
    </row>
    <row r="1396">
      <c r="M1396">
        <f>IF(A1396="","", _xludf.WEEKNUM(A1396, 2))</f>
        <v/>
      </c>
    </row>
    <row r="1397">
      <c r="M1397">
        <f>IF(A1397="","", _xludf.WEEKNUM(A1397, 2))</f>
        <v/>
      </c>
    </row>
    <row r="1398">
      <c r="M1398">
        <f>IF(A1398="","", _xludf.WEEKNUM(A1398, 2))</f>
        <v/>
      </c>
    </row>
    <row r="1399">
      <c r="M1399">
        <f>IF(A1399="","", _xludf.WEEKNUM(A1399, 2))</f>
        <v/>
      </c>
    </row>
    <row r="1400">
      <c r="M1400">
        <f>IF(A1400="","", _xludf.WEEKNUM(A1400, 2))</f>
        <v/>
      </c>
    </row>
    <row r="1401">
      <c r="M1401">
        <f>IF(A1401="","", _xludf.WEEKNUM(A1401, 2))</f>
        <v/>
      </c>
    </row>
    <row r="1402">
      <c r="M1402">
        <f>IF(A1402="","", _xludf.WEEKNUM(A1402, 2))</f>
        <v/>
      </c>
    </row>
    <row r="1403">
      <c r="M1403">
        <f>IF(A1403="","", _xludf.WEEKNUM(A1403, 2))</f>
        <v/>
      </c>
    </row>
    <row r="1404">
      <c r="M1404">
        <f>IF(A1404="","", _xludf.WEEKNUM(A1404, 2))</f>
        <v/>
      </c>
    </row>
    <row r="1405">
      <c r="M1405">
        <f>IF(A1405="","", _xludf.WEEKNUM(A1405, 2))</f>
        <v/>
      </c>
    </row>
    <row r="1406">
      <c r="M1406">
        <f>IF(A1406="","", _xludf.WEEKNUM(A1406, 2))</f>
        <v/>
      </c>
    </row>
    <row r="1407">
      <c r="M1407">
        <f>IF(A1407="","", _xludf.WEEKNUM(A1407, 2))</f>
        <v/>
      </c>
    </row>
    <row r="1408">
      <c r="M1408">
        <f>IF(A1408="","", _xludf.WEEKNUM(A1408, 2))</f>
        <v/>
      </c>
    </row>
    <row r="1409">
      <c r="M1409">
        <f>IF(A1409="","", _xludf.WEEKNUM(A1409, 2))</f>
        <v/>
      </c>
    </row>
    <row r="1410">
      <c r="M1410">
        <f>IF(A1410="","", _xludf.WEEKNUM(A1410, 2))</f>
        <v/>
      </c>
    </row>
    <row r="1411">
      <c r="M1411">
        <f>IF(A1411="","", _xludf.WEEKNUM(A1411, 2))</f>
        <v/>
      </c>
    </row>
    <row r="1412">
      <c r="M1412">
        <f>IF(A1412="","", _xludf.WEEKNUM(A1412, 2))</f>
        <v/>
      </c>
    </row>
    <row r="1413">
      <c r="M1413">
        <f>IF(A1413="","", _xludf.WEEKNUM(A1413, 2))</f>
        <v/>
      </c>
    </row>
    <row r="1414">
      <c r="M1414">
        <f>IF(A1414="","", _xludf.WEEKNUM(A1414, 2))</f>
        <v/>
      </c>
    </row>
    <row r="1415">
      <c r="M1415">
        <f>IF(A1415="","", _xludf.WEEKNUM(A1415, 2))</f>
        <v/>
      </c>
    </row>
    <row r="1416">
      <c r="M1416">
        <f>IF(A1416="","", _xludf.WEEKNUM(A1416, 2))</f>
        <v/>
      </c>
    </row>
    <row r="1417">
      <c r="M1417">
        <f>IF(A1417="","", _xludf.WEEKNUM(A1417, 2))</f>
        <v/>
      </c>
    </row>
    <row r="1418">
      <c r="M1418">
        <f>IF(A1418="","", _xludf.WEEKNUM(A1418, 2))</f>
        <v/>
      </c>
    </row>
    <row r="1419">
      <c r="M1419">
        <f>IF(A1419="","", _xludf.WEEKNUM(A1419, 2))</f>
        <v/>
      </c>
    </row>
    <row r="1420">
      <c r="M1420">
        <f>IF(A1420="","", _xludf.WEEKNUM(A1420, 2))</f>
        <v/>
      </c>
    </row>
    <row r="1421">
      <c r="M1421">
        <f>IF(A1421="","", _xludf.WEEKNUM(A1421, 2))</f>
        <v/>
      </c>
    </row>
    <row r="1422">
      <c r="M1422">
        <f>IF(A1422="","", _xludf.WEEKNUM(A1422, 2))</f>
        <v/>
      </c>
    </row>
    <row r="1423">
      <c r="M1423">
        <f>IF(A1423="","", _xludf.WEEKNUM(A1423, 2))</f>
        <v/>
      </c>
    </row>
    <row r="1424">
      <c r="M1424">
        <f>IF(A1424="","", _xludf.WEEKNUM(A1424, 2))</f>
        <v/>
      </c>
    </row>
    <row r="1425">
      <c r="M1425">
        <f>IF(A1425="","", _xludf.WEEKNUM(A1425, 2))</f>
        <v/>
      </c>
    </row>
    <row r="1426">
      <c r="M1426">
        <f>IF(A1426="","", _xludf.WEEKNUM(A1426, 2))</f>
        <v/>
      </c>
    </row>
    <row r="1427">
      <c r="M1427">
        <f>IF(A1427="","", _xludf.WEEKNUM(A1427, 2))</f>
        <v/>
      </c>
    </row>
    <row r="1428">
      <c r="M1428">
        <f>IF(A1428="","", _xludf.WEEKNUM(A1428, 2))</f>
        <v/>
      </c>
    </row>
    <row r="1429">
      <c r="M1429">
        <f>IF(A1429="","", _xludf.WEEKNUM(A1429, 2))</f>
        <v/>
      </c>
    </row>
    <row r="1430">
      <c r="M1430">
        <f>IF(A1430="","", _xludf.WEEKNUM(A1430, 2))</f>
        <v/>
      </c>
    </row>
    <row r="1431">
      <c r="M1431">
        <f>IF(A1431="","", _xludf.WEEKNUM(A1431, 2))</f>
        <v/>
      </c>
    </row>
    <row r="1432">
      <c r="M1432">
        <f>IF(A1432="","", _xludf.WEEKNUM(A1432, 2))</f>
        <v/>
      </c>
    </row>
    <row r="1433">
      <c r="M1433">
        <f>IF(A1433="","", _xludf.WEEKNUM(A1433, 2))</f>
        <v/>
      </c>
    </row>
    <row r="1434">
      <c r="M1434">
        <f>IF(A1434="","", _xludf.WEEKNUM(A1434, 2))</f>
        <v/>
      </c>
    </row>
    <row r="1435">
      <c r="M1435">
        <f>IF(A1435="","", _xludf.WEEKNUM(A1435, 2))</f>
        <v/>
      </c>
    </row>
    <row r="1436">
      <c r="M1436">
        <f>IF(A1436="","", _xludf.WEEKNUM(A1436, 2))</f>
        <v/>
      </c>
    </row>
    <row r="1437">
      <c r="M1437">
        <f>IF(A1437="","", _xludf.WEEKNUM(A1437, 2))</f>
        <v/>
      </c>
    </row>
    <row r="1438">
      <c r="M1438">
        <f>IF(A1438="","", _xludf.WEEKNUM(A1438, 2))</f>
        <v/>
      </c>
    </row>
    <row r="1439">
      <c r="M1439">
        <f>IF(A1439="","", _xludf.WEEKNUM(A1439, 2))</f>
        <v/>
      </c>
    </row>
    <row r="1440">
      <c r="M1440">
        <f>IF(A1440="","", _xludf.WEEKNUM(A1440, 2))</f>
        <v/>
      </c>
    </row>
    <row r="1441">
      <c r="M1441">
        <f>IF(A1441="","", _xludf.WEEKNUM(A1441, 2))</f>
        <v/>
      </c>
    </row>
    <row r="1442">
      <c r="M1442">
        <f>IF(A1442="","", _xludf.WEEKNUM(A1442, 2))</f>
        <v/>
      </c>
    </row>
    <row r="1443">
      <c r="M1443">
        <f>IF(A1443="","", _xludf.WEEKNUM(A1443, 2))</f>
        <v/>
      </c>
    </row>
    <row r="1444">
      <c r="M1444">
        <f>IF(A1444="","", _xludf.WEEKNUM(A1444, 2))</f>
        <v/>
      </c>
    </row>
    <row r="1445">
      <c r="M1445">
        <f>IF(A1445="","", _xludf.WEEKNUM(A1445, 2))</f>
        <v/>
      </c>
    </row>
    <row r="1446">
      <c r="M1446">
        <f>IF(A1446="","", _xludf.WEEKNUM(A1446, 2))</f>
        <v/>
      </c>
    </row>
    <row r="1447">
      <c r="M1447">
        <f>IF(A1447="","", _xludf.WEEKNUM(A1447, 2))</f>
        <v/>
      </c>
    </row>
    <row r="1448">
      <c r="M1448">
        <f>IF(A1448="","", _xludf.WEEKNUM(A1448, 2))</f>
        <v/>
      </c>
    </row>
    <row r="1449">
      <c r="M1449">
        <f>IF(A1449="","", _xludf.WEEKNUM(A1449, 2))</f>
        <v/>
      </c>
    </row>
    <row r="1450">
      <c r="M1450">
        <f>IF(A1450="","", _xludf.WEEKNUM(A1450, 2))</f>
        <v/>
      </c>
    </row>
    <row r="1451">
      <c r="M1451">
        <f>IF(A1451="","", _xludf.WEEKNUM(A1451, 2))</f>
        <v/>
      </c>
    </row>
    <row r="1452">
      <c r="M1452">
        <f>IF(A1452="","", _xludf.WEEKNUM(A1452, 2))</f>
        <v/>
      </c>
    </row>
    <row r="1453">
      <c r="M1453">
        <f>IF(A1453="","", _xludf.WEEKNUM(A1453, 2))</f>
        <v/>
      </c>
    </row>
    <row r="1454">
      <c r="M1454">
        <f>IF(A1454="","", _xludf.WEEKNUM(A1454, 2))</f>
        <v/>
      </c>
    </row>
    <row r="1455">
      <c r="M1455">
        <f>IF(A1455="","", _xludf.WEEKNUM(A1455, 2))</f>
        <v/>
      </c>
    </row>
    <row r="1456">
      <c r="M1456">
        <f>IF(A1456="","", _xludf.WEEKNUM(A1456, 2))</f>
        <v/>
      </c>
    </row>
    <row r="1457">
      <c r="M1457">
        <f>IF(A1457="","", _xludf.WEEKNUM(A1457, 2))</f>
        <v/>
      </c>
    </row>
    <row r="1458">
      <c r="M1458">
        <f>IF(A1458="","", _xludf.WEEKNUM(A1458, 2))</f>
        <v/>
      </c>
    </row>
    <row r="1459">
      <c r="M1459">
        <f>IF(A1459="","", _xludf.WEEKNUM(A1459, 2))</f>
        <v/>
      </c>
    </row>
    <row r="1460">
      <c r="M1460">
        <f>IF(A1460="","", _xludf.WEEKNUM(A1460, 2))</f>
        <v/>
      </c>
    </row>
    <row r="1461">
      <c r="M1461">
        <f>IF(A1461="","", _xludf.WEEKNUM(A1461, 2))</f>
        <v/>
      </c>
    </row>
    <row r="1462">
      <c r="M1462">
        <f>IF(A1462="","", _xludf.WEEKNUM(A1462, 2))</f>
        <v/>
      </c>
    </row>
    <row r="1463">
      <c r="M1463">
        <f>IF(A1463="","", _xludf.WEEKNUM(A1463, 2))</f>
        <v/>
      </c>
    </row>
    <row r="1464">
      <c r="M1464">
        <f>IF(A1464="","", _xludf.WEEKNUM(A1464, 2))</f>
        <v/>
      </c>
    </row>
    <row r="1465">
      <c r="M1465">
        <f>IF(A1465="","", _xludf.WEEKNUM(A1465, 2))</f>
        <v/>
      </c>
    </row>
    <row r="1466">
      <c r="M1466">
        <f>IF(A1466="","", _xludf.WEEKNUM(A1466, 2))</f>
        <v/>
      </c>
    </row>
    <row r="1467">
      <c r="M1467">
        <f>IF(A1467="","", _xludf.WEEKNUM(A1467, 2))</f>
        <v/>
      </c>
    </row>
    <row r="1468">
      <c r="M1468">
        <f>IF(A1468="","", _xludf.WEEKNUM(A1468, 2))</f>
        <v/>
      </c>
    </row>
    <row r="1469">
      <c r="M1469">
        <f>IF(A1469="","", _xludf.WEEKNUM(A1469, 2))</f>
        <v/>
      </c>
    </row>
    <row r="1470">
      <c r="M1470">
        <f>IF(A1470="","", _xludf.WEEKNUM(A1470, 2))</f>
        <v/>
      </c>
    </row>
    <row r="1471">
      <c r="M1471">
        <f>IF(A1471="","", _xludf.WEEKNUM(A1471, 2))</f>
        <v/>
      </c>
    </row>
    <row r="1472">
      <c r="M1472">
        <f>IF(A1472="","", _xludf.WEEKNUM(A1472, 2))</f>
        <v/>
      </c>
    </row>
    <row r="1473">
      <c r="M1473">
        <f>IF(A1473="","", _xludf.WEEKNUM(A1473, 2))</f>
        <v/>
      </c>
    </row>
    <row r="1474">
      <c r="M1474">
        <f>IF(A1474="","", _xludf.WEEKNUM(A1474, 2))</f>
        <v/>
      </c>
    </row>
    <row r="1475">
      <c r="M1475">
        <f>IF(A1475="","", _xludf.WEEKNUM(A1475, 2))</f>
        <v/>
      </c>
    </row>
    <row r="1476">
      <c r="M1476">
        <f>IF(A1476="","", _xludf.WEEKNUM(A1476, 2))</f>
        <v/>
      </c>
    </row>
    <row r="1477">
      <c r="M1477">
        <f>IF(A1477="","", _xludf.WEEKNUM(A1477, 2))</f>
        <v/>
      </c>
    </row>
    <row r="1478">
      <c r="M1478">
        <f>IF(A1478="","", _xludf.WEEKNUM(A1478, 2))</f>
        <v/>
      </c>
    </row>
    <row r="1479">
      <c r="M1479">
        <f>IF(A1479="","", _xludf.WEEKNUM(A1479, 2))</f>
        <v/>
      </c>
    </row>
    <row r="1480">
      <c r="M1480">
        <f>IF(A1480="","", _xludf.WEEKNUM(A1480, 2))</f>
        <v/>
      </c>
    </row>
    <row r="1481">
      <c r="M1481">
        <f>IF(A1481="","", _xludf.WEEKNUM(A1481, 2))</f>
        <v/>
      </c>
    </row>
    <row r="1482">
      <c r="M1482">
        <f>IF(A1482="","", _xludf.WEEKNUM(A1482, 2))</f>
        <v/>
      </c>
    </row>
    <row r="1483">
      <c r="M1483">
        <f>IF(A1483="","", _xludf.WEEKNUM(A1483, 2))</f>
        <v/>
      </c>
    </row>
    <row r="1484">
      <c r="M1484">
        <f>IF(A1484="","", _xludf.WEEKNUM(A1484, 2))</f>
        <v/>
      </c>
    </row>
    <row r="1485">
      <c r="M1485">
        <f>IF(A1485="","", _xludf.WEEKNUM(A1485, 2))</f>
        <v/>
      </c>
    </row>
    <row r="1486">
      <c r="M1486">
        <f>IF(A1486="","", _xludf.WEEKNUM(A1486, 2))</f>
        <v/>
      </c>
    </row>
    <row r="1487">
      <c r="M1487">
        <f>IF(A1487="","", _xludf.WEEKNUM(A1487, 2))</f>
        <v/>
      </c>
    </row>
    <row r="1488">
      <c r="M1488">
        <f>IF(A1488="","", _xludf.WEEKNUM(A1488, 2))</f>
        <v/>
      </c>
    </row>
    <row r="1489">
      <c r="M1489">
        <f>IF(A1489="","", _xludf.WEEKNUM(A1489, 2))</f>
        <v/>
      </c>
    </row>
    <row r="1490">
      <c r="M1490">
        <f>IF(A1490="","", _xludf.WEEKNUM(A1490, 2))</f>
        <v/>
      </c>
    </row>
    <row r="1491">
      <c r="M1491">
        <f>IF(A1491="","", _xludf.WEEKNUM(A1491, 2))</f>
        <v/>
      </c>
    </row>
    <row r="1492">
      <c r="M1492">
        <f>IF(A1492="","", _xludf.WEEKNUM(A1492, 2))</f>
        <v/>
      </c>
    </row>
    <row r="1493">
      <c r="M1493">
        <f>IF(A1493="","", _xludf.WEEKNUM(A1493, 2))</f>
        <v/>
      </c>
    </row>
    <row r="1494">
      <c r="M1494">
        <f>IF(A1494="","", _xludf.WEEKNUM(A1494, 2))</f>
        <v/>
      </c>
    </row>
    <row r="1495">
      <c r="M1495">
        <f>IF(A1495="","", _xludf.WEEKNUM(A1495, 2))</f>
        <v/>
      </c>
    </row>
    <row r="1496">
      <c r="M1496">
        <f>IF(A1496="","", _xludf.WEEKNUM(A1496, 2))</f>
        <v/>
      </c>
    </row>
    <row r="1497">
      <c r="M1497">
        <f>IF(A1497="","", _xludf.WEEKNUM(A1497, 2))</f>
        <v/>
      </c>
    </row>
    <row r="1498">
      <c r="M1498">
        <f>IF(A1498="","", _xludf.WEEKNUM(A1498, 2))</f>
        <v/>
      </c>
    </row>
    <row r="1499">
      <c r="M1499">
        <f>IF(A1499="","", _xludf.WEEKNUM(A1499, 2))</f>
        <v/>
      </c>
    </row>
    <row r="1500">
      <c r="M1500">
        <f>IF(A1500="","", _xludf.WEEKNUM(A1500, 2))</f>
        <v/>
      </c>
    </row>
    <row r="1501">
      <c r="M1501">
        <f>IF(A1501="","", _xludf.WEEKNUM(A1501, 2))</f>
        <v/>
      </c>
    </row>
    <row r="1502">
      <c r="M1502">
        <f>IF(A1502="","", _xludf.WEEKNUM(A1502, 2))</f>
        <v/>
      </c>
    </row>
    <row r="1503">
      <c r="M1503">
        <f>IF(A1503="","", _xludf.WEEKNUM(A1503, 2))</f>
        <v/>
      </c>
    </row>
    <row r="1504">
      <c r="M1504">
        <f>IF(A1504="","", _xludf.WEEKNUM(A1504, 2))</f>
        <v/>
      </c>
    </row>
    <row r="1505">
      <c r="M1505">
        <f>IF(A1505="","", _xludf.WEEKNUM(A1505, 2))</f>
        <v/>
      </c>
    </row>
    <row r="1506">
      <c r="M1506">
        <f>IF(A1506="","", _xludf.WEEKNUM(A1506, 2))</f>
        <v/>
      </c>
    </row>
    <row r="1507">
      <c r="M1507">
        <f>IF(A1507="","", _xludf.WEEKNUM(A1507, 2))</f>
        <v/>
      </c>
    </row>
    <row r="1508">
      <c r="M1508">
        <f>IF(A1508="","", _xludf.WEEKNUM(A1508, 2))</f>
        <v/>
      </c>
    </row>
    <row r="1509">
      <c r="M1509">
        <f>IF(A1509="","", _xludf.WEEKNUM(A1509, 2))</f>
        <v/>
      </c>
    </row>
    <row r="1510">
      <c r="M1510">
        <f>IF(A1510="","", _xludf.WEEKNUM(A1510, 2))</f>
        <v/>
      </c>
    </row>
    <row r="1511">
      <c r="M1511">
        <f>IF(A1511="","", _xludf.WEEKNUM(A1511, 2))</f>
        <v/>
      </c>
    </row>
    <row r="1512">
      <c r="M1512">
        <f>IF(A1512="","", _xludf.WEEKNUM(A1512, 2))</f>
        <v/>
      </c>
    </row>
    <row r="1513">
      <c r="M1513">
        <f>IF(A1513="","", _xludf.WEEKNUM(A1513, 2))</f>
        <v/>
      </c>
    </row>
    <row r="1514">
      <c r="M1514">
        <f>IF(A1514="","", _xludf.WEEKNUM(A1514, 2))</f>
        <v/>
      </c>
    </row>
    <row r="1515">
      <c r="M1515">
        <f>IF(A1515="","", _xludf.WEEKNUM(A1515, 2))</f>
        <v/>
      </c>
    </row>
    <row r="1516">
      <c r="M1516">
        <f>IF(A1516="","", _xludf.WEEKNUM(A1516, 2))</f>
        <v/>
      </c>
    </row>
    <row r="1517">
      <c r="M1517">
        <f>IF(A1517="","", _xludf.WEEKNUM(A1517, 2))</f>
        <v/>
      </c>
    </row>
    <row r="1518">
      <c r="M1518">
        <f>IF(A1518="","", _xludf.WEEKNUM(A1518, 2))</f>
        <v/>
      </c>
    </row>
    <row r="1519">
      <c r="M1519">
        <f>IF(A1519="","", _xludf.WEEKNUM(A1519, 2))</f>
        <v/>
      </c>
    </row>
    <row r="1520">
      <c r="M1520">
        <f>IF(A1520="","", _xludf.WEEKNUM(A1520, 2))</f>
        <v/>
      </c>
    </row>
    <row r="1521">
      <c r="M1521">
        <f>IF(A1521="","", _xludf.WEEKNUM(A1521, 2))</f>
        <v/>
      </c>
    </row>
    <row r="1522">
      <c r="M1522">
        <f>IF(A1522="","", _xludf.WEEKNUM(A1522, 2))</f>
        <v/>
      </c>
    </row>
    <row r="1523">
      <c r="M1523">
        <f>IF(A1523="","", _xludf.WEEKNUM(A1523, 2))</f>
        <v/>
      </c>
    </row>
    <row r="1524">
      <c r="M1524">
        <f>IF(A1524="","", _xludf.WEEKNUM(A1524, 2))</f>
        <v/>
      </c>
    </row>
    <row r="1525">
      <c r="M1525">
        <f>IF(A1525="","", _xludf.WEEKNUM(A1525, 2))</f>
        <v/>
      </c>
    </row>
    <row r="1526">
      <c r="M1526">
        <f>IF(A1526="","", _xludf.WEEKNUM(A1526, 2))</f>
        <v/>
      </c>
    </row>
    <row r="1527">
      <c r="M1527">
        <f>IF(A1527="","", _xludf.WEEKNUM(A1527, 2))</f>
        <v/>
      </c>
    </row>
    <row r="1528">
      <c r="M1528">
        <f>IF(A1528="","", _xludf.WEEKNUM(A1528, 2))</f>
        <v/>
      </c>
    </row>
    <row r="1529">
      <c r="M1529">
        <f>IF(A1529="","", _xludf.WEEKNUM(A1529, 2))</f>
        <v/>
      </c>
    </row>
    <row r="1530">
      <c r="M1530">
        <f>IF(A1530="","", _xludf.WEEKNUM(A1530, 2))</f>
        <v/>
      </c>
    </row>
    <row r="1531">
      <c r="M1531">
        <f>IF(A1531="","", _xludf.WEEKNUM(A1531, 2))</f>
        <v/>
      </c>
    </row>
    <row r="1532">
      <c r="M1532">
        <f>IF(A1532="","", _xludf.WEEKNUM(A1532, 2))</f>
        <v/>
      </c>
    </row>
    <row r="1533">
      <c r="M1533">
        <f>IF(A1533="","", _xludf.WEEKNUM(A1533, 2))</f>
        <v/>
      </c>
    </row>
    <row r="1534">
      <c r="M1534">
        <f>IF(A1534="","", _xludf.WEEKNUM(A1534, 2))</f>
        <v/>
      </c>
    </row>
    <row r="1535">
      <c r="M1535">
        <f>IF(A1535="","", _xludf.WEEKNUM(A1535, 2))</f>
        <v/>
      </c>
    </row>
    <row r="1536">
      <c r="M1536">
        <f>IF(A1536="","", _xludf.WEEKNUM(A1536, 2))</f>
        <v/>
      </c>
    </row>
    <row r="1537">
      <c r="M1537">
        <f>IF(A1537="","", _xludf.WEEKNUM(A1537, 2))</f>
        <v/>
      </c>
    </row>
    <row r="1538">
      <c r="M1538">
        <f>IF(A1538="","", _xludf.WEEKNUM(A1538, 2))</f>
        <v/>
      </c>
    </row>
    <row r="1539">
      <c r="M1539">
        <f>IF(A1539="","", _xludf.WEEKNUM(A1539, 2))</f>
        <v/>
      </c>
    </row>
    <row r="1540">
      <c r="M1540">
        <f>IF(A1540="","", _xludf.WEEKNUM(A1540, 2))</f>
        <v/>
      </c>
    </row>
    <row r="1541">
      <c r="M1541">
        <f>IF(A1541="","", _xludf.WEEKNUM(A1541, 2))</f>
        <v/>
      </c>
    </row>
    <row r="1542">
      <c r="M1542">
        <f>IF(A1542="","", _xludf.WEEKNUM(A1542, 2))</f>
        <v/>
      </c>
    </row>
    <row r="1543">
      <c r="M1543">
        <f>IF(A1543="","", _xludf.WEEKNUM(A1543, 2))</f>
        <v/>
      </c>
    </row>
    <row r="1544">
      <c r="M1544">
        <f>IF(A1544="","", _xludf.WEEKNUM(A1544, 2))</f>
        <v/>
      </c>
    </row>
    <row r="1545">
      <c r="M1545">
        <f>IF(A1545="","", _xludf.WEEKNUM(A1545, 2))</f>
        <v/>
      </c>
    </row>
    <row r="1546">
      <c r="M1546">
        <f>IF(A1546="","", _xludf.WEEKNUM(A1546, 2))</f>
        <v/>
      </c>
    </row>
    <row r="1547">
      <c r="M1547">
        <f>IF(A1547="","", _xludf.WEEKNUM(A1547, 2))</f>
        <v/>
      </c>
    </row>
    <row r="1548">
      <c r="M1548">
        <f>IF(A1548="","", _xludf.WEEKNUM(A1548, 2))</f>
        <v/>
      </c>
    </row>
    <row r="1549">
      <c r="M1549">
        <f>IF(A1549="","", _xludf.WEEKNUM(A1549, 2))</f>
        <v/>
      </c>
    </row>
    <row r="1550">
      <c r="M1550">
        <f>IF(A1550="","", _xludf.WEEKNUM(A1550, 2))</f>
        <v/>
      </c>
    </row>
    <row r="1551">
      <c r="M1551">
        <f>IF(A1551="","", _xludf.WEEKNUM(A1551, 2))</f>
        <v/>
      </c>
    </row>
    <row r="1552">
      <c r="M1552">
        <f>IF(A1552="","", _xludf.WEEKNUM(A1552, 2))</f>
        <v/>
      </c>
    </row>
    <row r="1553">
      <c r="M1553">
        <f>IF(A1553="","", _xludf.WEEKNUM(A1553, 2))</f>
        <v/>
      </c>
    </row>
    <row r="1554">
      <c r="M1554">
        <f>IF(A1554="","", _xludf.WEEKNUM(A1554, 2))</f>
        <v/>
      </c>
    </row>
    <row r="1555">
      <c r="M1555">
        <f>IF(A1555="","", _xludf.WEEKNUM(A1555, 2))</f>
        <v/>
      </c>
    </row>
    <row r="1556">
      <c r="M1556">
        <f>IF(A1556="","", _xludf.WEEKNUM(A1556, 2))</f>
        <v/>
      </c>
    </row>
    <row r="1557">
      <c r="M1557">
        <f>IF(A1557="","", _xludf.WEEKNUM(A1557, 2))</f>
        <v/>
      </c>
    </row>
    <row r="1558">
      <c r="M1558">
        <f>IF(A1558="","", _xludf.WEEKNUM(A1558, 2))</f>
        <v/>
      </c>
    </row>
    <row r="1559">
      <c r="M1559">
        <f>IF(A1559="","", _xludf.WEEKNUM(A1559, 2))</f>
        <v/>
      </c>
    </row>
    <row r="1560">
      <c r="M1560">
        <f>IF(A1560="","", _xludf.WEEKNUM(A1560, 2))</f>
        <v/>
      </c>
    </row>
    <row r="1561">
      <c r="M1561">
        <f>IF(A1561="","", _xludf.WEEKNUM(A1561, 2))</f>
        <v/>
      </c>
    </row>
    <row r="1562">
      <c r="M1562">
        <f>IF(A1562="","", _xludf.WEEKNUM(A1562, 2))</f>
        <v/>
      </c>
    </row>
    <row r="1563">
      <c r="M1563">
        <f>IF(A1563="","", _xludf.WEEKNUM(A1563, 2))</f>
        <v/>
      </c>
    </row>
    <row r="1564">
      <c r="M1564">
        <f>IF(A1564="","", _xludf.WEEKNUM(A1564, 2))</f>
        <v/>
      </c>
    </row>
    <row r="1565">
      <c r="M1565">
        <f>IF(A1565="","", _xludf.WEEKNUM(A1565, 2))</f>
        <v/>
      </c>
    </row>
    <row r="1566">
      <c r="M1566">
        <f>IF(A1566="","", _xludf.WEEKNUM(A1566, 2))</f>
        <v/>
      </c>
    </row>
    <row r="1567">
      <c r="M1567">
        <f>IF(A1567="","", _xludf.WEEKNUM(A1567, 2))</f>
        <v/>
      </c>
    </row>
    <row r="1568">
      <c r="M1568">
        <f>IF(A1568="","", _xludf.WEEKNUM(A1568, 2))</f>
        <v/>
      </c>
    </row>
    <row r="1569">
      <c r="M1569">
        <f>IF(A1569="","", _xludf.WEEKNUM(A1569, 2))</f>
        <v/>
      </c>
    </row>
    <row r="1570">
      <c r="M1570">
        <f>IF(A1570="","", _xludf.WEEKNUM(A1570, 2))</f>
        <v/>
      </c>
    </row>
    <row r="1571">
      <c r="M1571">
        <f>IF(A1571="","", _xludf.WEEKNUM(A1571, 2))</f>
        <v/>
      </c>
    </row>
    <row r="1572">
      <c r="M1572">
        <f>IF(A1572="","", _xludf.WEEKNUM(A1572, 2))</f>
        <v/>
      </c>
    </row>
    <row r="1573">
      <c r="M1573">
        <f>IF(A1573="","", _xludf.WEEKNUM(A1573, 2))</f>
        <v/>
      </c>
    </row>
    <row r="1574">
      <c r="M1574">
        <f>IF(A1574="","", _xludf.WEEKNUM(A1574, 2))</f>
        <v/>
      </c>
    </row>
    <row r="1575">
      <c r="M1575">
        <f>IF(A1575="","", _xludf.WEEKNUM(A1575, 2))</f>
        <v/>
      </c>
    </row>
    <row r="1576">
      <c r="M1576">
        <f>IF(A1576="","", _xludf.WEEKNUM(A1576, 2))</f>
        <v/>
      </c>
    </row>
    <row r="1577">
      <c r="M1577">
        <f>IF(A1577="","", _xludf.WEEKNUM(A1577, 2))</f>
        <v/>
      </c>
    </row>
    <row r="1578">
      <c r="M1578">
        <f>IF(A1578="","", _xludf.WEEKNUM(A1578, 2))</f>
        <v/>
      </c>
    </row>
    <row r="1579">
      <c r="M1579">
        <f>IF(A1579="","", _xludf.WEEKNUM(A1579, 2))</f>
        <v/>
      </c>
    </row>
    <row r="1580">
      <c r="M1580">
        <f>IF(A1580="","", _xludf.WEEKNUM(A1580, 2))</f>
        <v/>
      </c>
    </row>
    <row r="1581">
      <c r="M1581">
        <f>IF(A1581="","", _xludf.WEEKNUM(A1581, 2))</f>
        <v/>
      </c>
    </row>
    <row r="1582">
      <c r="M1582">
        <f>IF(A1582="","", _xludf.WEEKNUM(A1582, 2))</f>
        <v/>
      </c>
    </row>
    <row r="1583">
      <c r="M1583">
        <f>IF(A1583="","", _xludf.WEEKNUM(A1583, 2))</f>
        <v/>
      </c>
    </row>
    <row r="1584">
      <c r="M1584">
        <f>IF(A1584="","", _xludf.WEEKNUM(A1584, 2))</f>
        <v/>
      </c>
    </row>
    <row r="1585">
      <c r="M1585">
        <f>IF(A1585="","", _xludf.WEEKNUM(A1585, 2))</f>
        <v/>
      </c>
    </row>
    <row r="1586">
      <c r="M1586">
        <f>IF(A1586="","", _xludf.WEEKNUM(A1586, 2))</f>
        <v/>
      </c>
    </row>
    <row r="1587">
      <c r="M1587">
        <f>IF(A1587="","", _xludf.WEEKNUM(A1587, 2))</f>
        <v/>
      </c>
    </row>
    <row r="1588">
      <c r="M1588">
        <f>IF(A1588="","", _xludf.WEEKNUM(A1588, 2))</f>
        <v/>
      </c>
    </row>
    <row r="1589">
      <c r="M1589">
        <f>IF(A1589="","", _xludf.WEEKNUM(A1589, 2))</f>
        <v/>
      </c>
    </row>
    <row r="1590">
      <c r="M1590">
        <f>IF(A1590="","", _xludf.WEEKNUM(A1590, 2))</f>
        <v/>
      </c>
    </row>
    <row r="1591">
      <c r="M1591">
        <f>IF(A1591="","", _xludf.WEEKNUM(A1591, 2))</f>
        <v/>
      </c>
    </row>
    <row r="1592">
      <c r="M1592">
        <f>IF(A1592="","", _xludf.WEEKNUM(A1592, 2))</f>
        <v/>
      </c>
    </row>
    <row r="1593">
      <c r="M1593">
        <f>IF(A1593="","", _xludf.WEEKNUM(A1593, 2))</f>
        <v/>
      </c>
    </row>
    <row r="1594">
      <c r="M1594">
        <f>IF(A1594="","", _xludf.WEEKNUM(A1594, 2))</f>
        <v/>
      </c>
    </row>
    <row r="1595">
      <c r="M1595">
        <f>IF(A1595="","", _xludf.WEEKNUM(A1595, 2))</f>
        <v/>
      </c>
    </row>
    <row r="1596">
      <c r="M1596">
        <f>IF(A1596="","", _xludf.WEEKNUM(A1596, 2))</f>
        <v/>
      </c>
    </row>
    <row r="1597">
      <c r="M1597">
        <f>IF(A1597="","", _xludf.WEEKNUM(A1597, 2))</f>
        <v/>
      </c>
    </row>
    <row r="1598">
      <c r="M1598">
        <f>IF(A1598="","", _xludf.WEEKNUM(A1598, 2))</f>
        <v/>
      </c>
    </row>
    <row r="1599">
      <c r="M1599">
        <f>IF(A1599="","", _xludf.WEEKNUM(A1599, 2))</f>
        <v/>
      </c>
    </row>
    <row r="1600">
      <c r="M1600">
        <f>IF(A1600="","", _xludf.WEEKNUM(A1600, 2))</f>
        <v/>
      </c>
    </row>
    <row r="1601">
      <c r="M1601">
        <f>IF(A1601="","", _xludf.WEEKNUM(A1601, 2))</f>
        <v/>
      </c>
    </row>
    <row r="1602">
      <c r="M1602">
        <f>IF(A1602="","", _xludf.WEEKNUM(A1602, 2))</f>
        <v/>
      </c>
    </row>
    <row r="1603">
      <c r="M1603">
        <f>IF(A1603="","", _xludf.WEEKNUM(A1603, 2))</f>
        <v/>
      </c>
    </row>
    <row r="1604">
      <c r="M1604">
        <f>IF(A1604="","", _xludf.WEEKNUM(A1604, 2))</f>
        <v/>
      </c>
    </row>
    <row r="1605">
      <c r="M1605">
        <f>IF(A1605="","", _xludf.WEEKNUM(A1605, 2))</f>
        <v/>
      </c>
    </row>
    <row r="1606">
      <c r="M1606">
        <f>IF(A1606="","", _xludf.WEEKNUM(A1606, 2))</f>
        <v/>
      </c>
    </row>
    <row r="1607">
      <c r="M1607">
        <f>IF(A1607="","", _xludf.WEEKNUM(A1607, 2))</f>
        <v/>
      </c>
    </row>
    <row r="1608">
      <c r="M1608">
        <f>IF(A1608="","", _xludf.WEEKNUM(A1608, 2))</f>
        <v/>
      </c>
    </row>
    <row r="1609">
      <c r="M1609">
        <f>IF(A1609="","", _xludf.WEEKNUM(A1609, 2))</f>
        <v/>
      </c>
    </row>
    <row r="1610">
      <c r="M1610">
        <f>IF(A1610="","", _xludf.WEEKNUM(A1610, 2))</f>
        <v/>
      </c>
    </row>
    <row r="1611">
      <c r="M1611">
        <f>IF(A1611="","", _xludf.WEEKNUM(A1611, 2))</f>
        <v/>
      </c>
    </row>
    <row r="1612">
      <c r="M1612">
        <f>IF(A1612="","", _xludf.WEEKNUM(A1612, 2))</f>
        <v/>
      </c>
    </row>
    <row r="1613">
      <c r="M1613">
        <f>IF(A1613="","", _xludf.WEEKNUM(A1613, 2))</f>
        <v/>
      </c>
    </row>
    <row r="1614">
      <c r="M1614">
        <f>IF(A1614="","", _xludf.WEEKNUM(A1614, 2))</f>
        <v/>
      </c>
    </row>
    <row r="1615">
      <c r="M1615">
        <f>IF(A1615="","", _xludf.WEEKNUM(A1615, 2))</f>
        <v/>
      </c>
    </row>
    <row r="1616">
      <c r="M1616">
        <f>IF(A1616="","", _xludf.WEEKNUM(A1616, 2))</f>
        <v/>
      </c>
    </row>
    <row r="1617">
      <c r="M1617">
        <f>IF(A1617="","", _xludf.WEEKNUM(A1617, 2))</f>
        <v/>
      </c>
    </row>
    <row r="1618">
      <c r="M1618">
        <f>IF(A1618="","", _xludf.WEEKNUM(A1618, 2))</f>
        <v/>
      </c>
    </row>
    <row r="1619">
      <c r="M1619">
        <f>IF(A1619="","", _xludf.WEEKNUM(A1619, 2))</f>
        <v/>
      </c>
    </row>
    <row r="1620">
      <c r="M1620">
        <f>IF(A1620="","", _xludf.WEEKNUM(A1620, 2))</f>
        <v/>
      </c>
    </row>
    <row r="1621">
      <c r="M1621">
        <f>IF(A1621="","", _xludf.WEEKNUM(A1621, 2))</f>
        <v/>
      </c>
    </row>
    <row r="1622">
      <c r="M1622">
        <f>IF(A1622="","", _xludf.WEEKNUM(A1622, 2))</f>
        <v/>
      </c>
    </row>
    <row r="1623">
      <c r="M1623">
        <f>IF(A1623="","", _xludf.WEEKNUM(A1623, 2))</f>
        <v/>
      </c>
    </row>
    <row r="1624">
      <c r="M1624">
        <f>IF(A1624="","", _xludf.WEEKNUM(A1624, 2))</f>
        <v/>
      </c>
    </row>
    <row r="1625">
      <c r="M1625">
        <f>IF(A1625="","", _xludf.WEEKNUM(A1625, 2))</f>
        <v/>
      </c>
    </row>
    <row r="1626">
      <c r="M1626">
        <f>IF(A1626="","", _xludf.WEEKNUM(A1626, 2))</f>
        <v/>
      </c>
    </row>
    <row r="1627">
      <c r="M1627">
        <f>IF(A1627="","", _xludf.WEEKNUM(A1627, 2))</f>
        <v/>
      </c>
    </row>
    <row r="1628">
      <c r="M1628">
        <f>IF(A1628="","", _xludf.WEEKNUM(A1628, 2))</f>
        <v/>
      </c>
    </row>
    <row r="1629">
      <c r="M1629">
        <f>IF(A1629="","", _xludf.WEEKNUM(A1629, 2))</f>
        <v/>
      </c>
    </row>
    <row r="1630">
      <c r="M1630">
        <f>IF(A1630="","", _xludf.WEEKNUM(A1630, 2))</f>
        <v/>
      </c>
    </row>
    <row r="1631">
      <c r="M1631">
        <f>IF(A1631="","", _xludf.WEEKNUM(A1631, 2))</f>
        <v/>
      </c>
    </row>
    <row r="1632">
      <c r="M1632">
        <f>IF(A1632="","", _xludf.WEEKNUM(A1632, 2))</f>
        <v/>
      </c>
    </row>
    <row r="1633">
      <c r="M1633">
        <f>IF(A1633="","", _xludf.WEEKNUM(A1633, 2))</f>
        <v/>
      </c>
    </row>
    <row r="1634">
      <c r="M1634">
        <f>IF(A1634="","", _xludf.WEEKNUM(A1634, 2))</f>
        <v/>
      </c>
    </row>
    <row r="1635">
      <c r="M1635">
        <f>IF(A1635="","", _xludf.WEEKNUM(A1635, 2))</f>
        <v/>
      </c>
    </row>
    <row r="1636">
      <c r="M1636">
        <f>IF(A1636="","", _xludf.WEEKNUM(A1636, 2))</f>
        <v/>
      </c>
    </row>
    <row r="1637">
      <c r="M1637">
        <f>IF(A1637="","", _xludf.WEEKNUM(A1637, 2))</f>
        <v/>
      </c>
    </row>
    <row r="1638">
      <c r="M1638">
        <f>IF(A1638="","", _xludf.WEEKNUM(A1638, 2))</f>
        <v/>
      </c>
    </row>
    <row r="1639">
      <c r="M1639">
        <f>IF(A1639="","", _xludf.WEEKNUM(A1639, 2))</f>
        <v/>
      </c>
    </row>
    <row r="1640">
      <c r="M1640">
        <f>IF(A1640="","", _xludf.WEEKNUM(A1640, 2))</f>
        <v/>
      </c>
    </row>
    <row r="1641">
      <c r="M1641">
        <f>IF(A1641="","", _xludf.WEEKNUM(A1641, 2))</f>
        <v/>
      </c>
    </row>
    <row r="1642">
      <c r="M1642">
        <f>IF(A1642="","", _xludf.WEEKNUM(A1642, 2))</f>
        <v/>
      </c>
    </row>
    <row r="1643">
      <c r="M1643">
        <f>IF(A1643="","", _xludf.WEEKNUM(A1643, 2))</f>
        <v/>
      </c>
    </row>
    <row r="1644">
      <c r="M1644">
        <f>IF(A1644="","", _xludf.WEEKNUM(A1644, 2))</f>
        <v/>
      </c>
    </row>
    <row r="1645">
      <c r="M1645">
        <f>IF(A1645="","", _xludf.WEEKNUM(A1645, 2))</f>
        <v/>
      </c>
    </row>
    <row r="1646">
      <c r="M1646">
        <f>IF(A1646="","", _xludf.WEEKNUM(A1646, 2))</f>
        <v/>
      </c>
    </row>
    <row r="1647">
      <c r="M1647">
        <f>IF(A1647="","", _xludf.WEEKNUM(A1647, 2))</f>
        <v/>
      </c>
    </row>
    <row r="1648">
      <c r="M1648">
        <f>IF(A1648="","", _xludf.WEEKNUM(A1648, 2))</f>
        <v/>
      </c>
    </row>
    <row r="1649">
      <c r="M1649">
        <f>IF(A1649="","", _xludf.WEEKNUM(A1649, 2))</f>
        <v/>
      </c>
    </row>
    <row r="1650">
      <c r="M1650">
        <f>IF(A1650="","", _xludf.WEEKNUM(A1650, 2))</f>
        <v/>
      </c>
    </row>
    <row r="1651">
      <c r="M1651">
        <f>IF(A1651="","", _xludf.WEEKNUM(A1651, 2))</f>
        <v/>
      </c>
    </row>
    <row r="1652">
      <c r="M1652">
        <f>IF(A1652="","", _xludf.WEEKNUM(A1652, 2))</f>
        <v/>
      </c>
    </row>
    <row r="1653">
      <c r="M1653">
        <f>IF(A1653="","", _xludf.WEEKNUM(A1653, 2))</f>
        <v/>
      </c>
    </row>
    <row r="1654">
      <c r="M1654">
        <f>IF(A1654="","", _xludf.WEEKNUM(A1654, 2))</f>
        <v/>
      </c>
    </row>
    <row r="1655">
      <c r="M1655">
        <f>IF(A1655="","", _xludf.WEEKNUM(A1655, 2))</f>
        <v/>
      </c>
    </row>
    <row r="1656">
      <c r="M1656">
        <f>IF(A1656="","", _xludf.WEEKNUM(A1656, 2))</f>
        <v/>
      </c>
    </row>
    <row r="1657">
      <c r="M1657">
        <f>IF(A1657="","", _xludf.WEEKNUM(A1657, 2))</f>
        <v/>
      </c>
    </row>
    <row r="1658">
      <c r="M1658">
        <f>IF(A1658="","", _xludf.WEEKNUM(A1658, 2))</f>
        <v/>
      </c>
    </row>
    <row r="1659">
      <c r="M1659">
        <f>IF(A1659="","", _xludf.WEEKNUM(A1659, 2))</f>
        <v/>
      </c>
    </row>
    <row r="1660">
      <c r="M1660">
        <f>IF(A1660="","", _xludf.WEEKNUM(A1660, 2))</f>
        <v/>
      </c>
    </row>
    <row r="1661">
      <c r="M1661">
        <f>IF(A1661="","", _xludf.WEEKNUM(A1661, 2))</f>
        <v/>
      </c>
    </row>
    <row r="1662">
      <c r="M1662">
        <f>IF(A1662="","", _xludf.WEEKNUM(A1662, 2))</f>
        <v/>
      </c>
    </row>
    <row r="1663">
      <c r="M1663">
        <f>IF(A1663="","", _xludf.WEEKNUM(A1663, 2))</f>
        <v/>
      </c>
    </row>
    <row r="1664">
      <c r="M1664">
        <f>IF(A1664="","", _xludf.WEEKNUM(A1664, 2))</f>
        <v/>
      </c>
    </row>
    <row r="1665">
      <c r="M1665">
        <f>IF(A1665="","", _xludf.WEEKNUM(A1665, 2))</f>
        <v/>
      </c>
    </row>
    <row r="1666">
      <c r="M1666">
        <f>IF(A1666="","", _xludf.WEEKNUM(A1666, 2))</f>
        <v/>
      </c>
    </row>
    <row r="1667">
      <c r="M1667">
        <f>IF(A1667="","", _xludf.WEEKNUM(A1667, 2))</f>
        <v/>
      </c>
    </row>
    <row r="1668">
      <c r="M1668">
        <f>IF(A1668="","", _xludf.WEEKNUM(A1668, 2))</f>
        <v/>
      </c>
    </row>
    <row r="1669">
      <c r="M1669">
        <f>IF(A1669="","", _xludf.WEEKNUM(A1669, 2))</f>
        <v/>
      </c>
    </row>
    <row r="1670">
      <c r="M1670">
        <f>IF(A1670="","", _xludf.WEEKNUM(A1670, 2))</f>
        <v/>
      </c>
    </row>
    <row r="1671">
      <c r="M1671">
        <f>IF(A1671="","", _xludf.WEEKNUM(A1671, 2))</f>
        <v/>
      </c>
    </row>
    <row r="1672">
      <c r="M1672">
        <f>IF(A1672="","", _xludf.WEEKNUM(A1672, 2))</f>
        <v/>
      </c>
    </row>
    <row r="1673">
      <c r="M1673">
        <f>IF(A1673="","", _xludf.WEEKNUM(A1673, 2))</f>
        <v/>
      </c>
    </row>
    <row r="1674">
      <c r="M1674">
        <f>IF(A1674="","", _xludf.WEEKNUM(A1674, 2))</f>
        <v/>
      </c>
    </row>
    <row r="1675">
      <c r="M1675">
        <f>IF(A1675="","", _xludf.WEEKNUM(A1675, 2))</f>
        <v/>
      </c>
    </row>
    <row r="1676">
      <c r="M1676">
        <f>IF(A1676="","", _xludf.WEEKNUM(A1676, 2))</f>
        <v/>
      </c>
    </row>
    <row r="1677">
      <c r="M1677">
        <f>IF(A1677="","", _xludf.WEEKNUM(A1677, 2))</f>
        <v/>
      </c>
    </row>
    <row r="1678">
      <c r="M1678">
        <f>IF(A1678="","", _xludf.WEEKNUM(A1678, 2))</f>
        <v/>
      </c>
    </row>
    <row r="1679">
      <c r="M1679">
        <f>IF(A1679="","", _xludf.WEEKNUM(A1679, 2))</f>
        <v/>
      </c>
    </row>
    <row r="1680">
      <c r="M1680">
        <f>IF(A1680="","", _xludf.WEEKNUM(A1680, 2))</f>
        <v/>
      </c>
    </row>
    <row r="1681">
      <c r="M1681">
        <f>IF(A1681="","", _xludf.WEEKNUM(A1681, 2))</f>
        <v/>
      </c>
    </row>
    <row r="1682">
      <c r="M1682">
        <f>IF(A1682="","", _xludf.WEEKNUM(A1682, 2))</f>
        <v/>
      </c>
    </row>
    <row r="1683">
      <c r="M1683">
        <f>IF(A1683="","", _xludf.WEEKNUM(A1683, 2))</f>
        <v/>
      </c>
    </row>
    <row r="1684">
      <c r="M1684">
        <f>IF(A1684="","", _xludf.WEEKNUM(A1684, 2))</f>
        <v/>
      </c>
    </row>
    <row r="1685">
      <c r="M1685">
        <f>IF(A1685="","", _xludf.WEEKNUM(A1685, 2))</f>
        <v/>
      </c>
    </row>
    <row r="1686">
      <c r="M1686">
        <f>IF(A1686="","", _xludf.WEEKNUM(A1686, 2))</f>
        <v/>
      </c>
    </row>
    <row r="1687">
      <c r="M1687">
        <f>IF(A1687="","", _xludf.WEEKNUM(A1687, 2))</f>
        <v/>
      </c>
    </row>
    <row r="1688">
      <c r="M1688">
        <f>IF(A1688="","", _xludf.WEEKNUM(A1688, 2))</f>
        <v/>
      </c>
    </row>
    <row r="1689">
      <c r="M1689">
        <f>IF(A1689="","", _xludf.WEEKNUM(A1689, 2))</f>
        <v/>
      </c>
    </row>
    <row r="1690">
      <c r="M1690">
        <f>IF(A1690="","", _xludf.WEEKNUM(A1690, 2))</f>
        <v/>
      </c>
    </row>
    <row r="1691">
      <c r="M1691">
        <f>IF(A1691="","", _xludf.WEEKNUM(A1691, 2))</f>
        <v/>
      </c>
    </row>
    <row r="1692">
      <c r="M1692">
        <f>IF(A1692="","", _xludf.WEEKNUM(A1692, 2))</f>
        <v/>
      </c>
    </row>
    <row r="1693">
      <c r="M1693">
        <f>IF(A1693="","", _xludf.WEEKNUM(A1693, 2))</f>
        <v/>
      </c>
    </row>
    <row r="1694">
      <c r="M1694">
        <f>IF(A1694="","", _xludf.WEEKNUM(A1694, 2))</f>
        <v/>
      </c>
    </row>
    <row r="1695">
      <c r="M1695">
        <f>IF(A1695="","", _xludf.WEEKNUM(A1695, 2))</f>
        <v/>
      </c>
    </row>
    <row r="1696">
      <c r="M1696">
        <f>IF(A1696="","", _xludf.WEEKNUM(A1696, 2))</f>
        <v/>
      </c>
    </row>
    <row r="1697">
      <c r="M1697">
        <f>IF(A1697="","", _xludf.WEEKNUM(A1697, 2))</f>
        <v/>
      </c>
    </row>
    <row r="1698">
      <c r="M1698">
        <f>IF(A1698="","", _xludf.WEEKNUM(A1698, 2))</f>
        <v/>
      </c>
    </row>
    <row r="1699">
      <c r="M1699">
        <f>IF(A1699="","", _xludf.WEEKNUM(A1699, 2))</f>
        <v/>
      </c>
    </row>
    <row r="1700">
      <c r="M1700">
        <f>IF(A1700="","", _xludf.WEEKNUM(A1700, 2))</f>
        <v/>
      </c>
    </row>
    <row r="1701">
      <c r="M1701">
        <f>IF(A1701="","", _xludf.WEEKNUM(A1701, 2))</f>
        <v/>
      </c>
    </row>
    <row r="1702">
      <c r="M1702">
        <f>IF(A1702="","", _xludf.WEEKNUM(A1702, 2))</f>
        <v/>
      </c>
    </row>
    <row r="1703">
      <c r="M1703">
        <f>IF(A1703="","", _xludf.WEEKNUM(A1703, 2))</f>
        <v/>
      </c>
    </row>
    <row r="1704">
      <c r="M1704">
        <f>IF(A1704="","", _xludf.WEEKNUM(A1704, 2))</f>
        <v/>
      </c>
    </row>
    <row r="1705">
      <c r="M1705">
        <f>IF(A1705="","", _xludf.WEEKNUM(A1705, 2))</f>
        <v/>
      </c>
    </row>
    <row r="1706">
      <c r="M1706">
        <f>IF(A1706="","", _xludf.WEEKNUM(A1706, 2))</f>
        <v/>
      </c>
    </row>
    <row r="1707">
      <c r="M1707">
        <f>IF(A1707="","", _xludf.WEEKNUM(A1707, 2))</f>
        <v/>
      </c>
    </row>
    <row r="1708">
      <c r="M1708">
        <f>IF(A1708="","", _xludf.WEEKNUM(A1708, 2))</f>
        <v/>
      </c>
    </row>
    <row r="1709">
      <c r="M1709">
        <f>IF(A1709="","", _xludf.WEEKNUM(A1709, 2))</f>
        <v/>
      </c>
    </row>
    <row r="1710">
      <c r="M1710">
        <f>IF(A1710="","", _xludf.WEEKNUM(A1710, 2))</f>
        <v/>
      </c>
    </row>
    <row r="1711">
      <c r="M1711">
        <f>IF(A1711="","", _xludf.WEEKNUM(A1711, 2))</f>
        <v/>
      </c>
    </row>
    <row r="1712">
      <c r="M1712">
        <f>IF(A1712="","", _xludf.WEEKNUM(A1712, 2))</f>
        <v/>
      </c>
    </row>
    <row r="1713">
      <c r="M1713">
        <f>IF(A1713="","", _xludf.WEEKNUM(A1713, 2))</f>
        <v/>
      </c>
    </row>
    <row r="1714">
      <c r="M1714">
        <f>IF(A1714="","", _xludf.WEEKNUM(A1714, 2))</f>
        <v/>
      </c>
    </row>
    <row r="1715">
      <c r="M1715">
        <f>IF(A1715="","", _xludf.WEEKNUM(A1715, 2))</f>
        <v/>
      </c>
    </row>
    <row r="1716">
      <c r="M1716">
        <f>IF(A1716="","", _xludf.WEEKNUM(A1716, 2))</f>
        <v/>
      </c>
    </row>
    <row r="1717">
      <c r="M1717">
        <f>IF(A1717="","", _xludf.WEEKNUM(A1717, 2))</f>
        <v/>
      </c>
    </row>
    <row r="1718">
      <c r="M1718">
        <f>IF(A1718="","", _xludf.WEEKNUM(A1718, 2))</f>
        <v/>
      </c>
    </row>
    <row r="1719">
      <c r="M1719">
        <f>IF(A1719="","", _xludf.WEEKNUM(A1719, 2))</f>
        <v/>
      </c>
    </row>
    <row r="1720">
      <c r="M1720">
        <f>IF(A1720="","", _xludf.WEEKNUM(A1720, 2))</f>
        <v/>
      </c>
    </row>
    <row r="1721">
      <c r="M1721">
        <f>IF(A1721="","", _xludf.WEEKNUM(A1721, 2))</f>
        <v/>
      </c>
    </row>
    <row r="1722">
      <c r="M1722">
        <f>IF(A1722="","", _xludf.WEEKNUM(A1722, 2))</f>
        <v/>
      </c>
    </row>
    <row r="1723">
      <c r="M1723">
        <f>IF(A1723="","", _xludf.WEEKNUM(A1723, 2))</f>
        <v/>
      </c>
    </row>
    <row r="1724">
      <c r="M1724">
        <f>IF(A1724="","", _xludf.WEEKNUM(A1724, 2))</f>
        <v/>
      </c>
    </row>
    <row r="1725">
      <c r="M1725">
        <f>IF(A1725="","", _xludf.WEEKNUM(A1725, 2))</f>
        <v/>
      </c>
    </row>
    <row r="1726">
      <c r="M1726">
        <f>IF(A1726="","", _xludf.WEEKNUM(A1726, 2))</f>
        <v/>
      </c>
    </row>
    <row r="1727">
      <c r="M1727">
        <f>IF(A1727="","", _xludf.WEEKNUM(A1727, 2))</f>
        <v/>
      </c>
    </row>
    <row r="1728">
      <c r="M1728">
        <f>IF(A1728="","", _xludf.WEEKNUM(A1728, 2))</f>
        <v/>
      </c>
    </row>
    <row r="1729">
      <c r="M1729">
        <f>IF(A1729="","", _xludf.WEEKNUM(A1729, 2))</f>
        <v/>
      </c>
    </row>
    <row r="1730">
      <c r="M1730">
        <f>IF(A1730="","", _xludf.WEEKNUM(A1730, 2))</f>
        <v/>
      </c>
    </row>
    <row r="1731">
      <c r="M1731">
        <f>IF(A1731="","", _xludf.WEEKNUM(A1731, 2))</f>
        <v/>
      </c>
    </row>
    <row r="1732">
      <c r="M1732">
        <f>IF(A1732="","", _xludf.WEEKNUM(A1732, 2))</f>
        <v/>
      </c>
    </row>
    <row r="1733">
      <c r="M1733">
        <f>IF(A1733="","", _xludf.WEEKNUM(A1733, 2))</f>
        <v/>
      </c>
    </row>
    <row r="1734">
      <c r="M1734">
        <f>IF(A1734="","", _xludf.WEEKNUM(A1734, 2))</f>
        <v/>
      </c>
    </row>
    <row r="1735">
      <c r="M1735">
        <f>IF(A1735="","", _xludf.WEEKNUM(A1735, 2))</f>
        <v/>
      </c>
    </row>
    <row r="1736">
      <c r="M1736">
        <f>IF(A1736="","", _xludf.WEEKNUM(A1736, 2))</f>
        <v/>
      </c>
    </row>
    <row r="1737">
      <c r="M1737">
        <f>IF(A1737="","", _xludf.WEEKNUM(A1737, 2))</f>
        <v/>
      </c>
    </row>
    <row r="1738">
      <c r="M1738">
        <f>IF(A1738="","", _xludf.WEEKNUM(A1738, 2))</f>
        <v/>
      </c>
    </row>
    <row r="1739">
      <c r="M1739">
        <f>IF(A1739="","", _xludf.WEEKNUM(A1739, 2))</f>
        <v/>
      </c>
    </row>
    <row r="1740">
      <c r="M1740">
        <f>IF(A1740="","", _xludf.WEEKNUM(A1740, 2))</f>
        <v/>
      </c>
    </row>
    <row r="1741">
      <c r="M1741">
        <f>IF(A1741="","", _xludf.WEEKNUM(A1741, 2))</f>
        <v/>
      </c>
    </row>
    <row r="1742">
      <c r="M1742">
        <f>IF(A1742="","", _xludf.WEEKNUM(A1742, 2))</f>
        <v/>
      </c>
    </row>
    <row r="1743">
      <c r="M1743">
        <f>IF(A1743="","", _xludf.WEEKNUM(A1743, 2))</f>
        <v/>
      </c>
    </row>
    <row r="1744">
      <c r="M1744">
        <f>IF(A1744="","", _xludf.WEEKNUM(A1744, 2))</f>
        <v/>
      </c>
    </row>
    <row r="1745">
      <c r="M1745">
        <f>IF(A1745="","", _xludf.WEEKNUM(A1745, 2))</f>
        <v/>
      </c>
    </row>
    <row r="1746">
      <c r="M1746">
        <f>IF(A1746="","", _xludf.WEEKNUM(A1746, 2))</f>
        <v/>
      </c>
    </row>
    <row r="1747">
      <c r="M1747">
        <f>IF(A1747="","", _xludf.WEEKNUM(A1747, 2))</f>
        <v/>
      </c>
    </row>
    <row r="1748">
      <c r="M1748">
        <f>IF(A1748="","", _xludf.WEEKNUM(A1748, 2))</f>
        <v/>
      </c>
    </row>
    <row r="1749">
      <c r="M1749">
        <f>IF(A1749="","", _xludf.WEEKNUM(A1749, 2))</f>
        <v/>
      </c>
    </row>
    <row r="1750">
      <c r="M1750">
        <f>IF(A1750="","", _xludf.WEEKNUM(A1750, 2))</f>
        <v/>
      </c>
    </row>
    <row r="1751">
      <c r="M1751">
        <f>IF(A1751="","", _xludf.WEEKNUM(A1751, 2))</f>
        <v/>
      </c>
    </row>
    <row r="1752">
      <c r="M1752">
        <f>IF(A1752="","", _xludf.WEEKNUM(A1752, 2))</f>
        <v/>
      </c>
    </row>
    <row r="1753">
      <c r="M1753">
        <f>IF(A1753="","", _xludf.WEEKNUM(A1753, 2))</f>
        <v/>
      </c>
    </row>
    <row r="1754">
      <c r="M1754">
        <f>IF(A1754="","", _xludf.WEEKNUM(A1754, 2))</f>
        <v/>
      </c>
    </row>
    <row r="1755">
      <c r="M1755">
        <f>IF(A1755="","", _xludf.WEEKNUM(A1755, 2))</f>
        <v/>
      </c>
    </row>
    <row r="1756">
      <c r="M1756">
        <f>IF(A1756="","", _xludf.WEEKNUM(A1756, 2))</f>
        <v/>
      </c>
    </row>
    <row r="1757">
      <c r="M1757">
        <f>IF(A1757="","", _xludf.WEEKNUM(A1757, 2))</f>
        <v/>
      </c>
    </row>
    <row r="1758">
      <c r="M1758">
        <f>IF(A1758="","", _xludf.WEEKNUM(A1758, 2))</f>
        <v/>
      </c>
    </row>
    <row r="1759">
      <c r="M1759">
        <f>IF(A1759="","", _xludf.WEEKNUM(A1759, 2))</f>
        <v/>
      </c>
    </row>
    <row r="1760">
      <c r="M1760">
        <f>IF(A1760="","", _xludf.WEEKNUM(A1760, 2))</f>
        <v/>
      </c>
    </row>
    <row r="1761">
      <c r="M1761">
        <f>IF(A1761="","", _xludf.WEEKNUM(A1761, 2))</f>
        <v/>
      </c>
    </row>
    <row r="1762">
      <c r="M1762">
        <f>IF(A1762="","", _xludf.WEEKNUM(A1762, 2))</f>
        <v/>
      </c>
    </row>
    <row r="1763">
      <c r="M1763">
        <f>IF(A1763="","", _xludf.WEEKNUM(A1763, 2))</f>
        <v/>
      </c>
    </row>
    <row r="1764">
      <c r="M1764">
        <f>IF(A1764="","", _xludf.WEEKNUM(A1764, 2))</f>
        <v/>
      </c>
    </row>
    <row r="1765">
      <c r="M1765">
        <f>IF(A1765="","", _xludf.WEEKNUM(A1765, 2))</f>
        <v/>
      </c>
    </row>
    <row r="1766">
      <c r="M1766">
        <f>IF(A1766="","", _xludf.WEEKNUM(A1766, 2))</f>
        <v/>
      </c>
    </row>
    <row r="1767">
      <c r="M1767">
        <f>IF(A1767="","", _xludf.WEEKNUM(A1767, 2))</f>
        <v/>
      </c>
    </row>
    <row r="1768">
      <c r="M1768">
        <f>IF(A1768="","", _xludf.WEEKNUM(A1768, 2))</f>
        <v/>
      </c>
    </row>
    <row r="1769">
      <c r="M1769">
        <f>IF(A1769="","", _xludf.WEEKNUM(A1769, 2))</f>
        <v/>
      </c>
    </row>
    <row r="1770">
      <c r="M1770">
        <f>IF(A1770="","", _xludf.WEEKNUM(A1770, 2))</f>
        <v/>
      </c>
    </row>
    <row r="1771">
      <c r="M1771">
        <f>IF(A1771="","", _xludf.WEEKNUM(A1771, 2))</f>
        <v/>
      </c>
    </row>
    <row r="1772">
      <c r="M1772">
        <f>IF(A1772="","", _xludf.WEEKNUM(A1772, 2))</f>
        <v/>
      </c>
    </row>
    <row r="1773">
      <c r="M1773">
        <f>IF(A1773="","", _xludf.WEEKNUM(A1773, 2))</f>
        <v/>
      </c>
    </row>
    <row r="1774">
      <c r="M1774">
        <f>IF(A1774="","", _xludf.WEEKNUM(A1774, 2))</f>
        <v/>
      </c>
    </row>
    <row r="1775">
      <c r="M1775">
        <f>IF(A1775="","", _xludf.WEEKNUM(A1775, 2))</f>
        <v/>
      </c>
    </row>
    <row r="1776">
      <c r="M1776">
        <f>IF(A1776="","", _xludf.WEEKNUM(A1776, 2))</f>
        <v/>
      </c>
    </row>
    <row r="1777">
      <c r="M1777">
        <f>IF(A1777="","", _xludf.WEEKNUM(A1777, 2))</f>
        <v/>
      </c>
    </row>
    <row r="1778">
      <c r="M1778">
        <f>IF(A1778="","", _xludf.WEEKNUM(A1778, 2))</f>
        <v/>
      </c>
    </row>
    <row r="1779">
      <c r="M1779">
        <f>IF(A1779="","", _xludf.WEEKNUM(A1779, 2))</f>
        <v/>
      </c>
    </row>
    <row r="1780">
      <c r="M1780">
        <f>IF(A1780="","", _xludf.WEEKNUM(A1780, 2))</f>
        <v/>
      </c>
    </row>
    <row r="1781">
      <c r="M1781">
        <f>IF(A1781="","", _xludf.WEEKNUM(A1781, 2))</f>
        <v/>
      </c>
    </row>
    <row r="1782">
      <c r="M1782">
        <f>IF(A1782="","", _xludf.WEEKNUM(A1782, 2))</f>
        <v/>
      </c>
    </row>
    <row r="1783">
      <c r="M1783">
        <f>IF(A1783="","", _xludf.WEEKNUM(A1783, 2))</f>
        <v/>
      </c>
    </row>
    <row r="1784">
      <c r="M1784">
        <f>IF(A1784="","", _xludf.WEEKNUM(A1784, 2))</f>
        <v/>
      </c>
    </row>
    <row r="1785">
      <c r="M1785">
        <f>IF(A1785="","", _xludf.WEEKNUM(A1785, 2))</f>
        <v/>
      </c>
    </row>
    <row r="1786">
      <c r="M1786">
        <f>IF(A1786="","", _xludf.WEEKNUM(A1786, 2))</f>
        <v/>
      </c>
    </row>
    <row r="1787">
      <c r="M1787">
        <f>IF(A1787="","", _xludf.WEEKNUM(A1787, 2))</f>
        <v/>
      </c>
    </row>
    <row r="1788">
      <c r="M1788">
        <f>IF(A1788="","", _xludf.WEEKNUM(A1788, 2))</f>
        <v/>
      </c>
    </row>
    <row r="1789">
      <c r="M1789">
        <f>IF(A1789="","", _xludf.WEEKNUM(A1789, 2))</f>
        <v/>
      </c>
    </row>
    <row r="1790">
      <c r="M1790">
        <f>IF(A1790="","", _xludf.WEEKNUM(A1790, 2))</f>
        <v/>
      </c>
    </row>
    <row r="1791">
      <c r="M1791">
        <f>IF(A1791="","", _xludf.WEEKNUM(A1791, 2))</f>
        <v/>
      </c>
    </row>
    <row r="1792">
      <c r="M1792">
        <f>IF(A1792="","", _xludf.WEEKNUM(A1792, 2))</f>
        <v/>
      </c>
    </row>
    <row r="1793">
      <c r="M1793">
        <f>IF(A1793="","", _xludf.WEEKNUM(A1793, 2))</f>
        <v/>
      </c>
    </row>
    <row r="1794">
      <c r="M1794">
        <f>IF(A1794="","", _xludf.WEEKNUM(A1794, 2))</f>
        <v/>
      </c>
    </row>
    <row r="1795">
      <c r="M1795">
        <f>IF(A1795="","", _xludf.WEEKNUM(A1795, 2))</f>
        <v/>
      </c>
    </row>
    <row r="1796">
      <c r="M1796">
        <f>IF(A1796="","", _xludf.WEEKNUM(A1796, 2))</f>
        <v/>
      </c>
    </row>
    <row r="1797">
      <c r="M1797">
        <f>IF(A1797="","", _xludf.WEEKNUM(A1797, 2))</f>
        <v/>
      </c>
    </row>
    <row r="1798">
      <c r="M1798">
        <f>IF(A1798="","", _xludf.WEEKNUM(A1798, 2))</f>
        <v/>
      </c>
    </row>
    <row r="1799">
      <c r="M1799">
        <f>IF(A1799="","", _xludf.WEEKNUM(A1799, 2))</f>
        <v/>
      </c>
    </row>
    <row r="1800">
      <c r="M1800">
        <f>IF(A1800="","", _xludf.WEEKNUM(A1800, 2))</f>
        <v/>
      </c>
    </row>
    <row r="1801">
      <c r="M1801">
        <f>IF(A1801="","", _xludf.WEEKNUM(A1801, 2))</f>
        <v/>
      </c>
    </row>
    <row r="1802">
      <c r="M1802">
        <f>IF(A1802="","", _xludf.WEEKNUM(A1802, 2))</f>
        <v/>
      </c>
    </row>
    <row r="1803">
      <c r="M1803">
        <f>IF(A1803="","", _xludf.WEEKNUM(A1803, 2))</f>
        <v/>
      </c>
    </row>
    <row r="1804">
      <c r="M1804">
        <f>IF(A1804="","", _xludf.WEEKNUM(A1804, 2))</f>
        <v/>
      </c>
    </row>
    <row r="1805">
      <c r="M1805">
        <f>IF(A1805="","", _xludf.WEEKNUM(A1805, 2))</f>
        <v/>
      </c>
    </row>
    <row r="1806">
      <c r="M1806">
        <f>IF(A1806="","", _xludf.WEEKNUM(A1806, 2))</f>
        <v/>
      </c>
    </row>
    <row r="1807">
      <c r="M1807">
        <f>IF(A1807="","", _xludf.WEEKNUM(A1807, 2))</f>
        <v/>
      </c>
    </row>
    <row r="1808">
      <c r="M1808">
        <f>IF(A1808="","", _xludf.WEEKNUM(A1808, 2))</f>
        <v/>
      </c>
    </row>
    <row r="1809">
      <c r="M1809">
        <f>IF(A1809="","", _xludf.WEEKNUM(A1809, 2))</f>
        <v/>
      </c>
    </row>
    <row r="1810">
      <c r="M1810">
        <f>IF(A1810="","", _xludf.WEEKNUM(A1810, 2))</f>
        <v/>
      </c>
    </row>
    <row r="1811">
      <c r="M1811">
        <f>IF(A1811="","", _xludf.WEEKNUM(A1811, 2))</f>
        <v/>
      </c>
    </row>
    <row r="1812">
      <c r="M1812">
        <f>IF(A1812="","", _xludf.WEEKNUM(A1812, 2))</f>
        <v/>
      </c>
    </row>
    <row r="1813">
      <c r="M1813">
        <f>IF(A1813="","", _xludf.WEEKNUM(A1813, 2))</f>
        <v/>
      </c>
    </row>
    <row r="1814">
      <c r="M1814">
        <f>IF(A1814="","", _xludf.WEEKNUM(A1814, 2))</f>
        <v/>
      </c>
    </row>
    <row r="1815">
      <c r="M1815">
        <f>IF(A1815="","", _xludf.WEEKNUM(A1815, 2))</f>
        <v/>
      </c>
    </row>
    <row r="1816">
      <c r="M1816">
        <f>IF(A1816="","", _xludf.WEEKNUM(A1816, 2))</f>
        <v/>
      </c>
    </row>
    <row r="1817">
      <c r="M1817">
        <f>IF(A1817="","", _xludf.WEEKNUM(A1817, 2))</f>
        <v/>
      </c>
    </row>
    <row r="1818">
      <c r="M1818">
        <f>IF(A1818="","", _xludf.WEEKNUM(A1818, 2))</f>
        <v/>
      </c>
    </row>
    <row r="1819">
      <c r="M1819">
        <f>IF(A1819="","", _xludf.WEEKNUM(A1819, 2))</f>
        <v/>
      </c>
    </row>
    <row r="1820">
      <c r="M1820">
        <f>IF(A1820="","", _xludf.WEEKNUM(A1820, 2))</f>
        <v/>
      </c>
    </row>
    <row r="1821">
      <c r="M1821">
        <f>IF(A1821="","", _xludf.WEEKNUM(A1821, 2))</f>
        <v/>
      </c>
    </row>
    <row r="1822">
      <c r="M1822">
        <f>IF(A1822="","", _xludf.WEEKNUM(A1822, 2))</f>
        <v/>
      </c>
    </row>
    <row r="1823">
      <c r="M1823">
        <f>IF(A1823="","", _xludf.WEEKNUM(A1823, 2))</f>
        <v/>
      </c>
    </row>
    <row r="1824">
      <c r="M1824">
        <f>IF(A1824="","", _xludf.WEEKNUM(A1824, 2))</f>
        <v/>
      </c>
    </row>
    <row r="1825">
      <c r="M1825">
        <f>IF(A1825="","", _xludf.WEEKNUM(A1825, 2))</f>
        <v/>
      </c>
    </row>
    <row r="1826">
      <c r="M1826">
        <f>IF(A1826="","", _xludf.WEEKNUM(A1826, 2))</f>
        <v/>
      </c>
    </row>
    <row r="1827">
      <c r="M1827">
        <f>IF(A1827="","", _xludf.WEEKNUM(A1827, 2))</f>
        <v/>
      </c>
    </row>
    <row r="1828">
      <c r="M1828">
        <f>IF(A1828="","", _xludf.WEEKNUM(A1828, 2))</f>
        <v/>
      </c>
    </row>
    <row r="1829">
      <c r="M1829">
        <f>IF(A1829="","", _xludf.WEEKNUM(A1829, 2))</f>
        <v/>
      </c>
    </row>
    <row r="1830">
      <c r="M1830">
        <f>IF(A1830="","", _xludf.WEEKNUM(A1830, 2))</f>
        <v/>
      </c>
    </row>
    <row r="1831">
      <c r="M1831">
        <f>IF(A1831="","", _xludf.WEEKNUM(A1831, 2))</f>
        <v/>
      </c>
    </row>
    <row r="1832">
      <c r="M1832">
        <f>IF(A1832="","", _xludf.WEEKNUM(A1832, 2))</f>
        <v/>
      </c>
    </row>
    <row r="1833">
      <c r="M1833">
        <f>IF(A1833="","", _xludf.WEEKNUM(A1833, 2))</f>
        <v/>
      </c>
    </row>
    <row r="1834">
      <c r="M1834">
        <f>IF(A1834="","", _xludf.WEEKNUM(A1834, 2))</f>
        <v/>
      </c>
    </row>
    <row r="1835">
      <c r="M1835">
        <f>IF(A1835="","", _xludf.WEEKNUM(A1835, 2))</f>
        <v/>
      </c>
    </row>
    <row r="1836">
      <c r="M1836">
        <f>IF(A1836="","", _xludf.WEEKNUM(A1836, 2))</f>
        <v/>
      </c>
    </row>
    <row r="1837">
      <c r="M1837">
        <f>IF(A1837="","", _xludf.WEEKNUM(A1837, 2))</f>
        <v/>
      </c>
    </row>
    <row r="1838">
      <c r="M1838">
        <f>IF(A1838="","", _xludf.WEEKNUM(A1838, 2))</f>
        <v/>
      </c>
    </row>
    <row r="1839">
      <c r="M1839">
        <f>IF(A1839="","", _xludf.WEEKNUM(A1839, 2))</f>
        <v/>
      </c>
    </row>
    <row r="1840">
      <c r="M1840">
        <f>IF(A1840="","", _xludf.WEEKNUM(A1840, 2))</f>
        <v/>
      </c>
    </row>
    <row r="1841">
      <c r="M1841">
        <f>IF(A1841="","", _xludf.WEEKNUM(A1841, 2))</f>
        <v/>
      </c>
    </row>
    <row r="1842">
      <c r="M1842">
        <f>IF(A1842="","", _xludf.WEEKNUM(A1842, 2))</f>
        <v/>
      </c>
    </row>
    <row r="1843">
      <c r="M1843">
        <f>IF(A1843="","", _xludf.WEEKNUM(A1843, 2))</f>
        <v/>
      </c>
    </row>
    <row r="1844">
      <c r="M1844">
        <f>IF(A1844="","", _xludf.WEEKNUM(A1844, 2))</f>
        <v/>
      </c>
    </row>
    <row r="1845">
      <c r="M1845">
        <f>IF(A1845="","", _xludf.WEEKNUM(A1845, 2))</f>
        <v/>
      </c>
    </row>
    <row r="1846">
      <c r="M1846">
        <f>IF(A1846="","", _xludf.WEEKNUM(A1846, 2))</f>
        <v/>
      </c>
    </row>
    <row r="1847">
      <c r="M1847">
        <f>IF(A1847="","", _xludf.WEEKNUM(A1847, 2))</f>
        <v/>
      </c>
    </row>
    <row r="1848">
      <c r="M1848">
        <f>IF(A1848="","", _xludf.WEEKNUM(A1848, 2))</f>
        <v/>
      </c>
    </row>
    <row r="1849">
      <c r="M1849">
        <f>IF(A1849="","", _xludf.WEEKNUM(A1849, 2))</f>
        <v/>
      </c>
    </row>
    <row r="1850">
      <c r="M1850">
        <f>IF(A1850="","", _xludf.WEEKNUM(A1850, 2))</f>
        <v/>
      </c>
    </row>
    <row r="1851">
      <c r="M1851">
        <f>IF(A1851="","", _xludf.WEEKNUM(A1851, 2))</f>
        <v/>
      </c>
    </row>
    <row r="1852">
      <c r="M1852">
        <f>IF(A1852="","", _xludf.WEEKNUM(A1852, 2))</f>
        <v/>
      </c>
    </row>
    <row r="1853">
      <c r="M1853">
        <f>IF(A1853="","", _xludf.WEEKNUM(A1853, 2))</f>
        <v/>
      </c>
    </row>
    <row r="1854">
      <c r="M1854">
        <f>IF(A1854="","", _xludf.WEEKNUM(A1854, 2))</f>
        <v/>
      </c>
    </row>
    <row r="1855">
      <c r="M1855">
        <f>IF(A1855="","", _xludf.WEEKNUM(A1855, 2))</f>
        <v/>
      </c>
    </row>
    <row r="1856">
      <c r="M1856">
        <f>IF(A1856="","", _xludf.WEEKNUM(A1856, 2))</f>
        <v/>
      </c>
    </row>
    <row r="1857">
      <c r="M1857">
        <f>IF(A1857="","", _xludf.WEEKNUM(A1857, 2))</f>
        <v/>
      </c>
    </row>
    <row r="1858">
      <c r="M1858">
        <f>IF(A1858="","", _xludf.WEEKNUM(A1858, 2))</f>
        <v/>
      </c>
    </row>
    <row r="1859">
      <c r="M1859">
        <f>IF(A1859="","", _xludf.WEEKNUM(A1859, 2))</f>
        <v/>
      </c>
    </row>
    <row r="1860">
      <c r="M1860">
        <f>IF(A1860="","", _xludf.WEEKNUM(A1860, 2))</f>
        <v/>
      </c>
    </row>
    <row r="1861">
      <c r="M1861">
        <f>IF(A1861="","", _xludf.WEEKNUM(A1861, 2))</f>
        <v/>
      </c>
    </row>
    <row r="1862">
      <c r="M1862">
        <f>IF(A1862="","", _xludf.WEEKNUM(A1862, 2))</f>
        <v/>
      </c>
    </row>
    <row r="1863">
      <c r="M1863">
        <f>IF(A1863="","", _xludf.WEEKNUM(A1863, 2))</f>
        <v/>
      </c>
    </row>
    <row r="1864">
      <c r="M1864">
        <f>IF(A1864="","", _xludf.WEEKNUM(A1864, 2))</f>
        <v/>
      </c>
    </row>
    <row r="1865">
      <c r="M1865">
        <f>IF(A1865="","", _xludf.WEEKNUM(A1865, 2))</f>
        <v/>
      </c>
    </row>
    <row r="1866">
      <c r="M1866">
        <f>IF(A1866="","", _xludf.WEEKNUM(A1866, 2))</f>
        <v/>
      </c>
    </row>
    <row r="1867">
      <c r="M1867">
        <f>IF(A1867="","", _xludf.WEEKNUM(A1867, 2))</f>
        <v/>
      </c>
    </row>
    <row r="1868">
      <c r="M1868">
        <f>IF(A1868="","", _xludf.WEEKNUM(A1868, 2))</f>
        <v/>
      </c>
    </row>
    <row r="1869">
      <c r="M1869">
        <f>IF(A1869="","", _xludf.WEEKNUM(A1869, 2))</f>
        <v/>
      </c>
    </row>
    <row r="1870">
      <c r="M1870">
        <f>IF(A1870="","", _xludf.WEEKNUM(A1870, 2))</f>
        <v/>
      </c>
    </row>
    <row r="1871">
      <c r="M1871">
        <f>IF(A1871="","", _xludf.WEEKNUM(A1871, 2))</f>
        <v/>
      </c>
    </row>
    <row r="1872">
      <c r="M1872">
        <f>IF(A1872="","", _xludf.WEEKNUM(A1872, 2))</f>
        <v/>
      </c>
    </row>
    <row r="1873">
      <c r="M1873">
        <f>IF(A1873="","", _xludf.WEEKNUM(A1873, 2))</f>
        <v/>
      </c>
    </row>
    <row r="1874">
      <c r="M1874">
        <f>IF(A1874="","", _xludf.WEEKNUM(A1874, 2))</f>
        <v/>
      </c>
    </row>
    <row r="1875">
      <c r="M1875">
        <f>IF(A1875="","", _xludf.WEEKNUM(A1875, 2))</f>
        <v/>
      </c>
    </row>
    <row r="1876">
      <c r="M1876">
        <f>IF(A1876="","", _xludf.WEEKNUM(A1876, 2))</f>
        <v/>
      </c>
    </row>
    <row r="1877">
      <c r="M1877">
        <f>IF(A1877="","", _xludf.WEEKNUM(A1877, 2))</f>
        <v/>
      </c>
    </row>
    <row r="1878">
      <c r="M1878">
        <f>IF(A1878="","", _xludf.WEEKNUM(A1878, 2))</f>
        <v/>
      </c>
    </row>
    <row r="1879">
      <c r="M1879">
        <f>IF(A1879="","", _xludf.WEEKNUM(A1879, 2))</f>
        <v/>
      </c>
    </row>
    <row r="1880">
      <c r="M1880">
        <f>IF(A1880="","", _xludf.WEEKNUM(A1880, 2))</f>
        <v/>
      </c>
    </row>
    <row r="1881">
      <c r="M1881">
        <f>IF(A1881="","", _xludf.WEEKNUM(A1881, 2))</f>
        <v/>
      </c>
    </row>
    <row r="1882">
      <c r="M1882">
        <f>IF(A1882="","", _xludf.WEEKNUM(A1882, 2))</f>
        <v/>
      </c>
    </row>
    <row r="1883">
      <c r="M1883">
        <f>IF(A1883="","", _xludf.WEEKNUM(A1883, 2))</f>
        <v/>
      </c>
    </row>
    <row r="1884">
      <c r="M1884">
        <f>IF(A1884="","", _xludf.WEEKNUM(A1884, 2))</f>
        <v/>
      </c>
    </row>
    <row r="1885">
      <c r="M1885">
        <f>IF(A1885="","", _xludf.WEEKNUM(A1885, 2))</f>
        <v/>
      </c>
    </row>
    <row r="1886">
      <c r="M1886">
        <f>IF(A1886="","", _xludf.WEEKNUM(A1886, 2))</f>
        <v/>
      </c>
    </row>
    <row r="1887">
      <c r="M1887">
        <f>IF(A1887="","", _xludf.WEEKNUM(A1887, 2))</f>
        <v/>
      </c>
    </row>
    <row r="1888">
      <c r="M1888">
        <f>IF(A1888="","", _xludf.WEEKNUM(A1888, 2))</f>
        <v/>
      </c>
    </row>
    <row r="1889">
      <c r="M1889">
        <f>IF(A1889="","", _xludf.WEEKNUM(A1889, 2))</f>
        <v/>
      </c>
    </row>
    <row r="1890">
      <c r="M1890">
        <f>IF(A1890="","", _xludf.WEEKNUM(A1890, 2))</f>
        <v/>
      </c>
    </row>
    <row r="1891">
      <c r="M1891">
        <f>IF(A1891="","", _xludf.WEEKNUM(A1891, 2))</f>
        <v/>
      </c>
    </row>
    <row r="1892">
      <c r="M1892">
        <f>IF(A1892="","", _xludf.WEEKNUM(A1892, 2))</f>
        <v/>
      </c>
    </row>
    <row r="1893">
      <c r="M1893">
        <f>IF(A1893="","", _xludf.WEEKNUM(A1893, 2))</f>
        <v/>
      </c>
    </row>
    <row r="1894">
      <c r="M1894">
        <f>IF(A1894="","", _xludf.WEEKNUM(A1894, 2))</f>
        <v/>
      </c>
    </row>
    <row r="1895">
      <c r="M1895">
        <f>IF(A1895="","", _xludf.WEEKNUM(A1895, 2))</f>
        <v/>
      </c>
    </row>
    <row r="1896">
      <c r="M1896">
        <f>IF(A1896="","", _xludf.WEEKNUM(A1896, 2))</f>
        <v/>
      </c>
    </row>
    <row r="1897">
      <c r="M1897">
        <f>IF(A1897="","", _xludf.WEEKNUM(A1897, 2))</f>
        <v/>
      </c>
    </row>
    <row r="1898">
      <c r="M1898">
        <f>IF(A1898="","", _xludf.WEEKNUM(A1898, 2))</f>
        <v/>
      </c>
    </row>
    <row r="1899">
      <c r="M1899">
        <f>IF(A1899="","", _xludf.WEEKNUM(A1899, 2))</f>
        <v/>
      </c>
    </row>
    <row r="1900">
      <c r="M1900">
        <f>IF(A1900="","", _xludf.WEEKNUM(A1900, 2))</f>
        <v/>
      </c>
    </row>
    <row r="1901">
      <c r="M1901">
        <f>IF(A1901="","", _xludf.WEEKNUM(A1901, 2))</f>
        <v/>
      </c>
    </row>
    <row r="1902">
      <c r="M1902">
        <f>IF(A1902="","", _xludf.WEEKNUM(A1902, 2))</f>
        <v/>
      </c>
    </row>
    <row r="1903">
      <c r="M1903">
        <f>IF(A1903="","", _xludf.WEEKNUM(A1903, 2))</f>
        <v/>
      </c>
    </row>
    <row r="1904">
      <c r="M1904">
        <f>IF(A1904="","", _xludf.WEEKNUM(A1904, 2))</f>
        <v/>
      </c>
    </row>
    <row r="1905">
      <c r="M1905">
        <f>IF(A1905="","", _xludf.WEEKNUM(A1905, 2))</f>
        <v/>
      </c>
    </row>
    <row r="1906">
      <c r="M1906">
        <f>IF(A1906="","", _xludf.WEEKNUM(A1906, 2))</f>
        <v/>
      </c>
    </row>
    <row r="1907">
      <c r="M1907">
        <f>IF(A1907="","", _xludf.WEEKNUM(A1907, 2))</f>
        <v/>
      </c>
    </row>
    <row r="1908">
      <c r="M1908">
        <f>IF(A1908="","", _xludf.WEEKNUM(A1908, 2))</f>
        <v/>
      </c>
    </row>
    <row r="1909">
      <c r="M1909">
        <f>IF(A1909="","", _xludf.WEEKNUM(A1909, 2))</f>
        <v/>
      </c>
    </row>
    <row r="1910">
      <c r="M1910">
        <f>IF(A1910="","", _xludf.WEEKNUM(A1910, 2))</f>
        <v/>
      </c>
    </row>
    <row r="1911">
      <c r="M1911">
        <f>IF(A1911="","", _xludf.WEEKNUM(A1911, 2))</f>
        <v/>
      </c>
    </row>
    <row r="1912">
      <c r="M1912">
        <f>IF(A1912="","", _xludf.WEEKNUM(A1912, 2))</f>
        <v/>
      </c>
    </row>
    <row r="1913">
      <c r="M1913">
        <f>IF(A1913="","", _xludf.WEEKNUM(A1913, 2))</f>
        <v/>
      </c>
    </row>
    <row r="1914">
      <c r="M1914">
        <f>IF(A1914="","", _xludf.WEEKNUM(A1914, 2))</f>
        <v/>
      </c>
    </row>
    <row r="1915">
      <c r="M1915">
        <f>IF(A1915="","", _xludf.WEEKNUM(A1915, 2))</f>
        <v/>
      </c>
    </row>
    <row r="1916">
      <c r="M1916">
        <f>IF(A1916="","", _xludf.WEEKNUM(A1916, 2))</f>
        <v/>
      </c>
    </row>
    <row r="1917">
      <c r="M1917">
        <f>IF(A1917="","", _xludf.WEEKNUM(A1917, 2))</f>
        <v/>
      </c>
    </row>
    <row r="1918">
      <c r="M1918">
        <f>IF(A1918="","", _xludf.WEEKNUM(A1918, 2))</f>
        <v/>
      </c>
    </row>
    <row r="1919">
      <c r="M1919">
        <f>IF(A1919="","", _xludf.WEEKNUM(A1919, 2))</f>
        <v/>
      </c>
    </row>
    <row r="1920">
      <c r="M1920">
        <f>IF(A1920="","", _xludf.WEEKNUM(A1920, 2))</f>
        <v/>
      </c>
    </row>
    <row r="1921">
      <c r="M1921">
        <f>IF(A1921="","", _xludf.WEEKNUM(A1921, 2))</f>
        <v/>
      </c>
    </row>
    <row r="1922">
      <c r="M1922">
        <f>IF(A1922="","", _xludf.WEEKNUM(A1922, 2))</f>
        <v/>
      </c>
    </row>
    <row r="1923">
      <c r="M1923">
        <f>IF(A1923="","", _xludf.WEEKNUM(A1923, 2))</f>
        <v/>
      </c>
    </row>
    <row r="1924">
      <c r="M1924">
        <f>IF(A1924="","", _xludf.WEEKNUM(A1924, 2))</f>
        <v/>
      </c>
    </row>
    <row r="1925">
      <c r="M1925">
        <f>IF(A1925="","", _xludf.WEEKNUM(A1925, 2))</f>
        <v/>
      </c>
    </row>
    <row r="1926">
      <c r="M1926">
        <f>IF(A1926="","", _xludf.WEEKNUM(A1926, 2))</f>
        <v/>
      </c>
    </row>
    <row r="1927">
      <c r="M1927">
        <f>IF(A1927="","", _xludf.WEEKNUM(A1927, 2))</f>
        <v/>
      </c>
    </row>
    <row r="1928">
      <c r="M1928">
        <f>IF(A1928="","", _xludf.WEEKNUM(A1928, 2))</f>
        <v/>
      </c>
    </row>
    <row r="1929">
      <c r="M1929">
        <f>IF(A1929="","", _xludf.WEEKNUM(A1929, 2))</f>
        <v/>
      </c>
    </row>
    <row r="1930">
      <c r="M1930">
        <f>IF(A1930="","", _xludf.WEEKNUM(A1930, 2))</f>
        <v/>
      </c>
    </row>
    <row r="1931">
      <c r="M1931">
        <f>IF(A1931="","", _xludf.WEEKNUM(A1931, 2))</f>
        <v/>
      </c>
    </row>
    <row r="1932">
      <c r="M1932">
        <f>IF(A1932="","", _xludf.WEEKNUM(A1932, 2))</f>
        <v/>
      </c>
    </row>
    <row r="1933">
      <c r="M1933">
        <f>IF(A1933="","", _xludf.WEEKNUM(A1933, 2))</f>
        <v/>
      </c>
    </row>
    <row r="1934">
      <c r="M1934">
        <f>IF(A1934="","", _xludf.WEEKNUM(A1934, 2))</f>
        <v/>
      </c>
    </row>
    <row r="1935">
      <c r="M1935">
        <f>IF(A1935="","", _xludf.WEEKNUM(A1935, 2))</f>
        <v/>
      </c>
    </row>
    <row r="1936">
      <c r="M1936">
        <f>IF(A1936="","", _xludf.WEEKNUM(A1936, 2))</f>
        <v/>
      </c>
    </row>
    <row r="1937">
      <c r="M1937">
        <f>IF(A1937="","", _xludf.WEEKNUM(A1937, 2))</f>
        <v/>
      </c>
    </row>
    <row r="1938">
      <c r="M1938">
        <f>IF(A1938="","", _xludf.WEEKNUM(A1938, 2))</f>
        <v/>
      </c>
    </row>
    <row r="1939">
      <c r="M1939">
        <f>IF(A1939="","", _xludf.WEEKNUM(A1939, 2))</f>
        <v/>
      </c>
    </row>
    <row r="1940">
      <c r="M1940">
        <f>IF(A1940="","", _xludf.WEEKNUM(A1940, 2))</f>
        <v/>
      </c>
    </row>
    <row r="1941">
      <c r="M1941">
        <f>IF(A1941="","", _xludf.WEEKNUM(A1941, 2))</f>
        <v/>
      </c>
    </row>
    <row r="1942">
      <c r="M1942">
        <f>IF(A1942="","", _xludf.WEEKNUM(A1942, 2))</f>
        <v/>
      </c>
    </row>
    <row r="1943">
      <c r="M1943">
        <f>IF(A1943="","", _xludf.WEEKNUM(A1943, 2))</f>
        <v/>
      </c>
    </row>
    <row r="1944">
      <c r="M1944">
        <f>IF(A1944="","", _xludf.WEEKNUM(A1944, 2))</f>
        <v/>
      </c>
    </row>
    <row r="1945">
      <c r="M1945">
        <f>IF(A1945="","", _xludf.WEEKNUM(A1945, 2))</f>
        <v/>
      </c>
    </row>
    <row r="1946">
      <c r="M1946">
        <f>IF(A1946="","", _xludf.WEEKNUM(A1946, 2))</f>
        <v/>
      </c>
    </row>
    <row r="1947">
      <c r="M1947">
        <f>IF(A1947="","", _xludf.WEEKNUM(A1947, 2))</f>
        <v/>
      </c>
    </row>
    <row r="1948">
      <c r="M1948">
        <f>IF(A1948="","", _xludf.WEEKNUM(A1948, 2))</f>
        <v/>
      </c>
    </row>
    <row r="1949">
      <c r="M1949">
        <f>IF(A1949="","", _xludf.WEEKNUM(A1949, 2))</f>
        <v/>
      </c>
    </row>
    <row r="1950">
      <c r="M1950">
        <f>IF(A1950="","", _xludf.WEEKNUM(A1950, 2))</f>
        <v/>
      </c>
    </row>
    <row r="1951">
      <c r="M1951">
        <f>IF(A1951="","", _xludf.WEEKNUM(A1951, 2))</f>
        <v/>
      </c>
    </row>
    <row r="1952">
      <c r="M1952">
        <f>IF(A1952="","", _xludf.WEEKNUM(A1952, 2))</f>
        <v/>
      </c>
    </row>
    <row r="1953">
      <c r="M1953">
        <f>IF(A1953="","", _xludf.WEEKNUM(A1953, 2))</f>
        <v/>
      </c>
    </row>
    <row r="1954">
      <c r="M1954">
        <f>IF(A1954="","", _xludf.WEEKNUM(A1954, 2))</f>
        <v/>
      </c>
    </row>
    <row r="1955">
      <c r="M1955">
        <f>IF(A1955="","", _xludf.WEEKNUM(A1955, 2))</f>
        <v/>
      </c>
    </row>
    <row r="1956">
      <c r="M1956">
        <f>IF(A1956="","", _xludf.WEEKNUM(A1956, 2))</f>
        <v/>
      </c>
    </row>
    <row r="1957">
      <c r="M1957">
        <f>IF(A1957="","", _xludf.WEEKNUM(A1957, 2))</f>
        <v/>
      </c>
    </row>
    <row r="1958">
      <c r="M1958">
        <f>IF(A1958="","", _xludf.WEEKNUM(A1958, 2))</f>
        <v/>
      </c>
    </row>
    <row r="1959">
      <c r="M1959">
        <f>IF(A1959="","", _xludf.WEEKNUM(A1959, 2))</f>
        <v/>
      </c>
    </row>
    <row r="1960">
      <c r="M1960">
        <f>IF(A1960="","", _xludf.WEEKNUM(A1960, 2))</f>
        <v/>
      </c>
    </row>
    <row r="1961">
      <c r="M1961">
        <f>IF(A1961="","", _xludf.WEEKNUM(A1961, 2))</f>
        <v/>
      </c>
    </row>
    <row r="1962">
      <c r="M1962">
        <f>IF(A1962="","", _xludf.WEEKNUM(A1962, 2))</f>
        <v/>
      </c>
    </row>
    <row r="1963">
      <c r="M1963">
        <f>IF(A1963="","", _xludf.WEEKNUM(A1963, 2))</f>
        <v/>
      </c>
    </row>
    <row r="1964">
      <c r="M1964">
        <f>IF(A1964="","", _xludf.WEEKNUM(A1964, 2))</f>
        <v/>
      </c>
    </row>
    <row r="1965">
      <c r="M1965">
        <f>IF(A1965="","", _xludf.WEEKNUM(A1965, 2))</f>
        <v/>
      </c>
    </row>
    <row r="1966">
      <c r="M1966">
        <f>IF(A1966="","", _xludf.WEEKNUM(A1966, 2))</f>
        <v/>
      </c>
    </row>
    <row r="1967">
      <c r="M1967">
        <f>IF(A1967="","", _xludf.WEEKNUM(A1967, 2))</f>
        <v/>
      </c>
    </row>
    <row r="1968">
      <c r="M1968">
        <f>IF(A1968="","", _xludf.WEEKNUM(A1968, 2))</f>
        <v/>
      </c>
    </row>
    <row r="1969">
      <c r="M1969">
        <f>IF(A1969="","", _xludf.WEEKNUM(A1969, 2))</f>
        <v/>
      </c>
    </row>
    <row r="1970">
      <c r="M1970">
        <f>IF(A1970="","", _xludf.WEEKNUM(A1970, 2))</f>
        <v/>
      </c>
    </row>
    <row r="1971">
      <c r="M1971">
        <f>IF(A1971="","", _xludf.WEEKNUM(A1971, 2))</f>
        <v/>
      </c>
    </row>
    <row r="1972">
      <c r="M1972">
        <f>IF(A1972="","", _xludf.WEEKNUM(A1972, 2))</f>
        <v/>
      </c>
    </row>
    <row r="1973">
      <c r="M1973">
        <f>IF(A1973="","", _xludf.WEEKNUM(A1973, 2))</f>
        <v/>
      </c>
    </row>
    <row r="1974">
      <c r="M1974">
        <f>IF(A1974="","", _xludf.WEEKNUM(A1974, 2))</f>
        <v/>
      </c>
    </row>
    <row r="1975">
      <c r="M1975">
        <f>IF(A1975="","", _xludf.WEEKNUM(A1975, 2))</f>
        <v/>
      </c>
    </row>
    <row r="1976">
      <c r="M1976">
        <f>IF(A1976="","", _xludf.WEEKNUM(A1976, 2))</f>
        <v/>
      </c>
    </row>
    <row r="1977">
      <c r="M1977">
        <f>IF(A1977="","", _xludf.WEEKNUM(A1977, 2))</f>
        <v/>
      </c>
    </row>
    <row r="1978">
      <c r="M1978">
        <f>IF(A1978="","", _xludf.WEEKNUM(A1978, 2))</f>
        <v/>
      </c>
    </row>
    <row r="1979">
      <c r="M1979">
        <f>IF(A1979="","", _xludf.WEEKNUM(A1979, 2))</f>
        <v/>
      </c>
    </row>
    <row r="1980">
      <c r="M1980">
        <f>IF(A1980="","", _xludf.WEEKNUM(A1980, 2))</f>
        <v/>
      </c>
    </row>
    <row r="1981">
      <c r="M1981">
        <f>IF(A1981="","", _xludf.WEEKNUM(A1981, 2))</f>
        <v/>
      </c>
    </row>
    <row r="1982">
      <c r="M1982">
        <f>IF(A1982="","", _xludf.WEEKNUM(A1982, 2))</f>
        <v/>
      </c>
    </row>
    <row r="1983">
      <c r="M1983">
        <f>IF(A1983="","", _xludf.WEEKNUM(A1983, 2))</f>
        <v/>
      </c>
    </row>
    <row r="1984">
      <c r="M1984">
        <f>IF(A1984="","", _xludf.WEEKNUM(A1984, 2))</f>
        <v/>
      </c>
    </row>
    <row r="1985">
      <c r="M1985">
        <f>IF(A1985="","", _xludf.WEEKNUM(A1985, 2))</f>
        <v/>
      </c>
    </row>
    <row r="1986">
      <c r="M1986">
        <f>IF(A1986="","", _xludf.WEEKNUM(A1986, 2))</f>
        <v/>
      </c>
    </row>
    <row r="1987">
      <c r="M1987">
        <f>IF(A1987="","", _xludf.WEEKNUM(A1987, 2))</f>
        <v/>
      </c>
    </row>
    <row r="1988">
      <c r="M1988">
        <f>IF(A1988="","", _xludf.WEEKNUM(A1988, 2))</f>
        <v/>
      </c>
    </row>
    <row r="1989">
      <c r="M1989">
        <f>IF(A1989="","", _xludf.WEEKNUM(A1989, 2))</f>
        <v/>
      </c>
    </row>
    <row r="1990">
      <c r="M1990">
        <f>IF(A1990="","", _xludf.WEEKNUM(A1990, 2))</f>
        <v/>
      </c>
    </row>
    <row r="1991">
      <c r="M1991">
        <f>IF(A1991="","", _xludf.WEEKNUM(A1991, 2))</f>
        <v/>
      </c>
    </row>
    <row r="1992">
      <c r="M1992">
        <f>IF(A1992="","", _xludf.WEEKNUM(A1992, 2))</f>
        <v/>
      </c>
    </row>
    <row r="1993">
      <c r="M1993">
        <f>IF(A1993="","", _xludf.WEEKNUM(A1993, 2))</f>
        <v/>
      </c>
    </row>
    <row r="1994">
      <c r="M1994">
        <f>IF(A1994="","", _xludf.WEEKNUM(A1994, 2))</f>
        <v/>
      </c>
    </row>
    <row r="1995">
      <c r="M1995">
        <f>IF(A1995="","", _xludf.WEEKNUM(A1995, 2))</f>
        <v/>
      </c>
    </row>
    <row r="1996">
      <c r="M1996">
        <f>IF(A1996="","", _xludf.WEEKNUM(A1996, 2))</f>
        <v/>
      </c>
    </row>
    <row r="1997">
      <c r="M1997">
        <f>IF(A1997="","", _xludf.WEEKNUM(A1997, 2))</f>
        <v/>
      </c>
    </row>
    <row r="1998">
      <c r="M1998">
        <f>IF(A1998="","", _xludf.WEEKNUM(A1998, 2))</f>
        <v/>
      </c>
    </row>
    <row r="1999">
      <c r="M1999">
        <f>IF(A1999="","", _xludf.WEEKNUM(A1999, 2))</f>
        <v/>
      </c>
    </row>
    <row r="2000">
      <c r="M2000">
        <f>IF(A2000="","", _xludf.WEEKNUM(A2000, 2))</f>
        <v/>
      </c>
    </row>
  </sheetData>
  <mergeCells count="1">
    <mergeCell ref="A1:L1"/>
  </mergeCells>
  <dataValidations count="1">
    <dataValidation sqref="E5:E206" showDropDown="0" showInputMessage="0" showErrorMessage="0" allowBlank="0"/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000"/>
  <sheetViews>
    <sheetView topLeftCell="A20" zoomScale="90" workbookViewId="0">
      <selection activeCell="H46" sqref="H46"/>
    </sheetView>
  </sheetViews>
  <sheetFormatPr baseColWidth="10" defaultColWidth="8.796875" defaultRowHeight="13.8"/>
  <cols>
    <col width="13" customWidth="1" style="17580" min="1" max="1"/>
    <col width="18" customWidth="1" style="17580" min="2" max="2"/>
    <col width="22" customWidth="1" style="17580" min="3" max="4"/>
    <col width="14" customWidth="1" style="17580" min="5" max="5"/>
    <col width="12" customWidth="1" style="17580" min="6" max="7"/>
    <col width="16" customWidth="1" style="17580" min="8" max="8"/>
    <col width="12" customWidth="1" style="17580" min="9" max="9"/>
    <col width="14" customWidth="1" style="17580" min="10" max="12"/>
    <col hidden="1" width="14" customWidth="1" style="17580" min="13" max="13"/>
    <col width="14" customWidth="1" style="17580" min="14" max="14"/>
    <col width="18" customWidth="1" style="17580" min="15" max="15"/>
    <col width="30" customWidth="1" style="17580" min="16" max="16"/>
  </cols>
  <sheetData>
    <row r="1" ht="22.35" customHeight="1" s="17580">
      <c r="A1" s="17624" t="inlineStr">
        <is>
          <t>GC-COMB-002 | BITÁCORA DE SUMINISTRO DE JALISCO</t>
        </is>
      </c>
    </row>
    <row r="2">
      <c r="A2" t="inlineStr">
        <is>
          <t>Operador:</t>
        </is>
      </c>
      <c r="C2" t="inlineStr">
        <is>
          <t>Semana:</t>
        </is>
      </c>
      <c r="E2" t="inlineStr">
        <is>
          <t>Fecha entrega:</t>
        </is>
      </c>
      <c r="G2" t="inlineStr">
        <is>
          <t>Marimba:</t>
        </is>
      </c>
      <c r="H2" t="inlineStr">
        <is>
          <t>M-01</t>
        </is>
      </c>
      <c r="I2" t="inlineStr">
        <is>
          <t>Costo/L base:</t>
        </is>
      </c>
    </row>
    <row r="4" ht="27.6" customHeight="1" s="17580">
      <c r="A4" s="1" t="inlineStr">
        <is>
          <t>Fecha</t>
        </is>
      </c>
      <c r="B4" s="1" t="inlineStr">
        <is>
          <t>Movimiento</t>
        </is>
      </c>
      <c r="C4" s="1" t="inlineStr">
        <is>
          <t>Origen/Obra</t>
        </is>
      </c>
      <c r="D4" s="1" t="inlineStr">
        <is>
          <t>Equipo</t>
        </is>
      </c>
      <c r="E4" s="1" t="inlineStr">
        <is>
          <t>Económico</t>
        </is>
      </c>
      <c r="F4" s="1" t="inlineStr">
        <is>
          <t>Entrada (L)</t>
        </is>
      </c>
      <c r="G4" s="1" t="inlineStr">
        <is>
          <t>Salida (L)</t>
        </is>
      </c>
      <c r="H4" s="1" t="inlineStr">
        <is>
          <t>Existencia Teórica</t>
        </is>
      </c>
      <c r="I4" s="1" t="inlineStr">
        <is>
          <t>Costo/L</t>
        </is>
      </c>
      <c r="J4" s="1" t="inlineStr">
        <is>
          <t>Importe</t>
        </is>
      </c>
      <c r="K4" s="1" t="inlineStr">
        <is>
          <t>Saldo inicial(vales)</t>
        </is>
      </c>
      <c r="L4" s="1" t="inlineStr">
        <is>
          <t>Saldo final(vales)</t>
        </is>
      </c>
      <c r="M4" s="1" t="inlineStr">
        <is>
          <t>Semana (Helper)</t>
        </is>
      </c>
      <c r="N4" s="1" t="inlineStr">
        <is>
          <t>Gasolina</t>
        </is>
      </c>
      <c r="O4" s="1" t="inlineStr">
        <is>
          <t>Firma/Validación</t>
        </is>
      </c>
      <c r="P4" s="1" t="inlineStr">
        <is>
          <t>Observaciones</t>
        </is>
      </c>
    </row>
    <row r="5">
      <c r="A5" s="17625" t="n">
        <v>46168</v>
      </c>
      <c r="B5" t="inlineStr">
        <is>
          <t>Salida</t>
        </is>
      </c>
      <c r="C5" t="inlineStr">
        <is>
          <t>Jalisco</t>
        </is>
      </c>
      <c r="D5" t="inlineStr">
        <is>
          <t>Motoconformadora Rentada</t>
        </is>
      </c>
      <c r="E5">
        <f>VLOOKUP(TablaMarimba6[[#This Row],[Equipo]],Catalogos!$V$4:$W$55,2,FALSE)</f>
        <v/>
      </c>
      <c r="F5" s="3" t="n"/>
      <c r="G5" s="17626" t="n">
        <v>89</v>
      </c>
      <c r="H5" s="3" t="n">
        <v>0</v>
      </c>
      <c r="I5" s="4" t="n">
        <v>27</v>
      </c>
      <c r="J5" s="4">
        <f>(TablaMarimba6[[#This Row],[Salida (L)]]*TablaMarimba6[[#This Row],[Costo/L]])</f>
        <v/>
      </c>
      <c r="K5" s="4" t="n">
        <v>21600</v>
      </c>
      <c r="L5" s="4">
        <f>(TablaMarimba6[[#This Row],[Saldo inicial(vales)]]-TablaMarimba6[[#This Row],[Importe]])</f>
        <v/>
      </c>
      <c r="M5" s="4">
        <f>IF(A5="","", _xludf.WEEKNUM(A5, 2))</f>
        <v/>
      </c>
      <c r="N5" s="4" t="n"/>
    </row>
    <row r="6">
      <c r="A6" s="17625" t="n">
        <v>46169</v>
      </c>
      <c r="B6" t="inlineStr">
        <is>
          <t>Salida</t>
        </is>
      </c>
      <c r="C6" t="inlineStr">
        <is>
          <t>Jalisco</t>
        </is>
      </c>
      <c r="D6" t="inlineStr">
        <is>
          <t>Motoconformadora Rentada</t>
        </is>
      </c>
      <c r="E6">
        <f>VLOOKUP(TablaMarimba6[[#This Row],[Equipo]],Catalogos!$V$4:$W$55,2,FALSE)</f>
        <v/>
      </c>
      <c r="F6" s="3" t="n"/>
      <c r="G6" s="17626" t="n">
        <v>89</v>
      </c>
      <c r="H6" s="3">
        <f>IF(ROW()=5,F5-G5,H5+F5-G5)</f>
        <v/>
      </c>
      <c r="I6" s="4" t="n">
        <v>27</v>
      </c>
      <c r="J6" s="4">
        <f>(TablaMarimba6[[#This Row],[Salida (L)]]*TablaMarimba6[[#This Row],[Costo/L]])</f>
        <v/>
      </c>
      <c r="K6" s="4">
        <f>L5+M5</f>
        <v/>
      </c>
      <c r="L6" s="4">
        <f>(TablaMarimba6[[#This Row],[Saldo inicial(vales)]]-TablaMarimba6[[#This Row],[Importe]])</f>
        <v/>
      </c>
      <c r="M6" s="4">
        <f>IF(A6="","", _xludf.WEEKNUM(A6, 2))</f>
        <v/>
      </c>
      <c r="N6" s="4" t="n"/>
    </row>
    <row r="7">
      <c r="A7" s="17625" t="n">
        <v>46171</v>
      </c>
      <c r="B7" t="inlineStr">
        <is>
          <t>Salida</t>
        </is>
      </c>
      <c r="C7" t="inlineStr">
        <is>
          <t>Jalisco</t>
        </is>
      </c>
      <c r="D7" t="inlineStr">
        <is>
          <t>Motoconformadora Rentada</t>
        </is>
      </c>
      <c r="E7">
        <f>VLOOKUP(TablaMarimba6[[#This Row],[Equipo]],Catalogos!$V$4:$W$55,2,FALSE)</f>
        <v/>
      </c>
      <c r="F7" s="3" t="n"/>
      <c r="G7" s="17626" t="n">
        <v>99</v>
      </c>
      <c r="H7" s="3">
        <f>IF(ROW()=5,F6-G6,H6+F6-G6)</f>
        <v/>
      </c>
      <c r="I7" s="4" t="n">
        <v>27</v>
      </c>
      <c r="J7" s="4">
        <f>(TablaMarimba6[[#This Row],[Salida (L)]]*TablaMarimba6[[#This Row],[Costo/L]])</f>
        <v/>
      </c>
      <c r="K7" s="4">
        <f>L6+M6</f>
        <v/>
      </c>
      <c r="L7" s="4">
        <f>(TablaMarimba6[[#This Row],[Saldo inicial(vales)]]-TablaMarimba6[[#This Row],[Importe]])</f>
        <v/>
      </c>
      <c r="M7" s="4">
        <f>IF(A7="","", _xludf.WEEKNUM(A7, 2))</f>
        <v/>
      </c>
      <c r="N7" s="4" t="n"/>
    </row>
    <row r="8">
      <c r="A8" s="17625" t="n">
        <v>46171</v>
      </c>
      <c r="B8" t="inlineStr">
        <is>
          <t>Salida</t>
        </is>
      </c>
      <c r="C8" t="inlineStr">
        <is>
          <t>Jalisco</t>
        </is>
      </c>
      <c r="D8" t="inlineStr">
        <is>
          <t>Motoconformadora</t>
        </is>
      </c>
      <c r="E8">
        <f>VLOOKUP(TablaMarimba6[[#This Row],[Equipo]],Catalogos!$V$4:$W$55,2,FALSE)</f>
        <v/>
      </c>
      <c r="F8" s="3" t="n"/>
      <c r="G8" s="17626" t="n">
        <v>99</v>
      </c>
      <c r="H8" s="3">
        <f>IF(ROW()=5,F7-G7,H7+F7-G7)</f>
        <v/>
      </c>
      <c r="I8" s="4" t="n">
        <v>27</v>
      </c>
      <c r="J8" s="4">
        <f>(TablaMarimba6[[#This Row],[Salida (L)]]*TablaMarimba6[[#This Row],[Costo/L]])</f>
        <v/>
      </c>
      <c r="K8" s="4">
        <f>L7+M7</f>
        <v/>
      </c>
      <c r="L8" s="4">
        <f>(TablaMarimba6[[#This Row],[Saldo inicial(vales)]]-TablaMarimba6[[#This Row],[Importe]])</f>
        <v/>
      </c>
      <c r="M8" s="4">
        <f>IF(A8="","", _xludf.WEEKNUM(A8, 2))</f>
        <v/>
      </c>
      <c r="N8" s="4" t="n"/>
    </row>
    <row r="9">
      <c r="A9" s="17625" t="n">
        <v>46172</v>
      </c>
      <c r="B9" t="inlineStr">
        <is>
          <t>Salida</t>
        </is>
      </c>
      <c r="C9" t="inlineStr">
        <is>
          <t>Jalisco</t>
        </is>
      </c>
      <c r="D9" t="inlineStr">
        <is>
          <t>Motoconformadora Rentada</t>
        </is>
      </c>
      <c r="E9">
        <f>VLOOKUP(TablaMarimba6[[#This Row],[Equipo]],Catalogos!$V$4:$W$55,2,FALSE)</f>
        <v/>
      </c>
      <c r="F9" s="3" t="n"/>
      <c r="G9" s="17626" t="n">
        <v>90</v>
      </c>
      <c r="H9" s="3">
        <f>IF(ROW()=5,F8-G8,H8+F8-G8)</f>
        <v/>
      </c>
      <c r="I9" s="4" t="n">
        <v>27</v>
      </c>
      <c r="J9" s="4">
        <f>(TablaMarimba6[[#This Row],[Salida (L)]]*TablaMarimba6[[#This Row],[Costo/L]])</f>
        <v/>
      </c>
      <c r="K9" s="4">
        <f>L8+M8</f>
        <v/>
      </c>
      <c r="L9" s="4">
        <f>(TablaMarimba6[[#This Row],[Saldo inicial(vales)]]-TablaMarimba6[[#This Row],[Importe]])</f>
        <v/>
      </c>
      <c r="M9" s="4">
        <f>IF(A9="","", _xludf.WEEKNUM(A9, 2))</f>
        <v/>
      </c>
      <c r="N9" s="4" t="n"/>
    </row>
    <row r="10">
      <c r="A10" s="17625" t="n">
        <v>46172</v>
      </c>
      <c r="B10" t="inlineStr">
        <is>
          <t>Salida</t>
        </is>
      </c>
      <c r="C10" t="inlineStr">
        <is>
          <t>Jalisco</t>
        </is>
      </c>
      <c r="D10" t="inlineStr">
        <is>
          <t>Motoconformadora</t>
        </is>
      </c>
      <c r="E10">
        <f>VLOOKUP(TablaMarimba6[[#This Row],[Equipo]],Catalogos!$V$4:$W$55,2,FALSE)</f>
        <v/>
      </c>
      <c r="F10" s="3" t="n"/>
      <c r="G10" s="17626" t="n">
        <v>90</v>
      </c>
      <c r="H10" s="3">
        <f>IF(ROW()=5,F9-G9,H9+F9-G9)</f>
        <v/>
      </c>
      <c r="I10" s="4" t="n">
        <v>27</v>
      </c>
      <c r="J10" s="4">
        <f>(TablaMarimba6[[#This Row],[Salida (L)]]*TablaMarimba6[[#This Row],[Costo/L]])</f>
        <v/>
      </c>
      <c r="K10" s="4">
        <f>L9+M9</f>
        <v/>
      </c>
      <c r="L10" s="4">
        <f>(TablaMarimba6[[#This Row],[Saldo inicial(vales)]]-TablaMarimba6[[#This Row],[Importe]])</f>
        <v/>
      </c>
      <c r="M10" s="4">
        <f>IF(A10="","", _xludf.WEEKNUM(A10, 2))</f>
        <v/>
      </c>
      <c r="N10" s="4" t="n"/>
    </row>
    <row r="11">
      <c r="A11" s="17625" t="n">
        <v>46174</v>
      </c>
      <c r="B11" t="inlineStr">
        <is>
          <t>Salida</t>
        </is>
      </c>
      <c r="C11" t="inlineStr">
        <is>
          <t>Jalisco</t>
        </is>
      </c>
      <c r="D11" t="inlineStr">
        <is>
          <t>Retroexcavadora</t>
        </is>
      </c>
      <c r="E11">
        <f>VLOOKUP(TablaMarimba6[[#This Row],[Equipo]],Catalogos!$V$4:$W$55,2,FALSE)</f>
        <v/>
      </c>
      <c r="F11" s="3" t="n"/>
      <c r="G11" s="17626" t="n">
        <v>50</v>
      </c>
      <c r="H11" s="3">
        <f>IF(ROW()=5,F10-G10,H10+F10-G10)</f>
        <v/>
      </c>
      <c r="I11" s="4" t="n">
        <v>27</v>
      </c>
      <c r="J11" s="4">
        <f>(TablaMarimba6[[#This Row],[Salida (L)]]*TablaMarimba6[[#This Row],[Costo/L]])</f>
        <v/>
      </c>
      <c r="K11" s="4">
        <f>L10+M10</f>
        <v/>
      </c>
      <c r="L11" s="4">
        <f>(TablaMarimba6[[#This Row],[Saldo inicial(vales)]]-TablaMarimba6[[#This Row],[Importe]])</f>
        <v/>
      </c>
      <c r="M11" s="4">
        <f>IF(A11="","", _xludf.WEEKNUM(A11, 2))</f>
        <v/>
      </c>
      <c r="N11" s="4" t="n"/>
    </row>
    <row r="12">
      <c r="A12" s="17625" t="n">
        <v>46175</v>
      </c>
      <c r="B12" t="inlineStr">
        <is>
          <t>Salida</t>
        </is>
      </c>
      <c r="C12" t="inlineStr">
        <is>
          <t>Jalisco</t>
        </is>
      </c>
      <c r="D12" t="inlineStr">
        <is>
          <t>Motoconformadora Rentada</t>
        </is>
      </c>
      <c r="E12">
        <f>VLOOKUP(TablaMarimba6[[#This Row],[Equipo]],Catalogos!$V$4:$W$55,2,FALSE)</f>
        <v/>
      </c>
      <c r="F12" s="3" t="n"/>
      <c r="G12" s="17626" t="n">
        <v>74</v>
      </c>
      <c r="H12" s="3">
        <f>IF(ROW()=5,F11-G11,H11+F11-G11)</f>
        <v/>
      </c>
      <c r="I12" s="4" t="n">
        <v>27</v>
      </c>
      <c r="J12" s="4">
        <f>(TablaMarimba6[[#This Row],[Salida (L)]]*TablaMarimba6[[#This Row],[Costo/L]])</f>
        <v/>
      </c>
      <c r="K12" s="4">
        <f>L11+M11</f>
        <v/>
      </c>
      <c r="L12" s="4">
        <f>(TablaMarimba6[[#This Row],[Saldo inicial(vales)]]-TablaMarimba6[[#This Row],[Importe]])</f>
        <v/>
      </c>
      <c r="M12" s="4">
        <f>IF(A12="","", _xludf.WEEKNUM(A12, 2))</f>
        <v/>
      </c>
      <c r="N12" s="4" t="n"/>
    </row>
    <row r="13">
      <c r="A13" s="17625" t="n">
        <v>46175</v>
      </c>
      <c r="B13" t="inlineStr">
        <is>
          <t>Salida</t>
        </is>
      </c>
      <c r="C13" t="inlineStr">
        <is>
          <t>Jalisco</t>
        </is>
      </c>
      <c r="D13" t="inlineStr">
        <is>
          <t>Motoconformadora</t>
        </is>
      </c>
      <c r="E13">
        <f>VLOOKUP(TablaMarimba6[[#This Row],[Equipo]],Catalogos!$V$4:$W$55,2,FALSE)</f>
        <v/>
      </c>
      <c r="F13" s="3" t="n"/>
      <c r="G13" s="17626" t="n">
        <v>80</v>
      </c>
      <c r="H13" s="3">
        <f>IF(ROW()=5,F12-G12,H12+F12-G12)</f>
        <v/>
      </c>
      <c r="I13" s="4" t="n">
        <v>27</v>
      </c>
      <c r="J13" s="4">
        <f>(TablaMarimba6[[#This Row],[Salida (L)]]*TablaMarimba6[[#This Row],[Costo/L]])</f>
        <v/>
      </c>
      <c r="K13" s="4">
        <f>L12+M12</f>
        <v/>
      </c>
      <c r="L13" s="4">
        <f>(TablaMarimba6[[#This Row],[Saldo inicial(vales)]]-TablaMarimba6[[#This Row],[Importe]])</f>
        <v/>
      </c>
      <c r="M13" s="4">
        <f>IF(A13="","", _xludf.WEEKNUM(A13, 2))</f>
        <v/>
      </c>
      <c r="N13" s="4" t="n"/>
    </row>
    <row r="14">
      <c r="A14" s="17625" t="n">
        <v>46175</v>
      </c>
      <c r="B14" t="inlineStr">
        <is>
          <t>Salida</t>
        </is>
      </c>
      <c r="C14" t="inlineStr">
        <is>
          <t>Jalisco</t>
        </is>
      </c>
      <c r="D14" t="inlineStr">
        <is>
          <t>Vibro Compactador</t>
        </is>
      </c>
      <c r="E14">
        <f>VLOOKUP(TablaMarimba6[[#This Row],[Equipo]],Catalogos!$V$4:$W$55,2,FALSE)</f>
        <v/>
      </c>
      <c r="F14" s="3" t="n"/>
      <c r="G14" s="17626" t="n">
        <v>40</v>
      </c>
      <c r="H14" s="3">
        <f>IF(ROW()=5,F13-G13,H13+F13-G13)</f>
        <v/>
      </c>
      <c r="I14" s="4" t="n">
        <v>27</v>
      </c>
      <c r="J14" s="4">
        <f>(TablaMarimba6[[#This Row],[Salida (L)]]*TablaMarimba6[[#This Row],[Costo/L]])</f>
        <v/>
      </c>
      <c r="K14" s="4">
        <f>L13+M13</f>
        <v/>
      </c>
      <c r="L14" s="4">
        <f>(TablaMarimba6[[#This Row],[Saldo inicial(vales)]]-TablaMarimba6[[#This Row],[Importe]])</f>
        <v/>
      </c>
      <c r="M14" s="4">
        <f>IF(A14="","", _xludf.WEEKNUM(A14, 2))</f>
        <v/>
      </c>
      <c r="N14" s="4" t="n"/>
    </row>
    <row r="15">
      <c r="A15" s="17625" t="n">
        <v>46177</v>
      </c>
      <c r="B15" t="inlineStr">
        <is>
          <t>Salida</t>
        </is>
      </c>
      <c r="C15" t="inlineStr">
        <is>
          <t>Jalisco</t>
        </is>
      </c>
      <c r="D15" t="inlineStr">
        <is>
          <t>Motoconformadora Rentada</t>
        </is>
      </c>
      <c r="E15">
        <f>VLOOKUP(TablaMarimba6[[#This Row],[Equipo]],Catalogos!$V$4:$W$55,2,FALSE)</f>
        <v/>
      </c>
      <c r="F15" s="3" t="n"/>
      <c r="G15" s="17626" t="n">
        <v>70</v>
      </c>
      <c r="H15" s="3">
        <f>IF(ROW()=5,F14-G14,H14+F14-G14)</f>
        <v/>
      </c>
      <c r="I15" s="4" t="n">
        <v>27</v>
      </c>
      <c r="J15" s="4">
        <f>(TablaMarimba6[[#This Row],[Salida (L)]]*TablaMarimba6[[#This Row],[Costo/L]])</f>
        <v/>
      </c>
      <c r="K15" s="4">
        <f>L14+M14</f>
        <v/>
      </c>
      <c r="L15" s="4">
        <f>(TablaMarimba6[[#This Row],[Saldo inicial(vales)]]-TablaMarimba6[[#This Row],[Importe]])</f>
        <v/>
      </c>
      <c r="M15" s="4">
        <f>IF(A15="","", _xludf.WEEKNUM(A15, 2))</f>
        <v/>
      </c>
      <c r="N15" s="4" t="n"/>
    </row>
    <row r="16">
      <c r="A16" s="17625" t="n">
        <v>46177</v>
      </c>
      <c r="B16" t="inlineStr">
        <is>
          <t>Salida</t>
        </is>
      </c>
      <c r="C16" t="inlineStr">
        <is>
          <t>Jalisco</t>
        </is>
      </c>
      <c r="D16" t="inlineStr">
        <is>
          <t>Pipa</t>
        </is>
      </c>
      <c r="E16">
        <f>VLOOKUP(TablaMarimba6[[#This Row],[Equipo]],Catalogos!$V$4:$W$55,2,FALSE)</f>
        <v/>
      </c>
      <c r="F16" s="3" t="n"/>
      <c r="G16" s="17626" t="n">
        <v>100</v>
      </c>
      <c r="H16" s="3">
        <f>IF(ROW()=5,F15-G15,H15+F15-G15)</f>
        <v/>
      </c>
      <c r="I16" s="4" t="n">
        <v>27</v>
      </c>
      <c r="J16" s="4">
        <f>(TablaMarimba6[[#This Row],[Salida (L)]]*TablaMarimba6[[#This Row],[Costo/L]])</f>
        <v/>
      </c>
      <c r="K16" s="4">
        <f>L15+M15</f>
        <v/>
      </c>
      <c r="L16" s="4">
        <f>(TablaMarimba6[[#This Row],[Saldo inicial(vales)]]-TablaMarimba6[[#This Row],[Importe]])</f>
        <v/>
      </c>
      <c r="M16" s="4">
        <f>IF(A16="","", _xludf.WEEKNUM(A16, 2))</f>
        <v/>
      </c>
      <c r="N16" s="4" t="n"/>
    </row>
    <row r="17">
      <c r="A17" s="17625" t="n">
        <v>46178</v>
      </c>
      <c r="B17" t="inlineStr">
        <is>
          <t>Salida</t>
        </is>
      </c>
      <c r="C17" t="inlineStr">
        <is>
          <t>Jalisco</t>
        </is>
      </c>
      <c r="D17" t="inlineStr">
        <is>
          <t>Motoconformadora Rentada</t>
        </is>
      </c>
      <c r="E17">
        <f>VLOOKUP(TablaMarimba6[[#This Row],[Equipo]],Catalogos!$V$4:$W$55,2,FALSE)</f>
        <v/>
      </c>
      <c r="F17" s="3" t="n"/>
      <c r="G17" s="17626" t="n">
        <v>60</v>
      </c>
      <c r="H17" s="3">
        <f>IF(ROW()=5,F16-G16,H16+F16-G16)</f>
        <v/>
      </c>
      <c r="I17" s="4" t="n">
        <v>27</v>
      </c>
      <c r="J17" s="4">
        <f>(TablaMarimba6[[#This Row],[Salida (L)]]*TablaMarimba6[[#This Row],[Costo/L]])</f>
        <v/>
      </c>
      <c r="K17" s="4">
        <f>L16+M16</f>
        <v/>
      </c>
      <c r="L17" s="4">
        <f>(TablaMarimba6[[#This Row],[Saldo inicial(vales)]]-TablaMarimba6[[#This Row],[Importe]])</f>
        <v/>
      </c>
      <c r="M17" s="4">
        <f>IF(A17="","", _xludf.WEEKNUM(A17, 2))</f>
        <v/>
      </c>
      <c r="N17" s="4" t="n"/>
    </row>
    <row r="18">
      <c r="A18" s="17625" t="n">
        <v>46178</v>
      </c>
      <c r="B18" t="inlineStr">
        <is>
          <t>Salida</t>
        </is>
      </c>
      <c r="C18" t="inlineStr">
        <is>
          <t>Jalisco</t>
        </is>
      </c>
      <c r="D18" t="inlineStr">
        <is>
          <t>Motoconformadora</t>
        </is>
      </c>
      <c r="E18">
        <f>VLOOKUP(TablaMarimba6[[#This Row],[Equipo]],Catalogos!$V$4:$W$55,2,FALSE)</f>
        <v/>
      </c>
      <c r="F18" s="3" t="n"/>
      <c r="G18" s="17626" t="n">
        <v>70</v>
      </c>
      <c r="H18" s="3">
        <f>IF(ROW()=5,F17-G17,H17+F17-G17)</f>
        <v/>
      </c>
      <c r="I18" s="4" t="n">
        <v>27</v>
      </c>
      <c r="J18" s="4">
        <f>(TablaMarimba6[[#This Row],[Salida (L)]]*TablaMarimba6[[#This Row],[Costo/L]])</f>
        <v/>
      </c>
      <c r="K18" s="4">
        <f>L17+M17</f>
        <v/>
      </c>
      <c r="L18" s="4">
        <f>(TablaMarimba6[[#This Row],[Saldo inicial(vales)]]-TablaMarimba6[[#This Row],[Importe]])</f>
        <v/>
      </c>
      <c r="M18" s="4">
        <f>IF(A18="","", _xludf.WEEKNUM(A18, 2))</f>
        <v/>
      </c>
      <c r="N18" s="4" t="n"/>
    </row>
    <row r="19">
      <c r="A19" s="17625" t="n">
        <v>46178</v>
      </c>
      <c r="B19" t="inlineStr">
        <is>
          <t>Salida</t>
        </is>
      </c>
      <c r="C19" t="inlineStr">
        <is>
          <t>Jalisco</t>
        </is>
      </c>
      <c r="D19" t="inlineStr">
        <is>
          <t>Vibro Compactador</t>
        </is>
      </c>
      <c r="E19">
        <f>VLOOKUP(TablaMarimba6[[#This Row],[Equipo]],Catalogos!$V$4:$W$55,2,FALSE)</f>
        <v/>
      </c>
      <c r="F19" s="3" t="n"/>
      <c r="G19" s="17626" t="n">
        <v>40</v>
      </c>
      <c r="H19" s="3">
        <f>IF(ROW()=5,F18-G18,H18+F18-G18)</f>
        <v/>
      </c>
      <c r="I19" s="4" t="n">
        <v>27</v>
      </c>
      <c r="J19" s="4">
        <f>(TablaMarimba6[[#This Row],[Salida (L)]]*TablaMarimba6[[#This Row],[Costo/L]])</f>
        <v/>
      </c>
      <c r="K19" s="4">
        <f>L18+M18</f>
        <v/>
      </c>
      <c r="L19" s="4">
        <f>(TablaMarimba6[[#This Row],[Saldo inicial(vales)]]-TablaMarimba6[[#This Row],[Importe]])</f>
        <v/>
      </c>
      <c r="M19" s="4">
        <f>IF(A19="","", _xludf.WEEKNUM(A19, 2))</f>
        <v/>
      </c>
      <c r="N19" s="4" t="n"/>
    </row>
    <row r="20">
      <c r="A20" s="17625" t="n">
        <v>46179</v>
      </c>
      <c r="B20" t="inlineStr">
        <is>
          <t>Salida</t>
        </is>
      </c>
      <c r="C20" t="inlineStr">
        <is>
          <t>Jalisco</t>
        </is>
      </c>
      <c r="D20" t="inlineStr">
        <is>
          <t>Motoconformadora Rentada</t>
        </is>
      </c>
      <c r="E20">
        <f>VLOOKUP(TablaMarimba6[[#This Row],[Equipo]],Catalogos!$V$4:$W$55,2,FALSE)</f>
        <v/>
      </c>
      <c r="F20" s="3" t="n"/>
      <c r="G20" s="17626" t="n">
        <v>100</v>
      </c>
      <c r="H20" s="3">
        <f>IF(ROW()=5,F19-G19,H19+F19-G19)</f>
        <v/>
      </c>
      <c r="I20" s="4" t="n">
        <v>27</v>
      </c>
      <c r="J20" s="4">
        <f>(TablaMarimba6[[#This Row],[Salida (L)]]*TablaMarimba6[[#This Row],[Costo/L]])</f>
        <v/>
      </c>
      <c r="K20" s="4">
        <f>L19+M19</f>
        <v/>
      </c>
      <c r="L20" s="4">
        <f>(TablaMarimba6[[#This Row],[Saldo inicial(vales)]]-TablaMarimba6[[#This Row],[Importe]])</f>
        <v/>
      </c>
      <c r="M20" s="4">
        <f>IF(A20="","", _xludf.WEEKNUM(A20, 2))</f>
        <v/>
      </c>
      <c r="N20" s="4" t="n"/>
    </row>
    <row r="21">
      <c r="A21" s="17625" t="n">
        <v>46179</v>
      </c>
      <c r="B21" t="inlineStr">
        <is>
          <t>Salida</t>
        </is>
      </c>
      <c r="C21" t="inlineStr">
        <is>
          <t>Jalisco</t>
        </is>
      </c>
      <c r="D21" t="inlineStr">
        <is>
          <t>Motoconformadora</t>
        </is>
      </c>
      <c r="E21">
        <f>VLOOKUP(TablaMarimba6[[#This Row],[Equipo]],Catalogos!$V$4:$W$55,2,FALSE)</f>
        <v/>
      </c>
      <c r="F21" s="3" t="n"/>
      <c r="G21" s="17626" t="n">
        <v>100</v>
      </c>
      <c r="H21" s="3">
        <f>IF(ROW()=5,F20-G20,H20+F20-G20)</f>
        <v/>
      </c>
      <c r="I21" s="4" t="n">
        <v>27</v>
      </c>
      <c r="J21" s="4">
        <f>(TablaMarimba6[[#This Row],[Salida (L)]]*TablaMarimba6[[#This Row],[Costo/L]])</f>
        <v/>
      </c>
      <c r="K21" s="4">
        <f>L20+M20</f>
        <v/>
      </c>
      <c r="L21" s="4">
        <f>(TablaMarimba6[[#This Row],[Saldo inicial(vales)]]-TablaMarimba6[[#This Row],[Importe]])</f>
        <v/>
      </c>
      <c r="M21" s="4">
        <f>IF(A21="","", _xludf.WEEKNUM(A21, 2))</f>
        <v/>
      </c>
      <c r="N21" s="4" t="n"/>
    </row>
    <row r="22">
      <c r="A22" s="17625" t="n">
        <v>46179</v>
      </c>
      <c r="B22" t="inlineStr">
        <is>
          <t>Salida</t>
        </is>
      </c>
      <c r="C22" t="inlineStr">
        <is>
          <t>Jalisco</t>
        </is>
      </c>
      <c r="D22" t="inlineStr">
        <is>
          <t>Retroexcavadora</t>
        </is>
      </c>
      <c r="E22">
        <f>VLOOKUP(TablaMarimba6[[#This Row],[Equipo]],Catalogos!$V$4:$W$55,2,FALSE)</f>
        <v/>
      </c>
      <c r="F22" s="3" t="n"/>
      <c r="G22" s="17626" t="n">
        <v>40</v>
      </c>
      <c r="H22" s="3">
        <f>IF(ROW()=5,F21-G21,H21+F21-G21)</f>
        <v/>
      </c>
      <c r="I22" s="4" t="n">
        <v>27</v>
      </c>
      <c r="J22" s="4">
        <f>(TablaMarimba6[[#This Row],[Salida (L)]]*TablaMarimba6[[#This Row],[Costo/L]])</f>
        <v/>
      </c>
      <c r="K22" s="4">
        <f>L21+M21</f>
        <v/>
      </c>
      <c r="L22" s="4">
        <f>(TablaMarimba6[[#This Row],[Saldo inicial(vales)]]-TablaMarimba6[[#This Row],[Importe]])</f>
        <v/>
      </c>
      <c r="M22" s="4">
        <f>IF(A22="","", _xludf.WEEKNUM(A22, 2))</f>
        <v/>
      </c>
      <c r="N22" s="4" t="n">
        <v>3000</v>
      </c>
    </row>
    <row r="23">
      <c r="A23" s="17625" t="n">
        <v>46181</v>
      </c>
      <c r="B23" t="inlineStr">
        <is>
          <t>Salida</t>
        </is>
      </c>
      <c r="C23" t="inlineStr">
        <is>
          <t>Jalisco</t>
        </is>
      </c>
      <c r="D23" t="inlineStr">
        <is>
          <t>Motoconformadora Rentada</t>
        </is>
      </c>
      <c r="E23">
        <f>VLOOKUP(TablaMarimba6[[#This Row],[Equipo]],Catalogos!$V$4:$W$55,2,FALSE)</f>
        <v/>
      </c>
      <c r="F23" s="3" t="n"/>
      <c r="G23" s="17626" t="n">
        <v>70</v>
      </c>
      <c r="H23" s="3">
        <f>IF(ROW()=5,F22-G22,H22+F22-G22)</f>
        <v/>
      </c>
      <c r="I23" s="4" t="n">
        <v>27</v>
      </c>
      <c r="J23" s="4">
        <f>(TablaMarimba6[[#This Row],[Salida (L)]]*TablaMarimba6[[#This Row],[Costo/L]])</f>
        <v/>
      </c>
      <c r="K23" s="4">
        <f>L22+M22-N22</f>
        <v/>
      </c>
      <c r="L23" s="4">
        <f>(TablaMarimba6[[#This Row],[Saldo inicial(vales)]]-TablaMarimba6[[#This Row],[Importe]])</f>
        <v/>
      </c>
      <c r="M23" s="4">
        <f>IF(A23="","", _xludf.WEEKNUM(A23, 2))</f>
        <v/>
      </c>
      <c r="N23" s="4" t="n"/>
    </row>
    <row r="24">
      <c r="A24" s="17625" t="n">
        <v>46181</v>
      </c>
      <c r="B24" t="inlineStr">
        <is>
          <t>Salida</t>
        </is>
      </c>
      <c r="C24" t="inlineStr">
        <is>
          <t>Jalisco</t>
        </is>
      </c>
      <c r="D24" t="inlineStr">
        <is>
          <t>Vibro Compactador</t>
        </is>
      </c>
      <c r="E24">
        <f>VLOOKUP(TablaMarimba6[[#This Row],[Equipo]],Catalogos!$V$4:$W$55,2,FALSE)</f>
        <v/>
      </c>
      <c r="F24" s="3" t="n"/>
      <c r="G24" s="17626" t="n">
        <v>40</v>
      </c>
      <c r="H24" s="3">
        <f>IF(ROW()=5,F23-G23,H23+F23-G23)</f>
        <v/>
      </c>
      <c r="I24" s="4" t="n">
        <v>27</v>
      </c>
      <c r="J24" s="4">
        <f>(TablaMarimba6[[#This Row],[Salida (L)]]*TablaMarimba6[[#This Row],[Costo/L]])</f>
        <v/>
      </c>
      <c r="K24" s="4">
        <f>L23+M23-N23</f>
        <v/>
      </c>
      <c r="L24" s="4">
        <f>(TablaMarimba6[[#This Row],[Saldo inicial(vales)]]-TablaMarimba6[[#This Row],[Importe]])</f>
        <v/>
      </c>
      <c r="M24" s="4">
        <f>IF(A24="","", _xludf.WEEKNUM(A24, 2))</f>
        <v/>
      </c>
      <c r="N24" s="4" t="n"/>
    </row>
    <row r="25">
      <c r="A25" s="17625" t="n">
        <v>46184</v>
      </c>
      <c r="B25" t="inlineStr">
        <is>
          <t>Salida</t>
        </is>
      </c>
      <c r="C25" t="inlineStr">
        <is>
          <t>Jalisco</t>
        </is>
      </c>
      <c r="D25" t="inlineStr">
        <is>
          <t>Excavadora</t>
        </is>
      </c>
      <c r="E25">
        <f>VLOOKUP(TablaMarimba6[[#This Row],[Equipo]],Catalogos!$V$4:$W$55,2,FALSE)</f>
        <v/>
      </c>
      <c r="F25" s="3" t="n"/>
      <c r="G25" s="17626" t="n">
        <v>70</v>
      </c>
      <c r="H25" s="3">
        <f>IF(ROW()=5,F24-G24,H24+F24-G24)</f>
        <v/>
      </c>
      <c r="I25" s="4" t="n">
        <v>27</v>
      </c>
      <c r="J25" s="4">
        <f>(TablaMarimba6[[#This Row],[Salida (L)]]*TablaMarimba6[[#This Row],[Costo/L]])</f>
        <v/>
      </c>
      <c r="K25" s="4">
        <f>L24+M24-N24</f>
        <v/>
      </c>
      <c r="L25" s="4">
        <f>(TablaMarimba6[[#This Row],[Saldo inicial(vales)]]-TablaMarimba6[[#This Row],[Importe]])</f>
        <v/>
      </c>
      <c r="M25" s="4">
        <f>IF(A25="","", _xludf.WEEKNUM(A25, 2))</f>
        <v/>
      </c>
      <c r="N25" s="4" t="n">
        <v>1556</v>
      </c>
    </row>
    <row r="26">
      <c r="A26" s="17625" t="n">
        <v>46188</v>
      </c>
      <c r="B26" t="inlineStr">
        <is>
          <t>Salida</t>
        </is>
      </c>
      <c r="C26" t="inlineStr">
        <is>
          <t>Jalisco</t>
        </is>
      </c>
      <c r="D26" t="inlineStr">
        <is>
          <t>Excavadora</t>
        </is>
      </c>
      <c r="E26">
        <f>VLOOKUP(TablaMarimba6[[#This Row],[Equipo]],Catalogos!$V$4:$W$55,2,FALSE)</f>
        <v/>
      </c>
      <c r="F26" s="3" t="n"/>
      <c r="G26" s="17626" t="n">
        <v>100</v>
      </c>
      <c r="H26" s="3">
        <f>IF(ROW()=5,F25-G25,H25+F25-G25)</f>
        <v/>
      </c>
      <c r="I26" s="4" t="n">
        <v>27</v>
      </c>
      <c r="J26" s="4">
        <f>(TablaMarimba6[[#This Row],[Salida (L)]]*TablaMarimba6[[#This Row],[Costo/L]])</f>
        <v/>
      </c>
      <c r="K26" s="4">
        <f>L25+M25-N25</f>
        <v/>
      </c>
      <c r="L26" s="4">
        <f>(TablaMarimba6[[#This Row],[Saldo inicial(vales)]]-TablaMarimba6[[#This Row],[Importe]])</f>
        <v/>
      </c>
      <c r="M26" s="4">
        <f>IF(A26="","", _xludf.WEEKNUM(A26, 2))</f>
        <v/>
      </c>
      <c r="N26" s="4" t="n"/>
    </row>
    <row r="27">
      <c r="A27" s="17625" t="n">
        <v>46189</v>
      </c>
      <c r="B27" t="inlineStr">
        <is>
          <t>Salida</t>
        </is>
      </c>
      <c r="C27" t="inlineStr">
        <is>
          <t>Jalisco</t>
        </is>
      </c>
      <c r="D27" t="inlineStr">
        <is>
          <t>Motoconformadora Rentada</t>
        </is>
      </c>
      <c r="E27">
        <f>VLOOKUP(TablaMarimba6[[#This Row],[Equipo]],Catalogos!$V$4:$W$55,2,FALSE)</f>
        <v/>
      </c>
      <c r="F27" s="3" t="n"/>
      <c r="G27" s="17626" t="n">
        <v>90</v>
      </c>
      <c r="H27" s="3">
        <f>IF(ROW()=5,F26-G26,H26+F26-G26)</f>
        <v/>
      </c>
      <c r="I27" s="4" t="n">
        <v>27</v>
      </c>
      <c r="J27" s="4">
        <f>(TablaMarimba6[[#This Row],[Salida (L)]]*TablaMarimba6[[#This Row],[Costo/L]])</f>
        <v/>
      </c>
      <c r="K27" s="4">
        <f>L26+M26-N26</f>
        <v/>
      </c>
      <c r="L27" s="4">
        <f>(TablaMarimba6[[#This Row],[Saldo inicial(vales)]]-TablaMarimba6[[#This Row],[Importe]])</f>
        <v/>
      </c>
      <c r="M27" s="4">
        <f>IF(A27="","", _xludf.WEEKNUM(A27, 2))</f>
        <v/>
      </c>
      <c r="N27" s="4" t="n"/>
    </row>
    <row r="28">
      <c r="A28" s="17625" t="n">
        <v>46189</v>
      </c>
      <c r="B28" t="inlineStr">
        <is>
          <t>Salida</t>
        </is>
      </c>
      <c r="C28" t="inlineStr">
        <is>
          <t>Jalisco</t>
        </is>
      </c>
      <c r="D28" t="inlineStr">
        <is>
          <t>Excavadora</t>
        </is>
      </c>
      <c r="E28">
        <f>VLOOKUP(TablaMarimba6[[#This Row],[Equipo]],Catalogos!$V$4:$W$55,2,FALSE)</f>
        <v/>
      </c>
      <c r="F28" s="3" t="n"/>
      <c r="G28" s="17626" t="n">
        <v>140</v>
      </c>
      <c r="H28" s="3">
        <f>IF(ROW()=5,F27-G27,H27+F27-G27)</f>
        <v/>
      </c>
      <c r="I28" s="4" t="n">
        <v>27</v>
      </c>
      <c r="J28" s="4">
        <f>(TablaMarimba6[[#This Row],[Salida (L)]]*TablaMarimba6[[#This Row],[Costo/L]])</f>
        <v/>
      </c>
      <c r="K28" s="4">
        <f>L27+M27-N27</f>
        <v/>
      </c>
      <c r="L28" s="4">
        <f>(TablaMarimba6[[#This Row],[Saldo inicial(vales)]]-TablaMarimba6[[#This Row],[Importe]])</f>
        <v/>
      </c>
      <c r="M28" s="4">
        <f>IF(A28="","", _xludf.WEEKNUM(A28, 2))</f>
        <v/>
      </c>
      <c r="N28" s="4" t="n"/>
    </row>
    <row r="29">
      <c r="A29" s="17625" t="n">
        <v>46190</v>
      </c>
      <c r="B29" t="inlineStr">
        <is>
          <t>Salida</t>
        </is>
      </c>
      <c r="C29" t="inlineStr">
        <is>
          <t>Jalisco</t>
        </is>
      </c>
      <c r="D29" t="inlineStr">
        <is>
          <t>Vibro Compactador</t>
        </is>
      </c>
      <c r="E29">
        <f>VLOOKUP(TablaMarimba6[[#This Row],[Equipo]],Catalogos!$V$4:$W$55,2,FALSE)</f>
        <v/>
      </c>
      <c r="F29" s="3" t="n"/>
      <c r="G29" s="17626" t="n">
        <v>50</v>
      </c>
      <c r="H29" s="3">
        <f>IF(ROW()=5,F28-G28,H28+F28-G28)</f>
        <v/>
      </c>
      <c r="I29" s="4" t="n">
        <v>27</v>
      </c>
      <c r="J29" s="4">
        <f>(TablaMarimba6[[#This Row],[Salida (L)]]*TablaMarimba6[[#This Row],[Costo/L]])</f>
        <v/>
      </c>
      <c r="K29" s="4">
        <f>L28+M28-N28</f>
        <v/>
      </c>
      <c r="L29" s="4">
        <f>(TablaMarimba6[[#This Row],[Saldo inicial(vales)]]-TablaMarimba6[[#This Row],[Importe]])</f>
        <v/>
      </c>
      <c r="M29" s="4">
        <f>IF(A29="","", _xludf.WEEKNUM(A29, 2))</f>
        <v/>
      </c>
      <c r="N29" s="4" t="n"/>
    </row>
    <row r="30">
      <c r="A30" s="17625" t="n">
        <v>46190</v>
      </c>
      <c r="B30" t="inlineStr">
        <is>
          <t>Salida</t>
        </is>
      </c>
      <c r="C30" t="inlineStr">
        <is>
          <t>Jalisco</t>
        </is>
      </c>
      <c r="D30" t="inlineStr">
        <is>
          <t>Excavadora</t>
        </is>
      </c>
      <c r="E30">
        <f>VLOOKUP(TablaMarimba6[[#This Row],[Equipo]],Catalogos!$V$4:$W$55,2,FALSE)</f>
        <v/>
      </c>
      <c r="F30" s="3" t="n"/>
      <c r="G30" s="17626" t="n">
        <v>100</v>
      </c>
      <c r="H30" s="3">
        <f>IF(ROW()=5,F29-G29,H29+F29-G29)</f>
        <v/>
      </c>
      <c r="I30" s="4" t="n">
        <v>27</v>
      </c>
      <c r="J30" s="4">
        <f>(TablaMarimba6[[#This Row],[Salida (L)]]*TablaMarimba6[[#This Row],[Costo/L]])</f>
        <v/>
      </c>
      <c r="K30" s="4">
        <f>L29+M29-N29</f>
        <v/>
      </c>
      <c r="L30" s="4">
        <f>(TablaMarimba6[[#This Row],[Saldo inicial(vales)]]-TablaMarimba6[[#This Row],[Importe]])</f>
        <v/>
      </c>
      <c r="M30" s="4">
        <f>IF(A30="","", _xludf.WEEKNUM(A30, 2))</f>
        <v/>
      </c>
      <c r="N30" s="4" t="n"/>
    </row>
    <row r="31">
      <c r="A31" s="17625" t="n">
        <v>46191</v>
      </c>
      <c r="B31" t="inlineStr">
        <is>
          <t>Salida</t>
        </is>
      </c>
      <c r="C31" t="inlineStr">
        <is>
          <t>Jalisco</t>
        </is>
      </c>
      <c r="D31" t="inlineStr">
        <is>
          <t>Motoconformadora</t>
        </is>
      </c>
      <c r="E31">
        <f>VLOOKUP(TablaMarimba6[[#This Row],[Equipo]],Catalogos!$V$4:$W$55,2,FALSE)</f>
        <v/>
      </c>
      <c r="F31" s="3" t="n"/>
      <c r="G31" s="17626" t="n">
        <v>70</v>
      </c>
      <c r="H31" s="3">
        <f>IF(ROW()=5,F30-G30,H30+F30-G30)</f>
        <v/>
      </c>
      <c r="I31" s="4" t="n">
        <v>27</v>
      </c>
      <c r="J31" s="4">
        <f>(TablaMarimba6[[#This Row],[Salida (L)]]*TablaMarimba6[[#This Row],[Costo/L]])</f>
        <v/>
      </c>
      <c r="K31" s="4">
        <f>L30+M30-N30</f>
        <v/>
      </c>
      <c r="L31" s="4">
        <f>(TablaMarimba6[[#This Row],[Saldo inicial(vales)]]-TablaMarimba6[[#This Row],[Importe]])</f>
        <v/>
      </c>
      <c r="M31" s="4">
        <f>IF(A31="","", _xludf.WEEKNUM(A31, 2))</f>
        <v/>
      </c>
      <c r="N31" s="4" t="n"/>
    </row>
    <row r="32">
      <c r="A32" s="17625" t="n">
        <v>46191</v>
      </c>
      <c r="B32" t="inlineStr">
        <is>
          <t>Salida</t>
        </is>
      </c>
      <c r="C32" t="inlineStr">
        <is>
          <t>Jalisco</t>
        </is>
      </c>
      <c r="D32" t="inlineStr">
        <is>
          <t>Retroexcavadora</t>
        </is>
      </c>
      <c r="E32">
        <f>VLOOKUP(TablaMarimba6[[#This Row],[Equipo]],Catalogos!$V$4:$W$55,2,FALSE)</f>
        <v/>
      </c>
      <c r="F32" s="3" t="n"/>
      <c r="G32" s="17626" t="n">
        <v>40</v>
      </c>
      <c r="H32" s="3">
        <f>IF(ROW()=5,F31-G31,H31+F31-G31)</f>
        <v/>
      </c>
      <c r="I32" s="4" t="n">
        <v>27</v>
      </c>
      <c r="J32" s="4">
        <f>(TablaMarimba6[[#This Row],[Salida (L)]]*TablaMarimba6[[#This Row],[Costo/L]])</f>
        <v/>
      </c>
      <c r="K32" s="4">
        <f>L31+M31-N31</f>
        <v/>
      </c>
      <c r="L32" s="4">
        <f>(TablaMarimba6[[#This Row],[Saldo inicial(vales)]]-TablaMarimba6[[#This Row],[Importe]])</f>
        <v/>
      </c>
      <c r="M32" s="4">
        <f>IF(A32="","", _xludf.WEEKNUM(A32, 2))</f>
        <v/>
      </c>
      <c r="N32" s="4" t="n"/>
    </row>
    <row r="33">
      <c r="A33" s="17625" t="n">
        <v>46191</v>
      </c>
      <c r="B33" t="inlineStr">
        <is>
          <t>Salida</t>
        </is>
      </c>
      <c r="C33" t="inlineStr">
        <is>
          <t>Jalisco</t>
        </is>
      </c>
      <c r="D33" t="inlineStr">
        <is>
          <t>Excavadora</t>
        </is>
      </c>
      <c r="E33">
        <f>VLOOKUP(TablaMarimba6[[#This Row],[Equipo]],Catalogos!$V$4:$W$55,2,FALSE)</f>
        <v/>
      </c>
      <c r="F33" s="3" t="n"/>
      <c r="G33" s="17626" t="n">
        <v>100</v>
      </c>
      <c r="H33" s="3">
        <f>IF(ROW()=5,F32-G32,H32+F32-G32)</f>
        <v/>
      </c>
      <c r="I33" s="4" t="n">
        <v>27</v>
      </c>
      <c r="J33" s="4">
        <f>(TablaMarimba6[[#This Row],[Salida (L)]]*TablaMarimba6[[#This Row],[Costo/L]])</f>
        <v/>
      </c>
      <c r="K33" s="4">
        <f>L32+M32-N32</f>
        <v/>
      </c>
      <c r="L33" s="4">
        <f>(TablaMarimba6[[#This Row],[Saldo inicial(vales)]]-TablaMarimba6[[#This Row],[Importe]])</f>
        <v/>
      </c>
      <c r="M33" s="4">
        <f>IF(A33="","", _xludf.WEEKNUM(A33, 2))</f>
        <v/>
      </c>
      <c r="N33" s="4" t="n">
        <v>3700</v>
      </c>
    </row>
    <row r="34">
      <c r="A34" s="17625" t="n">
        <v>46192</v>
      </c>
      <c r="B34" t="inlineStr">
        <is>
          <t>Salida</t>
        </is>
      </c>
      <c r="C34" t="inlineStr">
        <is>
          <t>Jalisco</t>
        </is>
      </c>
      <c r="D34" t="inlineStr">
        <is>
          <t>EXCAVADORA</t>
        </is>
      </c>
      <c r="E34">
        <f>VLOOKUP(TablaMarimba6[[#This Row],[Equipo]],Catalogos!$V$4:$W$55,2,FALSE)</f>
        <v/>
      </c>
      <c r="G34" s="17626" t="n">
        <v>150</v>
      </c>
      <c r="H34" s="3">
        <f>IF(ROW()=5,F33-G33,H33+F33-G33)</f>
        <v/>
      </c>
      <c r="I34" s="4" t="n">
        <v>27</v>
      </c>
      <c r="J34" s="4">
        <f>(TablaMarimba6[[#This Row],[Salida (L)]]*TablaMarimba6[[#This Row],[Costo/L]])</f>
        <v/>
      </c>
      <c r="K34" s="4">
        <f>L33+M33-N33</f>
        <v/>
      </c>
      <c r="L34" s="4">
        <f>(TablaMarimba6[[#This Row],[Saldo inicial(vales)]]-TablaMarimba6[[#This Row],[Importe]])</f>
        <v/>
      </c>
      <c r="M34" s="4">
        <f>IF(A34="","", _xludf.WEEKNUM(A34, 2))</f>
        <v/>
      </c>
      <c r="N34" s="4" t="n"/>
    </row>
    <row r="35">
      <c r="A35" s="17625" t="n">
        <v>46193</v>
      </c>
      <c r="B35" t="inlineStr">
        <is>
          <t>Salida</t>
        </is>
      </c>
      <c r="C35" t="inlineStr">
        <is>
          <t>Jalisco</t>
        </is>
      </c>
      <c r="D35" t="inlineStr">
        <is>
          <t>EXCAVADORA</t>
        </is>
      </c>
      <c r="E35">
        <f>VLOOKUP(TablaMarimba6[[#This Row],[Equipo]],Catalogos!$V$4:$W$55,2,FALSE)</f>
        <v/>
      </c>
      <c r="F35" s="3" t="n"/>
      <c r="G35" s="17626" t="n">
        <v>90</v>
      </c>
      <c r="H35" s="3">
        <f>IF(ROW()=5,F35-G35,H34+F35-G35)</f>
        <v/>
      </c>
      <c r="I35" s="4" t="n">
        <v>27</v>
      </c>
      <c r="J35" s="4">
        <f>(TablaMarimba6[[#This Row],[Salida (L)]]*TablaMarimba6[[#This Row],[Costo/L]])</f>
        <v/>
      </c>
      <c r="K35" s="4">
        <f>L34+M34-N34</f>
        <v/>
      </c>
      <c r="L35" s="4">
        <f>(TablaMarimba6[[#This Row],[Saldo inicial(vales)]]-TablaMarimba6[[#This Row],[Importe]])</f>
        <v/>
      </c>
      <c r="M35" s="4">
        <f>IF(A35="","", _xludf.WEEKNUM(A35, 2))</f>
        <v/>
      </c>
      <c r="N35" s="4" t="n"/>
    </row>
    <row r="36">
      <c r="A36" s="17625" t="n">
        <v>46195</v>
      </c>
      <c r="B36" t="inlineStr">
        <is>
          <t>Salida</t>
        </is>
      </c>
      <c r="C36" t="inlineStr">
        <is>
          <t>Jalisco</t>
        </is>
      </c>
      <c r="D36" t="inlineStr">
        <is>
          <t>RETROEXCAVADORA CASE 580 N</t>
        </is>
      </c>
      <c r="E36">
        <f>VLOOKUP(TablaMarimba6[[#This Row],[Equipo]],Catalogos!$V$4:$W$55,2,FALSE)</f>
        <v/>
      </c>
      <c r="F36" s="3" t="n"/>
      <c r="G36" s="17626" t="n">
        <v>20</v>
      </c>
      <c r="H36" s="3">
        <f>IF(ROW()=5,F36-G36,H35+F36-G36)</f>
        <v/>
      </c>
      <c r="I36" s="4" t="n">
        <v>27</v>
      </c>
      <c r="J36" s="4">
        <f>(TablaMarimba6[[#This Row],[Salida (L)]]*TablaMarimba6[[#This Row],[Costo/L]])</f>
        <v/>
      </c>
      <c r="K36" s="4">
        <f>L35+M35-N35</f>
        <v/>
      </c>
      <c r="L36" s="4">
        <f>(TablaMarimba6[[#This Row],[Saldo inicial(vales)]]-TablaMarimba6[[#This Row],[Importe]])</f>
        <v/>
      </c>
      <c r="M36" s="4">
        <f>IF(A36="","", _xludf.WEEKNUM(A36, 2))</f>
        <v/>
      </c>
      <c r="N36" s="4" t="n"/>
    </row>
    <row r="37">
      <c r="A37" s="17625" t="n">
        <v>46195</v>
      </c>
      <c r="B37" t="inlineStr">
        <is>
          <t>Salida</t>
        </is>
      </c>
      <c r="C37" t="inlineStr">
        <is>
          <t>Jalisco</t>
        </is>
      </c>
      <c r="D37" t="inlineStr">
        <is>
          <t>EXCAVADORA</t>
        </is>
      </c>
      <c r="E37">
        <f>VLOOKUP(TablaMarimba6[[#This Row],[Equipo]],Catalogos!$V$4:$W$55,2,FALSE)</f>
        <v/>
      </c>
      <c r="F37" s="3" t="n"/>
      <c r="G37" s="17626" t="n">
        <v>140</v>
      </c>
      <c r="H37" s="3">
        <f>IF(ROW()=5,F37-G37,H36+F37-G37)</f>
        <v/>
      </c>
      <c r="I37" s="4" t="n">
        <v>27</v>
      </c>
      <c r="J37" s="4">
        <f>(TablaMarimba6[[#This Row],[Salida (L)]]*TablaMarimba6[[#This Row],[Costo/L]])</f>
        <v/>
      </c>
      <c r="K37" s="4">
        <f>L36+M36-N36</f>
        <v/>
      </c>
      <c r="L37" s="4">
        <f>(TablaMarimba6[[#This Row],[Saldo inicial(vales)]]-TablaMarimba6[[#This Row],[Importe]])</f>
        <v/>
      </c>
      <c r="M37" s="4">
        <f>IF(A37="","", _xludf.WEEKNUM(A37, 2))</f>
        <v/>
      </c>
      <c r="N37" s="4" t="n"/>
    </row>
    <row r="38">
      <c r="A38" s="17625" t="n">
        <v>46195</v>
      </c>
      <c r="B38" t="inlineStr">
        <is>
          <t>Salida</t>
        </is>
      </c>
      <c r="C38" t="inlineStr">
        <is>
          <t>Jalisco</t>
        </is>
      </c>
      <c r="D38" t="inlineStr">
        <is>
          <t>TRACTOR</t>
        </is>
      </c>
      <c r="E38">
        <f>VLOOKUP(TablaMarimba6[[#This Row],[Equipo]],Catalogos!$V$4:$W$55,2,FALSE)</f>
        <v/>
      </c>
      <c r="F38" s="3" t="n"/>
      <c r="G38" s="17626" t="n">
        <v>100.74</v>
      </c>
      <c r="H38" s="3">
        <f>IF(ROW()=5,F38-G38,H37+F38-G38)</f>
        <v/>
      </c>
      <c r="I38" s="4" t="n">
        <v>27</v>
      </c>
      <c r="J38" s="4">
        <f>(TablaMarimba6[[#This Row],[Salida (L)]]*TablaMarimba6[[#This Row],[Costo/L]])</f>
        <v/>
      </c>
      <c r="K38" s="4">
        <f>L37+M37-N37</f>
        <v/>
      </c>
      <c r="L38" s="4">
        <f>(TablaMarimba6[[#This Row],[Saldo inicial(vales)]]-TablaMarimba6[[#This Row],[Importe]])</f>
        <v/>
      </c>
      <c r="M38" s="4">
        <f>IF(A38="","", _xludf.WEEKNUM(A38, 2))</f>
        <v/>
      </c>
      <c r="N38" s="4" t="n"/>
    </row>
    <row r="39">
      <c r="A39" s="17625" t="n">
        <v>46196</v>
      </c>
      <c r="B39" t="inlineStr">
        <is>
          <t>Salida</t>
        </is>
      </c>
      <c r="C39" t="inlineStr">
        <is>
          <t>Jalisco</t>
        </is>
      </c>
      <c r="D39" t="inlineStr">
        <is>
          <t>EXCAVADORA</t>
        </is>
      </c>
      <c r="E39">
        <f>VLOOKUP(TablaMarimba6[[#This Row],[Equipo]],Catalogos!$V$4:$W$55,2,FALSE)</f>
        <v/>
      </c>
      <c r="F39" s="3" t="n"/>
      <c r="G39" s="17626" t="n">
        <v>140</v>
      </c>
      <c r="H39" s="3">
        <f>IF(ROW()=5,F39-G39,H38+F39-G39)</f>
        <v/>
      </c>
      <c r="I39" s="4" t="n">
        <v>27</v>
      </c>
      <c r="J39" s="4">
        <f>(TablaMarimba6[[#This Row],[Salida (L)]]*TablaMarimba6[[#This Row],[Costo/L]])</f>
        <v/>
      </c>
      <c r="K39" s="4">
        <f>L38+M38-N38</f>
        <v/>
      </c>
      <c r="L39" s="4">
        <f>(TablaMarimba6[[#This Row],[Saldo inicial(vales)]]-TablaMarimba6[[#This Row],[Importe]])</f>
        <v/>
      </c>
      <c r="M39" s="4">
        <f>IF(A39="","", _xludf.WEEKNUM(A39, 2))</f>
        <v/>
      </c>
      <c r="N39" s="4" t="n"/>
    </row>
    <row r="40">
      <c r="A40" s="17625" t="n">
        <v>46196</v>
      </c>
      <c r="B40" t="inlineStr">
        <is>
          <t>Salida</t>
        </is>
      </c>
      <c r="C40" t="inlineStr">
        <is>
          <t>Jalisco</t>
        </is>
      </c>
      <c r="D40" t="inlineStr">
        <is>
          <t>TRACTOR</t>
        </is>
      </c>
      <c r="E40">
        <f>VLOOKUP(TablaMarimba6[[#This Row],[Equipo]],Catalogos!$V$4:$W$55,2,FALSE)</f>
        <v/>
      </c>
      <c r="F40" s="3" t="n"/>
      <c r="G40" s="17626" t="n">
        <v>119.26</v>
      </c>
      <c r="H40" s="3">
        <f>IF(ROW()=5,F40-G40,H39+F40-G40)</f>
        <v/>
      </c>
      <c r="I40" s="4" t="n">
        <v>27</v>
      </c>
      <c r="J40" s="4">
        <f>(TablaMarimba6[[#This Row],[Salida (L)]]*TablaMarimba6[[#This Row],[Costo/L]])</f>
        <v/>
      </c>
      <c r="K40" s="4">
        <f>L39+M39-N39</f>
        <v/>
      </c>
      <c r="L40" s="4">
        <f>(TablaMarimba6[[#This Row],[Saldo inicial(vales)]]-TablaMarimba6[[#This Row],[Importe]])</f>
        <v/>
      </c>
      <c r="M40" s="4">
        <f>IF(A40="","", _xludf.WEEKNUM(A40, 2))</f>
        <v/>
      </c>
      <c r="N40" s="4" t="n"/>
    </row>
    <row r="41">
      <c r="A41" s="17625" t="n">
        <v>46197</v>
      </c>
      <c r="B41" t="inlineStr">
        <is>
          <t>Salida</t>
        </is>
      </c>
      <c r="C41" t="inlineStr">
        <is>
          <t>Jalisco</t>
        </is>
      </c>
      <c r="D41" t="inlineStr">
        <is>
          <t>MOTOCONFORMADORA RENTADA</t>
        </is>
      </c>
      <c r="E41">
        <f>VLOOKUP(TablaMarimba6[[#This Row],[Equipo]],Catalogos!$V$4:$W$55,2,FALSE)</f>
        <v/>
      </c>
      <c r="F41" s="3" t="n"/>
      <c r="G41" s="17626" t="n">
        <v>200</v>
      </c>
      <c r="H41" s="3">
        <f>IF(ROW()=5,F41-G41,H40+F41-G41)</f>
        <v/>
      </c>
      <c r="I41" s="4" t="n">
        <v>27</v>
      </c>
      <c r="J41" s="4">
        <f>(TablaMarimba6[[#This Row],[Salida (L)]]*TablaMarimba6[[#This Row],[Costo/L]])</f>
        <v/>
      </c>
      <c r="K41" s="4">
        <f>L40+M40-N40</f>
        <v/>
      </c>
      <c r="L41" s="4">
        <f>(TablaMarimba6[[#This Row],[Saldo inicial(vales)]]-TablaMarimba6[[#This Row],[Importe]])</f>
        <v/>
      </c>
      <c r="M41" s="4">
        <f>IF(A41="","", _xludf.WEEKNUM(A41, 2))</f>
        <v/>
      </c>
      <c r="N41" s="4" t="n"/>
    </row>
    <row r="42">
      <c r="A42" s="17625" t="n">
        <v>46197</v>
      </c>
      <c r="B42" t="inlineStr">
        <is>
          <t>Salida</t>
        </is>
      </c>
      <c r="C42" t="inlineStr">
        <is>
          <t>Jalisco</t>
        </is>
      </c>
      <c r="D42" t="inlineStr">
        <is>
          <t>MOTOCONFORMADORA RENTADA</t>
        </is>
      </c>
      <c r="E42">
        <f>VLOOKUP(TablaMarimba6[[#This Row],[Equipo]],Catalogos!$V$4:$W$55,2,FALSE)</f>
        <v/>
      </c>
      <c r="F42" s="3" t="n"/>
      <c r="G42" s="17626" t="n">
        <v>50</v>
      </c>
      <c r="H42" s="3">
        <f>IF(ROW()=5,F42-G42,H41+F42-G42)</f>
        <v/>
      </c>
      <c r="I42" s="4" t="n">
        <v>27</v>
      </c>
      <c r="J42" s="4">
        <f>(TablaMarimba6[[#This Row],[Salida (L)]]*TablaMarimba6[[#This Row],[Costo/L]])</f>
        <v/>
      </c>
      <c r="K42" s="4">
        <f>L41+M41-N41</f>
        <v/>
      </c>
      <c r="L42" s="4">
        <f>(TablaMarimba6[[#This Row],[Saldo inicial(vales)]]-TablaMarimba6[[#This Row],[Importe]])</f>
        <v/>
      </c>
      <c r="M42" s="4">
        <f>IF(A42="","", _xludf.WEEKNUM(A42, 2))</f>
        <v/>
      </c>
      <c r="N42" s="4" t="n"/>
    </row>
    <row r="43">
      <c r="A43" s="17625" t="n">
        <v>46197</v>
      </c>
      <c r="B43" t="inlineStr">
        <is>
          <t>Salida</t>
        </is>
      </c>
      <c r="C43" t="inlineStr">
        <is>
          <t>Jalisco</t>
        </is>
      </c>
      <c r="D43" t="inlineStr">
        <is>
          <t>EXCAVADORA</t>
        </is>
      </c>
      <c r="E43">
        <f>VLOOKUP(TablaMarimba6[[#This Row],[Equipo]],Catalogos!$V$4:$W$55,2,FALSE)</f>
        <v/>
      </c>
      <c r="F43" s="3" t="n"/>
      <c r="G43" s="17626" t="n">
        <v>200</v>
      </c>
      <c r="H43" s="3">
        <f>IF(ROW()=5,F43-G43,H42+F43-G43)</f>
        <v/>
      </c>
      <c r="I43" s="4" t="n">
        <v>27</v>
      </c>
      <c r="J43" s="4">
        <f>(TablaMarimba6[[#This Row],[Salida (L)]]*TablaMarimba6[[#This Row],[Costo/L]])</f>
        <v/>
      </c>
      <c r="K43" s="4">
        <f>L42+M42-N42</f>
        <v/>
      </c>
      <c r="L43" s="4">
        <f>(TablaMarimba6[[#This Row],[Saldo inicial(vales)]]-TablaMarimba6[[#This Row],[Importe]])</f>
        <v/>
      </c>
      <c r="M43" s="4">
        <f>IF(A43="","", _xludf.WEEKNUM(A43, 2))</f>
        <v/>
      </c>
      <c r="N43" s="4" t="n"/>
      <c r="R43" s="3">
        <f>SUM(G5:G48)</f>
        <v/>
      </c>
    </row>
    <row r="44">
      <c r="A44" s="17625" t="n">
        <v>46197</v>
      </c>
      <c r="B44" t="inlineStr">
        <is>
          <t>Salida</t>
        </is>
      </c>
      <c r="C44" t="inlineStr">
        <is>
          <t>Jalisco</t>
        </is>
      </c>
      <c r="D44" t="inlineStr">
        <is>
          <t>TRACTOR</t>
        </is>
      </c>
      <c r="E44">
        <f>VLOOKUP(TablaMarimba6[[#This Row],[Equipo]],Catalogos!$V$4:$W$55,2,FALSE)</f>
        <v/>
      </c>
      <c r="F44" s="3" t="n"/>
      <c r="G44" s="17626" t="n">
        <v>100</v>
      </c>
      <c r="H44" s="3">
        <f>IF(ROW()=5,F44-G44,H43+F44-G44)</f>
        <v/>
      </c>
      <c r="I44" s="4" t="n">
        <v>27</v>
      </c>
      <c r="J44" s="4">
        <f>(TablaMarimba6[[#This Row],[Salida (L)]]*TablaMarimba6[[#This Row],[Costo/L]])</f>
        <v/>
      </c>
      <c r="K44" s="4">
        <f>L43+M43-N43</f>
        <v/>
      </c>
      <c r="L44" s="4">
        <f>(TablaMarimba6[[#This Row],[Saldo inicial(vales)]]-TablaMarimba6[[#This Row],[Importe]])</f>
        <v/>
      </c>
      <c r="M44" s="4">
        <f>IF(A44="","", _xludf.WEEKNUM(A44, 2))</f>
        <v/>
      </c>
      <c r="N44" s="4" t="n"/>
    </row>
    <row r="45">
      <c r="A45" s="17625" t="n">
        <v>46199</v>
      </c>
      <c r="B45" t="inlineStr">
        <is>
          <t>Salida</t>
        </is>
      </c>
      <c r="C45" t="inlineStr">
        <is>
          <t>Jalisco</t>
        </is>
      </c>
      <c r="D45" t="inlineStr">
        <is>
          <t>EXCAVADORA</t>
        </is>
      </c>
      <c r="E45">
        <f>VLOOKUP(TablaMarimba6[[#This Row],[Equipo]],Catalogos!$V$4:$W$55,2,FALSE)</f>
        <v/>
      </c>
      <c r="F45" s="3" t="n"/>
      <c r="G45" s="17626" t="n">
        <v>160</v>
      </c>
      <c r="H45" s="3">
        <f>IF(ROW()=5,F45-G45,H44+F45-G45)</f>
        <v/>
      </c>
      <c r="I45" s="4" t="n">
        <v>27</v>
      </c>
      <c r="J45" s="4">
        <f>(TablaMarimba6[[#This Row],[Salida (L)]]*TablaMarimba6[[#This Row],[Costo/L]])</f>
        <v/>
      </c>
      <c r="K45" s="4">
        <f>L44+M44-N44</f>
        <v/>
      </c>
      <c r="L45" s="4">
        <f>(TablaMarimba6[[#This Row],[Saldo inicial(vales)]]-TablaMarimba6[[#This Row],[Importe]])</f>
        <v/>
      </c>
      <c r="M45" s="4">
        <f>IF(A45="","", _xludf.WEEKNUM(A45, 2))</f>
        <v/>
      </c>
      <c r="N45" s="4" t="n"/>
    </row>
    <row r="46">
      <c r="A46" s="17625" t="n">
        <v>46200</v>
      </c>
      <c r="B46" t="inlineStr">
        <is>
          <t>Salida</t>
        </is>
      </c>
      <c r="C46" t="inlineStr">
        <is>
          <t>Jalisco</t>
        </is>
      </c>
      <c r="D46" t="inlineStr">
        <is>
          <t>EXCAVADORA</t>
        </is>
      </c>
      <c r="E46">
        <f>VLOOKUP(TablaMarimba6[[#This Row],[Equipo]],Catalogos!$V$4:$W$55,2,FALSE)</f>
        <v/>
      </c>
      <c r="F46" s="3" t="n"/>
      <c r="G46" s="17626" t="n">
        <v>108</v>
      </c>
      <c r="H46" s="3">
        <f>IF(ROW()=5,F46-G46,H45+F46-G46)</f>
        <v/>
      </c>
      <c r="I46" s="4" t="n">
        <v>27</v>
      </c>
      <c r="J46" s="4">
        <f>(TablaMarimba6[[#This Row],[Salida (L)]]*TablaMarimba6[[#This Row],[Costo/L]])</f>
        <v/>
      </c>
      <c r="K46" s="4">
        <f>L45+M45-N45</f>
        <v/>
      </c>
      <c r="L46" s="4">
        <f>(TablaMarimba6[[#This Row],[Saldo inicial(vales)]]-TablaMarimba6[[#This Row],[Importe]])</f>
        <v/>
      </c>
      <c r="M46" s="4">
        <f>IF(A46="","", _xludf.WEEKNUM(A46, 2))</f>
        <v/>
      </c>
      <c r="N46" s="4" t="n"/>
    </row>
    <row r="47">
      <c r="A47" s="17625" t="n"/>
      <c r="E47">
        <f>VLOOKUP(TablaMarimba6[[#This Row],[Equipo]],Catalogos!$V$4:$W$55,2,FALSE)</f>
        <v/>
      </c>
      <c r="F47" s="3" t="n"/>
      <c r="G47" s="17626" t="n"/>
      <c r="H47" s="3">
        <f>IF(ROW()=5,F47-G47,H46+F47-G47)</f>
        <v/>
      </c>
      <c r="I47" s="4" t="n">
        <v>27</v>
      </c>
      <c r="J47" s="4">
        <f>(TablaMarimba6[[#This Row],[Salida (L)]]*TablaMarimba6[[#This Row],[Costo/L]])</f>
        <v/>
      </c>
      <c r="K47" s="4">
        <f>L46+M46-N46</f>
        <v/>
      </c>
      <c r="L47" s="4">
        <f>(TablaMarimba6[[#This Row],[Saldo inicial(vales)]]-TablaMarimba6[[#This Row],[Importe]])</f>
        <v/>
      </c>
      <c r="M47" s="4">
        <f>IF(A47="","", _xludf.WEEKNUM(A47, 2))</f>
        <v/>
      </c>
      <c r="N47" s="4" t="n"/>
    </row>
    <row r="48">
      <c r="A48" s="17625" t="n"/>
      <c r="E48">
        <f>VLOOKUP(TablaMarimba6[[#This Row],[Equipo]],Catalogos!$V$4:$W$55,2,FALSE)</f>
        <v/>
      </c>
      <c r="F48" s="3" t="n"/>
      <c r="G48" s="17626" t="n"/>
      <c r="H48" s="3" t="n">
        <v>0</v>
      </c>
      <c r="I48" s="4" t="n">
        <v>27</v>
      </c>
      <c r="J48" s="4">
        <f>(TablaMarimba6[[#This Row],[Salida (L)]]*TablaMarimba6[[#This Row],[Costo/L]])</f>
        <v/>
      </c>
      <c r="K48" s="4">
        <f>L47+M47-N47</f>
        <v/>
      </c>
      <c r="L48" s="4">
        <f>(TablaMarimba6[[#This Row],[Saldo inicial(vales)]]-TablaMarimba6[[#This Row],[Importe]])</f>
        <v/>
      </c>
      <c r="M48" s="4">
        <f>IF(A48="","", _xludf.WEEKNUM(A48, 2))</f>
        <v/>
      </c>
      <c r="N48" s="4" t="n"/>
    </row>
    <row r="49">
      <c r="A49" s="17625" t="n"/>
      <c r="E49">
        <f>VLOOKUP(TablaMarimba6[[#This Row],[Equipo]],Catalogos!$V$4:$W$55,2,FALSE)</f>
        <v/>
      </c>
      <c r="F49" s="3" t="n"/>
      <c r="G49" s="17626" t="n"/>
      <c r="H49" s="3">
        <f>IF(ROW()=5,F49-G49,H48+F49-G49)</f>
        <v/>
      </c>
      <c r="I49" s="4" t="n"/>
      <c r="J49" s="4" t="n"/>
      <c r="K49" s="4">
        <f>L48+M48-N48</f>
        <v/>
      </c>
      <c r="L49" s="4">
        <f>(TablaMarimba6[[#This Row],[Saldo inicial(vales)]]-TablaMarimba6[[#This Row],[Importe]])</f>
        <v/>
      </c>
      <c r="M49" s="4">
        <f>IF(A49="","", _xludf.WEEKNUM(A49, 2))</f>
        <v/>
      </c>
      <c r="N49" s="4" t="n"/>
    </row>
    <row r="50">
      <c r="A50" s="17625" t="n"/>
      <c r="E50">
        <f>VLOOKUP(TablaMarimba6[[#This Row],[Equipo]],Catalogos!$V$4:$W$55,2,FALSE)</f>
        <v/>
      </c>
      <c r="F50" s="3" t="n"/>
      <c r="G50" s="17626" t="n"/>
      <c r="H50" s="3">
        <f>IF(ROW()=5,F50-G50,H49+F50-G50)</f>
        <v/>
      </c>
      <c r="I50" s="4" t="n">
        <v>28.3</v>
      </c>
      <c r="J50" s="4">
        <f>IFERROR((F50+G50)*I50,0)</f>
        <v/>
      </c>
      <c r="K50" s="4">
        <f>L49+M49-N49</f>
        <v/>
      </c>
      <c r="L50" s="4">
        <f>(TablaMarimba6[[#This Row],[Saldo inicial(vales)]]-TablaMarimba6[[#This Row],[Importe]])</f>
        <v/>
      </c>
      <c r="M50" s="4">
        <f>IF(A50="","", _xludf.WEEKNUM(A50, 2))</f>
        <v/>
      </c>
      <c r="N50" s="4" t="n"/>
    </row>
    <row r="51">
      <c r="A51" s="17625" t="n"/>
      <c r="E51">
        <f>VLOOKUP(TablaMarimba6[[#This Row],[Equipo]],Catalogos!$V$4:$W$55,2,FALSE)</f>
        <v/>
      </c>
      <c r="F51" s="3" t="n"/>
      <c r="G51" s="17626" t="n"/>
      <c r="H51" s="3">
        <f>IF(ROW()=5,F51-G51,H50+F51-G51)</f>
        <v/>
      </c>
      <c r="I51" s="4" t="n">
        <v>28.3</v>
      </c>
      <c r="J51" s="4">
        <f>IFERROR((F51+G51)*I51,0)</f>
        <v/>
      </c>
      <c r="K51" s="4">
        <f>L50+M50-N50</f>
        <v/>
      </c>
      <c r="L51" s="4">
        <f>(TablaMarimba6[[#This Row],[Saldo inicial(vales)]]-TablaMarimba6[[#This Row],[Importe]])</f>
        <v/>
      </c>
      <c r="M51" s="4">
        <f>IF(A51="","", _xludf.WEEKNUM(A51, 2))</f>
        <v/>
      </c>
      <c r="N51" s="4" t="n"/>
    </row>
    <row r="52">
      <c r="A52" s="17625" t="n"/>
      <c r="E52">
        <f>VLOOKUP(TablaMarimba6[[#This Row],[Equipo]],Catalogos!$V$4:$W$55,2,FALSE)</f>
        <v/>
      </c>
      <c r="F52" s="3" t="n"/>
      <c r="G52" s="17626" t="n"/>
      <c r="H52" s="3">
        <f>IF(ROW()=5,F52-G52,H51+F52-G52)</f>
        <v/>
      </c>
      <c r="I52" s="4" t="n">
        <v>28.3</v>
      </c>
      <c r="J52" s="4">
        <f>IFERROR((F52+G52)*I52,0)</f>
        <v/>
      </c>
      <c r="K52" s="4">
        <f>L51+M51-N51</f>
        <v/>
      </c>
      <c r="L52" s="4">
        <f>(TablaMarimba6[[#This Row],[Saldo inicial(vales)]]-TablaMarimba6[[#This Row],[Importe]])</f>
        <v/>
      </c>
      <c r="M52" s="4">
        <f>IF(A52="","", _xludf.WEEKNUM(A52, 2))</f>
        <v/>
      </c>
      <c r="N52" s="4" t="n"/>
    </row>
    <row r="53">
      <c r="A53" s="17625" t="n"/>
      <c r="E53">
        <f>VLOOKUP(TablaMarimba6[[#This Row],[Equipo]],Catalogos!$V$4:$W$55,2,FALSE)</f>
        <v/>
      </c>
      <c r="F53" s="3" t="n"/>
      <c r="G53" s="17626" t="n"/>
      <c r="H53" s="3">
        <f>IF(ROW()=5,F53-G53,H52+F53-G53)</f>
        <v/>
      </c>
      <c r="I53" s="4" t="n">
        <v>28.3</v>
      </c>
      <c r="J53" s="4">
        <f>IFERROR((F53+G53)*I53,0)</f>
        <v/>
      </c>
      <c r="K53" s="4">
        <f>L52+M52-N52</f>
        <v/>
      </c>
      <c r="L53" s="4">
        <f>(TablaMarimba6[[#This Row],[Saldo inicial(vales)]]-TablaMarimba6[[#This Row],[Importe]])</f>
        <v/>
      </c>
      <c r="M53" s="4">
        <f>IF(A53="","", _xludf.WEEKNUM(A53, 2))</f>
        <v/>
      </c>
      <c r="N53" s="4" t="n"/>
    </row>
    <row r="54">
      <c r="A54" s="17625" t="n"/>
      <c r="E54">
        <f>VLOOKUP(TablaMarimba6[[#This Row],[Equipo]],Catalogos!$V$4:$W$55,2,FALSE)</f>
        <v/>
      </c>
      <c r="F54" s="3" t="n"/>
      <c r="G54" s="17626" t="n"/>
      <c r="H54" s="3">
        <f>IF(ROW()=5,F54-G54,H53+F54-G54)</f>
        <v/>
      </c>
      <c r="I54" s="4" t="n">
        <v>28.3</v>
      </c>
      <c r="J54" s="4">
        <f>IFERROR((F54+G54)*I54,0)</f>
        <v/>
      </c>
      <c r="K54" s="4">
        <f>L53+M53-N53</f>
        <v/>
      </c>
      <c r="L54" s="4">
        <f>(TablaMarimba6[[#This Row],[Saldo inicial(vales)]]-TablaMarimba6[[#This Row],[Importe]])</f>
        <v/>
      </c>
      <c r="M54" s="4">
        <f>IF(A54="","", _xludf.WEEKNUM(A54, 2))</f>
        <v/>
      </c>
      <c r="N54" s="4" t="n"/>
    </row>
    <row r="55">
      <c r="A55" s="17625" t="n"/>
      <c r="E55">
        <f>VLOOKUP(TablaMarimba6[[#This Row],[Equipo]],Catalogos!$V$4:$W$55,2,FALSE)</f>
        <v/>
      </c>
      <c r="F55" s="3" t="n"/>
      <c r="G55" s="17626" t="n"/>
      <c r="H55" s="3">
        <f>IF(ROW()=5,F55-G55,H54+F55-G55)</f>
        <v/>
      </c>
      <c r="I55" s="4" t="n">
        <v>28.3</v>
      </c>
      <c r="J55" s="4">
        <f>IFERROR((F55+G55)*I55,0)</f>
        <v/>
      </c>
      <c r="K55" s="4">
        <f>L54+M54-N54</f>
        <v/>
      </c>
      <c r="L55" s="4">
        <f>(TablaMarimba6[[#This Row],[Saldo inicial(vales)]]-TablaMarimba6[[#This Row],[Importe]])</f>
        <v/>
      </c>
      <c r="M55" s="4">
        <f>IF(A55="","", _xludf.WEEKNUM(A55, 2))</f>
        <v/>
      </c>
      <c r="N55" s="4" t="n"/>
    </row>
    <row r="56">
      <c r="A56" s="17625" t="n"/>
      <c r="E56">
        <f>VLOOKUP(TablaMarimba6[[#This Row],[Equipo]],Catalogos!$V$4:$W$55,2,FALSE)</f>
        <v/>
      </c>
      <c r="F56" s="3" t="n"/>
      <c r="G56" s="17626" t="n"/>
      <c r="H56" s="3" t="n">
        <v>500</v>
      </c>
      <c r="I56" s="4" t="n"/>
      <c r="J56" s="4" t="n"/>
      <c r="K56" s="4">
        <f>L55+M55-N55</f>
        <v/>
      </c>
      <c r="L56" s="4">
        <f>(TablaMarimba6[[#This Row],[Saldo inicial(vales)]]-TablaMarimba6[[#This Row],[Importe]])</f>
        <v/>
      </c>
      <c r="M56" s="4">
        <f>IF(A56="","", _xludf.WEEKNUM(A56, 2))</f>
        <v/>
      </c>
      <c r="N56" s="4" t="n"/>
    </row>
    <row r="57">
      <c r="A57" s="17625" t="n"/>
      <c r="E57">
        <f>VLOOKUP(TablaMarimba6[[#This Row],[Equipo]],Catalogos!$V$4:$W$55,2,FALSE)</f>
        <v/>
      </c>
      <c r="F57" s="3" t="n"/>
      <c r="G57" s="17626" t="n"/>
      <c r="H57" s="3">
        <f>IF(ROW()=5,F57-G57,H56+F57-G57)</f>
        <v/>
      </c>
      <c r="I57" s="4" t="n">
        <v>28.3</v>
      </c>
      <c r="J57" s="4">
        <f>IFERROR((F57+G57)*I57,0)</f>
        <v/>
      </c>
      <c r="K57" s="4">
        <f>L56+M56-N56</f>
        <v/>
      </c>
      <c r="L57" s="4">
        <f>(TablaMarimba6[[#This Row],[Saldo inicial(vales)]]-TablaMarimba6[[#This Row],[Importe]])</f>
        <v/>
      </c>
      <c r="M57" s="4">
        <f>IF(A57="","", _xludf.WEEKNUM(A57, 2))</f>
        <v/>
      </c>
      <c r="N57" s="4" t="n"/>
    </row>
    <row r="58">
      <c r="A58" s="17625" t="n"/>
      <c r="E58">
        <f>VLOOKUP(TablaMarimba6[[#This Row],[Equipo]],Catalogos!$V$4:$W$55,2,FALSE)</f>
        <v/>
      </c>
      <c r="F58" s="3" t="n"/>
      <c r="G58" s="17626" t="n"/>
      <c r="H58" s="3">
        <f>IF(ROW()=5,F58-G58,H57+F58-G58)</f>
        <v/>
      </c>
      <c r="I58" s="4" t="n">
        <v>28.3</v>
      </c>
      <c r="J58" s="4">
        <f>IFERROR((F58+G58)*I58,0)</f>
        <v/>
      </c>
      <c r="K58" s="4">
        <f>L57+M57-N57</f>
        <v/>
      </c>
      <c r="L58" s="4">
        <f>(TablaMarimba6[[#This Row],[Saldo inicial(vales)]]-TablaMarimba6[[#This Row],[Importe]])</f>
        <v/>
      </c>
      <c r="M58" s="4">
        <f>IF(A58="","", _xludf.WEEKNUM(A58, 2))</f>
        <v/>
      </c>
      <c r="N58" s="4" t="n"/>
    </row>
    <row r="59">
      <c r="A59" s="17625" t="n"/>
      <c r="E59">
        <f>VLOOKUP(TablaMarimba6[[#This Row],[Equipo]],Catalogos!$V$4:$W$55,2,FALSE)</f>
        <v/>
      </c>
      <c r="F59" s="3" t="n"/>
      <c r="G59" s="17626" t="n"/>
      <c r="H59" s="3">
        <f>IF(ROW()=5,F59-G59,H58+F59-G59)</f>
        <v/>
      </c>
      <c r="I59" s="4" t="n">
        <v>28.3</v>
      </c>
      <c r="J59" s="4">
        <f>IFERROR((F59+G59)*I59,0)</f>
        <v/>
      </c>
      <c r="K59" s="4">
        <f>L58+M58-N58</f>
        <v/>
      </c>
      <c r="L59" s="4">
        <f>(TablaMarimba6[[#This Row],[Saldo inicial(vales)]]-TablaMarimba6[[#This Row],[Importe]])</f>
        <v/>
      </c>
      <c r="M59" s="4">
        <f>IF(A59="","", _xludf.WEEKNUM(A59, 2))</f>
        <v/>
      </c>
      <c r="N59" s="4" t="n"/>
    </row>
    <row r="60">
      <c r="A60" s="17625" t="n"/>
      <c r="E60">
        <f>VLOOKUP(TablaMarimba6[[#This Row],[Equipo]],Catalogos!$V$4:$W$55,2,FALSE)</f>
        <v/>
      </c>
      <c r="F60" s="3" t="n"/>
      <c r="G60" s="17626" t="n"/>
      <c r="H60" s="3">
        <f>IF(ROW()=5,F60-G60,H59+F60-G60)</f>
        <v/>
      </c>
      <c r="I60" s="4" t="n">
        <v>28.3</v>
      </c>
      <c r="J60" s="4">
        <f>IFERROR((F60+G60)*I60,0)</f>
        <v/>
      </c>
      <c r="K60" s="4">
        <f>L59+M59-N59</f>
        <v/>
      </c>
      <c r="L60" s="4">
        <f>(TablaMarimba6[[#This Row],[Saldo inicial(vales)]]-TablaMarimba6[[#This Row],[Importe]])</f>
        <v/>
      </c>
      <c r="M60" s="4">
        <f>IF(A60="","", _xludf.WEEKNUM(A60, 2))</f>
        <v/>
      </c>
      <c r="N60" s="4" t="n"/>
    </row>
    <row r="61">
      <c r="A61" s="17625" t="n"/>
      <c r="E61">
        <f>VLOOKUP(TablaMarimba6[[#This Row],[Equipo]],Catalogos!$V$4:$W$55,2,FALSE)</f>
        <v/>
      </c>
      <c r="F61" s="3" t="n"/>
      <c r="G61" s="17626" t="n"/>
      <c r="H61" s="3">
        <f>IF(ROW()=5,F61-G61,H60+F61-G61)</f>
        <v/>
      </c>
      <c r="I61" s="4" t="n">
        <v>28.3</v>
      </c>
      <c r="J61" s="4">
        <f>IFERROR((F61+G61)*I61,0)</f>
        <v/>
      </c>
      <c r="K61" s="4">
        <f>L60+M60-N60</f>
        <v/>
      </c>
      <c r="L61" s="4">
        <f>(TablaMarimba6[[#This Row],[Saldo inicial(vales)]]-TablaMarimba6[[#This Row],[Importe]])</f>
        <v/>
      </c>
      <c r="M61" s="4">
        <f>IF(A61="","", _xludf.WEEKNUM(A61, 2))</f>
        <v/>
      </c>
      <c r="N61" s="4" t="n"/>
    </row>
    <row r="62">
      <c r="A62" s="17625" t="n"/>
      <c r="E62">
        <f>VLOOKUP(TablaMarimba6[[#This Row],[Equipo]],Catalogos!$V$4:$W$55,2,FALSE)</f>
        <v/>
      </c>
      <c r="F62" s="3" t="n"/>
      <c r="G62" s="17626" t="n"/>
      <c r="H62" s="3">
        <f>IF(ROW()=5,F62-G62,H61+F62-G62)</f>
        <v/>
      </c>
      <c r="I62" s="4" t="n">
        <v>28.3</v>
      </c>
      <c r="J62" s="4">
        <f>IFERROR((F62+G62)*I62,0)</f>
        <v/>
      </c>
      <c r="K62" s="4">
        <f>L61+M61-N61</f>
        <v/>
      </c>
      <c r="L62" s="4">
        <f>(TablaMarimba6[[#This Row],[Saldo inicial(vales)]]-TablaMarimba6[[#This Row],[Importe]])</f>
        <v/>
      </c>
      <c r="M62" s="4">
        <f>IF(A62="","", _xludf.WEEKNUM(A62, 2))</f>
        <v/>
      </c>
      <c r="N62" s="4" t="n"/>
    </row>
    <row r="63">
      <c r="A63" s="17625" t="n"/>
      <c r="E63">
        <f>VLOOKUP(TablaMarimba6[[#This Row],[Equipo]],Catalogos!$V$4:$W$55,2,FALSE)</f>
        <v/>
      </c>
      <c r="F63" s="3" t="n"/>
      <c r="G63" s="17626" t="n"/>
      <c r="H63" s="3">
        <f>IF(ROW()=5,F63-G63,H62+F63-G63)</f>
        <v/>
      </c>
      <c r="I63" s="4" t="n">
        <v>28.3</v>
      </c>
      <c r="J63" s="4">
        <f>IFERROR((F63+G63)*I63,0)</f>
        <v/>
      </c>
      <c r="K63" s="4">
        <f>L62+M62-N62</f>
        <v/>
      </c>
      <c r="L63" s="4">
        <f>(TablaMarimba6[[#This Row],[Saldo inicial(vales)]]-TablaMarimba6[[#This Row],[Importe]])</f>
        <v/>
      </c>
      <c r="M63" s="4">
        <f>IF(A63="","", _xludf.WEEKNUM(A63, 2))</f>
        <v/>
      </c>
      <c r="N63" s="4" t="n"/>
    </row>
    <row r="64">
      <c r="A64" s="17625" t="n"/>
      <c r="E64">
        <f>VLOOKUP(TablaMarimba6[[#This Row],[Equipo]],Catalogos!$V$4:$W$55,2,FALSE)</f>
        <v/>
      </c>
      <c r="F64" s="3" t="n"/>
      <c r="G64" s="17626" t="n"/>
      <c r="H64" s="3" t="n">
        <v>520</v>
      </c>
      <c r="I64" s="4" t="n"/>
      <c r="J64" s="4" t="n"/>
      <c r="K64" s="4">
        <f>L63+M63-N63</f>
        <v/>
      </c>
      <c r="L64" s="4">
        <f>(TablaMarimba6[[#This Row],[Saldo inicial(vales)]]-TablaMarimba6[[#This Row],[Importe]])</f>
        <v/>
      </c>
      <c r="M64" s="4">
        <f>IF(A64="","", _xludf.WEEKNUM(A64, 2))</f>
        <v/>
      </c>
      <c r="N64" s="4" t="n"/>
    </row>
    <row r="65">
      <c r="A65" s="17625" t="n"/>
      <c r="E65">
        <f>VLOOKUP(TablaMarimba6[[#This Row],[Equipo]],Catalogos!$V$4:$W$55,2,FALSE)</f>
        <v/>
      </c>
      <c r="F65" s="3" t="n"/>
      <c r="G65" s="17626" t="n"/>
      <c r="H65" s="3">
        <f>IF(ROW()=5,F65-G65,H64+F65-G65)</f>
        <v/>
      </c>
      <c r="I65" s="4" t="n">
        <v>28.3</v>
      </c>
      <c r="J65" s="4">
        <f>IFERROR((F65+G65)*I65,0)</f>
        <v/>
      </c>
      <c r="K65" s="4">
        <f>L64+M64-N64</f>
        <v/>
      </c>
      <c r="L65" s="4">
        <f>(TablaMarimba6[[#This Row],[Saldo inicial(vales)]]-TablaMarimba6[[#This Row],[Importe]])</f>
        <v/>
      </c>
      <c r="M65" s="4">
        <f>IF(A65="","", _xludf.WEEKNUM(A65, 2))</f>
        <v/>
      </c>
      <c r="N65" s="4" t="n"/>
    </row>
    <row r="66">
      <c r="A66" s="17625" t="n"/>
      <c r="E66">
        <f>VLOOKUP(TablaMarimba6[[#This Row],[Equipo]],Catalogos!$V$4:$W$55,2,FALSE)</f>
        <v/>
      </c>
      <c r="F66" s="3" t="n"/>
      <c r="G66" s="17626" t="n"/>
      <c r="H66" s="3">
        <f>IF(ROW()=5,F66-G66,H65+F66-G66)</f>
        <v/>
      </c>
      <c r="I66" s="4" t="n">
        <v>28.3</v>
      </c>
      <c r="J66" s="4">
        <f>IFERROR((F66+G66)*I66,0)</f>
        <v/>
      </c>
      <c r="K66" s="4">
        <f>L65+M65-N65</f>
        <v/>
      </c>
      <c r="L66" s="4">
        <f>(TablaMarimba6[[#This Row],[Saldo inicial(vales)]]-TablaMarimba6[[#This Row],[Importe]])</f>
        <v/>
      </c>
      <c r="M66" s="4">
        <f>IF(A66="","", _xludf.WEEKNUM(A66, 2))</f>
        <v/>
      </c>
      <c r="N66" s="4" t="n"/>
    </row>
    <row r="67">
      <c r="A67" s="17625" t="n"/>
      <c r="E67">
        <f>VLOOKUP(TablaMarimba6[[#This Row],[Equipo]],Catalogos!$V$4:$W$55,2,FALSE)</f>
        <v/>
      </c>
      <c r="F67" s="3" t="n"/>
      <c r="G67" s="17626" t="n"/>
      <c r="H67" s="3">
        <f>IF(ROW()=5,F67-G67,H66+F67-G67)</f>
        <v/>
      </c>
      <c r="I67" s="4" t="n">
        <v>28.3</v>
      </c>
      <c r="J67" s="4">
        <f>IFERROR((F67+G67)*I67,0)</f>
        <v/>
      </c>
      <c r="K67" s="4">
        <f>L66+M66-N66</f>
        <v/>
      </c>
      <c r="L67" s="4">
        <f>(TablaMarimba6[[#This Row],[Saldo inicial(vales)]]-TablaMarimba6[[#This Row],[Importe]])</f>
        <v/>
      </c>
      <c r="M67" s="4">
        <f>IF(A67="","", _xludf.WEEKNUM(A67, 2))</f>
        <v/>
      </c>
      <c r="N67" s="4" t="n"/>
    </row>
    <row r="68">
      <c r="A68" s="17625" t="n"/>
      <c r="E68">
        <f>VLOOKUP(TablaMarimba6[[#This Row],[Equipo]],Catalogos!$V$4:$W$55,2,FALSE)</f>
        <v/>
      </c>
      <c r="F68" s="3" t="n"/>
      <c r="G68" s="17626" t="n"/>
      <c r="H68" s="3">
        <f>IF(ROW()=5,F68-G68,H67+F68-G68)</f>
        <v/>
      </c>
      <c r="I68" s="4" t="n">
        <v>28.3</v>
      </c>
      <c r="J68" s="4">
        <f>IFERROR((F68+G68)*I68,0)</f>
        <v/>
      </c>
      <c r="K68" s="4">
        <f>L67+M67-N67</f>
        <v/>
      </c>
      <c r="L68" s="4">
        <f>(TablaMarimba6[[#This Row],[Saldo inicial(vales)]]-TablaMarimba6[[#This Row],[Importe]])</f>
        <v/>
      </c>
      <c r="M68" s="4">
        <f>IF(A68="","", _xludf.WEEKNUM(A68, 2))</f>
        <v/>
      </c>
      <c r="N68" s="4" t="n"/>
    </row>
    <row r="69">
      <c r="A69" s="17625" t="n"/>
      <c r="E69">
        <f>VLOOKUP(TablaMarimba6[[#This Row],[Equipo]],Catalogos!$V$4:$W$55,2,FALSE)</f>
        <v/>
      </c>
      <c r="F69" s="3" t="n"/>
      <c r="G69" s="17626" t="n"/>
      <c r="H69" s="3">
        <f>IF(ROW()=5,F69-G69,H68+F69-G69)</f>
        <v/>
      </c>
      <c r="I69" s="4" t="n">
        <v>28.3</v>
      </c>
      <c r="J69" s="4">
        <f>IFERROR((F69+G69)*I69,0)</f>
        <v/>
      </c>
      <c r="K69" s="4">
        <f>L68+M68-N68</f>
        <v/>
      </c>
      <c r="L69" s="4">
        <f>(TablaMarimba6[[#This Row],[Saldo inicial(vales)]]-TablaMarimba6[[#This Row],[Importe]])</f>
        <v/>
      </c>
      <c r="M69" s="4">
        <f>IF(A69="","", _xludf.WEEKNUM(A69, 2))</f>
        <v/>
      </c>
      <c r="N69" s="4" t="n"/>
    </row>
    <row r="70">
      <c r="A70" s="17625" t="n"/>
      <c r="E70">
        <f>VLOOKUP(TablaMarimba6[[#This Row],[Equipo]],Catalogos!$V$4:$W$55,2,FALSE)</f>
        <v/>
      </c>
      <c r="F70" s="3" t="n"/>
      <c r="G70" s="17626" t="n"/>
      <c r="H70" s="3">
        <f>IF(ROW()=5,F70-G70,H69+F70-G70)</f>
        <v/>
      </c>
      <c r="I70" s="4" t="n">
        <v>28.3</v>
      </c>
      <c r="J70" s="4">
        <f>IFERROR((F70+G70)*I70,0)</f>
        <v/>
      </c>
      <c r="K70" s="4">
        <f>L69+M69-N69</f>
        <v/>
      </c>
      <c r="L70" s="4">
        <f>(TablaMarimba6[[#This Row],[Saldo inicial(vales)]]-TablaMarimba6[[#This Row],[Importe]])</f>
        <v/>
      </c>
      <c r="M70" s="4">
        <f>IF(A70="","", _xludf.WEEKNUM(A70, 2))</f>
        <v/>
      </c>
      <c r="N70" s="4" t="n"/>
    </row>
    <row r="71">
      <c r="A71" s="17625" t="n"/>
      <c r="E71">
        <f>VLOOKUP(TablaMarimba6[[#This Row],[Equipo]],Catalogos!$V$4:$W$55,2,FALSE)</f>
        <v/>
      </c>
      <c r="G71" s="17626" t="n"/>
      <c r="H71" s="3">
        <f>IF(ROW()=5,F71-G71,H70+F71-G71)</f>
        <v/>
      </c>
      <c r="I71" s="4" t="n">
        <v>28.3</v>
      </c>
      <c r="J71" s="4">
        <f>IFERROR((F72+G72)*I71,0)</f>
        <v/>
      </c>
      <c r="K71" s="4">
        <f>L70+M70-N70</f>
        <v/>
      </c>
      <c r="L71" s="4">
        <f>(TablaMarimba6[[#This Row],[Saldo inicial(vales)]]-TablaMarimba6[[#This Row],[Importe]])</f>
        <v/>
      </c>
      <c r="M71" s="4">
        <f>IF(A71="","", _xludf.WEEKNUM(A71, 2))</f>
        <v/>
      </c>
      <c r="N71" s="4" t="n"/>
    </row>
    <row r="72">
      <c r="A72" s="17625" t="n"/>
      <c r="E72">
        <f>VLOOKUP(TablaMarimba6[[#This Row],[Equipo]],Catalogos!$V$4:$W$55,2,FALSE)</f>
        <v/>
      </c>
      <c r="F72" s="3" t="n"/>
      <c r="G72" s="17626" t="n"/>
      <c r="H72" s="3">
        <f>IF(ROW()=5,F72-G72,H71+F72-G72)</f>
        <v/>
      </c>
      <c r="I72" s="4" t="n">
        <v>28.3</v>
      </c>
      <c r="J72" s="4">
        <f>IFERROR((F73+G73)*I72,0)</f>
        <v/>
      </c>
      <c r="K72" s="4">
        <f>L71+M71-N71</f>
        <v/>
      </c>
      <c r="L72" s="4">
        <f>(TablaMarimba6[[#This Row],[Saldo inicial(vales)]]-TablaMarimba6[[#This Row],[Importe]])</f>
        <v/>
      </c>
      <c r="M72" s="4">
        <f>IF(A72="","", _xludf.WEEKNUM(A72, 2))</f>
        <v/>
      </c>
      <c r="N72" s="4" t="n"/>
    </row>
    <row r="73">
      <c r="A73" s="17625" t="n"/>
      <c r="E73">
        <f>VLOOKUP(TablaMarimba6[[#This Row],[Equipo]],Catalogos!$V$4:$W$55,2,FALSE)</f>
        <v/>
      </c>
      <c r="F73" s="3" t="n"/>
      <c r="G73" s="17626" t="n"/>
      <c r="H73" s="3">
        <f>IF(ROW()=5,F73-G73,H72+F73-G73)</f>
        <v/>
      </c>
      <c r="I73" s="4" t="n">
        <v>28.3</v>
      </c>
      <c r="J73" s="4">
        <f>IFERROR((F74+G74)*I73,0)</f>
        <v/>
      </c>
      <c r="K73" s="4">
        <f>L72+M72-N72</f>
        <v/>
      </c>
      <c r="L73" s="4">
        <f>(TablaMarimba6[[#This Row],[Saldo inicial(vales)]]-TablaMarimba6[[#This Row],[Importe]])</f>
        <v/>
      </c>
      <c r="M73" s="4">
        <f>IF(A73="","", _xludf.WEEKNUM(A73, 2))</f>
        <v/>
      </c>
      <c r="N73" s="4" t="n"/>
    </row>
    <row r="74">
      <c r="A74" s="17625" t="n"/>
      <c r="E74">
        <f>VLOOKUP(TablaMarimba6[[#This Row],[Equipo]],Catalogos!$V$4:$W$55,2,FALSE)</f>
        <v/>
      </c>
      <c r="F74" s="3" t="n"/>
      <c r="G74" s="17626" t="n"/>
      <c r="H74" s="3">
        <f>IF(ROW()=5,F74-G74,H73+F74-G74)</f>
        <v/>
      </c>
      <c r="I74" s="4" t="n">
        <v>28.3</v>
      </c>
      <c r="J74" s="4">
        <f>IFERROR((F75+G75)*I74,0)</f>
        <v/>
      </c>
      <c r="K74" s="4">
        <f>L73+M73-N73</f>
        <v/>
      </c>
      <c r="L74" s="4">
        <f>(TablaMarimba6[[#This Row],[Saldo inicial(vales)]]-TablaMarimba6[[#This Row],[Importe]])</f>
        <v/>
      </c>
      <c r="M74" s="4">
        <f>IF(A74="","", _xludf.WEEKNUM(A74, 2))</f>
        <v/>
      </c>
      <c r="N74" s="4" t="n"/>
    </row>
    <row r="75">
      <c r="A75" s="17625" t="n"/>
      <c r="E75">
        <f>VLOOKUP(TablaMarimba6[[#This Row],[Equipo]],Catalogos!$V$4:$W$55,2,FALSE)</f>
        <v/>
      </c>
      <c r="F75" s="3" t="n"/>
      <c r="G75" s="17626" t="n"/>
      <c r="H75" s="3">
        <f>IF(ROW()=5,F75-G75,H74+F75-G75)</f>
        <v/>
      </c>
      <c r="I75" s="4" t="n">
        <v>28.3</v>
      </c>
      <c r="J75" s="4">
        <f>IFERROR((#REF!+#REF!)*I75,0)</f>
        <v/>
      </c>
      <c r="K75" s="4">
        <f>L74+M74-N74</f>
        <v/>
      </c>
      <c r="L75" s="4">
        <f>(TablaMarimba6[[#This Row],[Saldo inicial(vales)]]-TablaMarimba6[[#This Row],[Importe]])</f>
        <v/>
      </c>
      <c r="M75" s="4">
        <f>IF(A75="","", _xludf.WEEKNUM(A75, 2))</f>
        <v/>
      </c>
      <c r="N75" s="4" t="n"/>
    </row>
    <row r="76">
      <c r="A76" s="17625" t="n"/>
      <c r="E76">
        <f>VLOOKUP(TablaMarimba6[[#This Row],[Equipo]],Catalogos!$V$4:$W$55,2,FALSE)</f>
        <v/>
      </c>
      <c r="F76" s="3" t="n"/>
      <c r="G76" s="17626" t="n"/>
      <c r="H76" s="3">
        <f>IF(ROW()=5,F76-G76,H75+F76-G76)</f>
        <v/>
      </c>
      <c r="I76" s="4" t="n">
        <v>28.3</v>
      </c>
      <c r="J76" s="4">
        <f>IFERROR((F76+G76)*I76,0)</f>
        <v/>
      </c>
      <c r="K76" s="4">
        <f>L75+M75-N75</f>
        <v/>
      </c>
      <c r="L76" s="4">
        <f>(TablaMarimba6[[#This Row],[Saldo inicial(vales)]]-TablaMarimba6[[#This Row],[Importe]])</f>
        <v/>
      </c>
      <c r="M76" s="4">
        <f>IF(A76="","", _xludf.WEEKNUM(A76, 2))</f>
        <v/>
      </c>
      <c r="N76" s="4" t="n"/>
    </row>
    <row r="77">
      <c r="A77" s="17625" t="n"/>
      <c r="E77">
        <f>VLOOKUP(TablaMarimba6[[#This Row],[Equipo]],Catalogos!$V$4:$W$55,2,FALSE)</f>
        <v/>
      </c>
      <c r="F77" s="3" t="n"/>
      <c r="G77" s="17626" t="n"/>
      <c r="H77" s="3">
        <f>IF(ROW()=5,F77-G77,H76+F77-G77)</f>
        <v/>
      </c>
      <c r="I77" s="4" t="n">
        <v>28.3</v>
      </c>
      <c r="J77" s="4">
        <f>IFERROR((F77+G77)*I77,0)</f>
        <v/>
      </c>
      <c r="K77" s="4">
        <f>L76+M76-N76</f>
        <v/>
      </c>
      <c r="L77" s="4">
        <f>(TablaMarimba6[[#This Row],[Saldo inicial(vales)]]-TablaMarimba6[[#This Row],[Importe]])</f>
        <v/>
      </c>
      <c r="M77" s="4">
        <f>IF(A77="","", _xludf.WEEKNUM(A77, 2))</f>
        <v/>
      </c>
      <c r="N77" s="4" t="n"/>
    </row>
    <row r="78">
      <c r="A78" s="17625" t="n"/>
      <c r="E78">
        <f>VLOOKUP(TablaMarimba6[[#This Row],[Equipo]],Catalogos!$V$4:$W$55,2,FALSE)</f>
        <v/>
      </c>
      <c r="F78" s="3" t="n"/>
      <c r="G78" s="17626" t="n"/>
      <c r="H78" s="3">
        <f>IF(ROW()=5,F78-G78,H77+F78-G78)</f>
        <v/>
      </c>
      <c r="I78" s="4" t="n">
        <v>28.3</v>
      </c>
      <c r="J78" s="4">
        <f>IFERROR((F78+G78)*I78,0)</f>
        <v/>
      </c>
      <c r="K78" s="4">
        <f>L77+M77-N77</f>
        <v/>
      </c>
      <c r="L78" s="4">
        <f>(TablaMarimba6[[#This Row],[Saldo inicial(vales)]]-TablaMarimba6[[#This Row],[Importe]])</f>
        <v/>
      </c>
      <c r="M78" s="4">
        <f>IF(A78="","", _xludf.WEEKNUM(A78, 2))</f>
        <v/>
      </c>
      <c r="N78" s="4" t="n"/>
    </row>
    <row r="79">
      <c r="A79" s="17625" t="n"/>
      <c r="E79">
        <f>VLOOKUP(TablaMarimba6[[#This Row],[Equipo]],Catalogos!$V$4:$W$55,2,FALSE)</f>
        <v/>
      </c>
      <c r="F79" s="3" t="n"/>
      <c r="G79" s="17626" t="n"/>
      <c r="H79" s="3">
        <f>IF(ROW()=5,F79-G79,H78+F79-G79)</f>
        <v/>
      </c>
      <c r="I79" s="4" t="n">
        <v>28.3</v>
      </c>
      <c r="J79" s="4">
        <f>IFERROR((F79+G79)*I79,0)</f>
        <v/>
      </c>
      <c r="K79" s="4">
        <f>L78+M78-N78</f>
        <v/>
      </c>
      <c r="L79" s="4">
        <f>(TablaMarimba6[[#This Row],[Saldo inicial(vales)]]-TablaMarimba6[[#This Row],[Importe]])</f>
        <v/>
      </c>
      <c r="M79" s="4">
        <f>IF(A79="","", _xludf.WEEKNUM(A79, 2))</f>
        <v/>
      </c>
      <c r="N79" s="4" t="n"/>
    </row>
    <row r="80">
      <c r="A80" s="17625" t="n"/>
      <c r="E80">
        <f>VLOOKUP(TablaMarimba6[[#This Row],[Equipo]],Catalogos!$V$4:$W$55,2,FALSE)</f>
        <v/>
      </c>
      <c r="F80" s="3" t="n"/>
      <c r="G80" s="17626" t="n"/>
      <c r="H80" s="3">
        <f>IF(ROW()=5,F80-G80,H79+F80-G80)</f>
        <v/>
      </c>
      <c r="I80" s="4" t="n">
        <v>28.3</v>
      </c>
      <c r="J80" s="4">
        <f>IFERROR((F80+G80)*I80,0)</f>
        <v/>
      </c>
      <c r="K80" s="4">
        <f>L79+M79-N79</f>
        <v/>
      </c>
      <c r="L80" s="4">
        <f>(TablaMarimba6[[#This Row],[Saldo inicial(vales)]]-TablaMarimba6[[#This Row],[Importe]])</f>
        <v/>
      </c>
      <c r="M80" s="4">
        <f>IF(A80="","", _xludf.WEEKNUM(A80, 2))</f>
        <v/>
      </c>
      <c r="N80" s="4" t="n"/>
    </row>
    <row r="81">
      <c r="A81" s="17625" t="n"/>
      <c r="E81">
        <f>VLOOKUP(TablaMarimba6[[#This Row],[Equipo]],Catalogos!$V$4:$W$55,2,FALSE)</f>
        <v/>
      </c>
      <c r="F81" s="3" t="n"/>
      <c r="G81" s="17626" t="n"/>
      <c r="H81" s="3">
        <f>IF(ROW()=5,F81-G81,H80+F81-G81)</f>
        <v/>
      </c>
      <c r="I81" s="4" t="n">
        <v>28.3</v>
      </c>
      <c r="J81" s="4">
        <f>IFERROR((F81+G81)*I81,0)</f>
        <v/>
      </c>
      <c r="K81" s="4">
        <f>L80+M80-N80</f>
        <v/>
      </c>
      <c r="L81" s="4">
        <f>(TablaMarimba6[[#This Row],[Saldo inicial(vales)]]-TablaMarimba6[[#This Row],[Importe]])</f>
        <v/>
      </c>
      <c r="M81" s="4">
        <f>IF(A81="","", _xludf.WEEKNUM(A81, 2))</f>
        <v/>
      </c>
      <c r="N81" s="4" t="n"/>
    </row>
    <row r="82">
      <c r="A82" s="17625" t="n"/>
      <c r="E82">
        <f>VLOOKUP(TablaMarimba6[[#This Row],[Equipo]],Catalogos!$V$4:$W$55,2,FALSE)</f>
        <v/>
      </c>
      <c r="F82" s="3" t="n"/>
      <c r="G82" s="17626" t="n"/>
      <c r="H82" s="3">
        <f>IF(ROW()=5,F82-G82,H81+F82-G82)</f>
        <v/>
      </c>
      <c r="I82" s="4" t="n">
        <v>28.3</v>
      </c>
      <c r="J82" s="4">
        <f>IFERROR((F82+G82)*I82,0)</f>
        <v/>
      </c>
      <c r="K82" s="4">
        <f>L81+M81-N81</f>
        <v/>
      </c>
      <c r="L82" s="4">
        <f>(TablaMarimba6[[#This Row],[Saldo inicial(vales)]]-TablaMarimba6[[#This Row],[Importe]])</f>
        <v/>
      </c>
      <c r="M82" s="4">
        <f>IF(A82="","", _xludf.WEEKNUM(A82, 2))</f>
        <v/>
      </c>
      <c r="N82" s="4" t="n"/>
    </row>
    <row r="83">
      <c r="A83" s="17625" t="n"/>
      <c r="E83">
        <f>VLOOKUP(TablaMarimba6[[#This Row],[Equipo]],Catalogos!$V$4:$W$55,2,FALSE)</f>
        <v/>
      </c>
      <c r="F83" s="3" t="n"/>
      <c r="G83" s="17626" t="n"/>
      <c r="H83" s="3">
        <f>IF(ROW()=5,F83-G83,H82+F83-G83)</f>
        <v/>
      </c>
      <c r="I83" s="4" t="n">
        <v>28.3</v>
      </c>
      <c r="J83" s="4">
        <f>IFERROR((F83+G83)*I83,0)</f>
        <v/>
      </c>
      <c r="K83" s="4">
        <f>L82+M82-N82</f>
        <v/>
      </c>
      <c r="L83" s="4">
        <f>(TablaMarimba6[[#This Row],[Saldo inicial(vales)]]-TablaMarimba6[[#This Row],[Importe]])</f>
        <v/>
      </c>
      <c r="M83" s="4">
        <f>IF(A83="","", _xludf.WEEKNUM(A83, 2))</f>
        <v/>
      </c>
      <c r="N83" s="4" t="n"/>
    </row>
    <row r="84">
      <c r="A84" s="17625" t="n"/>
      <c r="E84">
        <f>VLOOKUP(TablaMarimba6[[#This Row],[Equipo]],Catalogos!$V$4:$W$55,2,FALSE)</f>
        <v/>
      </c>
      <c r="F84" s="3" t="n"/>
      <c r="G84" s="17626" t="n"/>
      <c r="H84" s="3">
        <f>IF(ROW()=5,F84-G84,H83+F84-G84)</f>
        <v/>
      </c>
      <c r="I84" s="4" t="n">
        <v>28.3</v>
      </c>
      <c r="J84" s="4">
        <f>IFERROR((F84+G84)*I84,0)</f>
        <v/>
      </c>
      <c r="K84" s="4">
        <f>L83+M83-N83</f>
        <v/>
      </c>
      <c r="L84" s="4">
        <f>(TablaMarimba6[[#This Row],[Saldo inicial(vales)]]-TablaMarimba6[[#This Row],[Importe]])</f>
        <v/>
      </c>
      <c r="M84" s="4">
        <f>IF(A84="","", _xludf.WEEKNUM(A84, 2))</f>
        <v/>
      </c>
      <c r="N84" s="4" t="n"/>
    </row>
    <row r="85">
      <c r="A85" s="17625" t="n"/>
      <c r="E85">
        <f>VLOOKUP(TablaMarimba6[[#This Row],[Equipo]],Catalogos!$V$4:$W$55,2,FALSE)</f>
        <v/>
      </c>
      <c r="F85" s="3" t="n"/>
      <c r="G85" s="17626" t="n"/>
      <c r="H85" s="3">
        <f>IF(ROW()=5,F85-G85,H84+F85-G85)</f>
        <v/>
      </c>
      <c r="I85" s="4" t="n">
        <v>28.3</v>
      </c>
      <c r="J85" s="4">
        <f>IFERROR((F85+G85)*I85,0)</f>
        <v/>
      </c>
      <c r="K85" s="4">
        <f>L84+M84-N84</f>
        <v/>
      </c>
      <c r="L85" s="4">
        <f>(TablaMarimba6[[#This Row],[Saldo inicial(vales)]]-TablaMarimba6[[#This Row],[Importe]])</f>
        <v/>
      </c>
      <c r="M85" s="4">
        <f>IF(A85="","", _xludf.WEEKNUM(A85, 2))</f>
        <v/>
      </c>
      <c r="N85" s="4" t="n"/>
    </row>
    <row r="86">
      <c r="A86" s="17625" t="n"/>
      <c r="E86">
        <f>VLOOKUP(TablaMarimba6[[#This Row],[Equipo]],Catalogos!$V$4:$W$55,2,FALSE)</f>
        <v/>
      </c>
      <c r="F86" s="3" t="n"/>
      <c r="G86" s="17626" t="n"/>
      <c r="H86" s="3">
        <f>IF(ROW()=5,F86-G86,H85+F86-G86)</f>
        <v/>
      </c>
      <c r="I86" s="4" t="n">
        <v>28.3</v>
      </c>
      <c r="J86" s="4">
        <f>IFERROR((F86+G86)*I86,0)</f>
        <v/>
      </c>
      <c r="K86" s="4">
        <f>L85+M85-N85</f>
        <v/>
      </c>
      <c r="L86" s="4">
        <f>(TablaMarimba6[[#This Row],[Saldo inicial(vales)]]-TablaMarimba6[[#This Row],[Importe]])</f>
        <v/>
      </c>
      <c r="M86" s="4">
        <f>IF(A86="","", _xludf.WEEKNUM(A86, 2))</f>
        <v/>
      </c>
      <c r="N86" s="4" t="n"/>
    </row>
    <row r="87">
      <c r="A87" s="17625" t="n"/>
      <c r="E87">
        <f>VLOOKUP(TablaMarimba6[[#This Row],[Equipo]],Catalogos!$V$4:$W$55,2,FALSE)</f>
        <v/>
      </c>
      <c r="F87" s="3" t="n"/>
      <c r="G87" s="17626" t="n"/>
      <c r="H87" s="3">
        <f>IF(ROW()=5,F87-G87,H86+F87-G87)</f>
        <v/>
      </c>
      <c r="I87" s="4" t="n">
        <v>28.3</v>
      </c>
      <c r="J87" s="4">
        <f>IFERROR((F87+G87)*I87,0)</f>
        <v/>
      </c>
      <c r="K87" s="4">
        <f>L86+M86-N86</f>
        <v/>
      </c>
      <c r="L87" s="4">
        <f>(TablaMarimba6[[#This Row],[Saldo inicial(vales)]]-TablaMarimba6[[#This Row],[Importe]])</f>
        <v/>
      </c>
      <c r="M87" s="4">
        <f>IF(A87="","", _xludf.WEEKNUM(A87, 2))</f>
        <v/>
      </c>
      <c r="N87" s="4" t="n"/>
    </row>
    <row r="88">
      <c r="A88" s="17625" t="n"/>
      <c r="E88">
        <f>VLOOKUP(TablaMarimba6[[#This Row],[Equipo]],Catalogos!$V$4:$W$55,2,FALSE)</f>
        <v/>
      </c>
      <c r="F88" s="3" t="n"/>
      <c r="G88" s="17626" t="n"/>
      <c r="H88" s="3">
        <f>IF(ROW()=5,F88-G88,H87+F88-G88)</f>
        <v/>
      </c>
      <c r="I88" s="4" t="n">
        <v>28.3</v>
      </c>
      <c r="J88" s="4">
        <f>IFERROR((F88+G88)*I88,0)</f>
        <v/>
      </c>
      <c r="K88" s="4">
        <f>L87+M87-N87</f>
        <v/>
      </c>
      <c r="L88" s="4">
        <f>(TablaMarimba6[[#This Row],[Saldo inicial(vales)]]-TablaMarimba6[[#This Row],[Importe]])</f>
        <v/>
      </c>
      <c r="M88" s="4">
        <f>IF(A88="","", _xludf.WEEKNUM(A88, 2))</f>
        <v/>
      </c>
      <c r="N88" s="4" t="n"/>
    </row>
    <row r="89">
      <c r="A89" s="17625" t="n"/>
      <c r="E89">
        <f>VLOOKUP(TablaMarimba6[[#This Row],[Equipo]],Catalogos!$V$4:$W$55,2,FALSE)</f>
        <v/>
      </c>
      <c r="F89" s="3" t="n"/>
      <c r="G89" s="17626" t="n"/>
      <c r="H89" s="3">
        <f>IF(ROW()=5,F89-G89,H88+F89-G89)</f>
        <v/>
      </c>
      <c r="I89" s="4" t="n">
        <v>28.3</v>
      </c>
      <c r="J89" s="4">
        <f>IFERROR((F89+G89)*I89,0)</f>
        <v/>
      </c>
      <c r="K89" s="4">
        <f>L88+M88-N88</f>
        <v/>
      </c>
      <c r="L89" s="4">
        <f>(TablaMarimba6[[#This Row],[Saldo inicial(vales)]]-TablaMarimba6[[#This Row],[Importe]])</f>
        <v/>
      </c>
      <c r="M89" s="4">
        <f>IF(A89="","", _xludf.WEEKNUM(A89, 2))</f>
        <v/>
      </c>
      <c r="N89" s="4" t="n"/>
    </row>
    <row r="90">
      <c r="A90" s="17625" t="n"/>
      <c r="E90">
        <f>VLOOKUP(TablaMarimba6[[#This Row],[Equipo]],Catalogos!$V$4:$W$55,2,FALSE)</f>
        <v/>
      </c>
      <c r="F90" s="3" t="n"/>
      <c r="G90" s="17626" t="n"/>
      <c r="H90" s="3">
        <f>IF(ROW()=5,F90-G90,H89+F90-G90)</f>
        <v/>
      </c>
      <c r="I90" s="4" t="n">
        <v>28.3</v>
      </c>
      <c r="J90" s="4">
        <f>IFERROR((F90+G90)*I90,0)</f>
        <v/>
      </c>
      <c r="K90" s="4">
        <f>L89+M89-N89</f>
        <v/>
      </c>
      <c r="L90" s="4">
        <f>(TablaMarimba6[[#This Row],[Saldo inicial(vales)]]-TablaMarimba6[[#This Row],[Importe]])</f>
        <v/>
      </c>
      <c r="M90" s="4">
        <f>IF(A90="","", _xludf.WEEKNUM(A90, 2))</f>
        <v/>
      </c>
      <c r="N90" s="4" t="n"/>
    </row>
    <row r="91">
      <c r="A91" s="17625" t="n"/>
      <c r="E91">
        <f>VLOOKUP(TablaMarimba6[[#This Row],[Equipo]],Catalogos!$V$4:$W$55,2,FALSE)</f>
        <v/>
      </c>
      <c r="F91" s="3" t="n"/>
      <c r="G91" s="17626" t="n"/>
      <c r="H91" s="3">
        <f>IF(ROW()=5,F91-G91,H90+F91-G91)</f>
        <v/>
      </c>
      <c r="I91" s="4" t="n">
        <v>28.3</v>
      </c>
      <c r="J91" s="4">
        <f>IFERROR((F91+G91)*I91,0)</f>
        <v/>
      </c>
      <c r="K91" s="4">
        <f>L90+M90-N90</f>
        <v/>
      </c>
      <c r="L91" s="4">
        <f>(TablaMarimba6[[#This Row],[Saldo inicial(vales)]]-TablaMarimba6[[#This Row],[Importe]])</f>
        <v/>
      </c>
      <c r="M91" s="4">
        <f>IF(A91="","", _xludf.WEEKNUM(A91, 2))</f>
        <v/>
      </c>
      <c r="N91" s="4" t="n"/>
    </row>
    <row r="92">
      <c r="A92" s="17625" t="n"/>
      <c r="E92">
        <f>VLOOKUP(TablaMarimba6[[#This Row],[Equipo]],Catalogos!$V$4:$W$55,2,FALSE)</f>
        <v/>
      </c>
      <c r="F92" s="3" t="n"/>
      <c r="G92" s="17626" t="n"/>
      <c r="H92" s="3">
        <f>IF(ROW()=5,F92-G92,H91+F92-G92)</f>
        <v/>
      </c>
      <c r="I92" s="4" t="n">
        <v>28.3</v>
      </c>
      <c r="J92" s="4">
        <f>IFERROR((F92+G92)*I92,0)</f>
        <v/>
      </c>
      <c r="K92" s="4">
        <f>L91+M91-N91</f>
        <v/>
      </c>
      <c r="L92" s="4">
        <f>(TablaMarimba6[[#This Row],[Saldo inicial(vales)]]-TablaMarimba6[[#This Row],[Importe]])</f>
        <v/>
      </c>
      <c r="M92" s="4">
        <f>IF(A92="","", _xludf.WEEKNUM(A92, 2))</f>
        <v/>
      </c>
      <c r="N92" s="4" t="n"/>
    </row>
    <row r="93">
      <c r="A93" s="17625" t="n"/>
      <c r="E93">
        <f>VLOOKUP(TablaMarimba6[[#This Row],[Equipo]],Catalogos!$V$4:$W$55,2,FALSE)</f>
        <v/>
      </c>
      <c r="F93" s="3" t="n"/>
      <c r="G93" s="17626" t="n"/>
      <c r="H93" s="3">
        <f>IF(ROW()=5,F93-G93,H92+F93-G93)</f>
        <v/>
      </c>
      <c r="I93" s="4" t="n">
        <v>28.3</v>
      </c>
      <c r="J93" s="4">
        <f>IFERROR((F93+G93)*I93,0)</f>
        <v/>
      </c>
      <c r="K93" s="4">
        <f>L92+M92-N92</f>
        <v/>
      </c>
      <c r="L93" s="4">
        <f>(TablaMarimba6[[#This Row],[Saldo inicial(vales)]]-TablaMarimba6[[#This Row],[Importe]])</f>
        <v/>
      </c>
      <c r="M93" s="4">
        <f>IF(A93="","", _xludf.WEEKNUM(A93, 2))</f>
        <v/>
      </c>
      <c r="N93" s="4" t="n"/>
    </row>
    <row r="94">
      <c r="A94" s="17625" t="n"/>
      <c r="E94">
        <f>VLOOKUP(TablaMarimba6[[#This Row],[Equipo]],Catalogos!$V$4:$W$55,2,FALSE)</f>
        <v/>
      </c>
      <c r="F94" s="3" t="n"/>
      <c r="G94" s="17626" t="n"/>
      <c r="H94" s="3">
        <f>IF(ROW()=5,F94-G94,H93+F94-G94)</f>
        <v/>
      </c>
      <c r="I94" s="4" t="n">
        <v>28.3</v>
      </c>
      <c r="J94" s="4">
        <f>IFERROR((F94+G94)*I94,0)</f>
        <v/>
      </c>
      <c r="K94" s="4">
        <f>L93+M93-N93</f>
        <v/>
      </c>
      <c r="L94" s="4">
        <f>(TablaMarimba6[[#This Row],[Saldo inicial(vales)]]-TablaMarimba6[[#This Row],[Importe]])</f>
        <v/>
      </c>
      <c r="M94" s="4">
        <f>IF(A94="","", _xludf.WEEKNUM(A94, 2))</f>
        <v/>
      </c>
      <c r="N94" s="4" t="n"/>
    </row>
    <row r="95">
      <c r="A95" s="17625" t="n"/>
      <c r="E95">
        <f>VLOOKUP(TablaMarimba6[[#This Row],[Equipo]],Catalogos!$V$4:$W$55,2,FALSE)</f>
        <v/>
      </c>
      <c r="F95" s="3" t="n"/>
      <c r="G95" s="17626" t="n"/>
      <c r="H95" s="3">
        <f>IF(ROW()=5,F95-G95,H94+F95-G95)</f>
        <v/>
      </c>
      <c r="I95" s="4" t="n">
        <v>28.3</v>
      </c>
      <c r="J95" s="4">
        <f>IFERROR((F95+G95)*I95,0)</f>
        <v/>
      </c>
      <c r="K95" s="4">
        <f>L94+M94-N94</f>
        <v/>
      </c>
      <c r="L95" s="4">
        <f>(TablaMarimba6[[#This Row],[Saldo inicial(vales)]]-TablaMarimba6[[#This Row],[Importe]])</f>
        <v/>
      </c>
      <c r="M95" s="4">
        <f>IF(A95="","", _xludf.WEEKNUM(A95, 2))</f>
        <v/>
      </c>
      <c r="N95" s="4" t="n"/>
    </row>
    <row r="96">
      <c r="A96" s="17625" t="n"/>
      <c r="E96">
        <f>VLOOKUP(TablaMarimba6[[#This Row],[Equipo]],Catalogos!$V$4:$W$55,2,FALSE)</f>
        <v/>
      </c>
      <c r="F96" s="3" t="n"/>
      <c r="G96" s="17626" t="n"/>
      <c r="H96" s="3">
        <f>IF(ROW()=5,F96-G96,H95+F96-G96)</f>
        <v/>
      </c>
      <c r="I96" s="4" t="n">
        <v>28.3</v>
      </c>
      <c r="J96" s="4">
        <f>IFERROR((F96+G96)*I96,0)</f>
        <v/>
      </c>
      <c r="K96" s="4">
        <f>L95+M95-N95</f>
        <v/>
      </c>
      <c r="L96" s="4">
        <f>(TablaMarimba6[[#This Row],[Saldo inicial(vales)]]-TablaMarimba6[[#This Row],[Importe]])</f>
        <v/>
      </c>
      <c r="M96" s="4">
        <f>IF(A96="","", _xludf.WEEKNUM(A96, 2))</f>
        <v/>
      </c>
      <c r="N96" s="4" t="n"/>
    </row>
    <row r="97">
      <c r="A97" s="17625" t="n"/>
      <c r="E97">
        <f>VLOOKUP(TablaMarimba6[[#This Row],[Equipo]],Catalogos!$V$4:$W$55,2,FALSE)</f>
        <v/>
      </c>
      <c r="F97" s="3" t="n"/>
      <c r="G97" s="17626" t="n"/>
      <c r="H97" s="3">
        <f>IF(ROW()=5,F97-G97,H96+F97-G97)</f>
        <v/>
      </c>
      <c r="I97" s="4" t="n">
        <v>28.3</v>
      </c>
      <c r="J97" s="4">
        <f>IFERROR((F97+G97)*I97,0)</f>
        <v/>
      </c>
      <c r="K97" s="4">
        <f>L96+M96-N96</f>
        <v/>
      </c>
      <c r="L97" s="4">
        <f>(TablaMarimba6[[#This Row],[Saldo inicial(vales)]]-TablaMarimba6[[#This Row],[Importe]])</f>
        <v/>
      </c>
      <c r="M97" s="4">
        <f>IF(A97="","", _xludf.WEEKNUM(A97, 2))</f>
        <v/>
      </c>
      <c r="N97" s="4" t="n"/>
    </row>
    <row r="98">
      <c r="A98" s="17625" t="n"/>
      <c r="E98">
        <f>VLOOKUP(TablaMarimba6[[#This Row],[Equipo]],Catalogos!$V$4:$W$55,2,FALSE)</f>
        <v/>
      </c>
      <c r="F98" s="3" t="n"/>
      <c r="G98" s="17626" t="n"/>
      <c r="H98" s="3">
        <f>IF(ROW()=5,F98-G98,H97+F98-G98)</f>
        <v/>
      </c>
      <c r="I98" s="4" t="n">
        <v>28.3</v>
      </c>
      <c r="J98" s="4">
        <f>IFERROR((F98+G98)*I98,0)</f>
        <v/>
      </c>
      <c r="K98" s="4">
        <f>L97+M97-N97</f>
        <v/>
      </c>
      <c r="L98" s="4">
        <f>(TablaMarimba6[[#This Row],[Saldo inicial(vales)]]-TablaMarimba6[[#This Row],[Importe]])</f>
        <v/>
      </c>
      <c r="M98" s="4">
        <f>IF(A98="","", _xludf.WEEKNUM(A98, 2))</f>
        <v/>
      </c>
      <c r="N98" s="4" t="n"/>
    </row>
    <row r="99">
      <c r="A99" s="17625" t="n"/>
      <c r="E99">
        <f>VLOOKUP(TablaMarimba6[[#This Row],[Equipo]],Catalogos!$V$4:$W$55,2,FALSE)</f>
        <v/>
      </c>
      <c r="F99" s="3" t="n"/>
      <c r="G99" s="17626" t="n"/>
      <c r="H99" s="3">
        <f>IF(ROW()=5,F99-G99,H98+F99-G99)</f>
        <v/>
      </c>
      <c r="I99" s="4" t="n">
        <v>28.3</v>
      </c>
      <c r="J99" s="4">
        <f>IFERROR((F99+G99)*I99,0)</f>
        <v/>
      </c>
      <c r="K99" s="4">
        <f>L98+M98-N98</f>
        <v/>
      </c>
      <c r="L99" s="4">
        <f>(TablaMarimba6[[#This Row],[Saldo inicial(vales)]]-TablaMarimba6[[#This Row],[Importe]])</f>
        <v/>
      </c>
      <c r="M99" s="4">
        <f>IF(A99="","", _xludf.WEEKNUM(A99, 2))</f>
        <v/>
      </c>
      <c r="N99" s="4" t="n"/>
    </row>
    <row r="100">
      <c r="A100" s="17625" t="n"/>
      <c r="E100">
        <f>VLOOKUP(TablaMarimba6[[#This Row],[Equipo]],Catalogos!$V$4:$W$55,2,FALSE)</f>
        <v/>
      </c>
      <c r="F100" s="3" t="n"/>
      <c r="G100" s="17626" t="n"/>
      <c r="H100" s="3">
        <f>IF(ROW()=5,F100-G100,H99+F100-G100)</f>
        <v/>
      </c>
      <c r="I100" s="4" t="n">
        <v>28.3</v>
      </c>
      <c r="J100" s="4">
        <f>IFERROR((F100+G100)*I100,0)</f>
        <v/>
      </c>
      <c r="K100" s="4">
        <f>L99+M99-N99</f>
        <v/>
      </c>
      <c r="L100" s="4">
        <f>(TablaMarimba6[[#This Row],[Saldo inicial(vales)]]-TablaMarimba6[[#This Row],[Importe]])</f>
        <v/>
      </c>
      <c r="M100" s="4">
        <f>IF(A100="","", _xludf.WEEKNUM(A100, 2))</f>
        <v/>
      </c>
      <c r="N100" s="4" t="n"/>
    </row>
    <row r="101">
      <c r="A101" s="17625" t="n"/>
      <c r="E101">
        <f>VLOOKUP(TablaMarimba6[[#This Row],[Equipo]],Catalogos!$V$4:$W$55,2,FALSE)</f>
        <v/>
      </c>
      <c r="F101" s="3" t="n"/>
      <c r="G101" s="17626" t="n"/>
      <c r="H101" s="3">
        <f>IF(ROW()=5,F101-G101,H100+F101-G101)</f>
        <v/>
      </c>
      <c r="I101" s="4" t="n">
        <v>28.3</v>
      </c>
      <c r="J101" s="4">
        <f>IFERROR((F101+G101)*I101,0)</f>
        <v/>
      </c>
      <c r="K101" s="4">
        <f>L100+M100-N100</f>
        <v/>
      </c>
      <c r="L101" s="4">
        <f>(TablaMarimba6[[#This Row],[Saldo inicial(vales)]]-TablaMarimba6[[#This Row],[Importe]])</f>
        <v/>
      </c>
      <c r="M101" s="4">
        <f>IF(A101="","", _xludf.WEEKNUM(A101, 2))</f>
        <v/>
      </c>
      <c r="N101" s="4" t="n"/>
    </row>
    <row r="102">
      <c r="A102" s="17625" t="n"/>
      <c r="E102">
        <f>VLOOKUP(TablaMarimba6[[#This Row],[Equipo]],Catalogos!$V$4:$W$55,2,FALSE)</f>
        <v/>
      </c>
      <c r="F102" s="3" t="n"/>
      <c r="G102" s="17626" t="n"/>
      <c r="H102" s="3">
        <f>IF(ROW()=5,F102-G102,H101+F102-G102)</f>
        <v/>
      </c>
      <c r="I102" s="4" t="n">
        <v>28.3</v>
      </c>
      <c r="J102" s="4">
        <f>IFERROR((F102+G102)*I102,0)</f>
        <v/>
      </c>
      <c r="K102" s="4">
        <f>L101+M101-N101</f>
        <v/>
      </c>
      <c r="L102" s="4">
        <f>(TablaMarimba6[[#This Row],[Saldo inicial(vales)]]-TablaMarimba6[[#This Row],[Importe]])</f>
        <v/>
      </c>
      <c r="M102" s="4">
        <f>IF(A102="","", _xludf.WEEKNUM(A102, 2))</f>
        <v/>
      </c>
      <c r="N102" s="4" t="n"/>
    </row>
    <row r="103">
      <c r="A103" s="17625" t="n"/>
      <c r="E103">
        <f>VLOOKUP(TablaMarimba6[[#This Row],[Equipo]],Catalogos!$V$4:$W$55,2,FALSE)</f>
        <v/>
      </c>
      <c r="F103" s="3" t="n"/>
      <c r="G103" s="17626" t="n"/>
      <c r="H103" s="3">
        <f>IF(ROW()=5,F103-G103,H102+F103-G103)</f>
        <v/>
      </c>
      <c r="I103" s="4" t="n">
        <v>28.3</v>
      </c>
      <c r="J103" s="4">
        <f>IFERROR((F103+G103)*I103,0)</f>
        <v/>
      </c>
      <c r="K103" s="4">
        <f>L102+M102-N102</f>
        <v/>
      </c>
      <c r="L103" s="4">
        <f>(TablaMarimba6[[#This Row],[Saldo inicial(vales)]]-TablaMarimba6[[#This Row],[Importe]])</f>
        <v/>
      </c>
      <c r="M103" s="4">
        <f>IF(A103="","", _xludf.WEEKNUM(A103, 2))</f>
        <v/>
      </c>
      <c r="N103" s="4" t="n"/>
    </row>
    <row r="104">
      <c r="A104" s="17625" t="n"/>
      <c r="E104">
        <f>VLOOKUP(TablaMarimba6[[#This Row],[Equipo]],Catalogos!$V$4:$W$55,2,FALSE)</f>
        <v/>
      </c>
      <c r="F104" s="3" t="n"/>
      <c r="G104" s="17626" t="n"/>
      <c r="H104" s="3">
        <f>IF(ROW()=5,F104-G104,H103+F104-G104)</f>
        <v/>
      </c>
      <c r="I104" s="4" t="n">
        <v>28.3</v>
      </c>
      <c r="J104" s="4">
        <f>IFERROR((F104+G104)*I104,0)</f>
        <v/>
      </c>
      <c r="K104" s="4">
        <f>L103+M103-N103</f>
        <v/>
      </c>
      <c r="L104" s="4">
        <f>(TablaMarimba6[[#This Row],[Saldo inicial(vales)]]-TablaMarimba6[[#This Row],[Importe]])</f>
        <v/>
      </c>
      <c r="M104" s="4">
        <f>IF(A104="","", _xludf.WEEKNUM(A104, 2))</f>
        <v/>
      </c>
      <c r="N104" s="4" t="n"/>
    </row>
    <row r="105">
      <c r="A105" s="17625" t="n"/>
      <c r="E105">
        <f>VLOOKUP(TablaMarimba6[[#This Row],[Equipo]],Catalogos!$V$4:$W$55,2,FALSE)</f>
        <v/>
      </c>
      <c r="F105" s="3" t="n"/>
      <c r="G105" s="17626" t="n"/>
      <c r="H105" s="3">
        <f>IF(ROW()=5,F105-G105,H104+F105-G105)</f>
        <v/>
      </c>
      <c r="I105" s="4" t="n">
        <v>28.3</v>
      </c>
      <c r="J105" s="4">
        <f>IFERROR((F105+G105)*I105,0)</f>
        <v/>
      </c>
      <c r="K105" s="4">
        <f>L104+M104-N104</f>
        <v/>
      </c>
      <c r="L105" s="4">
        <f>(TablaMarimba6[[#This Row],[Saldo inicial(vales)]]-TablaMarimba6[[#This Row],[Importe]])</f>
        <v/>
      </c>
      <c r="M105" s="4">
        <f>IF(A105="","", _xludf.WEEKNUM(A105, 2))</f>
        <v/>
      </c>
      <c r="N105" s="4" t="n"/>
    </row>
    <row r="106">
      <c r="A106" s="17625" t="n"/>
      <c r="E106">
        <f>VLOOKUP(TablaMarimba6[[#This Row],[Equipo]],Catalogos!$V$4:$W$55,2,FALSE)</f>
        <v/>
      </c>
      <c r="F106" s="3" t="n"/>
      <c r="G106" s="17626" t="n"/>
      <c r="H106" s="3">
        <f>IF(ROW()=5,F106-G106,H105+F106-G106)</f>
        <v/>
      </c>
      <c r="I106" s="4" t="n">
        <v>28.3</v>
      </c>
      <c r="J106" s="4">
        <f>IFERROR((F106+G106)*I106,0)</f>
        <v/>
      </c>
      <c r="K106" s="4">
        <f>L105+M105-N105</f>
        <v/>
      </c>
      <c r="L106" s="4">
        <f>(TablaMarimba6[[#This Row],[Saldo inicial(vales)]]-TablaMarimba6[[#This Row],[Importe]])</f>
        <v/>
      </c>
      <c r="M106" s="4">
        <f>IF(A106="","", _xludf.WEEKNUM(A106, 2))</f>
        <v/>
      </c>
      <c r="N106" s="4" t="n"/>
    </row>
    <row r="107">
      <c r="A107" s="17625" t="n"/>
      <c r="E107">
        <f>VLOOKUP(TablaMarimba6[[#This Row],[Equipo]],Catalogos!$V$4:$W$55,2,FALSE)</f>
        <v/>
      </c>
      <c r="F107" s="3" t="n"/>
      <c r="G107" s="17626" t="n"/>
      <c r="H107" s="3">
        <f>IF(ROW()=5,F107-G107,H106+F107-G107)</f>
        <v/>
      </c>
      <c r="I107" s="4" t="n">
        <v>28.3</v>
      </c>
      <c r="J107" s="4">
        <f>IFERROR((F107+G107)*I107,0)</f>
        <v/>
      </c>
      <c r="K107" s="4">
        <f>L106+M106-N106</f>
        <v/>
      </c>
      <c r="L107" s="4">
        <f>(TablaMarimba6[[#This Row],[Saldo inicial(vales)]]-TablaMarimba6[[#This Row],[Importe]])</f>
        <v/>
      </c>
      <c r="M107" s="4">
        <f>IF(A107="","", _xludf.WEEKNUM(A107, 2))</f>
        <v/>
      </c>
      <c r="N107" s="4" t="n"/>
    </row>
    <row r="108">
      <c r="A108" s="17625" t="n"/>
      <c r="E108">
        <f>VLOOKUP(TablaMarimba6[[#This Row],[Equipo]],Catalogos!$V$4:$W$55,2,FALSE)</f>
        <v/>
      </c>
      <c r="F108" s="3" t="n"/>
      <c r="G108" s="17626" t="n"/>
      <c r="H108" s="3">
        <f>IF(ROW()=5,F108-G108,H107+F108-G108)</f>
        <v/>
      </c>
      <c r="I108" s="4" t="n">
        <v>28.3</v>
      </c>
      <c r="J108" s="4">
        <f>IFERROR((F108+G108)*I108,0)</f>
        <v/>
      </c>
      <c r="K108" s="4">
        <f>L107+M107-N107</f>
        <v/>
      </c>
      <c r="L108" s="4">
        <f>(TablaMarimba6[[#This Row],[Saldo inicial(vales)]]-TablaMarimba6[[#This Row],[Importe]])</f>
        <v/>
      </c>
      <c r="M108" s="4">
        <f>IF(A108="","", _xludf.WEEKNUM(A108, 2))</f>
        <v/>
      </c>
      <c r="N108" s="4" t="n"/>
    </row>
    <row r="109">
      <c r="A109" s="17625" t="n"/>
      <c r="E109">
        <f>VLOOKUP(TablaMarimba6[[#This Row],[Equipo]],Catalogos!$V$4:$W$55,2,FALSE)</f>
        <v/>
      </c>
      <c r="F109" s="3" t="n"/>
      <c r="G109" s="17626" t="n"/>
      <c r="H109" s="3">
        <f>IF(ROW()=5,F109-G109,H108+F109-G109)</f>
        <v/>
      </c>
      <c r="I109" s="4" t="n">
        <v>28.3</v>
      </c>
      <c r="J109" s="4">
        <f>IFERROR((F109+G109)*I109,0)</f>
        <v/>
      </c>
      <c r="K109" s="4">
        <f>L108+M108-N108</f>
        <v/>
      </c>
      <c r="L109" s="4">
        <f>(TablaMarimba6[[#This Row],[Saldo inicial(vales)]]-TablaMarimba6[[#This Row],[Importe]])</f>
        <v/>
      </c>
      <c r="M109" s="4">
        <f>IF(A109="","", _xludf.WEEKNUM(A109, 2))</f>
        <v/>
      </c>
      <c r="N109" s="4" t="n"/>
    </row>
    <row r="110">
      <c r="A110" s="17625" t="n"/>
      <c r="E110">
        <f>VLOOKUP(TablaMarimba6[[#This Row],[Equipo]],Catalogos!$V$4:$W$55,2,FALSE)</f>
        <v/>
      </c>
      <c r="F110" s="3" t="n"/>
      <c r="G110" s="17626" t="n"/>
      <c r="H110" s="3">
        <f>IF(ROW()=5,F110-G110,H109+F110-G110)</f>
        <v/>
      </c>
      <c r="I110" s="4" t="n">
        <v>28.3</v>
      </c>
      <c r="J110" s="4">
        <f>IFERROR((F110+G110)*I110,0)</f>
        <v/>
      </c>
      <c r="K110" s="4">
        <f>L109+M109-N109</f>
        <v/>
      </c>
      <c r="L110" s="4">
        <f>(TablaMarimba6[[#This Row],[Saldo inicial(vales)]]-TablaMarimba6[[#This Row],[Importe]])</f>
        <v/>
      </c>
      <c r="M110" s="4">
        <f>IF(A110="","", _xludf.WEEKNUM(A110, 2))</f>
        <v/>
      </c>
      <c r="N110" s="4" t="n"/>
    </row>
    <row r="111">
      <c r="A111" s="17625" t="n"/>
      <c r="E111">
        <f>VLOOKUP(TablaMarimba6[[#This Row],[Equipo]],Catalogos!$V$4:$W$55,2,FALSE)</f>
        <v/>
      </c>
      <c r="F111" s="3" t="n"/>
      <c r="G111" s="17626" t="n"/>
      <c r="H111" s="3">
        <f>IF(ROW()=5,F111-G111,H110+F111-G111)</f>
        <v/>
      </c>
      <c r="I111" s="4" t="n">
        <v>28.3</v>
      </c>
      <c r="J111" s="4">
        <f>IFERROR((F111+G111)*I111,0)</f>
        <v/>
      </c>
      <c r="K111" s="4">
        <f>L110+M110-N110</f>
        <v/>
      </c>
      <c r="L111" s="4">
        <f>(TablaMarimba6[[#This Row],[Saldo inicial(vales)]]-TablaMarimba6[[#This Row],[Importe]])</f>
        <v/>
      </c>
      <c r="M111" s="4">
        <f>IF(A111="","", _xludf.WEEKNUM(A111, 2))</f>
        <v/>
      </c>
      <c r="N111" s="4" t="n"/>
    </row>
    <row r="112">
      <c r="A112" s="17625" t="n"/>
      <c r="E112">
        <f>VLOOKUP(TablaMarimba6[[#This Row],[Equipo]],Catalogos!$V$4:$W$55,2,FALSE)</f>
        <v/>
      </c>
      <c r="F112" s="3" t="n"/>
      <c r="G112" s="17626" t="n"/>
      <c r="H112" s="3">
        <f>IF(ROW()=5,F112-G112,H111+F112-G112)</f>
        <v/>
      </c>
      <c r="I112" s="4" t="n">
        <v>28.3</v>
      </c>
      <c r="J112" s="4">
        <f>IFERROR((F112+G112)*I112,0)</f>
        <v/>
      </c>
      <c r="K112" s="4">
        <f>L111+M111-N111</f>
        <v/>
      </c>
      <c r="L112" s="4">
        <f>(TablaMarimba6[[#This Row],[Saldo inicial(vales)]]-TablaMarimba6[[#This Row],[Importe]])</f>
        <v/>
      </c>
      <c r="M112" s="4">
        <f>IF(A112="","", _xludf.WEEKNUM(A112, 2))</f>
        <v/>
      </c>
      <c r="N112" s="4" t="n"/>
    </row>
    <row r="113">
      <c r="A113" s="17625" t="n"/>
      <c r="E113">
        <f>VLOOKUP(TablaMarimba6[[#This Row],[Equipo]],Catalogos!$V$4:$W$55,2,FALSE)</f>
        <v/>
      </c>
      <c r="F113" s="3" t="n"/>
      <c r="G113" s="17626" t="n"/>
      <c r="H113" s="3">
        <f>IF(ROW()=5,F113-G113,H112+F113-G113)</f>
        <v/>
      </c>
      <c r="I113" s="4" t="n">
        <v>28.3</v>
      </c>
      <c r="J113" s="4">
        <f>IFERROR((F113+G113)*I113,0)</f>
        <v/>
      </c>
      <c r="K113" s="4">
        <f>L112+M112-N112</f>
        <v/>
      </c>
      <c r="L113" s="4">
        <f>(TablaMarimba6[[#This Row],[Saldo inicial(vales)]]-TablaMarimba6[[#This Row],[Importe]])</f>
        <v/>
      </c>
      <c r="M113" s="4">
        <f>IF(A113="","", _xludf.WEEKNUM(A113, 2))</f>
        <v/>
      </c>
      <c r="N113" s="4" t="n"/>
    </row>
    <row r="114">
      <c r="A114" s="17625" t="n"/>
      <c r="E114">
        <f>VLOOKUP(TablaMarimba6[[#This Row],[Equipo]],Catalogos!$V$4:$W$55,2,FALSE)</f>
        <v/>
      </c>
      <c r="F114" s="3" t="n"/>
      <c r="G114" s="17626" t="n"/>
      <c r="H114" s="3">
        <f>IF(ROW()=5,F114-G114,H113+F114-G114)</f>
        <v/>
      </c>
      <c r="I114" s="4" t="n">
        <v>28.3</v>
      </c>
      <c r="J114" s="4">
        <f>IFERROR((F114+G114)*I114,0)</f>
        <v/>
      </c>
      <c r="K114" s="4">
        <f>L113+M113-N113</f>
        <v/>
      </c>
      <c r="L114" s="4">
        <f>(TablaMarimba6[[#This Row],[Saldo inicial(vales)]]-TablaMarimba6[[#This Row],[Importe]])</f>
        <v/>
      </c>
      <c r="M114" s="4">
        <f>IF(A114="","", _xludf.WEEKNUM(A114, 2))</f>
        <v/>
      </c>
      <c r="N114" s="4" t="n"/>
    </row>
    <row r="115">
      <c r="A115" s="17625" t="n"/>
      <c r="E115">
        <f>VLOOKUP(TablaMarimba6[[#This Row],[Equipo]],Catalogos!$V$4:$W$55,2,FALSE)</f>
        <v/>
      </c>
      <c r="F115" s="3" t="n"/>
      <c r="G115" s="17626" t="n"/>
      <c r="H115" s="3">
        <f>IF(ROW()=5,F115-G115,H114+F115-G115)</f>
        <v/>
      </c>
      <c r="I115" s="4" t="n">
        <v>28.3</v>
      </c>
      <c r="J115" s="4">
        <f>IFERROR((F115+G115)*I115,0)</f>
        <v/>
      </c>
      <c r="K115" s="4">
        <f>L114+M114-N114</f>
        <v/>
      </c>
      <c r="L115" s="4">
        <f>(TablaMarimba6[[#This Row],[Saldo inicial(vales)]]-TablaMarimba6[[#This Row],[Importe]])</f>
        <v/>
      </c>
      <c r="M115" s="4">
        <f>IF(A115="","", _xludf.WEEKNUM(A115, 2))</f>
        <v/>
      </c>
      <c r="N115" s="4" t="n"/>
    </row>
    <row r="116">
      <c r="A116" s="17625" t="n"/>
      <c r="E116">
        <f>VLOOKUP(TablaMarimba6[[#This Row],[Equipo]],Catalogos!$V$4:$W$55,2,FALSE)</f>
        <v/>
      </c>
      <c r="F116" s="3" t="n"/>
      <c r="G116" s="17626" t="n"/>
      <c r="H116" s="3">
        <f>IF(ROW()=5,F116-G116,H115+F116-G116)</f>
        <v/>
      </c>
      <c r="I116" s="4" t="n">
        <v>28.3</v>
      </c>
      <c r="J116" s="4">
        <f>IFERROR((F116+G116)*I116,0)</f>
        <v/>
      </c>
      <c r="K116" s="4">
        <f>L115+M115-N115</f>
        <v/>
      </c>
      <c r="L116" s="4">
        <f>(TablaMarimba6[[#This Row],[Saldo inicial(vales)]]-TablaMarimba6[[#This Row],[Importe]])</f>
        <v/>
      </c>
      <c r="M116" s="4">
        <f>IF(A116="","", _xludf.WEEKNUM(A116, 2))</f>
        <v/>
      </c>
      <c r="N116" s="4" t="n"/>
    </row>
    <row r="117">
      <c r="A117" s="17625" t="n"/>
      <c r="E117">
        <f>VLOOKUP(TablaMarimba6[[#This Row],[Equipo]],Catalogos!$V$4:$W$55,2,FALSE)</f>
        <v/>
      </c>
      <c r="F117" s="3" t="n"/>
      <c r="G117" s="17626" t="n"/>
      <c r="H117" s="3">
        <f>IF(ROW()=5,F117-G117,H116+F117-G117)</f>
        <v/>
      </c>
      <c r="I117" s="4" t="n">
        <v>28.3</v>
      </c>
      <c r="J117" s="4">
        <f>IFERROR((F117+G117)*I117,0)</f>
        <v/>
      </c>
      <c r="K117" s="4">
        <f>L116+M116-N116</f>
        <v/>
      </c>
      <c r="L117" s="4">
        <f>(TablaMarimba6[[#This Row],[Saldo inicial(vales)]]-TablaMarimba6[[#This Row],[Importe]])</f>
        <v/>
      </c>
      <c r="M117" s="4">
        <f>IF(A117="","", _xludf.WEEKNUM(A117, 2))</f>
        <v/>
      </c>
      <c r="N117" s="4" t="n"/>
    </row>
    <row r="118">
      <c r="A118" s="17625" t="n"/>
      <c r="E118">
        <f>VLOOKUP(TablaMarimba6[[#This Row],[Equipo]],Catalogos!$V$4:$W$55,2,FALSE)</f>
        <v/>
      </c>
      <c r="F118" s="3" t="n"/>
      <c r="G118" s="17626" t="n"/>
      <c r="H118" s="3">
        <f>IF(ROW()=5,F118-G118,H117+F118-G118)</f>
        <v/>
      </c>
      <c r="I118" s="4" t="n">
        <v>28.3</v>
      </c>
      <c r="J118" s="4">
        <f>IFERROR((F118+G118)*I118,0)</f>
        <v/>
      </c>
      <c r="K118" s="4">
        <f>L117+M117-N117</f>
        <v/>
      </c>
      <c r="L118" s="4">
        <f>(TablaMarimba6[[#This Row],[Saldo inicial(vales)]]-TablaMarimba6[[#This Row],[Importe]])</f>
        <v/>
      </c>
      <c r="M118" s="4">
        <f>IF(A118="","", _xludf.WEEKNUM(A118, 2))</f>
        <v/>
      </c>
      <c r="N118" s="4" t="n"/>
    </row>
    <row r="119">
      <c r="A119" s="17625" t="n"/>
      <c r="E119">
        <f>VLOOKUP(TablaMarimba6[[#This Row],[Equipo]],Catalogos!$V$4:$W$55,2,FALSE)</f>
        <v/>
      </c>
      <c r="F119" s="3" t="n"/>
      <c r="G119" s="17626" t="n"/>
      <c r="H119" s="3">
        <f>IF(ROW()=5,F119-G119,H118+F119-G119)</f>
        <v/>
      </c>
      <c r="I119" s="4" t="n">
        <v>28.3</v>
      </c>
      <c r="J119" s="4">
        <f>IFERROR((F119+G119)*I119,0)</f>
        <v/>
      </c>
      <c r="K119" s="4">
        <f>L118+M118-N118</f>
        <v/>
      </c>
      <c r="L119" s="4">
        <f>(TablaMarimba6[[#This Row],[Saldo inicial(vales)]]-TablaMarimba6[[#This Row],[Importe]])</f>
        <v/>
      </c>
      <c r="M119" s="4">
        <f>IF(A119="","", _xludf.WEEKNUM(A119, 2))</f>
        <v/>
      </c>
      <c r="N119" s="4" t="n"/>
    </row>
    <row r="120">
      <c r="A120" s="17625" t="n"/>
      <c r="E120">
        <f>VLOOKUP(TablaMarimba6[[#This Row],[Equipo]],Catalogos!$V$4:$W$55,2,FALSE)</f>
        <v/>
      </c>
      <c r="F120" s="3" t="n"/>
      <c r="G120" s="17626" t="n"/>
      <c r="H120" s="3">
        <f>IF(ROW()=5,F120-G120,H119+F120-G120)</f>
        <v/>
      </c>
      <c r="I120" s="4" t="n">
        <v>28.3</v>
      </c>
      <c r="J120" s="4">
        <f>IFERROR((F120+G120)*I120,0)</f>
        <v/>
      </c>
      <c r="K120" s="4">
        <f>L119+M119-N119</f>
        <v/>
      </c>
      <c r="L120" s="4">
        <f>(TablaMarimba6[[#This Row],[Saldo inicial(vales)]]-TablaMarimba6[[#This Row],[Importe]])</f>
        <v/>
      </c>
      <c r="M120" s="4">
        <f>IF(A120="","", _xludf.WEEKNUM(A120, 2))</f>
        <v/>
      </c>
      <c r="N120" s="4" t="n"/>
    </row>
    <row r="121">
      <c r="A121" s="17625" t="n"/>
      <c r="E121">
        <f>VLOOKUP(TablaMarimba6[[#This Row],[Equipo]],Catalogos!$V$4:$W$55,2,FALSE)</f>
        <v/>
      </c>
      <c r="F121" s="3" t="n"/>
      <c r="G121" s="17626" t="n"/>
      <c r="H121" s="3">
        <f>IF(ROW()=5,F121-G121,H120+F121-G121)</f>
        <v/>
      </c>
      <c r="I121" s="4" t="n">
        <v>28.3</v>
      </c>
      <c r="J121" s="4">
        <f>IFERROR((F121+G121)*I121,0)</f>
        <v/>
      </c>
      <c r="K121" s="4">
        <f>L120+M120-N120</f>
        <v/>
      </c>
      <c r="L121" s="4">
        <f>(TablaMarimba6[[#This Row],[Saldo inicial(vales)]]-TablaMarimba6[[#This Row],[Importe]])</f>
        <v/>
      </c>
      <c r="M121" s="4">
        <f>IF(A121="","", _xludf.WEEKNUM(A121, 2))</f>
        <v/>
      </c>
      <c r="N121" s="4" t="n"/>
    </row>
    <row r="122">
      <c r="A122" s="17625" t="n"/>
      <c r="E122">
        <f>VLOOKUP(TablaMarimba6[[#This Row],[Equipo]],Catalogos!$V$4:$W$55,2,FALSE)</f>
        <v/>
      </c>
      <c r="F122" s="3" t="n"/>
      <c r="G122" s="17626" t="n"/>
      <c r="H122" s="3">
        <f>IF(ROW()=5,F122-G122,H121+F122-G122)</f>
        <v/>
      </c>
      <c r="I122" s="4" t="n">
        <v>28.3</v>
      </c>
      <c r="J122" s="4">
        <f>IFERROR((F122+G122)*I122,0)</f>
        <v/>
      </c>
      <c r="K122" s="4">
        <f>L121+M121-N121</f>
        <v/>
      </c>
      <c r="L122" s="4">
        <f>(TablaMarimba6[[#This Row],[Saldo inicial(vales)]]-TablaMarimba6[[#This Row],[Importe]])</f>
        <v/>
      </c>
      <c r="M122" s="4">
        <f>IF(A122="","", _xludf.WEEKNUM(A122, 2))</f>
        <v/>
      </c>
      <c r="N122" s="4" t="n"/>
    </row>
    <row r="123">
      <c r="A123" s="17625" t="n"/>
      <c r="E123">
        <f>VLOOKUP(TablaMarimba6[[#This Row],[Equipo]],Catalogos!$V$4:$W$55,2,FALSE)</f>
        <v/>
      </c>
      <c r="F123" s="3" t="n"/>
      <c r="G123" s="17626" t="n"/>
      <c r="H123" s="3">
        <f>IF(ROW()=5,F123-G123,H122+F123-G123)</f>
        <v/>
      </c>
      <c r="I123" s="4" t="n">
        <v>28.3</v>
      </c>
      <c r="J123" s="4">
        <f>IFERROR((F123+G123)*I123,0)</f>
        <v/>
      </c>
      <c r="K123" s="4">
        <f>L122+M122-N122</f>
        <v/>
      </c>
      <c r="L123" s="4">
        <f>(TablaMarimba6[[#This Row],[Saldo inicial(vales)]]-TablaMarimba6[[#This Row],[Importe]])</f>
        <v/>
      </c>
      <c r="M123" s="4">
        <f>IF(A123="","", _xludf.WEEKNUM(A123, 2))</f>
        <v/>
      </c>
      <c r="N123" s="4" t="n"/>
    </row>
    <row r="124">
      <c r="A124" s="17625" t="n"/>
      <c r="E124">
        <f>VLOOKUP(TablaMarimba6[[#This Row],[Equipo]],Catalogos!$V$4:$W$55,2,FALSE)</f>
        <v/>
      </c>
      <c r="F124" s="3" t="n"/>
      <c r="G124" s="17626" t="n"/>
      <c r="H124" s="3">
        <f>IF(ROW()=5,F124-G124,H123+F124-G124)</f>
        <v/>
      </c>
      <c r="I124" s="4" t="n">
        <v>28.3</v>
      </c>
      <c r="J124" s="4">
        <f>IFERROR((F124+G124)*I124,0)</f>
        <v/>
      </c>
      <c r="K124" s="4">
        <f>L123+M123-N123</f>
        <v/>
      </c>
      <c r="L124" s="4">
        <f>(TablaMarimba6[[#This Row],[Saldo inicial(vales)]]-TablaMarimba6[[#This Row],[Importe]])</f>
        <v/>
      </c>
      <c r="M124" s="4">
        <f>IF(A124="","", _xludf.WEEKNUM(A124, 2))</f>
        <v/>
      </c>
      <c r="N124" s="4" t="n"/>
    </row>
    <row r="125">
      <c r="A125" s="17625" t="n"/>
      <c r="E125">
        <f>VLOOKUP(TablaMarimba6[[#This Row],[Equipo]],Catalogos!$V$4:$W$55,2,FALSE)</f>
        <v/>
      </c>
      <c r="F125" s="3" t="n"/>
      <c r="G125" s="17626" t="n"/>
      <c r="H125" s="3">
        <f>IF(ROW()=5,F125-G125,H124+F125-G125)</f>
        <v/>
      </c>
      <c r="I125" s="4" t="n">
        <v>28.3</v>
      </c>
      <c r="J125" s="4">
        <f>IFERROR((F125+G125)*I125,0)</f>
        <v/>
      </c>
      <c r="K125" s="4">
        <f>L124+M124-N124</f>
        <v/>
      </c>
      <c r="L125" s="4">
        <f>(TablaMarimba6[[#This Row],[Saldo inicial(vales)]]-TablaMarimba6[[#This Row],[Importe]])</f>
        <v/>
      </c>
      <c r="M125" s="4">
        <f>IF(A125="","", _xludf.WEEKNUM(A125, 2))</f>
        <v/>
      </c>
      <c r="N125" s="4" t="n"/>
    </row>
    <row r="126">
      <c r="A126" s="17625" t="n"/>
      <c r="E126">
        <f>VLOOKUP(TablaMarimba6[[#This Row],[Equipo]],Catalogos!$V$4:$W$55,2,FALSE)</f>
        <v/>
      </c>
      <c r="F126" s="3" t="n"/>
      <c r="G126" s="17626" t="n"/>
      <c r="H126" s="3">
        <f>IF(ROW()=5,F126-G126,H125+F126-G126)</f>
        <v/>
      </c>
      <c r="I126" s="4" t="n">
        <v>28.3</v>
      </c>
      <c r="J126" s="4">
        <f>IFERROR((F126+G126)*I126,0)</f>
        <v/>
      </c>
      <c r="K126" s="4">
        <f>L125+M125-N125</f>
        <v/>
      </c>
      <c r="L126" s="4">
        <f>(TablaMarimba6[[#This Row],[Saldo inicial(vales)]]-TablaMarimba6[[#This Row],[Importe]])</f>
        <v/>
      </c>
      <c r="M126" s="4">
        <f>IF(A126="","", _xludf.WEEKNUM(A126, 2))</f>
        <v/>
      </c>
      <c r="N126" s="4" t="n"/>
    </row>
    <row r="127">
      <c r="A127" s="17625" t="n"/>
      <c r="E127">
        <f>VLOOKUP(TablaMarimba6[[#This Row],[Equipo]],Catalogos!$V$4:$W$55,2,FALSE)</f>
        <v/>
      </c>
      <c r="F127" s="3" t="n"/>
      <c r="G127" s="17626" t="n"/>
      <c r="H127" s="3">
        <f>IF(ROW()=5,F127-G127,H126+F127-G127)</f>
        <v/>
      </c>
      <c r="I127" s="4" t="n">
        <v>28.3</v>
      </c>
      <c r="J127" s="4">
        <f>IFERROR((F127+G127)*I127,0)</f>
        <v/>
      </c>
      <c r="K127" s="4">
        <f>L126+M126-N126</f>
        <v/>
      </c>
      <c r="L127" s="4">
        <f>(TablaMarimba6[[#This Row],[Saldo inicial(vales)]]-TablaMarimba6[[#This Row],[Importe]])</f>
        <v/>
      </c>
      <c r="M127" s="4">
        <f>IF(A127="","", _xludf.WEEKNUM(A127, 2))</f>
        <v/>
      </c>
      <c r="N127" s="4" t="n"/>
    </row>
    <row r="128">
      <c r="A128" s="17625" t="n"/>
      <c r="E128">
        <f>VLOOKUP(TablaMarimba6[[#This Row],[Equipo]],Catalogos!$V$4:$W$55,2,FALSE)</f>
        <v/>
      </c>
      <c r="F128" s="3" t="n"/>
      <c r="G128" s="17626" t="n"/>
      <c r="H128" s="3">
        <f>IF(ROW()=5,F128-G128,H127+F128-G128)</f>
        <v/>
      </c>
      <c r="I128" s="4" t="n">
        <v>28.3</v>
      </c>
      <c r="J128" s="4">
        <f>IFERROR((F128+G128)*I128,0)</f>
        <v/>
      </c>
      <c r="K128" s="4">
        <f>L127+M127-N127</f>
        <v/>
      </c>
      <c r="L128" s="4">
        <f>(TablaMarimba6[[#This Row],[Saldo inicial(vales)]]-TablaMarimba6[[#This Row],[Importe]])</f>
        <v/>
      </c>
      <c r="M128" s="4">
        <f>IF(A128="","", _xludf.WEEKNUM(A128, 2))</f>
        <v/>
      </c>
      <c r="N128" s="4" t="n"/>
    </row>
    <row r="129">
      <c r="A129" s="17625" t="n"/>
      <c r="E129">
        <f>VLOOKUP(TablaMarimba6[[#This Row],[Equipo]],Catalogos!$V$4:$W$55,2,FALSE)</f>
        <v/>
      </c>
      <c r="F129" s="3" t="n"/>
      <c r="G129" s="17626" t="n"/>
      <c r="H129" s="3">
        <f>IF(ROW()=5,F129-G129,H128+F129-G129)</f>
        <v/>
      </c>
      <c r="I129" s="4" t="n">
        <v>28.3</v>
      </c>
      <c r="J129" s="4">
        <f>IFERROR((F129+G129)*I129,0)</f>
        <v/>
      </c>
      <c r="K129" s="4">
        <f>L128+M128-N128</f>
        <v/>
      </c>
      <c r="L129" s="4">
        <f>(TablaMarimba6[[#This Row],[Saldo inicial(vales)]]-TablaMarimba6[[#This Row],[Importe]])</f>
        <v/>
      </c>
      <c r="M129" s="4">
        <f>IF(A129="","", _xludf.WEEKNUM(A129, 2))</f>
        <v/>
      </c>
      <c r="N129" s="4" t="n"/>
    </row>
    <row r="130">
      <c r="A130" s="17625" t="n"/>
      <c r="E130">
        <f>VLOOKUP(TablaMarimba6[[#This Row],[Equipo]],Catalogos!$V$4:$W$55,2,FALSE)</f>
        <v/>
      </c>
      <c r="F130" s="3" t="n"/>
      <c r="G130" s="17626" t="n"/>
      <c r="H130" s="3">
        <f>IF(ROW()=5,F130-G130,H129+F130-G130)</f>
        <v/>
      </c>
      <c r="I130" s="4" t="n">
        <v>28.3</v>
      </c>
      <c r="J130" s="4">
        <f>IFERROR((F130+G130)*I130,0)</f>
        <v/>
      </c>
      <c r="K130" s="4">
        <f>L129+M129-N129</f>
        <v/>
      </c>
      <c r="L130" s="4">
        <f>(TablaMarimba6[[#This Row],[Saldo inicial(vales)]]-TablaMarimba6[[#This Row],[Importe]])</f>
        <v/>
      </c>
      <c r="M130" s="4">
        <f>IF(A130="","", _xludf.WEEKNUM(A130, 2))</f>
        <v/>
      </c>
      <c r="N130" s="4" t="n"/>
    </row>
    <row r="131">
      <c r="A131" s="17625" t="n"/>
      <c r="E131">
        <f>VLOOKUP(TablaMarimba6[[#This Row],[Equipo]],Catalogos!$V$4:$W$55,2,FALSE)</f>
        <v/>
      </c>
      <c r="F131" s="3" t="n"/>
      <c r="G131" s="17626" t="n"/>
      <c r="H131" s="3">
        <f>IF(ROW()=5,F131-G131,H130+F131-G131)</f>
        <v/>
      </c>
      <c r="I131" s="4" t="n">
        <v>28.3</v>
      </c>
      <c r="J131" s="4">
        <f>IFERROR((F131+G131)*I131,0)</f>
        <v/>
      </c>
      <c r="K131" s="4">
        <f>L130+M130-N130</f>
        <v/>
      </c>
      <c r="L131" s="4">
        <f>(TablaMarimba6[[#This Row],[Saldo inicial(vales)]]-TablaMarimba6[[#This Row],[Importe]])</f>
        <v/>
      </c>
      <c r="M131" s="4">
        <f>IF(A131="","", _xludf.WEEKNUM(A131, 2))</f>
        <v/>
      </c>
      <c r="N131" s="4" t="n"/>
    </row>
    <row r="132">
      <c r="A132" s="17625" t="n"/>
      <c r="E132">
        <f>VLOOKUP(TablaMarimba6[[#This Row],[Equipo]],Catalogos!$V$4:$W$55,2,FALSE)</f>
        <v/>
      </c>
      <c r="F132" s="3" t="n"/>
      <c r="G132" s="17626" t="n"/>
      <c r="H132" s="3">
        <f>IF(ROW()=5,F132-G132,H131+F132-G132)</f>
        <v/>
      </c>
      <c r="I132" s="4" t="n">
        <v>28.3</v>
      </c>
      <c r="J132" s="4">
        <f>IFERROR((F132+G132)*I132,0)</f>
        <v/>
      </c>
      <c r="K132" s="4">
        <f>L131+M131-N131</f>
        <v/>
      </c>
      <c r="L132" s="4">
        <f>(TablaMarimba6[[#This Row],[Saldo inicial(vales)]]-TablaMarimba6[[#This Row],[Importe]])</f>
        <v/>
      </c>
      <c r="M132" s="4">
        <f>IF(A132="","", _xludf.WEEKNUM(A132, 2))</f>
        <v/>
      </c>
      <c r="N132" s="4" t="n"/>
    </row>
    <row r="133">
      <c r="A133" s="17625" t="n"/>
      <c r="E133">
        <f>VLOOKUP(TablaMarimba6[[#This Row],[Equipo]],Catalogos!$V$4:$W$55,2,FALSE)</f>
        <v/>
      </c>
      <c r="F133" s="3" t="n"/>
      <c r="G133" s="17626" t="n"/>
      <c r="H133" s="3">
        <f>IF(ROW()=5,F133-G133,H132+F133-G133)</f>
        <v/>
      </c>
      <c r="I133" s="4" t="n">
        <v>28.3</v>
      </c>
      <c r="J133" s="4">
        <f>IFERROR((F133+G133)*I133,0)</f>
        <v/>
      </c>
      <c r="K133" s="4">
        <f>L132+M132-N132</f>
        <v/>
      </c>
      <c r="L133" s="4">
        <f>(TablaMarimba6[[#This Row],[Saldo inicial(vales)]]-TablaMarimba6[[#This Row],[Importe]])</f>
        <v/>
      </c>
      <c r="M133" s="4">
        <f>IF(A133="","", _xludf.WEEKNUM(A133, 2))</f>
        <v/>
      </c>
      <c r="N133" s="4" t="n"/>
    </row>
    <row r="134">
      <c r="A134" s="17625" t="n"/>
      <c r="E134">
        <f>VLOOKUP(TablaMarimba6[[#This Row],[Equipo]],Catalogos!$V$4:$W$55,2,FALSE)</f>
        <v/>
      </c>
      <c r="F134" s="3" t="n"/>
      <c r="G134" s="17626" t="n"/>
      <c r="H134" s="3">
        <f>IF(ROW()=5,F134-G134,H133+F134-G134)</f>
        <v/>
      </c>
      <c r="I134" s="4" t="n">
        <v>28.3</v>
      </c>
      <c r="J134" s="4">
        <f>IFERROR((F134+G134)*I134,0)</f>
        <v/>
      </c>
      <c r="K134" s="4">
        <f>L133+M133-N133</f>
        <v/>
      </c>
      <c r="L134" s="4">
        <f>(TablaMarimba6[[#This Row],[Saldo inicial(vales)]]-TablaMarimba6[[#This Row],[Importe]])</f>
        <v/>
      </c>
      <c r="M134" s="4">
        <f>IF(A134="","", _xludf.WEEKNUM(A134, 2))</f>
        <v/>
      </c>
      <c r="N134" s="4" t="n"/>
    </row>
    <row r="135">
      <c r="A135" s="17625" t="n"/>
      <c r="E135">
        <f>VLOOKUP(TablaMarimba6[[#This Row],[Equipo]],Catalogos!$V$4:$W$55,2,FALSE)</f>
        <v/>
      </c>
      <c r="F135" s="3" t="n"/>
      <c r="G135" s="17626" t="n"/>
      <c r="H135" s="3">
        <f>IF(ROW()=5,F135-G135,H134+F135-G135)</f>
        <v/>
      </c>
      <c r="I135" s="4" t="n">
        <v>28.3</v>
      </c>
      <c r="J135" s="4">
        <f>IFERROR((F135+G135)*I135,0)</f>
        <v/>
      </c>
      <c r="K135" s="4">
        <f>L134+M134-N134</f>
        <v/>
      </c>
      <c r="L135" s="4">
        <f>(TablaMarimba6[[#This Row],[Saldo inicial(vales)]]-TablaMarimba6[[#This Row],[Importe]])</f>
        <v/>
      </c>
      <c r="M135" s="4">
        <f>IF(A135="","", _xludf.WEEKNUM(A135, 2))</f>
        <v/>
      </c>
      <c r="N135" s="4" t="n"/>
    </row>
    <row r="136">
      <c r="A136" s="17625" t="n"/>
      <c r="E136">
        <f>VLOOKUP(TablaMarimba6[[#This Row],[Equipo]],Catalogos!$V$4:$W$55,2,FALSE)</f>
        <v/>
      </c>
      <c r="F136" s="3" t="n"/>
      <c r="G136" s="17626" t="n"/>
      <c r="H136" s="3">
        <f>IF(ROW()=5,F136-G136,H135+F136-G136)</f>
        <v/>
      </c>
      <c r="I136" s="4" t="n">
        <v>28.3</v>
      </c>
      <c r="J136" s="4">
        <f>IFERROR((F136+G136)*I136,0)</f>
        <v/>
      </c>
      <c r="K136" s="4">
        <f>L135+M135-N135</f>
        <v/>
      </c>
      <c r="L136" s="4">
        <f>(TablaMarimba6[[#This Row],[Saldo inicial(vales)]]-TablaMarimba6[[#This Row],[Importe]])</f>
        <v/>
      </c>
      <c r="M136" s="4">
        <f>IF(A136="","", _xludf.WEEKNUM(A136, 2))</f>
        <v/>
      </c>
      <c r="N136" s="4" t="n"/>
    </row>
    <row r="137">
      <c r="A137" s="17625" t="n"/>
      <c r="E137">
        <f>VLOOKUP(TablaMarimba6[[#This Row],[Equipo]],Catalogos!$V$4:$W$55,2,FALSE)</f>
        <v/>
      </c>
      <c r="F137" s="3" t="n"/>
      <c r="G137" s="17626" t="n"/>
      <c r="H137" s="3">
        <f>IF(ROW()=5,F137-G137,H136+F137-G137)</f>
        <v/>
      </c>
      <c r="I137" s="4" t="n">
        <v>28.3</v>
      </c>
      <c r="J137" s="4">
        <f>IFERROR((F137+G137)*I137,0)</f>
        <v/>
      </c>
      <c r="K137" s="4">
        <f>L136+M136-N136</f>
        <v/>
      </c>
      <c r="L137" s="4">
        <f>(TablaMarimba6[[#This Row],[Saldo inicial(vales)]]-TablaMarimba6[[#This Row],[Importe]])</f>
        <v/>
      </c>
      <c r="M137" s="4">
        <f>IF(A137="","", _xludf.WEEKNUM(A137, 2))</f>
        <v/>
      </c>
      <c r="N137" s="4" t="n"/>
    </row>
    <row r="138">
      <c r="A138" s="17625" t="n"/>
      <c r="E138">
        <f>VLOOKUP(TablaMarimba6[[#This Row],[Equipo]],Catalogos!$V$4:$W$55,2,FALSE)</f>
        <v/>
      </c>
      <c r="F138" s="3" t="n"/>
      <c r="G138" s="17626" t="n"/>
      <c r="H138" s="3">
        <f>IF(ROW()=5,F138-G138,H137+F138-G138)</f>
        <v/>
      </c>
      <c r="I138" s="4" t="n">
        <v>28.3</v>
      </c>
      <c r="J138" s="4">
        <f>IFERROR((F138+G138)*I138,0)</f>
        <v/>
      </c>
      <c r="K138" s="4">
        <f>L137+M137-N137</f>
        <v/>
      </c>
      <c r="L138" s="4">
        <f>(TablaMarimba6[[#This Row],[Saldo inicial(vales)]]-TablaMarimba6[[#This Row],[Importe]])</f>
        <v/>
      </c>
      <c r="M138" s="4">
        <f>IF(A138="","", _xludf.WEEKNUM(A138, 2))</f>
        <v/>
      </c>
      <c r="N138" s="4" t="n"/>
    </row>
    <row r="139">
      <c r="A139" s="17625" t="n"/>
      <c r="E139">
        <f>VLOOKUP(TablaMarimba6[[#This Row],[Equipo]],Catalogos!$V$4:$W$55,2,FALSE)</f>
        <v/>
      </c>
      <c r="F139" s="3" t="n"/>
      <c r="G139" s="17626" t="n"/>
      <c r="H139" s="3">
        <f>IF(ROW()=5,F139-G139,H138+F139-G139)</f>
        <v/>
      </c>
      <c r="I139" s="4" t="n">
        <v>28.3</v>
      </c>
      <c r="J139" s="4">
        <f>IFERROR((F139+G139)*I139,0)</f>
        <v/>
      </c>
      <c r="K139" s="4">
        <f>L138+M138-N138</f>
        <v/>
      </c>
      <c r="L139" s="4">
        <f>(TablaMarimba6[[#This Row],[Saldo inicial(vales)]]-TablaMarimba6[[#This Row],[Importe]])</f>
        <v/>
      </c>
      <c r="M139" s="4">
        <f>IF(A139="","", _xludf.WEEKNUM(A139, 2))</f>
        <v/>
      </c>
      <c r="N139" s="4" t="n"/>
    </row>
    <row r="140">
      <c r="A140" s="17625" t="n"/>
      <c r="E140">
        <f>VLOOKUP(TablaMarimba6[[#This Row],[Equipo]],Catalogos!$V$4:$W$55,2,FALSE)</f>
        <v/>
      </c>
      <c r="F140" s="3" t="n"/>
      <c r="G140" s="17626" t="n"/>
      <c r="H140" s="3">
        <f>IF(ROW()=5,F140-G140,H139+F140-G140)</f>
        <v/>
      </c>
      <c r="I140" s="4" t="n">
        <v>28.3</v>
      </c>
      <c r="J140" s="4">
        <f>IFERROR((F140+G140)*I140,0)</f>
        <v/>
      </c>
      <c r="K140" s="4">
        <f>L139+M139-N139</f>
        <v/>
      </c>
      <c r="L140" s="4">
        <f>(TablaMarimba6[[#This Row],[Saldo inicial(vales)]]-TablaMarimba6[[#This Row],[Importe]])</f>
        <v/>
      </c>
      <c r="M140" s="4">
        <f>IF(A140="","", _xludf.WEEKNUM(A140, 2))</f>
        <v/>
      </c>
      <c r="N140" s="4" t="n"/>
    </row>
    <row r="141">
      <c r="A141" s="17625" t="n"/>
      <c r="E141">
        <f>VLOOKUP(TablaMarimba6[[#This Row],[Equipo]],Catalogos!$V$4:$W$55,2,FALSE)</f>
        <v/>
      </c>
      <c r="F141" s="3" t="n"/>
      <c r="G141" s="17626" t="n"/>
      <c r="H141" s="3">
        <f>IF(ROW()=5,F141-G141,H140+F141-G141)</f>
        <v/>
      </c>
      <c r="I141" s="4" t="n">
        <v>28.3</v>
      </c>
      <c r="J141" s="4">
        <f>IFERROR((F141+G141)*I141,0)</f>
        <v/>
      </c>
      <c r="K141" s="4">
        <f>L140+M140-N140</f>
        <v/>
      </c>
      <c r="L141" s="4">
        <f>(TablaMarimba6[[#This Row],[Saldo inicial(vales)]]-TablaMarimba6[[#This Row],[Importe]])</f>
        <v/>
      </c>
      <c r="M141" s="4">
        <f>IF(A141="","", _xludf.WEEKNUM(A141, 2))</f>
        <v/>
      </c>
      <c r="N141" s="4" t="n"/>
    </row>
    <row r="142">
      <c r="A142" s="17625" t="n"/>
      <c r="E142">
        <f>VLOOKUP(TablaMarimba6[[#This Row],[Equipo]],Catalogos!$V$4:$W$55,2,FALSE)</f>
        <v/>
      </c>
      <c r="F142" s="3" t="n"/>
      <c r="G142" s="17626" t="n"/>
      <c r="H142" s="3">
        <f>IF(ROW()=5,F142-G142,H141+F142-G142)</f>
        <v/>
      </c>
      <c r="I142" s="4" t="n">
        <v>28.3</v>
      </c>
      <c r="J142" s="4">
        <f>IFERROR((F142+G142)*I142,0)</f>
        <v/>
      </c>
      <c r="K142" s="4">
        <f>L141+M141-N141</f>
        <v/>
      </c>
      <c r="L142" s="4">
        <f>(TablaMarimba6[[#This Row],[Saldo inicial(vales)]]-TablaMarimba6[[#This Row],[Importe]])</f>
        <v/>
      </c>
      <c r="M142" s="4">
        <f>IF(A142="","", _xludf.WEEKNUM(A142, 2))</f>
        <v/>
      </c>
      <c r="N142" s="4" t="n"/>
    </row>
    <row r="143">
      <c r="A143" s="17625" t="n"/>
      <c r="E143">
        <f>VLOOKUP(TablaMarimba6[[#This Row],[Equipo]],Catalogos!$V$4:$W$55,2,FALSE)</f>
        <v/>
      </c>
      <c r="F143" s="3" t="n"/>
      <c r="G143" s="17626" t="n"/>
      <c r="H143" s="3">
        <f>IF(ROW()=5,F143-G143,H142+F143-G143)</f>
        <v/>
      </c>
      <c r="I143" s="4" t="n">
        <v>28.3</v>
      </c>
      <c r="J143" s="4">
        <f>IFERROR((F143+G143)*I143,0)</f>
        <v/>
      </c>
      <c r="K143" s="4">
        <f>L142+M142-N142</f>
        <v/>
      </c>
      <c r="L143" s="4">
        <f>(TablaMarimba6[[#This Row],[Saldo inicial(vales)]]-TablaMarimba6[[#This Row],[Importe]])</f>
        <v/>
      </c>
      <c r="M143" s="4">
        <f>IF(A143="","", _xludf.WEEKNUM(A143, 2))</f>
        <v/>
      </c>
      <c r="N143" s="4" t="n"/>
    </row>
    <row r="144">
      <c r="A144" s="17625" t="n"/>
      <c r="E144">
        <f>VLOOKUP(TablaMarimba6[[#This Row],[Equipo]],Catalogos!$V$4:$W$55,2,FALSE)</f>
        <v/>
      </c>
      <c r="F144" s="3" t="n"/>
      <c r="G144" s="17626" t="n"/>
      <c r="H144" s="3">
        <f>IF(ROW()=5,F144-G144,H143+F144-G144)</f>
        <v/>
      </c>
      <c r="I144" s="4" t="n">
        <v>28.3</v>
      </c>
      <c r="J144" s="4">
        <f>IFERROR((F144+G144)*I144,0)</f>
        <v/>
      </c>
      <c r="K144" s="4">
        <f>L143+M143-N143</f>
        <v/>
      </c>
      <c r="L144" s="4">
        <f>(TablaMarimba6[[#This Row],[Saldo inicial(vales)]]-TablaMarimba6[[#This Row],[Importe]])</f>
        <v/>
      </c>
      <c r="M144" s="4">
        <f>IF(A144="","", _xludf.WEEKNUM(A144, 2))</f>
        <v/>
      </c>
      <c r="N144" s="4" t="n"/>
    </row>
    <row r="145">
      <c r="A145" s="17625" t="n"/>
      <c r="E145">
        <f>VLOOKUP(TablaMarimba6[[#This Row],[Equipo]],Catalogos!$V$4:$W$55,2,FALSE)</f>
        <v/>
      </c>
      <c r="F145" s="3" t="n"/>
      <c r="G145" s="17626" t="n"/>
      <c r="H145" s="3">
        <f>IF(ROW()=5,F145-G145,H144+F145-G145)</f>
        <v/>
      </c>
      <c r="I145" s="4" t="n">
        <v>28.3</v>
      </c>
      <c r="J145" s="4">
        <f>IFERROR((F145+G145)*I145,0)</f>
        <v/>
      </c>
      <c r="K145" s="4">
        <f>L144+M144-N144</f>
        <v/>
      </c>
      <c r="L145" s="4">
        <f>(TablaMarimba6[[#This Row],[Saldo inicial(vales)]]-TablaMarimba6[[#This Row],[Importe]])</f>
        <v/>
      </c>
      <c r="M145" s="4">
        <f>IF(A145="","", _xludf.WEEKNUM(A145, 2))</f>
        <v/>
      </c>
      <c r="N145" s="4" t="n"/>
    </row>
    <row r="146">
      <c r="A146" s="17625" t="n"/>
      <c r="E146">
        <f>VLOOKUP(TablaMarimba6[[#This Row],[Equipo]],Catalogos!$V$4:$W$55,2,FALSE)</f>
        <v/>
      </c>
      <c r="F146" s="3" t="n"/>
      <c r="G146" s="17626" t="n"/>
      <c r="H146" s="3">
        <f>IF(ROW()=5,F146-G146,H145+F146-G146)</f>
        <v/>
      </c>
      <c r="I146" s="4" t="n">
        <v>28.3</v>
      </c>
      <c r="J146" s="4">
        <f>IFERROR((F146+G146)*I146,0)</f>
        <v/>
      </c>
      <c r="K146" s="4">
        <f>L145+M145-N145</f>
        <v/>
      </c>
      <c r="L146" s="4">
        <f>(TablaMarimba6[[#This Row],[Saldo inicial(vales)]]-TablaMarimba6[[#This Row],[Importe]])</f>
        <v/>
      </c>
      <c r="M146" s="4">
        <f>IF(A146="","", _xludf.WEEKNUM(A146, 2))</f>
        <v/>
      </c>
      <c r="N146" s="4" t="n"/>
    </row>
    <row r="147">
      <c r="A147" s="17625" t="n"/>
      <c r="E147">
        <f>VLOOKUP(TablaMarimba6[[#This Row],[Equipo]],Catalogos!$V$4:$W$55,2,FALSE)</f>
        <v/>
      </c>
      <c r="F147" s="3" t="n"/>
      <c r="G147" s="17626" t="n"/>
      <c r="H147" s="3">
        <f>IF(ROW()=5,F147-G147,H146+F147-G147)</f>
        <v/>
      </c>
      <c r="I147" s="4" t="n">
        <v>28.3</v>
      </c>
      <c r="J147" s="4">
        <f>IFERROR((F147+G147)*I147,0)</f>
        <v/>
      </c>
      <c r="K147" s="4">
        <f>L146+M146-N146</f>
        <v/>
      </c>
      <c r="L147" s="4">
        <f>(TablaMarimba6[[#This Row],[Saldo inicial(vales)]]-TablaMarimba6[[#This Row],[Importe]])</f>
        <v/>
      </c>
      <c r="M147" s="4">
        <f>IF(A147="","", _xludf.WEEKNUM(A147, 2))</f>
        <v/>
      </c>
      <c r="N147" s="4" t="n"/>
    </row>
    <row r="148">
      <c r="A148" s="17625" t="n"/>
      <c r="E148">
        <f>VLOOKUP(TablaMarimba6[[#This Row],[Equipo]],Catalogos!$V$4:$W$55,2,FALSE)</f>
        <v/>
      </c>
      <c r="F148" s="3" t="n"/>
      <c r="G148" s="17626" t="n"/>
      <c r="H148" s="3">
        <f>IF(ROW()=5,F148-G148,H147+F148-G148)</f>
        <v/>
      </c>
      <c r="I148" s="4" t="n">
        <v>28.3</v>
      </c>
      <c r="J148" s="4">
        <f>IFERROR((F148+G148)*I148,0)</f>
        <v/>
      </c>
      <c r="K148" s="4">
        <f>L147+M147-N147</f>
        <v/>
      </c>
      <c r="L148" s="4">
        <f>(TablaMarimba6[[#This Row],[Saldo inicial(vales)]]-TablaMarimba6[[#This Row],[Importe]])</f>
        <v/>
      </c>
      <c r="M148" s="4">
        <f>IF(A148="","", _xludf.WEEKNUM(A148, 2))</f>
        <v/>
      </c>
      <c r="N148" s="4" t="n"/>
    </row>
    <row r="149">
      <c r="A149" s="17625" t="n"/>
      <c r="E149">
        <f>VLOOKUP(TablaMarimba6[[#This Row],[Equipo]],Catalogos!$V$4:$W$55,2,FALSE)</f>
        <v/>
      </c>
      <c r="F149" s="3" t="n"/>
      <c r="G149" s="17626" t="n"/>
      <c r="H149" s="3">
        <f>IF(ROW()=5,F149-G149,H148+F149-G149)</f>
        <v/>
      </c>
      <c r="I149" s="4" t="n">
        <v>28.3</v>
      </c>
      <c r="J149" s="4">
        <f>IFERROR((F149+G149)*I149,0)</f>
        <v/>
      </c>
      <c r="K149" s="4">
        <f>L148+M148-N148</f>
        <v/>
      </c>
      <c r="L149" s="4">
        <f>(TablaMarimba6[[#This Row],[Saldo inicial(vales)]]-TablaMarimba6[[#This Row],[Importe]])</f>
        <v/>
      </c>
      <c r="M149" s="4">
        <f>IF(A149="","", _xludf.WEEKNUM(A149, 2))</f>
        <v/>
      </c>
      <c r="N149" s="4" t="n"/>
    </row>
    <row r="150">
      <c r="A150" s="17625" t="n"/>
      <c r="E150">
        <f>VLOOKUP(TablaMarimba6[[#This Row],[Equipo]],Catalogos!$V$4:$W$55,2,FALSE)</f>
        <v/>
      </c>
      <c r="F150" s="3" t="n"/>
      <c r="G150" s="17626" t="n"/>
      <c r="H150" s="3">
        <f>IF(ROW()=5,F150-G150,H149+F150-G150)</f>
        <v/>
      </c>
      <c r="I150" s="4" t="n">
        <v>28.3</v>
      </c>
      <c r="J150" s="4">
        <f>IFERROR((F150+G150)*I150,0)</f>
        <v/>
      </c>
      <c r="K150" s="4">
        <f>L149+M149-N149</f>
        <v/>
      </c>
      <c r="L150" s="4">
        <f>(TablaMarimba6[[#This Row],[Saldo inicial(vales)]]-TablaMarimba6[[#This Row],[Importe]])</f>
        <v/>
      </c>
      <c r="M150" s="4">
        <f>IF(A150="","", _xludf.WEEKNUM(A150, 2))</f>
        <v/>
      </c>
      <c r="N150" s="4" t="n"/>
    </row>
    <row r="151">
      <c r="A151" s="17625" t="n"/>
      <c r="E151">
        <f>VLOOKUP(TablaMarimba6[[#This Row],[Equipo]],Catalogos!$V$4:$W$55,2,FALSE)</f>
        <v/>
      </c>
      <c r="F151" s="3" t="n"/>
      <c r="G151" s="17626" t="n"/>
      <c r="H151" s="3">
        <f>IF(ROW()=5,F151-G151,H150+F151-G151)</f>
        <v/>
      </c>
      <c r="I151" s="4" t="n">
        <v>28.3</v>
      </c>
      <c r="J151" s="4">
        <f>IFERROR((F151+G151)*I151,0)</f>
        <v/>
      </c>
      <c r="K151" s="4">
        <f>L150+M150-N150</f>
        <v/>
      </c>
      <c r="L151" s="4">
        <f>(TablaMarimba6[[#This Row],[Saldo inicial(vales)]]-TablaMarimba6[[#This Row],[Importe]])</f>
        <v/>
      </c>
      <c r="M151" s="4">
        <f>IF(A151="","", _xludf.WEEKNUM(A151, 2))</f>
        <v/>
      </c>
      <c r="N151" s="4" t="n"/>
    </row>
    <row r="152">
      <c r="A152" s="17625" t="n"/>
      <c r="E152">
        <f>VLOOKUP(TablaMarimba6[[#This Row],[Equipo]],Catalogos!$V$4:$W$55,2,FALSE)</f>
        <v/>
      </c>
      <c r="F152" s="3" t="n"/>
      <c r="G152" s="17626" t="n"/>
      <c r="H152" s="3">
        <f>IF(ROW()=5,F152-G152,H151+F152-G152)</f>
        <v/>
      </c>
      <c r="I152" s="4" t="n">
        <v>28.3</v>
      </c>
      <c r="J152" s="4">
        <f>IFERROR((F152+G152)*I152,0)</f>
        <v/>
      </c>
      <c r="K152" s="4">
        <f>L151+M151-N151</f>
        <v/>
      </c>
      <c r="L152" s="4">
        <f>(TablaMarimba6[[#This Row],[Saldo inicial(vales)]]-TablaMarimba6[[#This Row],[Importe]])</f>
        <v/>
      </c>
      <c r="M152" s="4">
        <f>IF(A152="","", _xludf.WEEKNUM(A152, 2))</f>
        <v/>
      </c>
      <c r="N152" s="4" t="n"/>
    </row>
    <row r="153">
      <c r="A153" s="17625" t="n"/>
      <c r="E153">
        <f>VLOOKUP(TablaMarimba6[[#This Row],[Equipo]],Catalogos!$V$4:$W$55,2,FALSE)</f>
        <v/>
      </c>
      <c r="F153" s="3" t="n"/>
      <c r="G153" s="17626" t="n"/>
      <c r="H153" s="3">
        <f>IF(ROW()=5,F153-G153,H152+F153-G153)</f>
        <v/>
      </c>
      <c r="I153" s="4" t="n">
        <v>28.3</v>
      </c>
      <c r="J153" s="4">
        <f>IFERROR((F153+G153)*I153,0)</f>
        <v/>
      </c>
      <c r="K153" s="4">
        <f>L152+M152-N152</f>
        <v/>
      </c>
      <c r="L153" s="4">
        <f>(TablaMarimba6[[#This Row],[Saldo inicial(vales)]]-TablaMarimba6[[#This Row],[Importe]])</f>
        <v/>
      </c>
      <c r="M153" s="4">
        <f>IF(A153="","", _xludf.WEEKNUM(A153, 2))</f>
        <v/>
      </c>
      <c r="N153" s="4" t="n"/>
    </row>
    <row r="154">
      <c r="A154" s="17625" t="n"/>
      <c r="E154">
        <f>VLOOKUP(TablaMarimba6[[#This Row],[Equipo]],Catalogos!$V$4:$W$55,2,FALSE)</f>
        <v/>
      </c>
      <c r="F154" s="3" t="n"/>
      <c r="G154" s="17626" t="n"/>
      <c r="H154" s="3">
        <f>IF(ROW()=5,F154-G154,H153+F154-G154)</f>
        <v/>
      </c>
      <c r="I154" s="4" t="n">
        <v>28.3</v>
      </c>
      <c r="J154" s="4">
        <f>IFERROR((F154+G154)*I154,0)</f>
        <v/>
      </c>
      <c r="K154" s="4">
        <f>L153+M153-N153</f>
        <v/>
      </c>
      <c r="L154" s="4">
        <f>(TablaMarimba6[[#This Row],[Saldo inicial(vales)]]-TablaMarimba6[[#This Row],[Importe]])</f>
        <v/>
      </c>
      <c r="M154" s="4">
        <f>IF(A154="","", _xludf.WEEKNUM(A154, 2))</f>
        <v/>
      </c>
      <c r="N154" s="4" t="n"/>
    </row>
    <row r="155">
      <c r="A155" s="17625" t="n"/>
      <c r="E155">
        <f>VLOOKUP(TablaMarimba6[[#This Row],[Equipo]],Catalogos!$V$4:$W$55,2,FALSE)</f>
        <v/>
      </c>
      <c r="F155" s="3" t="n"/>
      <c r="G155" s="17626" t="n"/>
      <c r="H155" s="3">
        <f>IF(ROW()=5,F155-G155,H154+F155-G155)</f>
        <v/>
      </c>
      <c r="I155" s="4" t="n">
        <v>28.3</v>
      </c>
      <c r="J155" s="4">
        <f>IFERROR((F155+G155)*I155,0)</f>
        <v/>
      </c>
      <c r="K155" s="4">
        <f>L154+M154-N154</f>
        <v/>
      </c>
      <c r="L155" s="4">
        <f>(TablaMarimba6[[#This Row],[Saldo inicial(vales)]]-TablaMarimba6[[#This Row],[Importe]])</f>
        <v/>
      </c>
      <c r="M155" s="4">
        <f>IF(A155="","", _xludf.WEEKNUM(A155, 2))</f>
        <v/>
      </c>
      <c r="N155" s="4" t="n"/>
    </row>
    <row r="156">
      <c r="A156" s="17625" t="n"/>
      <c r="E156">
        <f>VLOOKUP(TablaMarimba6[[#This Row],[Equipo]],Catalogos!$V$4:$W$55,2,FALSE)</f>
        <v/>
      </c>
      <c r="F156" s="3" t="n"/>
      <c r="G156" s="17626" t="n"/>
      <c r="H156" s="3">
        <f>IF(ROW()=5,F156-G156,H155+F156-G156)</f>
        <v/>
      </c>
      <c r="I156" s="4" t="n">
        <v>28.3</v>
      </c>
      <c r="J156" s="4">
        <f>IFERROR((F156+G156)*I156,0)</f>
        <v/>
      </c>
      <c r="K156" s="4">
        <f>L155+M155-N155</f>
        <v/>
      </c>
      <c r="L156" s="4">
        <f>(TablaMarimba6[[#This Row],[Saldo inicial(vales)]]-TablaMarimba6[[#This Row],[Importe]])</f>
        <v/>
      </c>
      <c r="M156" s="4">
        <f>IF(A156="","", _xludf.WEEKNUM(A156, 2))</f>
        <v/>
      </c>
      <c r="N156" s="4" t="n"/>
    </row>
    <row r="157">
      <c r="A157" s="17625" t="n"/>
      <c r="E157">
        <f>VLOOKUP(TablaMarimba6[[#This Row],[Equipo]],Catalogos!$V$4:$W$55,2,FALSE)</f>
        <v/>
      </c>
      <c r="F157" s="3" t="n"/>
      <c r="G157" s="17626" t="n"/>
      <c r="H157" s="3">
        <f>IF(ROW()=5,F157-G157,H156+F157-G157)</f>
        <v/>
      </c>
      <c r="I157" s="4" t="n">
        <v>28.3</v>
      </c>
      <c r="J157" s="4">
        <f>IFERROR((F157+G157)*I157,0)</f>
        <v/>
      </c>
      <c r="K157" s="4">
        <f>L156+M156-N156</f>
        <v/>
      </c>
      <c r="L157" s="4">
        <f>(TablaMarimba6[[#This Row],[Saldo inicial(vales)]]-TablaMarimba6[[#This Row],[Importe]])</f>
        <v/>
      </c>
      <c r="M157" s="4">
        <f>IF(A157="","", _xludf.WEEKNUM(A157, 2))</f>
        <v/>
      </c>
      <c r="N157" s="4" t="n"/>
    </row>
    <row r="158">
      <c r="A158" s="17625" t="n"/>
      <c r="E158">
        <f>VLOOKUP(TablaMarimba6[[#This Row],[Equipo]],Catalogos!$V$4:$W$55,2,FALSE)</f>
        <v/>
      </c>
      <c r="F158" s="3" t="n"/>
      <c r="G158" s="17626" t="n"/>
      <c r="H158" s="3">
        <f>IF(ROW()=5,F158-G158,H157+F158-G158)</f>
        <v/>
      </c>
      <c r="I158" s="4" t="n">
        <v>28.3</v>
      </c>
      <c r="J158" s="4">
        <f>IFERROR((F158+G158)*I158,0)</f>
        <v/>
      </c>
      <c r="K158" s="4">
        <f>L157+M157-N157</f>
        <v/>
      </c>
      <c r="L158" s="4">
        <f>(TablaMarimba6[[#This Row],[Saldo inicial(vales)]]-TablaMarimba6[[#This Row],[Importe]])</f>
        <v/>
      </c>
      <c r="M158" s="4">
        <f>IF(A158="","", _xludf.WEEKNUM(A158, 2))</f>
        <v/>
      </c>
      <c r="N158" s="4" t="n"/>
    </row>
    <row r="159">
      <c r="A159" s="17625" t="n"/>
      <c r="E159">
        <f>VLOOKUP(TablaMarimba6[[#This Row],[Equipo]],Catalogos!$V$4:$W$55,2,FALSE)</f>
        <v/>
      </c>
      <c r="F159" s="3" t="n"/>
      <c r="G159" s="17626" t="n"/>
      <c r="H159" s="3">
        <f>IF(ROW()=5,F159-G159,H158+F159-G159)</f>
        <v/>
      </c>
      <c r="I159" s="4" t="n">
        <v>28.3</v>
      </c>
      <c r="J159" s="4">
        <f>IFERROR((F159+G159)*I159,0)</f>
        <v/>
      </c>
      <c r="K159" s="4">
        <f>L158+M158-N158</f>
        <v/>
      </c>
      <c r="L159" s="4">
        <f>(TablaMarimba6[[#This Row],[Saldo inicial(vales)]]-TablaMarimba6[[#This Row],[Importe]])</f>
        <v/>
      </c>
      <c r="M159" s="4">
        <f>IF(A159="","", _xludf.WEEKNUM(A159, 2))</f>
        <v/>
      </c>
      <c r="N159" s="4" t="n"/>
    </row>
    <row r="160">
      <c r="A160" s="17625" t="n"/>
      <c r="E160">
        <f>VLOOKUP(TablaMarimba6[[#This Row],[Equipo]],Catalogos!$V$4:$W$55,2,FALSE)</f>
        <v/>
      </c>
      <c r="F160" s="3" t="n"/>
      <c r="G160" s="17626" t="n"/>
      <c r="H160" s="3">
        <f>IF(ROW()=5,F160-G160,H159+F160-G160)</f>
        <v/>
      </c>
      <c r="I160" s="4" t="n">
        <v>28.3</v>
      </c>
      <c r="J160" s="4">
        <f>IFERROR((F160+G160)*I160,0)</f>
        <v/>
      </c>
      <c r="K160" s="4">
        <f>L159+M159-N159</f>
        <v/>
      </c>
      <c r="L160" s="4">
        <f>(TablaMarimba6[[#This Row],[Saldo inicial(vales)]]-TablaMarimba6[[#This Row],[Importe]])</f>
        <v/>
      </c>
      <c r="M160" s="4">
        <f>IF(A160="","", _xludf.WEEKNUM(A160, 2))</f>
        <v/>
      </c>
      <c r="N160" s="4" t="n"/>
    </row>
    <row r="161">
      <c r="A161" s="17625" t="n"/>
      <c r="E161">
        <f>VLOOKUP(TablaMarimba6[[#This Row],[Equipo]],Catalogos!$V$4:$W$55,2,FALSE)</f>
        <v/>
      </c>
      <c r="F161" s="3" t="n"/>
      <c r="G161" s="17626" t="n"/>
      <c r="H161" s="3">
        <f>IF(ROW()=5,F161-G161,H160+F161-G161)</f>
        <v/>
      </c>
      <c r="I161" s="4" t="n">
        <v>28.3</v>
      </c>
      <c r="J161" s="4">
        <f>IFERROR((F161+G161)*I161,0)</f>
        <v/>
      </c>
      <c r="K161" s="4">
        <f>L160+M160-N160</f>
        <v/>
      </c>
      <c r="L161" s="4">
        <f>(TablaMarimba6[[#This Row],[Saldo inicial(vales)]]-TablaMarimba6[[#This Row],[Importe]])</f>
        <v/>
      </c>
      <c r="M161" s="4">
        <f>IF(A161="","", _xludf.WEEKNUM(A161, 2))</f>
        <v/>
      </c>
      <c r="N161" s="4" t="n"/>
    </row>
    <row r="162">
      <c r="A162" s="17625" t="n"/>
      <c r="E162">
        <f>VLOOKUP(TablaMarimba6[[#This Row],[Equipo]],Catalogos!$V$4:$W$55,2,FALSE)</f>
        <v/>
      </c>
      <c r="F162" s="3" t="n"/>
      <c r="G162" s="17626" t="n"/>
      <c r="H162" s="3">
        <f>IF(ROW()=5,F162-G162,H161+F162-G162)</f>
        <v/>
      </c>
      <c r="I162" s="4" t="n">
        <v>28.3</v>
      </c>
      <c r="J162" s="4">
        <f>IFERROR((F162+G162)*I162,0)</f>
        <v/>
      </c>
      <c r="K162" s="4">
        <f>L161+M161-N161</f>
        <v/>
      </c>
      <c r="L162" s="4">
        <f>(TablaMarimba6[[#This Row],[Saldo inicial(vales)]]-TablaMarimba6[[#This Row],[Importe]])</f>
        <v/>
      </c>
      <c r="M162" s="4">
        <f>IF(A162="","", _xludf.WEEKNUM(A162, 2))</f>
        <v/>
      </c>
      <c r="N162" s="4" t="n"/>
    </row>
    <row r="163">
      <c r="A163" s="17625" t="n"/>
      <c r="E163">
        <f>VLOOKUP(TablaMarimba6[[#This Row],[Equipo]],Catalogos!$V$4:$W$55,2,FALSE)</f>
        <v/>
      </c>
      <c r="F163" s="3" t="n"/>
      <c r="G163" s="17626" t="n"/>
      <c r="H163" s="3">
        <f>IF(ROW()=5,F163-G163,H162+F163-G163)</f>
        <v/>
      </c>
      <c r="I163" s="4" t="n">
        <v>28.3</v>
      </c>
      <c r="J163" s="4">
        <f>IFERROR((F163+G163)*I163,0)</f>
        <v/>
      </c>
      <c r="K163" s="4">
        <f>L162+M162-N162</f>
        <v/>
      </c>
      <c r="L163" s="4">
        <f>(TablaMarimba6[[#This Row],[Saldo inicial(vales)]]-TablaMarimba6[[#This Row],[Importe]])</f>
        <v/>
      </c>
      <c r="M163" s="4">
        <f>IF(A163="","", _xludf.WEEKNUM(A163, 2))</f>
        <v/>
      </c>
      <c r="N163" s="4" t="n"/>
    </row>
    <row r="164">
      <c r="A164" s="17625" t="n"/>
      <c r="E164">
        <f>VLOOKUP(TablaMarimba6[[#This Row],[Equipo]],Catalogos!$V$4:$W$55,2,FALSE)</f>
        <v/>
      </c>
      <c r="F164" s="3" t="n"/>
      <c r="G164" s="17626" t="n"/>
      <c r="H164" s="3">
        <f>IF(ROW()=5,F164-G164,H163+F164-G164)</f>
        <v/>
      </c>
      <c r="I164" s="4" t="n">
        <v>28.3</v>
      </c>
      <c r="J164" s="4">
        <f>IFERROR((F164+G164)*I164,0)</f>
        <v/>
      </c>
      <c r="K164" s="4">
        <f>L163+M163-N163</f>
        <v/>
      </c>
      <c r="L164" s="4">
        <f>(TablaMarimba6[[#This Row],[Saldo inicial(vales)]]-TablaMarimba6[[#This Row],[Importe]])</f>
        <v/>
      </c>
      <c r="M164" s="4">
        <f>IF(A164="","", _xludf.WEEKNUM(A164, 2))</f>
        <v/>
      </c>
      <c r="N164" s="4" t="n"/>
    </row>
    <row r="165">
      <c r="A165" s="17625" t="n"/>
      <c r="E165">
        <f>VLOOKUP(TablaMarimba6[[#This Row],[Equipo]],Catalogos!$V$4:$W$55,2,FALSE)</f>
        <v/>
      </c>
      <c r="F165" s="3" t="n"/>
      <c r="G165" s="17626" t="n"/>
      <c r="H165" s="3">
        <f>IF(ROW()=5,F165-G165,H164+F165-G165)</f>
        <v/>
      </c>
      <c r="I165" s="4" t="n">
        <v>28.3</v>
      </c>
      <c r="J165" s="4">
        <f>IFERROR((F165+G165)*I165,0)</f>
        <v/>
      </c>
      <c r="K165" s="4">
        <f>L164+M164-N164</f>
        <v/>
      </c>
      <c r="L165" s="4">
        <f>(TablaMarimba6[[#This Row],[Saldo inicial(vales)]]-TablaMarimba6[[#This Row],[Importe]])</f>
        <v/>
      </c>
      <c r="M165" s="4">
        <f>IF(A165="","", _xludf.WEEKNUM(A165, 2))</f>
        <v/>
      </c>
      <c r="N165" s="4" t="n"/>
    </row>
    <row r="166">
      <c r="A166" s="17625" t="n"/>
      <c r="E166">
        <f>VLOOKUP(TablaMarimba6[[#This Row],[Equipo]],Catalogos!$V$4:$W$55,2,FALSE)</f>
        <v/>
      </c>
      <c r="F166" s="3" t="n"/>
      <c r="G166" s="17626" t="n"/>
      <c r="H166" s="3">
        <f>IF(ROW()=5,F166-G166,H165+F166-G166)</f>
        <v/>
      </c>
      <c r="I166" s="4" t="n">
        <v>28.3</v>
      </c>
      <c r="J166" s="4">
        <f>IFERROR((F166+G166)*I166,0)</f>
        <v/>
      </c>
      <c r="K166" s="4">
        <f>L165+M165-N165</f>
        <v/>
      </c>
      <c r="L166" s="4">
        <f>(TablaMarimba6[[#This Row],[Saldo inicial(vales)]]-TablaMarimba6[[#This Row],[Importe]])</f>
        <v/>
      </c>
      <c r="M166" s="4">
        <f>IF(A166="","", _xludf.WEEKNUM(A166, 2))</f>
        <v/>
      </c>
      <c r="N166" s="4" t="n"/>
    </row>
    <row r="167">
      <c r="A167" s="17625" t="n"/>
      <c r="E167">
        <f>VLOOKUP(TablaMarimba6[[#This Row],[Equipo]],Catalogos!$V$4:$W$55,2,FALSE)</f>
        <v/>
      </c>
      <c r="F167" s="3" t="n"/>
      <c r="G167" s="17626" t="n"/>
      <c r="H167" s="3">
        <f>IF(ROW()=5,F167-G167,H166+F167-G167)</f>
        <v/>
      </c>
      <c r="I167" s="4" t="n">
        <v>28.3</v>
      </c>
      <c r="J167" s="4">
        <f>IFERROR((F167+G167)*I167,0)</f>
        <v/>
      </c>
      <c r="K167" s="4">
        <f>L166+M166-N166</f>
        <v/>
      </c>
      <c r="L167" s="4">
        <f>(TablaMarimba6[[#This Row],[Saldo inicial(vales)]]-TablaMarimba6[[#This Row],[Importe]])</f>
        <v/>
      </c>
      <c r="M167" s="4">
        <f>IF(A167="","", _xludf.WEEKNUM(A167, 2))</f>
        <v/>
      </c>
      <c r="N167" s="4" t="n"/>
    </row>
    <row r="168">
      <c r="A168" s="17625" t="n"/>
      <c r="E168">
        <f>VLOOKUP(TablaMarimba6[[#This Row],[Equipo]],Catalogos!$V$4:$W$55,2,FALSE)</f>
        <v/>
      </c>
      <c r="F168" s="3" t="n"/>
      <c r="G168" s="17626" t="n"/>
      <c r="H168" s="3">
        <f>IF(ROW()=5,F168-G168,H167+F168-G168)</f>
        <v/>
      </c>
      <c r="I168" s="4" t="n">
        <v>28.3</v>
      </c>
      <c r="J168" s="4">
        <f>IFERROR((F168+G168)*I168,0)</f>
        <v/>
      </c>
      <c r="K168" s="4">
        <f>L167+M167-N167</f>
        <v/>
      </c>
      <c r="L168" s="4">
        <f>(TablaMarimba6[[#This Row],[Saldo inicial(vales)]]-TablaMarimba6[[#This Row],[Importe]])</f>
        <v/>
      </c>
      <c r="M168" s="4">
        <f>IF(A168="","", _xludf.WEEKNUM(A168, 2))</f>
        <v/>
      </c>
      <c r="N168" s="4" t="n"/>
    </row>
    <row r="169">
      <c r="A169" s="17625" t="n"/>
      <c r="E169">
        <f>VLOOKUP(TablaMarimba6[[#This Row],[Equipo]],Catalogos!$V$4:$W$55,2,FALSE)</f>
        <v/>
      </c>
      <c r="F169" s="3" t="n"/>
      <c r="G169" s="17626" t="n"/>
      <c r="H169" s="3">
        <f>IF(ROW()=5,F169-G169,H168+F169-G169)</f>
        <v/>
      </c>
      <c r="I169" s="4" t="n">
        <v>28.3</v>
      </c>
      <c r="J169" s="4">
        <f>IFERROR((F169+G169)*I169,0)</f>
        <v/>
      </c>
      <c r="K169" s="4">
        <f>L168+M168-N168</f>
        <v/>
      </c>
      <c r="L169" s="4">
        <f>(TablaMarimba6[[#This Row],[Saldo inicial(vales)]]-TablaMarimba6[[#This Row],[Importe]])</f>
        <v/>
      </c>
      <c r="M169" s="4">
        <f>IF(A169="","", _xludf.WEEKNUM(A169, 2))</f>
        <v/>
      </c>
      <c r="N169" s="4" t="n"/>
    </row>
    <row r="170">
      <c r="A170" s="17625" t="n"/>
      <c r="E170">
        <f>VLOOKUP(TablaMarimba6[[#This Row],[Equipo]],Catalogos!$V$4:$W$55,2,FALSE)</f>
        <v/>
      </c>
      <c r="F170" s="3" t="n"/>
      <c r="G170" s="17626" t="n"/>
      <c r="H170" s="3">
        <f>IF(ROW()=5,F170-G170,H169+F170-G170)</f>
        <v/>
      </c>
      <c r="I170" s="4" t="n">
        <v>28.3</v>
      </c>
      <c r="J170" s="4">
        <f>IFERROR((F170+G170)*I170,0)</f>
        <v/>
      </c>
      <c r="K170" s="4">
        <f>L169+M169-N169</f>
        <v/>
      </c>
      <c r="L170" s="4">
        <f>(TablaMarimba6[[#This Row],[Saldo inicial(vales)]]-TablaMarimba6[[#This Row],[Importe]])</f>
        <v/>
      </c>
      <c r="M170" s="4">
        <f>IF(A170="","", _xludf.WEEKNUM(A170, 2))</f>
        <v/>
      </c>
      <c r="N170" s="4" t="n"/>
    </row>
    <row r="171">
      <c r="A171" s="17625" t="n"/>
      <c r="E171">
        <f>VLOOKUP(TablaMarimba6[[#This Row],[Equipo]],Catalogos!$V$4:$W$55,2,FALSE)</f>
        <v/>
      </c>
      <c r="F171" s="3" t="n"/>
      <c r="G171" s="17626" t="n"/>
      <c r="H171" s="3">
        <f>IF(ROW()=5,F171-G171,H170+F171-G171)</f>
        <v/>
      </c>
      <c r="I171" s="4" t="n">
        <v>28.3</v>
      </c>
      <c r="J171" s="4">
        <f>IFERROR((F171+G171)*I171,0)</f>
        <v/>
      </c>
      <c r="K171" s="4">
        <f>L170+M170-N170</f>
        <v/>
      </c>
      <c r="L171" s="4">
        <f>(TablaMarimba6[[#This Row],[Saldo inicial(vales)]]-TablaMarimba6[[#This Row],[Importe]])</f>
        <v/>
      </c>
      <c r="M171" s="4">
        <f>IF(A171="","", _xludf.WEEKNUM(A171, 2))</f>
        <v/>
      </c>
      <c r="N171" s="4" t="n"/>
    </row>
    <row r="172">
      <c r="A172" s="17625" t="n"/>
      <c r="E172">
        <f>VLOOKUP(TablaMarimba6[[#This Row],[Equipo]],Catalogos!$V$4:$W$55,2,FALSE)</f>
        <v/>
      </c>
      <c r="F172" s="3" t="n"/>
      <c r="G172" s="17626" t="n"/>
      <c r="H172" s="3">
        <f>IF(ROW()=5,F172-G172,H171+F172-G172)</f>
        <v/>
      </c>
      <c r="I172" s="4" t="n">
        <v>28.3</v>
      </c>
      <c r="J172" s="4">
        <f>IFERROR((F172+G172)*I172,0)</f>
        <v/>
      </c>
      <c r="K172" s="4">
        <f>L171+M171-N171</f>
        <v/>
      </c>
      <c r="L172" s="4">
        <f>(TablaMarimba6[[#This Row],[Saldo inicial(vales)]]-TablaMarimba6[[#This Row],[Importe]])</f>
        <v/>
      </c>
      <c r="M172" s="4">
        <f>IF(A172="","", _xludf.WEEKNUM(A172, 2))</f>
        <v/>
      </c>
      <c r="N172" s="4" t="n"/>
    </row>
    <row r="173">
      <c r="A173" s="17625" t="n"/>
      <c r="E173">
        <f>VLOOKUP(TablaMarimba6[[#This Row],[Equipo]],Catalogos!$V$4:$W$55,2,FALSE)</f>
        <v/>
      </c>
      <c r="F173" s="3" t="n"/>
      <c r="G173" s="17626" t="n"/>
      <c r="H173" s="3">
        <f>IF(ROW()=5,F173-G173,H172+F173-G173)</f>
        <v/>
      </c>
      <c r="I173" s="4" t="n">
        <v>28.3</v>
      </c>
      <c r="J173" s="4">
        <f>IFERROR((F173+G173)*I173,0)</f>
        <v/>
      </c>
      <c r="K173" s="4">
        <f>L172+M172-N172</f>
        <v/>
      </c>
      <c r="L173" s="4">
        <f>(TablaMarimba6[[#This Row],[Saldo inicial(vales)]]-TablaMarimba6[[#This Row],[Importe]])</f>
        <v/>
      </c>
      <c r="M173" s="4">
        <f>IF(A173="","", _xludf.WEEKNUM(A173, 2))</f>
        <v/>
      </c>
      <c r="N173" s="4" t="n"/>
    </row>
    <row r="174">
      <c r="A174" s="17625" t="n"/>
      <c r="E174">
        <f>VLOOKUP(TablaMarimba6[[#This Row],[Equipo]],Catalogos!$V$4:$W$55,2,FALSE)</f>
        <v/>
      </c>
      <c r="F174" s="3" t="n"/>
      <c r="G174" s="17626" t="n"/>
      <c r="H174" s="3">
        <f>IF(ROW()=5,F174-G174,H173+F174-G174)</f>
        <v/>
      </c>
      <c r="I174" s="4" t="n">
        <v>28.3</v>
      </c>
      <c r="J174" s="4">
        <f>IFERROR((F174+G174)*I174,0)</f>
        <v/>
      </c>
      <c r="K174" s="4">
        <f>L173+M173-N173</f>
        <v/>
      </c>
      <c r="L174" s="4">
        <f>(TablaMarimba6[[#This Row],[Saldo inicial(vales)]]-TablaMarimba6[[#This Row],[Importe]])</f>
        <v/>
      </c>
      <c r="M174" s="4">
        <f>IF(A174="","", _xludf.WEEKNUM(A174, 2))</f>
        <v/>
      </c>
      <c r="N174" s="4" t="n"/>
    </row>
    <row r="175">
      <c r="A175" s="17625" t="n"/>
      <c r="E175">
        <f>VLOOKUP(TablaMarimba6[[#This Row],[Equipo]],Catalogos!$V$4:$W$55,2,FALSE)</f>
        <v/>
      </c>
      <c r="F175" s="3" t="n"/>
      <c r="G175" s="17626" t="n"/>
      <c r="H175" s="3">
        <f>IF(ROW()=5,F175-G175,H174+F175-G175)</f>
        <v/>
      </c>
      <c r="I175" s="4" t="n">
        <v>28.3</v>
      </c>
      <c r="J175" s="4">
        <f>IFERROR((F175+G175)*I175,0)</f>
        <v/>
      </c>
      <c r="K175" s="4">
        <f>L174+M174-N174</f>
        <v/>
      </c>
      <c r="L175" s="4">
        <f>(TablaMarimba6[[#This Row],[Saldo inicial(vales)]]-TablaMarimba6[[#This Row],[Importe]])</f>
        <v/>
      </c>
      <c r="M175" s="4">
        <f>IF(A175="","", _xludf.WEEKNUM(A175, 2))</f>
        <v/>
      </c>
      <c r="N175" s="4" t="n"/>
    </row>
    <row r="176">
      <c r="A176" s="17625" t="n"/>
      <c r="E176">
        <f>VLOOKUP(TablaMarimba6[[#This Row],[Equipo]],Catalogos!$V$4:$W$55,2,FALSE)</f>
        <v/>
      </c>
      <c r="F176" s="3" t="n"/>
      <c r="G176" s="17626" t="n"/>
      <c r="H176" s="3">
        <f>IF(ROW()=5,F176-G176,H175+F176-G176)</f>
        <v/>
      </c>
      <c r="I176" s="4" t="n">
        <v>28.3</v>
      </c>
      <c r="J176" s="4">
        <f>IFERROR((F176+G176)*I176,0)</f>
        <v/>
      </c>
      <c r="K176" s="4">
        <f>L175+M175-N175</f>
        <v/>
      </c>
      <c r="L176" s="4">
        <f>(TablaMarimba6[[#This Row],[Saldo inicial(vales)]]-TablaMarimba6[[#This Row],[Importe]])</f>
        <v/>
      </c>
      <c r="M176" s="4">
        <f>IF(A176="","", _xludf.WEEKNUM(A176, 2))</f>
        <v/>
      </c>
      <c r="N176" s="4" t="n"/>
    </row>
    <row r="177">
      <c r="A177" s="17625" t="n"/>
      <c r="E177">
        <f>VLOOKUP(TablaMarimba6[[#This Row],[Equipo]],Catalogos!$V$4:$W$55,2,FALSE)</f>
        <v/>
      </c>
      <c r="F177" s="3" t="n"/>
      <c r="G177" s="17626" t="n"/>
      <c r="H177" s="3">
        <f>IF(ROW()=5,F177-G177,H176+F177-G177)</f>
        <v/>
      </c>
      <c r="I177" s="4" t="n">
        <v>28.3</v>
      </c>
      <c r="J177" s="4">
        <f>IFERROR((F177+G177)*I177,0)</f>
        <v/>
      </c>
      <c r="K177" s="4">
        <f>L176+M176-N176</f>
        <v/>
      </c>
      <c r="L177" s="4">
        <f>(TablaMarimba6[[#This Row],[Saldo inicial(vales)]]-TablaMarimba6[[#This Row],[Importe]])</f>
        <v/>
      </c>
      <c r="M177" s="4">
        <f>IF(A177="","", _xludf.WEEKNUM(A177, 2))</f>
        <v/>
      </c>
      <c r="N177" s="4" t="n"/>
    </row>
    <row r="178">
      <c r="A178" s="17625" t="n"/>
      <c r="E178">
        <f>VLOOKUP(TablaMarimba6[[#This Row],[Equipo]],Catalogos!$V$4:$W$55,2,FALSE)</f>
        <v/>
      </c>
      <c r="F178" s="3" t="n"/>
      <c r="G178" s="17626" t="n"/>
      <c r="H178" s="3">
        <f>IF(ROW()=5,F178-G178,H177+F178-G178)</f>
        <v/>
      </c>
      <c r="I178" s="4" t="n">
        <v>28.3</v>
      </c>
      <c r="J178" s="4">
        <f>IFERROR((F178+G178)*I178,0)</f>
        <v/>
      </c>
      <c r="K178" s="4">
        <f>L177+M177-N177</f>
        <v/>
      </c>
      <c r="L178" s="4">
        <f>(TablaMarimba6[[#This Row],[Saldo inicial(vales)]]-TablaMarimba6[[#This Row],[Importe]])</f>
        <v/>
      </c>
      <c r="M178" s="4">
        <f>IF(A178="","", _xludf.WEEKNUM(A178, 2))</f>
        <v/>
      </c>
      <c r="N178" s="4" t="n"/>
    </row>
    <row r="179">
      <c r="A179" s="17625" t="n"/>
      <c r="E179">
        <f>VLOOKUP(TablaMarimba6[[#This Row],[Equipo]],Catalogos!$V$4:$W$55,2,FALSE)</f>
        <v/>
      </c>
      <c r="F179" s="3" t="n"/>
      <c r="G179" s="17626" t="n"/>
      <c r="H179" s="3">
        <f>IF(ROW()=5,F179-G179,H178+F179-G179)</f>
        <v/>
      </c>
      <c r="I179" s="4" t="n">
        <v>28.3</v>
      </c>
      <c r="J179" s="4">
        <f>IFERROR((F179+G179)*I179,0)</f>
        <v/>
      </c>
      <c r="K179" s="4">
        <f>L178+M178-N178</f>
        <v/>
      </c>
      <c r="L179" s="4">
        <f>(TablaMarimba6[[#This Row],[Saldo inicial(vales)]]-TablaMarimba6[[#This Row],[Importe]])</f>
        <v/>
      </c>
      <c r="M179" s="4">
        <f>IF(A179="","", _xludf.WEEKNUM(A179, 2))</f>
        <v/>
      </c>
      <c r="N179" s="4" t="n"/>
    </row>
    <row r="180">
      <c r="A180" s="17625" t="n"/>
      <c r="E180">
        <f>VLOOKUP(TablaMarimba6[[#This Row],[Equipo]],Catalogos!$V$4:$W$55,2,FALSE)</f>
        <v/>
      </c>
      <c r="F180" s="3" t="n"/>
      <c r="G180" s="17626" t="n"/>
      <c r="H180" s="3">
        <f>IF(ROW()=5,F180-G180,H179+F180-G180)</f>
        <v/>
      </c>
      <c r="I180" s="4" t="n">
        <v>28.3</v>
      </c>
      <c r="J180" s="4">
        <f>IFERROR((F180+G180)*I180,0)</f>
        <v/>
      </c>
      <c r="K180" s="4">
        <f>L179+M179-N179</f>
        <v/>
      </c>
      <c r="L180" s="4">
        <f>(TablaMarimba6[[#This Row],[Saldo inicial(vales)]]-TablaMarimba6[[#This Row],[Importe]])</f>
        <v/>
      </c>
      <c r="M180" s="4">
        <f>IF(A180="","", _xludf.WEEKNUM(A180, 2))</f>
        <v/>
      </c>
      <c r="N180" s="4" t="n"/>
    </row>
    <row r="181">
      <c r="A181" s="17625" t="n"/>
      <c r="E181">
        <f>VLOOKUP(TablaMarimba6[[#This Row],[Equipo]],Catalogos!$V$4:$W$55,2,FALSE)</f>
        <v/>
      </c>
      <c r="F181" s="3" t="n"/>
      <c r="G181" s="17626" t="n"/>
      <c r="H181" s="3">
        <f>IF(ROW()=5,F181-G181,H180+F181-G181)</f>
        <v/>
      </c>
      <c r="I181" s="4" t="n">
        <v>28.3</v>
      </c>
      <c r="J181" s="4">
        <f>IFERROR((F181+G181)*I181,0)</f>
        <v/>
      </c>
      <c r="K181" s="4">
        <f>L180+M180-N180</f>
        <v/>
      </c>
      <c r="L181" s="4">
        <f>(TablaMarimba6[[#This Row],[Saldo inicial(vales)]]-TablaMarimba6[[#This Row],[Importe]])</f>
        <v/>
      </c>
      <c r="M181" s="4">
        <f>IF(A181="","", _xludf.WEEKNUM(A181, 2))</f>
        <v/>
      </c>
      <c r="N181" s="4" t="n"/>
    </row>
    <row r="182">
      <c r="A182" s="17625" t="n"/>
      <c r="E182">
        <f>VLOOKUP(TablaMarimba6[[#This Row],[Equipo]],Catalogos!$V$4:$W$55,2,FALSE)</f>
        <v/>
      </c>
      <c r="F182" s="3" t="n"/>
      <c r="G182" s="17626" t="n"/>
      <c r="H182" s="3">
        <f>IF(ROW()=5,F182-G182,H181+F182-G182)</f>
        <v/>
      </c>
      <c r="I182" s="4" t="n">
        <v>28.3</v>
      </c>
      <c r="J182" s="4">
        <f>IFERROR((F182+G182)*I182,0)</f>
        <v/>
      </c>
      <c r="K182" s="4">
        <f>L181+M181-N181</f>
        <v/>
      </c>
      <c r="L182" s="4">
        <f>(TablaMarimba6[[#This Row],[Saldo inicial(vales)]]-TablaMarimba6[[#This Row],[Importe]])</f>
        <v/>
      </c>
      <c r="M182" s="4">
        <f>IF(A182="","", _xludf.WEEKNUM(A182, 2))</f>
        <v/>
      </c>
      <c r="N182" s="4" t="n"/>
    </row>
    <row r="183">
      <c r="A183" s="17625" t="n"/>
      <c r="E183">
        <f>VLOOKUP(TablaMarimba6[[#This Row],[Equipo]],Catalogos!$V$4:$W$55,2,FALSE)</f>
        <v/>
      </c>
      <c r="F183" s="3" t="n"/>
      <c r="G183" s="17626" t="n"/>
      <c r="H183" s="3">
        <f>IF(ROW()=5,F183-G183,H182+F183-G183)</f>
        <v/>
      </c>
      <c r="I183" s="4" t="n">
        <v>28.3</v>
      </c>
      <c r="J183" s="4">
        <f>IFERROR((F183+G183)*I183,0)</f>
        <v/>
      </c>
      <c r="K183" s="4">
        <f>L182+M182-N182</f>
        <v/>
      </c>
      <c r="L183" s="4">
        <f>(TablaMarimba6[[#This Row],[Saldo inicial(vales)]]-TablaMarimba6[[#This Row],[Importe]])</f>
        <v/>
      </c>
      <c r="M183" s="4">
        <f>IF(A183="","", _xludf.WEEKNUM(A183, 2))</f>
        <v/>
      </c>
      <c r="N183" s="4" t="n"/>
    </row>
    <row r="184">
      <c r="A184" s="17625" t="n"/>
      <c r="E184">
        <f>VLOOKUP(TablaMarimba6[[#This Row],[Equipo]],Catalogos!$V$4:$W$55,2,FALSE)</f>
        <v/>
      </c>
      <c r="F184" s="3" t="n"/>
      <c r="G184" s="17626" t="n"/>
      <c r="H184" s="3">
        <f>IF(ROW()=5,F184-G184,H183+F184-G184)</f>
        <v/>
      </c>
      <c r="I184" s="4" t="n">
        <v>28.3</v>
      </c>
      <c r="J184" s="4">
        <f>IFERROR((F184+G184)*I184,0)</f>
        <v/>
      </c>
      <c r="K184" s="4">
        <f>L183+M183-N183</f>
        <v/>
      </c>
      <c r="L184" s="4">
        <f>(TablaMarimba6[[#This Row],[Saldo inicial(vales)]]-TablaMarimba6[[#This Row],[Importe]])</f>
        <v/>
      </c>
      <c r="M184" s="4">
        <f>IF(A184="","", _xludf.WEEKNUM(A184, 2))</f>
        <v/>
      </c>
      <c r="N184" s="4" t="n"/>
    </row>
    <row r="185">
      <c r="A185" s="17625" t="n"/>
      <c r="E185">
        <f>VLOOKUP(TablaMarimba6[[#This Row],[Equipo]],Catalogos!$V$4:$W$55,2,FALSE)</f>
        <v/>
      </c>
      <c r="F185" s="3" t="n"/>
      <c r="G185" s="17626" t="n"/>
      <c r="H185" s="3">
        <f>IF(ROW()=5,F185-G185,H184+F185-G185)</f>
        <v/>
      </c>
      <c r="I185" s="4" t="n">
        <v>28.3</v>
      </c>
      <c r="J185" s="4">
        <f>IFERROR((F185+G185)*I185,0)</f>
        <v/>
      </c>
      <c r="K185" s="4">
        <f>L184+M184-N184</f>
        <v/>
      </c>
      <c r="L185" s="4">
        <f>(TablaMarimba6[[#This Row],[Saldo inicial(vales)]]-TablaMarimba6[[#This Row],[Importe]])</f>
        <v/>
      </c>
      <c r="M185" s="4">
        <f>IF(A185="","", _xludf.WEEKNUM(A185, 2))</f>
        <v/>
      </c>
      <c r="N185" s="4" t="n"/>
    </row>
    <row r="186">
      <c r="A186" s="17625" t="n"/>
      <c r="E186">
        <f>VLOOKUP(TablaMarimba6[[#This Row],[Equipo]],Catalogos!$V$4:$W$55,2,FALSE)</f>
        <v/>
      </c>
      <c r="F186" s="3" t="n"/>
      <c r="G186" s="17626" t="n"/>
      <c r="H186" s="3">
        <f>IF(ROW()=5,F186-G186,H185+F186-G186)</f>
        <v/>
      </c>
      <c r="I186" s="4" t="n">
        <v>28.3</v>
      </c>
      <c r="J186" s="4">
        <f>IFERROR((F186+G186)*I186,0)</f>
        <v/>
      </c>
      <c r="K186" s="4">
        <f>L185+M185-N185</f>
        <v/>
      </c>
      <c r="L186" s="4">
        <f>(TablaMarimba6[[#This Row],[Saldo inicial(vales)]]-TablaMarimba6[[#This Row],[Importe]])</f>
        <v/>
      </c>
      <c r="M186" s="4">
        <f>IF(A186="","", _xludf.WEEKNUM(A186, 2))</f>
        <v/>
      </c>
      <c r="N186" s="4" t="n"/>
    </row>
    <row r="187">
      <c r="A187" s="17625" t="n"/>
      <c r="E187">
        <f>VLOOKUP(TablaMarimba6[[#This Row],[Equipo]],Catalogos!$V$4:$W$55,2,FALSE)</f>
        <v/>
      </c>
      <c r="F187" s="3" t="n"/>
      <c r="G187" s="17626" t="n"/>
      <c r="H187" s="3">
        <f>IF(ROW()=5,F187-G187,H186+F187-G187)</f>
        <v/>
      </c>
      <c r="I187" s="4" t="n">
        <v>28.3</v>
      </c>
      <c r="J187" s="4">
        <f>IFERROR((F187+G187)*I187,0)</f>
        <v/>
      </c>
      <c r="K187" s="4">
        <f>L186+M186-N186</f>
        <v/>
      </c>
      <c r="L187" s="4">
        <f>(TablaMarimba6[[#This Row],[Saldo inicial(vales)]]-TablaMarimba6[[#This Row],[Importe]])</f>
        <v/>
      </c>
      <c r="M187" s="4">
        <f>IF(A187="","", _xludf.WEEKNUM(A187, 2))</f>
        <v/>
      </c>
      <c r="N187" s="4" t="n"/>
    </row>
    <row r="188">
      <c r="A188" s="17625" t="n"/>
      <c r="E188">
        <f>VLOOKUP(TablaMarimba6[[#This Row],[Equipo]],Catalogos!$V$4:$W$55,2,FALSE)</f>
        <v/>
      </c>
      <c r="F188" s="3" t="n"/>
      <c r="G188" s="17626" t="n"/>
      <c r="H188" s="3">
        <f>IF(ROW()=5,F188-G188,H187+F188-G188)</f>
        <v/>
      </c>
      <c r="I188" s="4" t="n">
        <v>28.3</v>
      </c>
      <c r="J188" s="4">
        <f>IFERROR((F188+G188)*I188,0)</f>
        <v/>
      </c>
      <c r="K188" s="4">
        <f>L187+M187-N187</f>
        <v/>
      </c>
      <c r="L188" s="4">
        <f>(TablaMarimba6[[#This Row],[Saldo inicial(vales)]]-TablaMarimba6[[#This Row],[Importe]])</f>
        <v/>
      </c>
      <c r="M188" s="4">
        <f>IF(A188="","", _xludf.WEEKNUM(A188, 2))</f>
        <v/>
      </c>
      <c r="N188" s="4" t="n"/>
    </row>
    <row r="189">
      <c r="A189" s="17625" t="n"/>
      <c r="E189">
        <f>VLOOKUP(TablaMarimba6[[#This Row],[Equipo]],Catalogos!$V$4:$W$55,2,FALSE)</f>
        <v/>
      </c>
      <c r="F189" s="3" t="n"/>
      <c r="G189" s="17626" t="n"/>
      <c r="H189" s="3">
        <f>IF(ROW()=5,F189-G189,H188+F189-G189)</f>
        <v/>
      </c>
      <c r="I189" s="4" t="n">
        <v>28.3</v>
      </c>
      <c r="J189" s="4">
        <f>IFERROR((F189+G189)*I189,0)</f>
        <v/>
      </c>
      <c r="K189" s="4">
        <f>L188+M188-N188</f>
        <v/>
      </c>
      <c r="L189" s="4">
        <f>(TablaMarimba6[[#This Row],[Saldo inicial(vales)]]-TablaMarimba6[[#This Row],[Importe]])</f>
        <v/>
      </c>
      <c r="M189" s="4">
        <f>IF(A189="","", _xludf.WEEKNUM(A189, 2))</f>
        <v/>
      </c>
      <c r="N189" s="4" t="n"/>
    </row>
    <row r="190">
      <c r="A190" s="17625" t="n"/>
      <c r="E190">
        <f>VLOOKUP(TablaMarimba6[[#This Row],[Equipo]],Catalogos!$V$4:$W$55,2,FALSE)</f>
        <v/>
      </c>
      <c r="F190" s="3" t="n"/>
      <c r="G190" s="17626" t="n"/>
      <c r="H190" s="3">
        <f>IF(ROW()=5,F190-G190,H189+F190-G190)</f>
        <v/>
      </c>
      <c r="I190" s="4" t="n">
        <v>28.3</v>
      </c>
      <c r="J190" s="4">
        <f>IFERROR((F190+G190)*I190,0)</f>
        <v/>
      </c>
      <c r="K190" s="4">
        <f>L189+M189-N189</f>
        <v/>
      </c>
      <c r="L190" s="4">
        <f>(TablaMarimba6[[#This Row],[Saldo inicial(vales)]]-TablaMarimba6[[#This Row],[Importe]])</f>
        <v/>
      </c>
      <c r="M190" s="4">
        <f>IF(A190="","", _xludf.WEEKNUM(A190, 2))</f>
        <v/>
      </c>
      <c r="N190" s="4" t="n"/>
    </row>
    <row r="191">
      <c r="A191" s="17625" t="n"/>
      <c r="E191">
        <f>VLOOKUP(TablaMarimba6[[#This Row],[Equipo]],Catalogos!$V$4:$W$55,2,FALSE)</f>
        <v/>
      </c>
      <c r="F191" s="3" t="n"/>
      <c r="G191" s="17626" t="n"/>
      <c r="H191" s="3">
        <f>IF(ROW()=5,F191-G191,H190+F191-G191)</f>
        <v/>
      </c>
      <c r="I191" s="4" t="n">
        <v>28.3</v>
      </c>
      <c r="J191" s="4">
        <f>IFERROR((F191+G191)*I191,0)</f>
        <v/>
      </c>
      <c r="K191" s="4">
        <f>L190+M190-N190</f>
        <v/>
      </c>
      <c r="L191" s="4">
        <f>(TablaMarimba6[[#This Row],[Saldo inicial(vales)]]-TablaMarimba6[[#This Row],[Importe]])</f>
        <v/>
      </c>
      <c r="M191" s="4">
        <f>IF(A191="","", _xludf.WEEKNUM(A191, 2))</f>
        <v/>
      </c>
      <c r="N191" s="4" t="n"/>
    </row>
    <row r="192">
      <c r="A192" s="17625" t="n"/>
      <c r="E192">
        <f>VLOOKUP(TablaMarimba6[[#This Row],[Equipo]],Catalogos!$V$4:$W$55,2,FALSE)</f>
        <v/>
      </c>
      <c r="F192" s="3" t="n"/>
      <c r="G192" s="17626" t="n"/>
      <c r="H192" s="3">
        <f>IF(ROW()=5,F192-G192,H191+F192-G192)</f>
        <v/>
      </c>
      <c r="I192" s="4" t="n">
        <v>28.3</v>
      </c>
      <c r="J192" s="4">
        <f>IFERROR((F192+G192)*I192,0)</f>
        <v/>
      </c>
      <c r="K192" s="4">
        <f>L191+M191-N191</f>
        <v/>
      </c>
      <c r="L192" s="4">
        <f>(TablaMarimba6[[#This Row],[Saldo inicial(vales)]]-TablaMarimba6[[#This Row],[Importe]])</f>
        <v/>
      </c>
      <c r="M192" s="4">
        <f>IF(A192="","", _xludf.WEEKNUM(A192, 2))</f>
        <v/>
      </c>
      <c r="N192" s="4" t="n"/>
    </row>
    <row r="193">
      <c r="A193" s="17625" t="n"/>
      <c r="E193">
        <f>VLOOKUP(TablaMarimba6[[#This Row],[Equipo]],Catalogos!$V$4:$W$55,2,FALSE)</f>
        <v/>
      </c>
      <c r="F193" s="3" t="n"/>
      <c r="G193" s="17626" t="n"/>
      <c r="H193" s="3">
        <f>IF(ROW()=5,F193-G193,H192+F193-G193)</f>
        <v/>
      </c>
      <c r="I193" s="4" t="n">
        <v>28.3</v>
      </c>
      <c r="J193" s="4">
        <f>IFERROR((F193+G193)*I193,0)</f>
        <v/>
      </c>
      <c r="K193" s="4">
        <f>L192+M192-N192</f>
        <v/>
      </c>
      <c r="L193" s="4">
        <f>(TablaMarimba6[[#This Row],[Saldo inicial(vales)]]-TablaMarimba6[[#This Row],[Importe]])</f>
        <v/>
      </c>
      <c r="M193" s="4">
        <f>IF(A193="","", _xludf.WEEKNUM(A193, 2))</f>
        <v/>
      </c>
      <c r="N193" s="4" t="n"/>
    </row>
    <row r="194">
      <c r="A194" s="17625" t="n"/>
      <c r="E194">
        <f>VLOOKUP(TablaMarimba6[[#This Row],[Equipo]],Catalogos!$V$4:$W$55,2,FALSE)</f>
        <v/>
      </c>
      <c r="F194" s="3" t="n"/>
      <c r="G194" s="17626" t="n"/>
      <c r="H194" s="3">
        <f>IF(ROW()=5,F194-G194,H193+F194-G194)</f>
        <v/>
      </c>
      <c r="I194" s="4" t="n">
        <v>28.3</v>
      </c>
      <c r="J194" s="4">
        <f>IFERROR((F194+G194)*I194,0)</f>
        <v/>
      </c>
      <c r="K194" s="4">
        <f>L193+M193-N193</f>
        <v/>
      </c>
      <c r="L194" s="4">
        <f>(TablaMarimba6[[#This Row],[Saldo inicial(vales)]]-TablaMarimba6[[#This Row],[Importe]])</f>
        <v/>
      </c>
      <c r="M194" s="4">
        <f>IF(A194="","", _xludf.WEEKNUM(A194, 2))</f>
        <v/>
      </c>
      <c r="N194" s="4" t="n"/>
    </row>
    <row r="195">
      <c r="A195" s="17625" t="n"/>
      <c r="E195">
        <f>VLOOKUP(TablaMarimba6[[#This Row],[Equipo]],Catalogos!$V$4:$W$55,2,FALSE)</f>
        <v/>
      </c>
      <c r="F195" s="3" t="n"/>
      <c r="G195" s="17626" t="n"/>
      <c r="H195" s="3">
        <f>IF(ROW()=5,F195-G195,H194+F195-G195)</f>
        <v/>
      </c>
      <c r="I195" s="4" t="n">
        <v>28.3</v>
      </c>
      <c r="J195" s="4">
        <f>IFERROR((F195+G195)*I195,0)</f>
        <v/>
      </c>
      <c r="K195" s="4">
        <f>L194+M194-N194</f>
        <v/>
      </c>
      <c r="L195" s="4">
        <f>(TablaMarimba6[[#This Row],[Saldo inicial(vales)]]-TablaMarimba6[[#This Row],[Importe]])</f>
        <v/>
      </c>
      <c r="M195" s="4">
        <f>IF(A195="","", _xludf.WEEKNUM(A195, 2))</f>
        <v/>
      </c>
      <c r="N195" s="4" t="n"/>
    </row>
    <row r="196">
      <c r="A196" s="17625" t="n"/>
      <c r="E196">
        <f>VLOOKUP(TablaMarimba6[[#This Row],[Equipo]],Catalogos!$V$4:$W$55,2,FALSE)</f>
        <v/>
      </c>
      <c r="F196" s="3" t="n"/>
      <c r="G196" s="17626" t="n"/>
      <c r="H196" s="3">
        <f>IF(ROW()=5,F196-G196,H195+F196-G196)</f>
        <v/>
      </c>
      <c r="I196" s="4" t="n">
        <v>28.3</v>
      </c>
      <c r="J196" s="4">
        <f>IFERROR((F196+G196)*I196,0)</f>
        <v/>
      </c>
      <c r="K196" s="4">
        <f>L195+M195-N195</f>
        <v/>
      </c>
      <c r="L196" s="4">
        <f>(TablaMarimba6[[#This Row],[Saldo inicial(vales)]]-TablaMarimba6[[#This Row],[Importe]])</f>
        <v/>
      </c>
      <c r="M196" s="4">
        <f>IF(A196="","", _xludf.WEEKNUM(A196, 2))</f>
        <v/>
      </c>
      <c r="N196" s="4" t="n"/>
    </row>
    <row r="197">
      <c r="A197" s="17625" t="n"/>
      <c r="E197">
        <f>VLOOKUP(TablaMarimba6[[#This Row],[Equipo]],Catalogos!$V$4:$W$55,2,FALSE)</f>
        <v/>
      </c>
      <c r="F197" s="3" t="n"/>
      <c r="G197" s="17626" t="n"/>
      <c r="H197" s="3">
        <f>IF(ROW()=5,F197-G197,H196+F197-G197)</f>
        <v/>
      </c>
      <c r="I197" s="4" t="n">
        <v>28.3</v>
      </c>
      <c r="J197" s="4">
        <f>IFERROR((F197+G197)*I197,0)</f>
        <v/>
      </c>
      <c r="K197" s="4">
        <f>L196+M196-N196</f>
        <v/>
      </c>
      <c r="L197" s="4">
        <f>(TablaMarimba6[[#This Row],[Saldo inicial(vales)]]-TablaMarimba6[[#This Row],[Importe]])</f>
        <v/>
      </c>
      <c r="M197" s="4">
        <f>IF(A197="","", _xludf.WEEKNUM(A197, 2))</f>
        <v/>
      </c>
      <c r="N197" s="4" t="n"/>
    </row>
    <row r="198">
      <c r="A198" s="17625" t="n"/>
      <c r="E198">
        <f>VLOOKUP(TablaMarimba6[[#This Row],[Equipo]],Catalogos!$V$4:$W$55,2,FALSE)</f>
        <v/>
      </c>
      <c r="F198" s="3" t="n"/>
      <c r="G198" s="17626" t="n"/>
      <c r="H198" s="3">
        <f>IF(ROW()=5,F198-G198,H197+F198-G198)</f>
        <v/>
      </c>
      <c r="I198" s="4" t="n">
        <v>28.3</v>
      </c>
      <c r="J198" s="4">
        <f>IFERROR((F198+G198)*I198,0)</f>
        <v/>
      </c>
      <c r="K198" s="4">
        <f>L197+M197-N197</f>
        <v/>
      </c>
      <c r="L198" s="4">
        <f>(TablaMarimba6[[#This Row],[Saldo inicial(vales)]]-TablaMarimba6[[#This Row],[Importe]])</f>
        <v/>
      </c>
      <c r="M198" s="4">
        <f>IF(A198="","", _xludf.WEEKNUM(A198, 2))</f>
        <v/>
      </c>
      <c r="N198" s="4" t="n"/>
    </row>
    <row r="199">
      <c r="A199" s="17625" t="n"/>
      <c r="E199">
        <f>VLOOKUP(TablaMarimba6[[#This Row],[Equipo]],Catalogos!$V$4:$W$55,2,FALSE)</f>
        <v/>
      </c>
      <c r="F199" s="3" t="n"/>
      <c r="G199" s="17626" t="n"/>
      <c r="H199" s="3">
        <f>IF(ROW()=5,F199-G199,H198+F199-G199)</f>
        <v/>
      </c>
      <c r="I199" s="4" t="n">
        <v>28.3</v>
      </c>
      <c r="J199" s="4">
        <f>IFERROR((F199+G199)*I199,0)</f>
        <v/>
      </c>
      <c r="K199" s="4">
        <f>L198+M198-N198</f>
        <v/>
      </c>
      <c r="L199" s="4">
        <f>(TablaMarimba6[[#This Row],[Saldo inicial(vales)]]-TablaMarimba6[[#This Row],[Importe]])</f>
        <v/>
      </c>
      <c r="M199" s="4">
        <f>IF(A199="","", _xludf.WEEKNUM(A199, 2))</f>
        <v/>
      </c>
      <c r="N199" s="4" t="n"/>
    </row>
    <row r="200">
      <c r="A200" s="17625" t="n"/>
      <c r="E200">
        <f>VLOOKUP(TablaMarimba6[[#This Row],[Equipo]],Catalogos!$V$4:$W$55,2,FALSE)</f>
        <v/>
      </c>
      <c r="F200" s="3" t="n"/>
      <c r="G200" s="17626" t="n"/>
      <c r="H200" s="3">
        <f>IF(ROW()=5,F200-G200,H199+F200-G200)</f>
        <v/>
      </c>
      <c r="I200" s="4" t="n">
        <v>28.3</v>
      </c>
      <c r="J200" s="4">
        <f>IFERROR((F200+G200)*I200,0)</f>
        <v/>
      </c>
      <c r="K200" s="4">
        <f>L199+M199-N199</f>
        <v/>
      </c>
      <c r="L200" s="4">
        <f>(TablaMarimba6[[#This Row],[Saldo inicial(vales)]]-TablaMarimba6[[#This Row],[Importe]])</f>
        <v/>
      </c>
      <c r="M200" s="4">
        <f>IF(A200="","", _xludf.WEEKNUM(A200, 2))</f>
        <v/>
      </c>
      <c r="N200" s="4" t="n"/>
    </row>
    <row r="201">
      <c r="A201" s="17625" t="n"/>
      <c r="E201">
        <f>VLOOKUP(TablaMarimba6[[#This Row],[Equipo]],Catalogos!$V$4:$W$55,2,FALSE)</f>
        <v/>
      </c>
      <c r="F201" s="3" t="n"/>
      <c r="G201" s="17626" t="n"/>
      <c r="H201" s="3">
        <f>IF(ROW()=5,F201-G201,H200+F201-G201)</f>
        <v/>
      </c>
      <c r="I201" s="4" t="n">
        <v>28.3</v>
      </c>
      <c r="J201" s="4">
        <f>IFERROR((F201+G201)*I201,0)</f>
        <v/>
      </c>
      <c r="K201" s="4">
        <f>L200+M200-N200</f>
        <v/>
      </c>
      <c r="L201" s="4">
        <f>(TablaMarimba6[[#This Row],[Saldo inicial(vales)]]-TablaMarimba6[[#This Row],[Importe]])</f>
        <v/>
      </c>
      <c r="M201" s="4">
        <f>IF(A201="","", _xludf.WEEKNUM(A201, 2))</f>
        <v/>
      </c>
      <c r="N201" s="4" t="n"/>
    </row>
    <row r="202">
      <c r="A202" s="17625" t="n"/>
      <c r="E202">
        <f>VLOOKUP(TablaMarimba6[[#This Row],[Equipo]],Catalogos!$V$4:$W$55,2,FALSE)</f>
        <v/>
      </c>
      <c r="F202" s="3" t="n"/>
      <c r="G202" s="17626" t="n"/>
      <c r="H202" s="3">
        <f>IF(ROW()=5,F202-G202,H201+F202-G202)</f>
        <v/>
      </c>
      <c r="I202" s="4" t="n">
        <v>28.3</v>
      </c>
      <c r="J202" s="4">
        <f>IFERROR((F202+G202)*I202,0)</f>
        <v/>
      </c>
      <c r="K202" s="4">
        <f>L201+M201-N201</f>
        <v/>
      </c>
      <c r="L202" s="4">
        <f>(TablaMarimba6[[#This Row],[Saldo inicial(vales)]]-TablaMarimba6[[#This Row],[Importe]])</f>
        <v/>
      </c>
      <c r="M202" s="4">
        <f>IF(A202="","", _xludf.WEEKNUM(A202, 2))</f>
        <v/>
      </c>
      <c r="N202" s="4" t="n"/>
    </row>
    <row r="203">
      <c r="A203" s="17625" t="n"/>
      <c r="E203">
        <f>VLOOKUP(TablaMarimba6[[#This Row],[Equipo]],Catalogos!$V$4:$W$55,2,FALSE)</f>
        <v/>
      </c>
      <c r="F203" s="3" t="n"/>
      <c r="G203" s="17626" t="n"/>
      <c r="H203" s="3">
        <f>IF(ROW()=5,F203-G203,H202+F203-G203)</f>
        <v/>
      </c>
      <c r="I203" s="4" t="n">
        <v>28.3</v>
      </c>
      <c r="J203" s="4">
        <f>IFERROR((F203+G203)*I203,0)</f>
        <v/>
      </c>
      <c r="K203" s="4">
        <f>L202+M202-N202</f>
        <v/>
      </c>
      <c r="L203" s="4">
        <f>(TablaMarimba6[[#This Row],[Saldo inicial(vales)]]-TablaMarimba6[[#This Row],[Importe]])</f>
        <v/>
      </c>
      <c r="M203" s="4">
        <f>IF(A203="","", _xludf.WEEKNUM(A203, 2))</f>
        <v/>
      </c>
      <c r="N203" s="4" t="n"/>
    </row>
    <row r="204">
      <c r="A204" s="17625" t="n"/>
      <c r="E204">
        <f>VLOOKUP(TablaMarimba6[[#This Row],[Equipo]],Catalogos!$V$4:$W$55,2,FALSE)</f>
        <v/>
      </c>
      <c r="F204" s="3" t="n"/>
      <c r="G204" s="17626" t="n"/>
      <c r="H204" s="3">
        <f>IF(ROW()=5,F204-G204,H203+F204-G204)</f>
        <v/>
      </c>
      <c r="I204" s="4" t="n">
        <v>28.3</v>
      </c>
      <c r="J204" s="4">
        <f>IFERROR((F204+G204)*I204,0)</f>
        <v/>
      </c>
      <c r="K204" s="4">
        <f>L203+M203-N203</f>
        <v/>
      </c>
      <c r="L204" s="4">
        <f>(TablaMarimba6[[#This Row],[Saldo inicial(vales)]]-TablaMarimba6[[#This Row],[Importe]])</f>
        <v/>
      </c>
      <c r="M204" s="4">
        <f>IF(A204="","", _xludf.WEEKNUM(A204, 2))</f>
        <v/>
      </c>
      <c r="N204" s="4" t="n"/>
    </row>
    <row r="205">
      <c r="A205" s="17625" t="n"/>
      <c r="E205">
        <f>VLOOKUP(TablaMarimba6[[#This Row],[Equipo]],Catalogos!$V$4:$W$55,2,FALSE)</f>
        <v/>
      </c>
      <c r="F205" s="3" t="n"/>
      <c r="G205" s="17626" t="n"/>
      <c r="H205" s="3">
        <f>IF(ROW()=5,F205-G205,H204+F205-G205)</f>
        <v/>
      </c>
      <c r="I205" s="4" t="n">
        <v>28.3</v>
      </c>
      <c r="J205" s="4">
        <f>IFERROR((F205+G205)*I205,0)</f>
        <v/>
      </c>
      <c r="K205" s="4">
        <f>L204+M204-N204</f>
        <v/>
      </c>
      <c r="L205" s="4">
        <f>(TablaMarimba6[[#This Row],[Saldo inicial(vales)]]-TablaMarimba6[[#This Row],[Importe]])</f>
        <v/>
      </c>
      <c r="M205" s="4">
        <f>IF(A205="","", _xludf.WEEKNUM(A205, 2))</f>
        <v/>
      </c>
      <c r="N205" s="4" t="n"/>
    </row>
    <row r="206">
      <c r="A206" s="17625" t="n"/>
      <c r="E206">
        <f>VLOOKUP(TablaMarimba6[[#This Row],[Equipo]],Catalogos!$V$4:$W$55,2,FALSE)</f>
        <v/>
      </c>
      <c r="F206" s="3" t="n"/>
      <c r="G206" s="17626" t="n"/>
      <c r="H206" s="3">
        <f>IF(ROW()=5,F206-G206,H205+F206-G206)</f>
        <v/>
      </c>
      <c r="I206" s="4" t="n">
        <v>28.3</v>
      </c>
      <c r="J206" s="4">
        <f>IFERROR((F206+G206)*I206,0)</f>
        <v/>
      </c>
      <c r="K206" s="4">
        <f>L205+M205-N205</f>
        <v/>
      </c>
      <c r="L206" s="4">
        <f>(TablaMarimba6[[#This Row],[Saldo inicial(vales)]]-TablaMarimba6[[#This Row],[Importe]])</f>
        <v/>
      </c>
      <c r="M206" s="4">
        <f>IF(A206="","", _xludf.WEEKNUM(A206, 2))</f>
        <v/>
      </c>
      <c r="N206" s="4" t="n"/>
    </row>
    <row r="207">
      <c r="M207">
        <f>IF(A207="","", _xludf.WEEKNUM(A207, 2))</f>
        <v/>
      </c>
    </row>
    <row r="208">
      <c r="M208">
        <f>IF(A208="","", _xludf.WEEKNUM(A208, 2))</f>
        <v/>
      </c>
    </row>
    <row r="209">
      <c r="M209">
        <f>IF(A209="","", _xludf.WEEKNUM(A209, 2))</f>
        <v/>
      </c>
    </row>
    <row r="210">
      <c r="M210">
        <f>IF(A210="","", _xludf.WEEKNUM(A210, 2))</f>
        <v/>
      </c>
    </row>
    <row r="211">
      <c r="M211">
        <f>IF(A211="","", _xludf.WEEKNUM(A211, 2))</f>
        <v/>
      </c>
    </row>
    <row r="212">
      <c r="M212">
        <f>IF(A212="","", _xludf.WEEKNUM(A212, 2))</f>
        <v/>
      </c>
    </row>
    <row r="213">
      <c r="M213">
        <f>IF(A213="","", _xludf.WEEKNUM(A213, 2))</f>
        <v/>
      </c>
    </row>
    <row r="214">
      <c r="M214">
        <f>IF(A214="","", _xludf.WEEKNUM(A214, 2))</f>
        <v/>
      </c>
    </row>
    <row r="215">
      <c r="M215">
        <f>IF(A215="","", _xludf.WEEKNUM(A215, 2))</f>
        <v/>
      </c>
    </row>
    <row r="216">
      <c r="M216">
        <f>IF(A216="","", _xludf.WEEKNUM(A216, 2))</f>
        <v/>
      </c>
    </row>
    <row r="217">
      <c r="M217">
        <f>IF(A217="","", _xludf.WEEKNUM(A217, 2))</f>
        <v/>
      </c>
    </row>
    <row r="218">
      <c r="M218">
        <f>IF(A218="","", _xludf.WEEKNUM(A218, 2))</f>
        <v/>
      </c>
    </row>
    <row r="219">
      <c r="M219">
        <f>IF(A219="","", _xludf.WEEKNUM(A219, 2))</f>
        <v/>
      </c>
    </row>
    <row r="220">
      <c r="M220">
        <f>IF(A220="","", _xludf.WEEKNUM(A220, 2))</f>
        <v/>
      </c>
    </row>
    <row r="221">
      <c r="M221">
        <f>IF(A221="","", _xludf.WEEKNUM(A221, 2))</f>
        <v/>
      </c>
    </row>
    <row r="222">
      <c r="M222">
        <f>IF(A222="","", _xludf.WEEKNUM(A222, 2))</f>
        <v/>
      </c>
    </row>
    <row r="223">
      <c r="M223">
        <f>IF(A223="","", _xludf.WEEKNUM(A223, 2))</f>
        <v/>
      </c>
    </row>
    <row r="224">
      <c r="M224">
        <f>IF(A224="","", _xludf.WEEKNUM(A224, 2))</f>
        <v/>
      </c>
    </row>
    <row r="225">
      <c r="M225">
        <f>IF(A225="","", _xludf.WEEKNUM(A225, 2))</f>
        <v/>
      </c>
    </row>
    <row r="226">
      <c r="M226">
        <f>IF(A226="","", _xludf.WEEKNUM(A226, 2))</f>
        <v/>
      </c>
    </row>
    <row r="227">
      <c r="M227">
        <f>IF(A227="","", _xludf.WEEKNUM(A227, 2))</f>
        <v/>
      </c>
    </row>
    <row r="228">
      <c r="M228">
        <f>IF(A228="","", _xludf.WEEKNUM(A228, 2))</f>
        <v/>
      </c>
    </row>
    <row r="229">
      <c r="M229">
        <f>IF(A229="","", _xludf.WEEKNUM(A229, 2))</f>
        <v/>
      </c>
    </row>
    <row r="230">
      <c r="M230">
        <f>IF(A230="","", _xludf.WEEKNUM(A230, 2))</f>
        <v/>
      </c>
    </row>
    <row r="231">
      <c r="M231">
        <f>IF(A231="","", _xludf.WEEKNUM(A231, 2))</f>
        <v/>
      </c>
    </row>
    <row r="232">
      <c r="M232">
        <f>IF(A232="","", _xludf.WEEKNUM(A232, 2))</f>
        <v/>
      </c>
    </row>
    <row r="233">
      <c r="M233">
        <f>IF(A233="","", _xludf.WEEKNUM(A233, 2))</f>
        <v/>
      </c>
    </row>
    <row r="234">
      <c r="M234">
        <f>IF(A234="","", _xludf.WEEKNUM(A234, 2))</f>
        <v/>
      </c>
    </row>
    <row r="235">
      <c r="M235">
        <f>IF(A235="","", _xludf.WEEKNUM(A235, 2))</f>
        <v/>
      </c>
    </row>
    <row r="236">
      <c r="M236">
        <f>IF(A236="","", _xludf.WEEKNUM(A236, 2))</f>
        <v/>
      </c>
    </row>
    <row r="237">
      <c r="M237">
        <f>IF(A237="","", _xludf.WEEKNUM(A237, 2))</f>
        <v/>
      </c>
    </row>
    <row r="238">
      <c r="M238">
        <f>IF(A238="","", _xludf.WEEKNUM(A238, 2))</f>
        <v/>
      </c>
    </row>
    <row r="239">
      <c r="M239">
        <f>IF(A239="","", _xludf.WEEKNUM(A239, 2))</f>
        <v/>
      </c>
    </row>
    <row r="240">
      <c r="M240">
        <f>IF(A240="","", _xludf.WEEKNUM(A240, 2))</f>
        <v/>
      </c>
    </row>
    <row r="241">
      <c r="M241">
        <f>IF(A241="","", _xludf.WEEKNUM(A241, 2))</f>
        <v/>
      </c>
    </row>
    <row r="242">
      <c r="M242">
        <f>IF(A242="","", _xludf.WEEKNUM(A242, 2))</f>
        <v/>
      </c>
    </row>
    <row r="243">
      <c r="M243">
        <f>IF(A243="","", _xludf.WEEKNUM(A243, 2))</f>
        <v/>
      </c>
    </row>
    <row r="244">
      <c r="M244">
        <f>IF(A244="","", _xludf.WEEKNUM(A244, 2))</f>
        <v/>
      </c>
    </row>
    <row r="245">
      <c r="M245">
        <f>IF(A245="","", _xludf.WEEKNUM(A245, 2))</f>
        <v/>
      </c>
    </row>
    <row r="246">
      <c r="M246">
        <f>IF(A246="","", _xludf.WEEKNUM(A246, 2))</f>
        <v/>
      </c>
    </row>
    <row r="247">
      <c r="M247">
        <f>IF(A247="","", _xludf.WEEKNUM(A247, 2))</f>
        <v/>
      </c>
    </row>
    <row r="248">
      <c r="M248">
        <f>IF(A248="","", _xludf.WEEKNUM(A248, 2))</f>
        <v/>
      </c>
    </row>
    <row r="249">
      <c r="M249">
        <f>IF(A249="","", _xludf.WEEKNUM(A249, 2))</f>
        <v/>
      </c>
    </row>
    <row r="250">
      <c r="M250">
        <f>IF(A250="","", _xludf.WEEKNUM(A250, 2))</f>
        <v/>
      </c>
    </row>
    <row r="251">
      <c r="M251">
        <f>IF(A251="","", _xludf.WEEKNUM(A251, 2))</f>
        <v/>
      </c>
    </row>
    <row r="252">
      <c r="M252">
        <f>IF(A252="","", _xludf.WEEKNUM(A252, 2))</f>
        <v/>
      </c>
    </row>
    <row r="253">
      <c r="M253">
        <f>IF(A253="","", _xludf.WEEKNUM(A253, 2))</f>
        <v/>
      </c>
    </row>
    <row r="254">
      <c r="M254">
        <f>IF(A254="","", _xludf.WEEKNUM(A254, 2))</f>
        <v/>
      </c>
    </row>
    <row r="255">
      <c r="M255">
        <f>IF(A255="","", _xludf.WEEKNUM(A255, 2))</f>
        <v/>
      </c>
    </row>
    <row r="256">
      <c r="M256">
        <f>IF(A256="","", _xludf.WEEKNUM(A256, 2))</f>
        <v/>
      </c>
    </row>
    <row r="257">
      <c r="M257">
        <f>IF(A257="","", _xludf.WEEKNUM(A257, 2))</f>
        <v/>
      </c>
    </row>
    <row r="258">
      <c r="M258">
        <f>IF(A258="","", _xludf.WEEKNUM(A258, 2))</f>
        <v/>
      </c>
    </row>
    <row r="259">
      <c r="M259">
        <f>IF(A259="","", _xludf.WEEKNUM(A259, 2))</f>
        <v/>
      </c>
    </row>
    <row r="260">
      <c r="M260">
        <f>IF(A260="","", _xludf.WEEKNUM(A260, 2))</f>
        <v/>
      </c>
    </row>
    <row r="261">
      <c r="M261">
        <f>IF(A261="","", _xludf.WEEKNUM(A261, 2))</f>
        <v/>
      </c>
    </row>
    <row r="262">
      <c r="M262">
        <f>IF(A262="","", _xludf.WEEKNUM(A262, 2))</f>
        <v/>
      </c>
    </row>
    <row r="263">
      <c r="M263">
        <f>IF(A263="","", _xludf.WEEKNUM(A263, 2))</f>
        <v/>
      </c>
    </row>
    <row r="264">
      <c r="M264">
        <f>IF(A264="","", _xludf.WEEKNUM(A264, 2))</f>
        <v/>
      </c>
    </row>
    <row r="265">
      <c r="M265">
        <f>IF(A265="","", _xludf.WEEKNUM(A265, 2))</f>
        <v/>
      </c>
    </row>
    <row r="266">
      <c r="M266">
        <f>IF(A266="","", _xludf.WEEKNUM(A266, 2))</f>
        <v/>
      </c>
    </row>
    <row r="267">
      <c r="M267">
        <f>IF(A267="","", _xludf.WEEKNUM(A267, 2))</f>
        <v/>
      </c>
    </row>
    <row r="268">
      <c r="M268">
        <f>IF(A268="","", _xludf.WEEKNUM(A268, 2))</f>
        <v/>
      </c>
    </row>
    <row r="269">
      <c r="M269">
        <f>IF(A269="","", _xludf.WEEKNUM(A269, 2))</f>
        <v/>
      </c>
    </row>
    <row r="270">
      <c r="M270">
        <f>IF(A270="","", _xludf.WEEKNUM(A270, 2))</f>
        <v/>
      </c>
    </row>
    <row r="271">
      <c r="M271">
        <f>IF(A271="","", _xludf.WEEKNUM(A271, 2))</f>
        <v/>
      </c>
    </row>
    <row r="272">
      <c r="M272">
        <f>IF(A272="","", _xludf.WEEKNUM(A272, 2))</f>
        <v/>
      </c>
    </row>
    <row r="273">
      <c r="M273">
        <f>IF(A273="","", _xludf.WEEKNUM(A273, 2))</f>
        <v/>
      </c>
    </row>
    <row r="274">
      <c r="M274">
        <f>IF(A274="","", _xludf.WEEKNUM(A274, 2))</f>
        <v/>
      </c>
    </row>
    <row r="275">
      <c r="M275">
        <f>IF(A275="","", _xludf.WEEKNUM(A275, 2))</f>
        <v/>
      </c>
    </row>
    <row r="276">
      <c r="M276">
        <f>IF(A276="","", _xludf.WEEKNUM(A276, 2))</f>
        <v/>
      </c>
    </row>
    <row r="277">
      <c r="M277">
        <f>IF(A277="","", _xludf.WEEKNUM(A277, 2))</f>
        <v/>
      </c>
    </row>
    <row r="278">
      <c r="M278">
        <f>IF(A278="","", _xludf.WEEKNUM(A278, 2))</f>
        <v/>
      </c>
    </row>
    <row r="279">
      <c r="M279">
        <f>IF(A279="","", _xludf.WEEKNUM(A279, 2))</f>
        <v/>
      </c>
    </row>
    <row r="280">
      <c r="M280">
        <f>IF(A280="","", _xludf.WEEKNUM(A280, 2))</f>
        <v/>
      </c>
    </row>
    <row r="281">
      <c r="M281">
        <f>IF(A281="","", _xludf.WEEKNUM(A281, 2))</f>
        <v/>
      </c>
    </row>
    <row r="282">
      <c r="M282">
        <f>IF(A282="","", _xludf.WEEKNUM(A282, 2))</f>
        <v/>
      </c>
    </row>
    <row r="283">
      <c r="M283">
        <f>IF(A283="","", _xludf.WEEKNUM(A283, 2))</f>
        <v/>
      </c>
    </row>
    <row r="284">
      <c r="M284">
        <f>IF(A284="","", _xludf.WEEKNUM(A284, 2))</f>
        <v/>
      </c>
    </row>
    <row r="285">
      <c r="M285">
        <f>IF(A285="","", _xludf.WEEKNUM(A285, 2))</f>
        <v/>
      </c>
    </row>
    <row r="286">
      <c r="M286">
        <f>IF(A286="","", _xludf.WEEKNUM(A286, 2))</f>
        <v/>
      </c>
    </row>
    <row r="287">
      <c r="M287">
        <f>IF(A287="","", _xludf.WEEKNUM(A287, 2))</f>
        <v/>
      </c>
    </row>
    <row r="288">
      <c r="M288">
        <f>IF(A288="","", _xludf.WEEKNUM(A288, 2))</f>
        <v/>
      </c>
    </row>
    <row r="289">
      <c r="M289">
        <f>IF(A289="","", _xludf.WEEKNUM(A289, 2))</f>
        <v/>
      </c>
    </row>
    <row r="290">
      <c r="M290">
        <f>IF(A290="","", _xludf.WEEKNUM(A290, 2))</f>
        <v/>
      </c>
    </row>
    <row r="291">
      <c r="M291">
        <f>IF(A291="","", _xludf.WEEKNUM(A291, 2))</f>
        <v/>
      </c>
    </row>
    <row r="292">
      <c r="M292">
        <f>IF(A292="","", _xludf.WEEKNUM(A292, 2))</f>
        <v/>
      </c>
    </row>
    <row r="293">
      <c r="M293">
        <f>IF(A293="","", _xludf.WEEKNUM(A293, 2))</f>
        <v/>
      </c>
    </row>
    <row r="294">
      <c r="M294">
        <f>IF(A294="","", _xludf.WEEKNUM(A294, 2))</f>
        <v/>
      </c>
    </row>
    <row r="295">
      <c r="M295">
        <f>IF(A295="","", _xludf.WEEKNUM(A295, 2))</f>
        <v/>
      </c>
    </row>
    <row r="296">
      <c r="M296">
        <f>IF(A296="","", _xludf.WEEKNUM(A296, 2))</f>
        <v/>
      </c>
    </row>
    <row r="297">
      <c r="M297">
        <f>IF(A297="","", _xludf.WEEKNUM(A297, 2))</f>
        <v/>
      </c>
    </row>
    <row r="298">
      <c r="M298">
        <f>IF(A298="","", _xludf.WEEKNUM(A298, 2))</f>
        <v/>
      </c>
    </row>
    <row r="299">
      <c r="M299">
        <f>IF(A299="","", _xludf.WEEKNUM(A299, 2))</f>
        <v/>
      </c>
    </row>
    <row r="300">
      <c r="M300">
        <f>IF(A300="","", _xludf.WEEKNUM(A300, 2))</f>
        <v/>
      </c>
    </row>
    <row r="301">
      <c r="M301">
        <f>IF(A301="","", _xludf.WEEKNUM(A301, 2))</f>
        <v/>
      </c>
    </row>
    <row r="302">
      <c r="M302">
        <f>IF(A302="","", _xludf.WEEKNUM(A302, 2))</f>
        <v/>
      </c>
    </row>
    <row r="303">
      <c r="M303">
        <f>IF(A303="","", _xludf.WEEKNUM(A303, 2))</f>
        <v/>
      </c>
    </row>
    <row r="304">
      <c r="M304">
        <f>IF(A304="","", _xludf.WEEKNUM(A304, 2))</f>
        <v/>
      </c>
    </row>
    <row r="305">
      <c r="M305">
        <f>IF(A305="","", _xludf.WEEKNUM(A305, 2))</f>
        <v/>
      </c>
    </row>
    <row r="306">
      <c r="M306">
        <f>IF(A306="","", _xludf.WEEKNUM(A306, 2))</f>
        <v/>
      </c>
    </row>
    <row r="307">
      <c r="M307">
        <f>IF(A307="","", _xludf.WEEKNUM(A307, 2))</f>
        <v/>
      </c>
    </row>
    <row r="308">
      <c r="M308">
        <f>IF(A308="","", _xludf.WEEKNUM(A308, 2))</f>
        <v/>
      </c>
    </row>
    <row r="309">
      <c r="M309">
        <f>IF(A309="","", _xludf.WEEKNUM(A309, 2))</f>
        <v/>
      </c>
    </row>
    <row r="310">
      <c r="M310">
        <f>IF(A310="","", _xludf.WEEKNUM(A310, 2))</f>
        <v/>
      </c>
    </row>
    <row r="311">
      <c r="M311">
        <f>IF(A311="","", _xludf.WEEKNUM(A311, 2))</f>
        <v/>
      </c>
    </row>
    <row r="312">
      <c r="M312">
        <f>IF(A312="","", _xludf.WEEKNUM(A312, 2))</f>
        <v/>
      </c>
    </row>
    <row r="313">
      <c r="M313">
        <f>IF(A313="","", _xludf.WEEKNUM(A313, 2))</f>
        <v/>
      </c>
    </row>
    <row r="314">
      <c r="M314">
        <f>IF(A314="","", _xludf.WEEKNUM(A314, 2))</f>
        <v/>
      </c>
    </row>
    <row r="315">
      <c r="M315">
        <f>IF(A315="","", _xludf.WEEKNUM(A315, 2))</f>
        <v/>
      </c>
    </row>
    <row r="316">
      <c r="M316">
        <f>IF(A316="","", _xludf.WEEKNUM(A316, 2))</f>
        <v/>
      </c>
    </row>
    <row r="317">
      <c r="M317">
        <f>IF(A317="","", _xludf.WEEKNUM(A317, 2))</f>
        <v/>
      </c>
    </row>
    <row r="318">
      <c r="M318">
        <f>IF(A318="","", _xludf.WEEKNUM(A318, 2))</f>
        <v/>
      </c>
    </row>
    <row r="319">
      <c r="M319">
        <f>IF(A319="","", _xludf.WEEKNUM(A319, 2))</f>
        <v/>
      </c>
    </row>
    <row r="320">
      <c r="M320">
        <f>IF(A320="","", _xludf.WEEKNUM(A320, 2))</f>
        <v/>
      </c>
    </row>
    <row r="321">
      <c r="M321">
        <f>IF(A321="","", _xludf.WEEKNUM(A321, 2))</f>
        <v/>
      </c>
    </row>
    <row r="322">
      <c r="M322">
        <f>IF(A322="","", _xludf.WEEKNUM(A322, 2))</f>
        <v/>
      </c>
    </row>
    <row r="323">
      <c r="M323">
        <f>IF(A323="","", _xludf.WEEKNUM(A323, 2))</f>
        <v/>
      </c>
    </row>
    <row r="324">
      <c r="M324">
        <f>IF(A324="","", _xludf.WEEKNUM(A324, 2))</f>
        <v/>
      </c>
    </row>
    <row r="325">
      <c r="M325">
        <f>IF(A325="","", _xludf.WEEKNUM(A325, 2))</f>
        <v/>
      </c>
    </row>
    <row r="326">
      <c r="M326">
        <f>IF(A326="","", _xludf.WEEKNUM(A326, 2))</f>
        <v/>
      </c>
    </row>
    <row r="327">
      <c r="M327">
        <f>IF(A327="","", _xludf.WEEKNUM(A327, 2))</f>
        <v/>
      </c>
    </row>
    <row r="328">
      <c r="M328">
        <f>IF(A328="","", _xludf.WEEKNUM(A328, 2))</f>
        <v/>
      </c>
    </row>
    <row r="329">
      <c r="M329">
        <f>IF(A329="","", _xludf.WEEKNUM(A329, 2))</f>
        <v/>
      </c>
    </row>
    <row r="330">
      <c r="M330">
        <f>IF(A330="","", _xludf.WEEKNUM(A330, 2))</f>
        <v/>
      </c>
    </row>
    <row r="331">
      <c r="M331">
        <f>IF(A331="","", _xludf.WEEKNUM(A331, 2))</f>
        <v/>
      </c>
    </row>
    <row r="332">
      <c r="M332">
        <f>IF(A332="","", _xludf.WEEKNUM(A332, 2))</f>
        <v/>
      </c>
    </row>
    <row r="333">
      <c r="M333">
        <f>IF(A333="","", _xludf.WEEKNUM(A333, 2))</f>
        <v/>
      </c>
    </row>
    <row r="334">
      <c r="M334">
        <f>IF(A334="","", _xludf.WEEKNUM(A334, 2))</f>
        <v/>
      </c>
    </row>
    <row r="335">
      <c r="M335">
        <f>IF(A335="","", _xludf.WEEKNUM(A335, 2))</f>
        <v/>
      </c>
    </row>
    <row r="336">
      <c r="M336">
        <f>IF(A336="","", _xludf.WEEKNUM(A336, 2))</f>
        <v/>
      </c>
    </row>
    <row r="337">
      <c r="M337">
        <f>IF(A337="","", _xludf.WEEKNUM(A337, 2))</f>
        <v/>
      </c>
    </row>
    <row r="338">
      <c r="M338">
        <f>IF(A338="","", _xludf.WEEKNUM(A338, 2))</f>
        <v/>
      </c>
    </row>
    <row r="339">
      <c r="M339">
        <f>IF(A339="","", _xludf.WEEKNUM(A339, 2))</f>
        <v/>
      </c>
    </row>
    <row r="340">
      <c r="M340">
        <f>IF(A340="","", _xludf.WEEKNUM(A340, 2))</f>
        <v/>
      </c>
    </row>
    <row r="341">
      <c r="M341">
        <f>IF(A341="","", _xludf.WEEKNUM(A341, 2))</f>
        <v/>
      </c>
    </row>
    <row r="342">
      <c r="M342">
        <f>IF(A342="","", _xludf.WEEKNUM(A342, 2))</f>
        <v/>
      </c>
    </row>
    <row r="343">
      <c r="M343">
        <f>IF(A343="","", _xludf.WEEKNUM(A343, 2))</f>
        <v/>
      </c>
    </row>
    <row r="344">
      <c r="M344">
        <f>IF(A344="","", _xludf.WEEKNUM(A344, 2))</f>
        <v/>
      </c>
    </row>
    <row r="345">
      <c r="M345">
        <f>IF(A345="","", _xludf.WEEKNUM(A345, 2))</f>
        <v/>
      </c>
    </row>
    <row r="346">
      <c r="M346">
        <f>IF(A346="","", _xludf.WEEKNUM(A346, 2))</f>
        <v/>
      </c>
    </row>
    <row r="347">
      <c r="M347">
        <f>IF(A347="","", _xludf.WEEKNUM(A347, 2))</f>
        <v/>
      </c>
    </row>
    <row r="348">
      <c r="M348">
        <f>IF(A348="","", _xludf.WEEKNUM(A348, 2))</f>
        <v/>
      </c>
    </row>
    <row r="349">
      <c r="M349">
        <f>IF(A349="","", _xludf.WEEKNUM(A349, 2))</f>
        <v/>
      </c>
    </row>
    <row r="350">
      <c r="M350">
        <f>IF(A350="","", _xludf.WEEKNUM(A350, 2))</f>
        <v/>
      </c>
    </row>
    <row r="351">
      <c r="M351">
        <f>IF(A351="","", _xludf.WEEKNUM(A351, 2))</f>
        <v/>
      </c>
    </row>
    <row r="352">
      <c r="M352">
        <f>IF(A352="","", _xludf.WEEKNUM(A352, 2))</f>
        <v/>
      </c>
    </row>
    <row r="353">
      <c r="M353">
        <f>IF(A353="","", _xludf.WEEKNUM(A353, 2))</f>
        <v/>
      </c>
    </row>
    <row r="354">
      <c r="M354">
        <f>IF(A354="","", _xludf.WEEKNUM(A354, 2))</f>
        <v/>
      </c>
    </row>
    <row r="355">
      <c r="M355">
        <f>IF(A355="","", _xludf.WEEKNUM(A355, 2))</f>
        <v/>
      </c>
    </row>
    <row r="356">
      <c r="M356">
        <f>IF(A356="","", _xludf.WEEKNUM(A356, 2))</f>
        <v/>
      </c>
    </row>
    <row r="357">
      <c r="M357">
        <f>IF(A357="","", _xludf.WEEKNUM(A357, 2))</f>
        <v/>
      </c>
    </row>
    <row r="358">
      <c r="M358">
        <f>IF(A358="","", _xludf.WEEKNUM(A358, 2))</f>
        <v/>
      </c>
    </row>
    <row r="359">
      <c r="M359">
        <f>IF(A359="","", _xludf.WEEKNUM(A359, 2))</f>
        <v/>
      </c>
    </row>
    <row r="360">
      <c r="M360">
        <f>IF(A360="","", _xludf.WEEKNUM(A360, 2))</f>
        <v/>
      </c>
    </row>
    <row r="361">
      <c r="M361">
        <f>IF(A361="","", _xludf.WEEKNUM(A361, 2))</f>
        <v/>
      </c>
    </row>
    <row r="362">
      <c r="M362">
        <f>IF(A362="","", _xludf.WEEKNUM(A362, 2))</f>
        <v/>
      </c>
    </row>
    <row r="363">
      <c r="M363">
        <f>IF(A363="","", _xludf.WEEKNUM(A363, 2))</f>
        <v/>
      </c>
    </row>
    <row r="364">
      <c r="M364">
        <f>IF(A364="","", _xludf.WEEKNUM(A364, 2))</f>
        <v/>
      </c>
    </row>
    <row r="365">
      <c r="M365">
        <f>IF(A365="","", _xludf.WEEKNUM(A365, 2))</f>
        <v/>
      </c>
    </row>
    <row r="366">
      <c r="M366">
        <f>IF(A366="","", _xludf.WEEKNUM(A366, 2))</f>
        <v/>
      </c>
    </row>
    <row r="367">
      <c r="M367">
        <f>IF(A367="","", _xludf.WEEKNUM(A367, 2))</f>
        <v/>
      </c>
    </row>
    <row r="368">
      <c r="M368">
        <f>IF(A368="","", _xludf.WEEKNUM(A368, 2))</f>
        <v/>
      </c>
    </row>
    <row r="369">
      <c r="M369">
        <f>IF(A369="","", _xludf.WEEKNUM(A369, 2))</f>
        <v/>
      </c>
    </row>
    <row r="370">
      <c r="M370">
        <f>IF(A370="","", _xludf.WEEKNUM(A370, 2))</f>
        <v/>
      </c>
    </row>
    <row r="371">
      <c r="M371">
        <f>IF(A371="","", _xludf.WEEKNUM(A371, 2))</f>
        <v/>
      </c>
    </row>
    <row r="372">
      <c r="M372">
        <f>IF(A372="","", _xludf.WEEKNUM(A372, 2))</f>
        <v/>
      </c>
    </row>
    <row r="373">
      <c r="M373">
        <f>IF(A373="","", _xludf.WEEKNUM(A373, 2))</f>
        <v/>
      </c>
    </row>
    <row r="374">
      <c r="M374">
        <f>IF(A374="","", _xludf.WEEKNUM(A374, 2))</f>
        <v/>
      </c>
    </row>
    <row r="375">
      <c r="M375">
        <f>IF(A375="","", _xludf.WEEKNUM(A375, 2))</f>
        <v/>
      </c>
    </row>
    <row r="376">
      <c r="M376">
        <f>IF(A376="","", _xludf.WEEKNUM(A376, 2))</f>
        <v/>
      </c>
    </row>
    <row r="377">
      <c r="M377">
        <f>IF(A377="","", _xludf.WEEKNUM(A377, 2))</f>
        <v/>
      </c>
    </row>
    <row r="378">
      <c r="M378">
        <f>IF(A378="","", _xludf.WEEKNUM(A378, 2))</f>
        <v/>
      </c>
    </row>
    <row r="379">
      <c r="M379">
        <f>IF(A379="","", _xludf.WEEKNUM(A379, 2))</f>
        <v/>
      </c>
    </row>
    <row r="380">
      <c r="M380">
        <f>IF(A380="","", _xludf.WEEKNUM(A380, 2))</f>
        <v/>
      </c>
    </row>
    <row r="381">
      <c r="M381">
        <f>IF(A381="","", _xludf.WEEKNUM(A381, 2))</f>
        <v/>
      </c>
    </row>
    <row r="382">
      <c r="M382">
        <f>IF(A382="","", _xludf.WEEKNUM(A382, 2))</f>
        <v/>
      </c>
    </row>
    <row r="383">
      <c r="M383">
        <f>IF(A383="","", _xludf.WEEKNUM(A383, 2))</f>
        <v/>
      </c>
    </row>
    <row r="384">
      <c r="M384">
        <f>IF(A384="","", _xludf.WEEKNUM(A384, 2))</f>
        <v/>
      </c>
    </row>
    <row r="385">
      <c r="M385">
        <f>IF(A385="","", _xludf.WEEKNUM(A385, 2))</f>
        <v/>
      </c>
    </row>
    <row r="386">
      <c r="M386">
        <f>IF(A386="","", _xludf.WEEKNUM(A386, 2))</f>
        <v/>
      </c>
    </row>
    <row r="387">
      <c r="M387">
        <f>IF(A387="","", _xludf.WEEKNUM(A387, 2))</f>
        <v/>
      </c>
    </row>
    <row r="388">
      <c r="M388">
        <f>IF(A388="","", _xludf.WEEKNUM(A388, 2))</f>
        <v/>
      </c>
    </row>
    <row r="389">
      <c r="M389">
        <f>IF(A389="","", _xludf.WEEKNUM(A389, 2))</f>
        <v/>
      </c>
    </row>
    <row r="390">
      <c r="M390">
        <f>IF(A390="","", _xludf.WEEKNUM(A390, 2))</f>
        <v/>
      </c>
    </row>
    <row r="391">
      <c r="M391">
        <f>IF(A391="","", _xludf.WEEKNUM(A391, 2))</f>
        <v/>
      </c>
    </row>
    <row r="392">
      <c r="M392">
        <f>IF(A392="","", _xludf.WEEKNUM(A392, 2))</f>
        <v/>
      </c>
    </row>
    <row r="393">
      <c r="M393">
        <f>IF(A393="","", _xludf.WEEKNUM(A393, 2))</f>
        <v/>
      </c>
    </row>
    <row r="394">
      <c r="M394">
        <f>IF(A394="","", _xludf.WEEKNUM(A394, 2))</f>
        <v/>
      </c>
    </row>
    <row r="395">
      <c r="M395">
        <f>IF(A395="","", _xludf.WEEKNUM(A395, 2))</f>
        <v/>
      </c>
    </row>
    <row r="396">
      <c r="M396">
        <f>IF(A396="","", _xludf.WEEKNUM(A396, 2))</f>
        <v/>
      </c>
    </row>
    <row r="397">
      <c r="M397">
        <f>IF(A397="","", _xludf.WEEKNUM(A397, 2))</f>
        <v/>
      </c>
    </row>
    <row r="398">
      <c r="M398">
        <f>IF(A398="","", _xludf.WEEKNUM(A398, 2))</f>
        <v/>
      </c>
    </row>
    <row r="399">
      <c r="M399">
        <f>IF(A399="","", _xludf.WEEKNUM(A399, 2))</f>
        <v/>
      </c>
    </row>
    <row r="400">
      <c r="M400">
        <f>IF(A400="","", _xludf.WEEKNUM(A400, 2))</f>
        <v/>
      </c>
    </row>
    <row r="401">
      <c r="M401">
        <f>IF(A401="","", _xludf.WEEKNUM(A401, 2))</f>
        <v/>
      </c>
    </row>
    <row r="402">
      <c r="M402">
        <f>IF(A402="","", _xludf.WEEKNUM(A402, 2))</f>
        <v/>
      </c>
    </row>
    <row r="403">
      <c r="M403">
        <f>IF(A403="","", _xludf.WEEKNUM(A403, 2))</f>
        <v/>
      </c>
    </row>
    <row r="404">
      <c r="M404">
        <f>IF(A404="","", _xludf.WEEKNUM(A404, 2))</f>
        <v/>
      </c>
    </row>
    <row r="405">
      <c r="M405">
        <f>IF(A405="","", _xludf.WEEKNUM(A405, 2))</f>
        <v/>
      </c>
    </row>
    <row r="406">
      <c r="M406">
        <f>IF(A406="","", _xludf.WEEKNUM(A406, 2))</f>
        <v/>
      </c>
    </row>
    <row r="407">
      <c r="M407">
        <f>IF(A407="","", _xludf.WEEKNUM(A407, 2))</f>
        <v/>
      </c>
    </row>
    <row r="408">
      <c r="M408">
        <f>IF(A408="","", _xludf.WEEKNUM(A408, 2))</f>
        <v/>
      </c>
    </row>
    <row r="409">
      <c r="M409">
        <f>IF(A409="","", _xludf.WEEKNUM(A409, 2))</f>
        <v/>
      </c>
    </row>
    <row r="410">
      <c r="M410">
        <f>IF(A410="","", _xludf.WEEKNUM(A410, 2))</f>
        <v/>
      </c>
    </row>
    <row r="411">
      <c r="M411">
        <f>IF(A411="","", _xludf.WEEKNUM(A411, 2))</f>
        <v/>
      </c>
    </row>
    <row r="412">
      <c r="M412">
        <f>IF(A412="","", _xludf.WEEKNUM(A412, 2))</f>
        <v/>
      </c>
    </row>
    <row r="413">
      <c r="M413">
        <f>IF(A413="","", _xludf.WEEKNUM(A413, 2))</f>
        <v/>
      </c>
    </row>
    <row r="414">
      <c r="M414">
        <f>IF(A414="","", _xludf.WEEKNUM(A414, 2))</f>
        <v/>
      </c>
    </row>
    <row r="415">
      <c r="M415">
        <f>IF(A415="","", _xludf.WEEKNUM(A415, 2))</f>
        <v/>
      </c>
    </row>
    <row r="416">
      <c r="M416">
        <f>IF(A416="","", _xludf.WEEKNUM(A416, 2))</f>
        <v/>
      </c>
    </row>
    <row r="417">
      <c r="M417">
        <f>IF(A417="","", _xludf.WEEKNUM(A417, 2))</f>
        <v/>
      </c>
    </row>
    <row r="418">
      <c r="M418">
        <f>IF(A418="","", _xludf.WEEKNUM(A418, 2))</f>
        <v/>
      </c>
    </row>
    <row r="419">
      <c r="M419">
        <f>IF(A419="","", _xludf.WEEKNUM(A419, 2))</f>
        <v/>
      </c>
    </row>
    <row r="420">
      <c r="M420">
        <f>IF(A420="","", _xludf.WEEKNUM(A420, 2))</f>
        <v/>
      </c>
    </row>
    <row r="421">
      <c r="M421">
        <f>IF(A421="","", _xludf.WEEKNUM(A421, 2))</f>
        <v/>
      </c>
    </row>
    <row r="422">
      <c r="M422">
        <f>IF(A422="","", _xludf.WEEKNUM(A422, 2))</f>
        <v/>
      </c>
    </row>
    <row r="423">
      <c r="M423">
        <f>IF(A423="","", _xludf.WEEKNUM(A423, 2))</f>
        <v/>
      </c>
    </row>
    <row r="424">
      <c r="M424">
        <f>IF(A424="","", _xludf.WEEKNUM(A424, 2))</f>
        <v/>
      </c>
    </row>
    <row r="425">
      <c r="M425">
        <f>IF(A425="","", _xludf.WEEKNUM(A425, 2))</f>
        <v/>
      </c>
    </row>
    <row r="426">
      <c r="M426">
        <f>IF(A426="","", _xludf.WEEKNUM(A426, 2))</f>
        <v/>
      </c>
    </row>
    <row r="427">
      <c r="M427">
        <f>IF(A427="","", _xludf.WEEKNUM(A427, 2))</f>
        <v/>
      </c>
    </row>
    <row r="428">
      <c r="M428">
        <f>IF(A428="","", _xludf.WEEKNUM(A428, 2))</f>
        <v/>
      </c>
    </row>
    <row r="429">
      <c r="M429">
        <f>IF(A429="","", _xludf.WEEKNUM(A429, 2))</f>
        <v/>
      </c>
    </row>
    <row r="430">
      <c r="M430">
        <f>IF(A430="","", _xludf.WEEKNUM(A430, 2))</f>
        <v/>
      </c>
    </row>
    <row r="431">
      <c r="M431">
        <f>IF(A431="","", _xludf.WEEKNUM(A431, 2))</f>
        <v/>
      </c>
    </row>
    <row r="432">
      <c r="M432">
        <f>IF(A432="","", _xludf.WEEKNUM(A432, 2))</f>
        <v/>
      </c>
    </row>
    <row r="433">
      <c r="M433">
        <f>IF(A433="","", _xludf.WEEKNUM(A433, 2))</f>
        <v/>
      </c>
    </row>
    <row r="434">
      <c r="M434">
        <f>IF(A434="","", _xludf.WEEKNUM(A434, 2))</f>
        <v/>
      </c>
    </row>
    <row r="435">
      <c r="M435">
        <f>IF(A435="","", _xludf.WEEKNUM(A435, 2))</f>
        <v/>
      </c>
    </row>
    <row r="436">
      <c r="M436">
        <f>IF(A436="","", _xludf.WEEKNUM(A436, 2))</f>
        <v/>
      </c>
    </row>
    <row r="437">
      <c r="M437">
        <f>IF(A437="","", _xludf.WEEKNUM(A437, 2))</f>
        <v/>
      </c>
    </row>
    <row r="438">
      <c r="M438">
        <f>IF(A438="","", _xludf.WEEKNUM(A438, 2))</f>
        <v/>
      </c>
    </row>
    <row r="439">
      <c r="M439">
        <f>IF(A439="","", _xludf.WEEKNUM(A439, 2))</f>
        <v/>
      </c>
    </row>
    <row r="440">
      <c r="M440">
        <f>IF(A440="","", _xludf.WEEKNUM(A440, 2))</f>
        <v/>
      </c>
    </row>
    <row r="441">
      <c r="M441">
        <f>IF(A441="","", _xludf.WEEKNUM(A441, 2))</f>
        <v/>
      </c>
    </row>
    <row r="442">
      <c r="M442">
        <f>IF(A442="","", _xludf.WEEKNUM(A442, 2))</f>
        <v/>
      </c>
    </row>
    <row r="443">
      <c r="M443">
        <f>IF(A443="","", _xludf.WEEKNUM(A443, 2))</f>
        <v/>
      </c>
    </row>
    <row r="444">
      <c r="M444">
        <f>IF(A444="","", _xludf.WEEKNUM(A444, 2))</f>
        <v/>
      </c>
    </row>
    <row r="445">
      <c r="M445">
        <f>IF(A445="","", _xludf.WEEKNUM(A445, 2))</f>
        <v/>
      </c>
    </row>
    <row r="446">
      <c r="M446">
        <f>IF(A446="","", _xludf.WEEKNUM(A446, 2))</f>
        <v/>
      </c>
    </row>
    <row r="447">
      <c r="M447">
        <f>IF(A447="","", _xludf.WEEKNUM(A447, 2))</f>
        <v/>
      </c>
    </row>
    <row r="448">
      <c r="M448">
        <f>IF(A448="","", _xludf.WEEKNUM(A448, 2))</f>
        <v/>
      </c>
    </row>
    <row r="449">
      <c r="M449">
        <f>IF(A449="","", _xludf.WEEKNUM(A449, 2))</f>
        <v/>
      </c>
    </row>
    <row r="450">
      <c r="M450">
        <f>IF(A450="","", _xludf.WEEKNUM(A450, 2))</f>
        <v/>
      </c>
    </row>
    <row r="451">
      <c r="M451">
        <f>IF(A451="","", _xludf.WEEKNUM(A451, 2))</f>
        <v/>
      </c>
    </row>
    <row r="452">
      <c r="M452">
        <f>IF(A452="","", _xludf.WEEKNUM(A452, 2))</f>
        <v/>
      </c>
    </row>
    <row r="453">
      <c r="M453">
        <f>IF(A453="","", _xludf.WEEKNUM(A453, 2))</f>
        <v/>
      </c>
    </row>
    <row r="454">
      <c r="M454">
        <f>IF(A454="","", _xludf.WEEKNUM(A454, 2))</f>
        <v/>
      </c>
    </row>
    <row r="455">
      <c r="M455">
        <f>IF(A455="","", _xludf.WEEKNUM(A455, 2))</f>
        <v/>
      </c>
    </row>
    <row r="456">
      <c r="M456">
        <f>IF(A456="","", _xludf.WEEKNUM(A456, 2))</f>
        <v/>
      </c>
    </row>
    <row r="457">
      <c r="M457">
        <f>IF(A457="","", _xludf.WEEKNUM(A457, 2))</f>
        <v/>
      </c>
    </row>
    <row r="458">
      <c r="M458">
        <f>IF(A458="","", _xludf.WEEKNUM(A458, 2))</f>
        <v/>
      </c>
    </row>
    <row r="459">
      <c r="M459">
        <f>IF(A459="","", _xludf.WEEKNUM(A459, 2))</f>
        <v/>
      </c>
    </row>
    <row r="460">
      <c r="M460">
        <f>IF(A460="","", _xludf.WEEKNUM(A460, 2))</f>
        <v/>
      </c>
    </row>
    <row r="461">
      <c r="M461">
        <f>IF(A461="","", _xludf.WEEKNUM(A461, 2))</f>
        <v/>
      </c>
    </row>
    <row r="462">
      <c r="M462">
        <f>IF(A462="","", _xludf.WEEKNUM(A462, 2))</f>
        <v/>
      </c>
    </row>
    <row r="463">
      <c r="M463">
        <f>IF(A463="","", _xludf.WEEKNUM(A463, 2))</f>
        <v/>
      </c>
    </row>
    <row r="464">
      <c r="M464">
        <f>IF(A464="","", _xludf.WEEKNUM(A464, 2))</f>
        <v/>
      </c>
    </row>
    <row r="465">
      <c r="M465">
        <f>IF(A465="","", _xludf.WEEKNUM(A465, 2))</f>
        <v/>
      </c>
    </row>
    <row r="466">
      <c r="M466">
        <f>IF(A466="","", _xludf.WEEKNUM(A466, 2))</f>
        <v/>
      </c>
    </row>
    <row r="467">
      <c r="M467">
        <f>IF(A467="","", _xludf.WEEKNUM(A467, 2))</f>
        <v/>
      </c>
    </row>
    <row r="468">
      <c r="M468">
        <f>IF(A468="","", _xludf.WEEKNUM(A468, 2))</f>
        <v/>
      </c>
    </row>
    <row r="469">
      <c r="M469">
        <f>IF(A469="","", _xludf.WEEKNUM(A469, 2))</f>
        <v/>
      </c>
    </row>
    <row r="470">
      <c r="M470">
        <f>IF(A470="","", _xludf.WEEKNUM(A470, 2))</f>
        <v/>
      </c>
    </row>
    <row r="471">
      <c r="M471">
        <f>IF(A471="","", _xludf.WEEKNUM(A471, 2))</f>
        <v/>
      </c>
    </row>
    <row r="472">
      <c r="M472">
        <f>IF(A472="","", _xludf.WEEKNUM(A472, 2))</f>
        <v/>
      </c>
    </row>
    <row r="473">
      <c r="M473">
        <f>IF(A473="","", _xludf.WEEKNUM(A473, 2))</f>
        <v/>
      </c>
    </row>
    <row r="474">
      <c r="M474">
        <f>IF(A474="","", _xludf.WEEKNUM(A474, 2))</f>
        <v/>
      </c>
    </row>
    <row r="475">
      <c r="M475">
        <f>IF(A475="","", _xludf.WEEKNUM(A475, 2))</f>
        <v/>
      </c>
    </row>
    <row r="476">
      <c r="M476">
        <f>IF(A476="","", _xludf.WEEKNUM(A476, 2))</f>
        <v/>
      </c>
    </row>
    <row r="477">
      <c r="M477">
        <f>IF(A477="","", _xludf.WEEKNUM(A477, 2))</f>
        <v/>
      </c>
    </row>
    <row r="478">
      <c r="M478">
        <f>IF(A478="","", _xludf.WEEKNUM(A478, 2))</f>
        <v/>
      </c>
    </row>
    <row r="479">
      <c r="M479">
        <f>IF(A479="","", _xludf.WEEKNUM(A479, 2))</f>
        <v/>
      </c>
    </row>
    <row r="480">
      <c r="M480">
        <f>IF(A480="","", _xludf.WEEKNUM(A480, 2))</f>
        <v/>
      </c>
    </row>
    <row r="481">
      <c r="M481">
        <f>IF(A481="","", _xludf.WEEKNUM(A481, 2))</f>
        <v/>
      </c>
    </row>
    <row r="482">
      <c r="M482">
        <f>IF(A482="","", _xludf.WEEKNUM(A482, 2))</f>
        <v/>
      </c>
    </row>
    <row r="483">
      <c r="M483">
        <f>IF(A483="","", _xludf.WEEKNUM(A483, 2))</f>
        <v/>
      </c>
    </row>
    <row r="484">
      <c r="M484">
        <f>IF(A484="","", _xludf.WEEKNUM(A484, 2))</f>
        <v/>
      </c>
    </row>
    <row r="485">
      <c r="M485">
        <f>IF(A485="","", _xludf.WEEKNUM(A485, 2))</f>
        <v/>
      </c>
    </row>
    <row r="486">
      <c r="M486">
        <f>IF(A486="","", _xludf.WEEKNUM(A486, 2))</f>
        <v/>
      </c>
    </row>
    <row r="487">
      <c r="M487">
        <f>IF(A487="","", _xludf.WEEKNUM(A487, 2))</f>
        <v/>
      </c>
    </row>
    <row r="488">
      <c r="M488">
        <f>IF(A488="","", _xludf.WEEKNUM(A488, 2))</f>
        <v/>
      </c>
    </row>
    <row r="489">
      <c r="M489">
        <f>IF(A489="","", _xludf.WEEKNUM(A489, 2))</f>
        <v/>
      </c>
    </row>
    <row r="490">
      <c r="M490">
        <f>IF(A490="","", _xludf.WEEKNUM(A490, 2))</f>
        <v/>
      </c>
    </row>
    <row r="491">
      <c r="M491">
        <f>IF(A491="","", _xludf.WEEKNUM(A491, 2))</f>
        <v/>
      </c>
    </row>
    <row r="492">
      <c r="M492">
        <f>IF(A492="","", _xludf.WEEKNUM(A492, 2))</f>
        <v/>
      </c>
    </row>
    <row r="493">
      <c r="M493">
        <f>IF(A493="","", _xludf.WEEKNUM(A493, 2))</f>
        <v/>
      </c>
    </row>
    <row r="494">
      <c r="M494">
        <f>IF(A494="","", _xludf.WEEKNUM(A494, 2))</f>
        <v/>
      </c>
    </row>
    <row r="495">
      <c r="M495">
        <f>IF(A495="","", _xludf.WEEKNUM(A495, 2))</f>
        <v/>
      </c>
    </row>
    <row r="496">
      <c r="M496">
        <f>IF(A496="","", _xludf.WEEKNUM(A496, 2))</f>
        <v/>
      </c>
    </row>
    <row r="497">
      <c r="M497">
        <f>IF(A497="","", _xludf.WEEKNUM(A497, 2))</f>
        <v/>
      </c>
    </row>
    <row r="498">
      <c r="M498">
        <f>IF(A498="","", _xludf.WEEKNUM(A498, 2))</f>
        <v/>
      </c>
    </row>
    <row r="499">
      <c r="M499">
        <f>IF(A499="","", _xludf.WEEKNUM(A499, 2))</f>
        <v/>
      </c>
    </row>
    <row r="500">
      <c r="M500">
        <f>IF(A500="","", _xludf.WEEKNUM(A500, 2))</f>
        <v/>
      </c>
    </row>
    <row r="501">
      <c r="M501">
        <f>IF(A501="","", _xludf.WEEKNUM(A501, 2))</f>
        <v/>
      </c>
    </row>
    <row r="502">
      <c r="M502">
        <f>IF(A502="","", _xludf.WEEKNUM(A502, 2))</f>
        <v/>
      </c>
    </row>
    <row r="503">
      <c r="M503">
        <f>IF(A503="","", _xludf.WEEKNUM(A503, 2))</f>
        <v/>
      </c>
    </row>
    <row r="504">
      <c r="M504">
        <f>IF(A504="","", _xludf.WEEKNUM(A504, 2))</f>
        <v/>
      </c>
    </row>
    <row r="505">
      <c r="M505">
        <f>IF(A505="","", _xludf.WEEKNUM(A505, 2))</f>
        <v/>
      </c>
    </row>
    <row r="506">
      <c r="M506">
        <f>IF(A506="","", _xludf.WEEKNUM(A506, 2))</f>
        <v/>
      </c>
    </row>
    <row r="507">
      <c r="M507">
        <f>IF(A507="","", _xludf.WEEKNUM(A507, 2))</f>
        <v/>
      </c>
    </row>
    <row r="508">
      <c r="M508">
        <f>IF(A508="","", _xludf.WEEKNUM(A508, 2))</f>
        <v/>
      </c>
    </row>
    <row r="509">
      <c r="M509">
        <f>IF(A509="","", _xludf.WEEKNUM(A509, 2))</f>
        <v/>
      </c>
    </row>
    <row r="510">
      <c r="M510">
        <f>IF(A510="","", _xludf.WEEKNUM(A510, 2))</f>
        <v/>
      </c>
    </row>
    <row r="511">
      <c r="M511">
        <f>IF(A511="","", _xludf.WEEKNUM(A511, 2))</f>
        <v/>
      </c>
    </row>
    <row r="512">
      <c r="M512">
        <f>IF(A512="","", _xludf.WEEKNUM(A512, 2))</f>
        <v/>
      </c>
    </row>
    <row r="513">
      <c r="M513">
        <f>IF(A513="","", _xludf.WEEKNUM(A513, 2))</f>
        <v/>
      </c>
    </row>
    <row r="514">
      <c r="M514">
        <f>IF(A514="","", _xludf.WEEKNUM(A514, 2))</f>
        <v/>
      </c>
    </row>
    <row r="515">
      <c r="M515">
        <f>IF(A515="","", _xludf.WEEKNUM(A515, 2))</f>
        <v/>
      </c>
    </row>
    <row r="516">
      <c r="M516">
        <f>IF(A516="","", _xludf.WEEKNUM(A516, 2))</f>
        <v/>
      </c>
    </row>
    <row r="517">
      <c r="M517">
        <f>IF(A517="","", _xludf.WEEKNUM(A517, 2))</f>
        <v/>
      </c>
    </row>
    <row r="518">
      <c r="M518">
        <f>IF(A518="","", _xludf.WEEKNUM(A518, 2))</f>
        <v/>
      </c>
    </row>
    <row r="519">
      <c r="M519">
        <f>IF(A519="","", _xludf.WEEKNUM(A519, 2))</f>
        <v/>
      </c>
    </row>
    <row r="520">
      <c r="M520">
        <f>IF(A520="","", _xludf.WEEKNUM(A520, 2))</f>
        <v/>
      </c>
    </row>
    <row r="521">
      <c r="M521">
        <f>IF(A521="","", _xludf.WEEKNUM(A521, 2))</f>
        <v/>
      </c>
    </row>
    <row r="522">
      <c r="M522">
        <f>IF(A522="","", _xludf.WEEKNUM(A522, 2))</f>
        <v/>
      </c>
    </row>
    <row r="523">
      <c r="M523">
        <f>IF(A523="","", _xludf.WEEKNUM(A523, 2))</f>
        <v/>
      </c>
    </row>
    <row r="524">
      <c r="M524">
        <f>IF(A524="","", _xludf.WEEKNUM(A524, 2))</f>
        <v/>
      </c>
    </row>
    <row r="525">
      <c r="M525">
        <f>IF(A525="","", _xludf.WEEKNUM(A525, 2))</f>
        <v/>
      </c>
    </row>
    <row r="526">
      <c r="M526">
        <f>IF(A526="","", _xludf.WEEKNUM(A526, 2))</f>
        <v/>
      </c>
    </row>
    <row r="527">
      <c r="M527">
        <f>IF(A527="","", _xludf.WEEKNUM(A527, 2))</f>
        <v/>
      </c>
    </row>
    <row r="528">
      <c r="M528">
        <f>IF(A528="","", _xludf.WEEKNUM(A528, 2))</f>
        <v/>
      </c>
    </row>
    <row r="529">
      <c r="M529">
        <f>IF(A529="","", _xludf.WEEKNUM(A529, 2))</f>
        <v/>
      </c>
    </row>
    <row r="530">
      <c r="M530">
        <f>IF(A530="","", _xludf.WEEKNUM(A530, 2))</f>
        <v/>
      </c>
    </row>
    <row r="531">
      <c r="M531">
        <f>IF(A531="","", _xludf.WEEKNUM(A531, 2))</f>
        <v/>
      </c>
    </row>
    <row r="532">
      <c r="M532">
        <f>IF(A532="","", _xludf.WEEKNUM(A532, 2))</f>
        <v/>
      </c>
    </row>
    <row r="533">
      <c r="M533">
        <f>IF(A533="","", _xludf.WEEKNUM(A533, 2))</f>
        <v/>
      </c>
    </row>
    <row r="534">
      <c r="M534">
        <f>IF(A534="","", _xludf.WEEKNUM(A534, 2))</f>
        <v/>
      </c>
    </row>
    <row r="535">
      <c r="M535">
        <f>IF(A535="","", _xludf.WEEKNUM(A535, 2))</f>
        <v/>
      </c>
    </row>
    <row r="536">
      <c r="M536">
        <f>IF(A536="","", _xludf.WEEKNUM(A536, 2))</f>
        <v/>
      </c>
    </row>
    <row r="537">
      <c r="M537">
        <f>IF(A537="","", _xludf.WEEKNUM(A537, 2))</f>
        <v/>
      </c>
    </row>
    <row r="538">
      <c r="M538">
        <f>IF(A538="","", _xludf.WEEKNUM(A538, 2))</f>
        <v/>
      </c>
    </row>
    <row r="539">
      <c r="M539">
        <f>IF(A539="","", _xludf.WEEKNUM(A539, 2))</f>
        <v/>
      </c>
    </row>
    <row r="540">
      <c r="M540">
        <f>IF(A540="","", _xludf.WEEKNUM(A540, 2))</f>
        <v/>
      </c>
    </row>
    <row r="541">
      <c r="M541">
        <f>IF(A541="","", _xludf.WEEKNUM(A541, 2))</f>
        <v/>
      </c>
    </row>
    <row r="542">
      <c r="M542">
        <f>IF(A542="","", _xludf.WEEKNUM(A542, 2))</f>
        <v/>
      </c>
    </row>
    <row r="543">
      <c r="M543">
        <f>IF(A543="","", _xludf.WEEKNUM(A543, 2))</f>
        <v/>
      </c>
    </row>
    <row r="544">
      <c r="M544">
        <f>IF(A544="","", _xludf.WEEKNUM(A544, 2))</f>
        <v/>
      </c>
    </row>
    <row r="545">
      <c r="M545">
        <f>IF(A545="","", _xludf.WEEKNUM(A545, 2))</f>
        <v/>
      </c>
    </row>
    <row r="546">
      <c r="M546">
        <f>IF(A546="","", _xludf.WEEKNUM(A546, 2))</f>
        <v/>
      </c>
    </row>
    <row r="547">
      <c r="M547">
        <f>IF(A547="","", _xludf.WEEKNUM(A547, 2))</f>
        <v/>
      </c>
    </row>
    <row r="548">
      <c r="M548">
        <f>IF(A548="","", _xludf.WEEKNUM(A548, 2))</f>
        <v/>
      </c>
    </row>
    <row r="549">
      <c r="M549">
        <f>IF(A549="","", _xludf.WEEKNUM(A549, 2))</f>
        <v/>
      </c>
    </row>
    <row r="550">
      <c r="M550">
        <f>IF(A550="","", _xludf.WEEKNUM(A550, 2))</f>
        <v/>
      </c>
    </row>
    <row r="551">
      <c r="M551">
        <f>IF(A551="","", _xludf.WEEKNUM(A551, 2))</f>
        <v/>
      </c>
    </row>
    <row r="552">
      <c r="M552">
        <f>IF(A552="","", _xludf.WEEKNUM(A552, 2))</f>
        <v/>
      </c>
    </row>
    <row r="553">
      <c r="M553">
        <f>IF(A553="","", _xludf.WEEKNUM(A553, 2))</f>
        <v/>
      </c>
    </row>
    <row r="554">
      <c r="M554">
        <f>IF(A554="","", _xludf.WEEKNUM(A554, 2))</f>
        <v/>
      </c>
    </row>
    <row r="555">
      <c r="M555">
        <f>IF(A555="","", _xludf.WEEKNUM(A555, 2))</f>
        <v/>
      </c>
    </row>
    <row r="556">
      <c r="M556">
        <f>IF(A556="","", _xludf.WEEKNUM(A556, 2))</f>
        <v/>
      </c>
    </row>
    <row r="557">
      <c r="M557">
        <f>IF(A557="","", _xludf.WEEKNUM(A557, 2))</f>
        <v/>
      </c>
    </row>
    <row r="558">
      <c r="M558">
        <f>IF(A558="","", _xludf.WEEKNUM(A558, 2))</f>
        <v/>
      </c>
    </row>
    <row r="559">
      <c r="M559">
        <f>IF(A559="","", _xludf.WEEKNUM(A559, 2))</f>
        <v/>
      </c>
    </row>
    <row r="560">
      <c r="M560">
        <f>IF(A560="","", _xludf.WEEKNUM(A560, 2))</f>
        <v/>
      </c>
    </row>
    <row r="561">
      <c r="M561">
        <f>IF(A561="","", _xludf.WEEKNUM(A561, 2))</f>
        <v/>
      </c>
    </row>
    <row r="562">
      <c r="M562">
        <f>IF(A562="","", _xludf.WEEKNUM(A562, 2))</f>
        <v/>
      </c>
    </row>
    <row r="563">
      <c r="M563">
        <f>IF(A563="","", _xludf.WEEKNUM(A563, 2))</f>
        <v/>
      </c>
    </row>
    <row r="564">
      <c r="M564">
        <f>IF(A564="","", _xludf.WEEKNUM(A564, 2))</f>
        <v/>
      </c>
    </row>
    <row r="565">
      <c r="M565">
        <f>IF(A565="","", _xludf.WEEKNUM(A565, 2))</f>
        <v/>
      </c>
    </row>
    <row r="566">
      <c r="M566">
        <f>IF(A566="","", _xludf.WEEKNUM(A566, 2))</f>
        <v/>
      </c>
    </row>
    <row r="567">
      <c r="M567">
        <f>IF(A567="","", _xludf.WEEKNUM(A567, 2))</f>
        <v/>
      </c>
    </row>
    <row r="568">
      <c r="M568">
        <f>IF(A568="","", _xludf.WEEKNUM(A568, 2))</f>
        <v/>
      </c>
    </row>
    <row r="569">
      <c r="M569">
        <f>IF(A569="","", _xludf.WEEKNUM(A569, 2))</f>
        <v/>
      </c>
    </row>
    <row r="570">
      <c r="M570">
        <f>IF(A570="","", _xludf.WEEKNUM(A570, 2))</f>
        <v/>
      </c>
    </row>
    <row r="571">
      <c r="M571">
        <f>IF(A571="","", _xludf.WEEKNUM(A571, 2))</f>
        <v/>
      </c>
    </row>
    <row r="572">
      <c r="M572">
        <f>IF(A572="","", _xludf.WEEKNUM(A572, 2))</f>
        <v/>
      </c>
    </row>
    <row r="573">
      <c r="M573">
        <f>IF(A573="","", _xludf.WEEKNUM(A573, 2))</f>
        <v/>
      </c>
    </row>
    <row r="574">
      <c r="M574">
        <f>IF(A574="","", _xludf.WEEKNUM(A574, 2))</f>
        <v/>
      </c>
    </row>
    <row r="575">
      <c r="M575">
        <f>IF(A575="","", _xludf.WEEKNUM(A575, 2))</f>
        <v/>
      </c>
    </row>
    <row r="576">
      <c r="M576">
        <f>IF(A576="","", _xludf.WEEKNUM(A576, 2))</f>
        <v/>
      </c>
    </row>
    <row r="577">
      <c r="M577">
        <f>IF(A577="","", _xludf.WEEKNUM(A577, 2))</f>
        <v/>
      </c>
    </row>
    <row r="578">
      <c r="M578">
        <f>IF(A578="","", _xludf.WEEKNUM(A578, 2))</f>
        <v/>
      </c>
    </row>
    <row r="579">
      <c r="M579">
        <f>IF(A579="","", _xludf.WEEKNUM(A579, 2))</f>
        <v/>
      </c>
    </row>
    <row r="580">
      <c r="M580">
        <f>IF(A580="","", _xludf.WEEKNUM(A580, 2))</f>
        <v/>
      </c>
    </row>
    <row r="581">
      <c r="M581">
        <f>IF(A581="","", _xludf.WEEKNUM(A581, 2))</f>
        <v/>
      </c>
    </row>
    <row r="582">
      <c r="M582">
        <f>IF(A582="","", _xludf.WEEKNUM(A582, 2))</f>
        <v/>
      </c>
    </row>
    <row r="583">
      <c r="M583">
        <f>IF(A583="","", _xludf.WEEKNUM(A583, 2))</f>
        <v/>
      </c>
    </row>
    <row r="584">
      <c r="M584">
        <f>IF(A584="","", _xludf.WEEKNUM(A584, 2))</f>
        <v/>
      </c>
    </row>
    <row r="585">
      <c r="M585">
        <f>IF(A585="","", _xludf.WEEKNUM(A585, 2))</f>
        <v/>
      </c>
    </row>
    <row r="586">
      <c r="M586">
        <f>IF(A586="","", _xludf.WEEKNUM(A586, 2))</f>
        <v/>
      </c>
    </row>
    <row r="587">
      <c r="M587">
        <f>IF(A587="","", _xludf.WEEKNUM(A587, 2))</f>
        <v/>
      </c>
    </row>
    <row r="588">
      <c r="M588">
        <f>IF(A588="","", _xludf.WEEKNUM(A588, 2))</f>
        <v/>
      </c>
    </row>
    <row r="589">
      <c r="M589">
        <f>IF(A589="","", _xludf.WEEKNUM(A589, 2))</f>
        <v/>
      </c>
    </row>
    <row r="590">
      <c r="M590">
        <f>IF(A590="","", _xludf.WEEKNUM(A590, 2))</f>
        <v/>
      </c>
    </row>
    <row r="591">
      <c r="M591">
        <f>IF(A591="","", _xludf.WEEKNUM(A591, 2))</f>
        <v/>
      </c>
    </row>
    <row r="592">
      <c r="M592">
        <f>IF(A592="","", _xludf.WEEKNUM(A592, 2))</f>
        <v/>
      </c>
    </row>
    <row r="593">
      <c r="M593">
        <f>IF(A593="","", _xludf.WEEKNUM(A593, 2))</f>
        <v/>
      </c>
    </row>
    <row r="594">
      <c r="M594">
        <f>IF(A594="","", _xludf.WEEKNUM(A594, 2))</f>
        <v/>
      </c>
    </row>
    <row r="595">
      <c r="M595">
        <f>IF(A595="","", _xludf.WEEKNUM(A595, 2))</f>
        <v/>
      </c>
    </row>
    <row r="596">
      <c r="M596">
        <f>IF(A596="","", _xludf.WEEKNUM(A596, 2))</f>
        <v/>
      </c>
    </row>
    <row r="597">
      <c r="M597">
        <f>IF(A597="","", _xludf.WEEKNUM(A597, 2))</f>
        <v/>
      </c>
    </row>
    <row r="598">
      <c r="M598">
        <f>IF(A598="","", _xludf.WEEKNUM(A598, 2))</f>
        <v/>
      </c>
    </row>
    <row r="599">
      <c r="M599">
        <f>IF(A599="","", _xludf.WEEKNUM(A599, 2))</f>
        <v/>
      </c>
    </row>
    <row r="600">
      <c r="M600">
        <f>IF(A600="","", _xludf.WEEKNUM(A600, 2))</f>
        <v/>
      </c>
    </row>
    <row r="601">
      <c r="M601">
        <f>IF(A601="","", _xludf.WEEKNUM(A601, 2))</f>
        <v/>
      </c>
    </row>
    <row r="602">
      <c r="M602">
        <f>IF(A602="","", _xludf.WEEKNUM(A602, 2))</f>
        <v/>
      </c>
    </row>
    <row r="603">
      <c r="M603">
        <f>IF(A603="","", _xludf.WEEKNUM(A603, 2))</f>
        <v/>
      </c>
    </row>
    <row r="604">
      <c r="M604">
        <f>IF(A604="","", _xludf.WEEKNUM(A604, 2))</f>
        <v/>
      </c>
    </row>
    <row r="605">
      <c r="M605">
        <f>IF(A605="","", _xludf.WEEKNUM(A605, 2))</f>
        <v/>
      </c>
    </row>
    <row r="606">
      <c r="M606">
        <f>IF(A606="","", _xludf.WEEKNUM(A606, 2))</f>
        <v/>
      </c>
    </row>
    <row r="607">
      <c r="M607">
        <f>IF(A607="","", _xludf.WEEKNUM(A607, 2))</f>
        <v/>
      </c>
    </row>
    <row r="608">
      <c r="M608">
        <f>IF(A608="","", _xludf.WEEKNUM(A608, 2))</f>
        <v/>
      </c>
    </row>
    <row r="609">
      <c r="M609">
        <f>IF(A609="","", _xludf.WEEKNUM(A609, 2))</f>
        <v/>
      </c>
    </row>
    <row r="610">
      <c r="M610">
        <f>IF(A610="","", _xludf.WEEKNUM(A610, 2))</f>
        <v/>
      </c>
    </row>
    <row r="611">
      <c r="M611">
        <f>IF(A611="","", _xludf.WEEKNUM(A611, 2))</f>
        <v/>
      </c>
    </row>
    <row r="612">
      <c r="M612">
        <f>IF(A612="","", _xludf.WEEKNUM(A612, 2))</f>
        <v/>
      </c>
    </row>
    <row r="613">
      <c r="M613">
        <f>IF(A613="","", _xludf.WEEKNUM(A613, 2))</f>
        <v/>
      </c>
    </row>
    <row r="614">
      <c r="M614">
        <f>IF(A614="","", _xludf.WEEKNUM(A614, 2))</f>
        <v/>
      </c>
    </row>
    <row r="615">
      <c r="M615">
        <f>IF(A615="","", _xludf.WEEKNUM(A615, 2))</f>
        <v/>
      </c>
    </row>
    <row r="616">
      <c r="M616">
        <f>IF(A616="","", _xludf.WEEKNUM(A616, 2))</f>
        <v/>
      </c>
    </row>
    <row r="617">
      <c r="M617">
        <f>IF(A617="","", _xludf.WEEKNUM(A617, 2))</f>
        <v/>
      </c>
    </row>
    <row r="618">
      <c r="M618">
        <f>IF(A618="","", _xludf.WEEKNUM(A618, 2))</f>
        <v/>
      </c>
    </row>
    <row r="619">
      <c r="M619">
        <f>IF(A619="","", _xludf.WEEKNUM(A619, 2))</f>
        <v/>
      </c>
    </row>
    <row r="620">
      <c r="M620">
        <f>IF(A620="","", _xludf.WEEKNUM(A620, 2))</f>
        <v/>
      </c>
    </row>
    <row r="621">
      <c r="M621">
        <f>IF(A621="","", _xludf.WEEKNUM(A621, 2))</f>
        <v/>
      </c>
    </row>
    <row r="622">
      <c r="M622">
        <f>IF(A622="","", _xludf.WEEKNUM(A622, 2))</f>
        <v/>
      </c>
    </row>
    <row r="623">
      <c r="M623">
        <f>IF(A623="","", _xludf.WEEKNUM(A623, 2))</f>
        <v/>
      </c>
    </row>
    <row r="624">
      <c r="M624">
        <f>IF(A624="","", _xludf.WEEKNUM(A624, 2))</f>
        <v/>
      </c>
    </row>
    <row r="625">
      <c r="M625">
        <f>IF(A625="","", _xludf.WEEKNUM(A625, 2))</f>
        <v/>
      </c>
    </row>
    <row r="626">
      <c r="M626">
        <f>IF(A626="","", _xludf.WEEKNUM(A626, 2))</f>
        <v/>
      </c>
    </row>
    <row r="627">
      <c r="M627">
        <f>IF(A627="","", _xludf.WEEKNUM(A627, 2))</f>
        <v/>
      </c>
    </row>
    <row r="628">
      <c r="M628">
        <f>IF(A628="","", _xludf.WEEKNUM(A628, 2))</f>
        <v/>
      </c>
    </row>
    <row r="629">
      <c r="M629">
        <f>IF(A629="","", _xludf.WEEKNUM(A629, 2))</f>
        <v/>
      </c>
    </row>
    <row r="630">
      <c r="M630">
        <f>IF(A630="","", _xludf.WEEKNUM(A630, 2))</f>
        <v/>
      </c>
    </row>
    <row r="631">
      <c r="M631">
        <f>IF(A631="","", _xludf.WEEKNUM(A631, 2))</f>
        <v/>
      </c>
    </row>
    <row r="632">
      <c r="M632">
        <f>IF(A632="","", _xludf.WEEKNUM(A632, 2))</f>
        <v/>
      </c>
    </row>
    <row r="633">
      <c r="M633">
        <f>IF(A633="","", _xludf.WEEKNUM(A633, 2))</f>
        <v/>
      </c>
    </row>
    <row r="634">
      <c r="M634">
        <f>IF(A634="","", _xludf.WEEKNUM(A634, 2))</f>
        <v/>
      </c>
    </row>
    <row r="635">
      <c r="M635">
        <f>IF(A635="","", _xludf.WEEKNUM(A635, 2))</f>
        <v/>
      </c>
    </row>
    <row r="636">
      <c r="M636">
        <f>IF(A636="","", _xludf.WEEKNUM(A636, 2))</f>
        <v/>
      </c>
    </row>
    <row r="637">
      <c r="M637">
        <f>IF(A637="","", _xludf.WEEKNUM(A637, 2))</f>
        <v/>
      </c>
    </row>
    <row r="638">
      <c r="M638">
        <f>IF(A638="","", _xludf.WEEKNUM(A638, 2))</f>
        <v/>
      </c>
    </row>
    <row r="639">
      <c r="M639">
        <f>IF(A639="","", _xludf.WEEKNUM(A639, 2))</f>
        <v/>
      </c>
    </row>
    <row r="640">
      <c r="M640">
        <f>IF(A640="","", _xludf.WEEKNUM(A640, 2))</f>
        <v/>
      </c>
    </row>
    <row r="641">
      <c r="M641">
        <f>IF(A641="","", _xludf.WEEKNUM(A641, 2))</f>
        <v/>
      </c>
    </row>
    <row r="642">
      <c r="M642">
        <f>IF(A642="","", _xludf.WEEKNUM(A642, 2))</f>
        <v/>
      </c>
    </row>
    <row r="643">
      <c r="M643">
        <f>IF(A643="","", _xludf.WEEKNUM(A643, 2))</f>
        <v/>
      </c>
    </row>
    <row r="644">
      <c r="M644">
        <f>IF(A644="","", _xludf.WEEKNUM(A644, 2))</f>
        <v/>
      </c>
    </row>
    <row r="645">
      <c r="M645">
        <f>IF(A645="","", _xludf.WEEKNUM(A645, 2))</f>
        <v/>
      </c>
    </row>
    <row r="646">
      <c r="M646">
        <f>IF(A646="","", _xludf.WEEKNUM(A646, 2))</f>
        <v/>
      </c>
    </row>
    <row r="647">
      <c r="M647">
        <f>IF(A647="","", _xludf.WEEKNUM(A647, 2))</f>
        <v/>
      </c>
    </row>
    <row r="648">
      <c r="M648">
        <f>IF(A648="","", _xludf.WEEKNUM(A648, 2))</f>
        <v/>
      </c>
    </row>
    <row r="649">
      <c r="M649">
        <f>IF(A649="","", _xludf.WEEKNUM(A649, 2))</f>
        <v/>
      </c>
    </row>
    <row r="650">
      <c r="M650">
        <f>IF(A650="","", _xludf.WEEKNUM(A650, 2))</f>
        <v/>
      </c>
    </row>
    <row r="651">
      <c r="M651">
        <f>IF(A651="","", _xludf.WEEKNUM(A651, 2))</f>
        <v/>
      </c>
    </row>
    <row r="652">
      <c r="M652">
        <f>IF(A652="","", _xludf.WEEKNUM(A652, 2))</f>
        <v/>
      </c>
    </row>
    <row r="653">
      <c r="M653">
        <f>IF(A653="","", _xludf.WEEKNUM(A653, 2))</f>
        <v/>
      </c>
    </row>
    <row r="654">
      <c r="M654">
        <f>IF(A654="","", _xludf.WEEKNUM(A654, 2))</f>
        <v/>
      </c>
    </row>
    <row r="655">
      <c r="M655">
        <f>IF(A655="","", _xludf.WEEKNUM(A655, 2))</f>
        <v/>
      </c>
    </row>
    <row r="656">
      <c r="M656">
        <f>IF(A656="","", _xludf.WEEKNUM(A656, 2))</f>
        <v/>
      </c>
    </row>
    <row r="657">
      <c r="M657">
        <f>IF(A657="","", _xludf.WEEKNUM(A657, 2))</f>
        <v/>
      </c>
    </row>
    <row r="658">
      <c r="M658">
        <f>IF(A658="","", _xludf.WEEKNUM(A658, 2))</f>
        <v/>
      </c>
    </row>
    <row r="659">
      <c r="M659">
        <f>IF(A659="","", _xludf.WEEKNUM(A659, 2))</f>
        <v/>
      </c>
    </row>
    <row r="660">
      <c r="M660">
        <f>IF(A660="","", _xludf.WEEKNUM(A660, 2))</f>
        <v/>
      </c>
    </row>
    <row r="661">
      <c r="M661">
        <f>IF(A661="","", _xludf.WEEKNUM(A661, 2))</f>
        <v/>
      </c>
    </row>
    <row r="662">
      <c r="M662">
        <f>IF(A662="","", _xludf.WEEKNUM(A662, 2))</f>
        <v/>
      </c>
    </row>
    <row r="663">
      <c r="M663">
        <f>IF(A663="","", _xludf.WEEKNUM(A663, 2))</f>
        <v/>
      </c>
    </row>
    <row r="664">
      <c r="M664">
        <f>IF(A664="","", _xludf.WEEKNUM(A664, 2))</f>
        <v/>
      </c>
    </row>
    <row r="665">
      <c r="M665">
        <f>IF(A665="","", _xludf.WEEKNUM(A665, 2))</f>
        <v/>
      </c>
    </row>
    <row r="666">
      <c r="M666">
        <f>IF(A666="","", _xludf.WEEKNUM(A666, 2))</f>
        <v/>
      </c>
    </row>
    <row r="667">
      <c r="M667">
        <f>IF(A667="","", _xludf.WEEKNUM(A667, 2))</f>
        <v/>
      </c>
    </row>
    <row r="668">
      <c r="M668">
        <f>IF(A668="","", _xludf.WEEKNUM(A668, 2))</f>
        <v/>
      </c>
    </row>
    <row r="669">
      <c r="M669">
        <f>IF(A669="","", _xludf.WEEKNUM(A669, 2))</f>
        <v/>
      </c>
    </row>
    <row r="670">
      <c r="M670">
        <f>IF(A670="","", _xludf.WEEKNUM(A670, 2))</f>
        <v/>
      </c>
    </row>
    <row r="671">
      <c r="M671">
        <f>IF(A671="","", _xludf.WEEKNUM(A671, 2))</f>
        <v/>
      </c>
    </row>
    <row r="672">
      <c r="M672">
        <f>IF(A672="","", _xludf.WEEKNUM(A672, 2))</f>
        <v/>
      </c>
    </row>
    <row r="673">
      <c r="M673">
        <f>IF(A673="","", _xludf.WEEKNUM(A673, 2))</f>
        <v/>
      </c>
    </row>
    <row r="674">
      <c r="M674">
        <f>IF(A674="","", _xludf.WEEKNUM(A674, 2))</f>
        <v/>
      </c>
    </row>
    <row r="675">
      <c r="M675">
        <f>IF(A675="","", _xludf.WEEKNUM(A675, 2))</f>
        <v/>
      </c>
    </row>
    <row r="676">
      <c r="M676">
        <f>IF(A676="","", _xludf.WEEKNUM(A676, 2))</f>
        <v/>
      </c>
    </row>
    <row r="677">
      <c r="M677">
        <f>IF(A677="","", _xludf.WEEKNUM(A677, 2))</f>
        <v/>
      </c>
    </row>
    <row r="678">
      <c r="M678">
        <f>IF(A678="","", _xludf.WEEKNUM(A678, 2))</f>
        <v/>
      </c>
    </row>
    <row r="679">
      <c r="M679">
        <f>IF(A679="","", _xludf.WEEKNUM(A679, 2))</f>
        <v/>
      </c>
    </row>
    <row r="680">
      <c r="M680">
        <f>IF(A680="","", _xludf.WEEKNUM(A680, 2))</f>
        <v/>
      </c>
    </row>
    <row r="681">
      <c r="M681">
        <f>IF(A681="","", _xludf.WEEKNUM(A681, 2))</f>
        <v/>
      </c>
    </row>
    <row r="682">
      <c r="M682">
        <f>IF(A682="","", _xludf.WEEKNUM(A682, 2))</f>
        <v/>
      </c>
    </row>
    <row r="683">
      <c r="M683">
        <f>IF(A683="","", _xludf.WEEKNUM(A683, 2))</f>
        <v/>
      </c>
    </row>
    <row r="684">
      <c r="M684">
        <f>IF(A684="","", _xludf.WEEKNUM(A684, 2))</f>
        <v/>
      </c>
    </row>
    <row r="685">
      <c r="M685">
        <f>IF(A685="","", _xludf.WEEKNUM(A685, 2))</f>
        <v/>
      </c>
    </row>
    <row r="686">
      <c r="M686">
        <f>IF(A686="","", _xludf.WEEKNUM(A686, 2))</f>
        <v/>
      </c>
    </row>
    <row r="687">
      <c r="M687">
        <f>IF(A687="","", _xludf.WEEKNUM(A687, 2))</f>
        <v/>
      </c>
    </row>
    <row r="688">
      <c r="M688">
        <f>IF(A688="","", _xludf.WEEKNUM(A688, 2))</f>
        <v/>
      </c>
    </row>
    <row r="689">
      <c r="M689">
        <f>IF(A689="","", _xludf.WEEKNUM(A689, 2))</f>
        <v/>
      </c>
    </row>
    <row r="690">
      <c r="M690">
        <f>IF(A690="","", _xludf.WEEKNUM(A690, 2))</f>
        <v/>
      </c>
    </row>
    <row r="691">
      <c r="M691">
        <f>IF(A691="","", _xludf.WEEKNUM(A691, 2))</f>
        <v/>
      </c>
    </row>
    <row r="692">
      <c r="M692">
        <f>IF(A692="","", _xludf.WEEKNUM(A692, 2))</f>
        <v/>
      </c>
    </row>
    <row r="693">
      <c r="M693">
        <f>IF(A693="","", _xludf.WEEKNUM(A693, 2))</f>
        <v/>
      </c>
    </row>
    <row r="694">
      <c r="M694">
        <f>IF(A694="","", _xludf.WEEKNUM(A694, 2))</f>
        <v/>
      </c>
    </row>
    <row r="695">
      <c r="M695">
        <f>IF(A695="","", _xludf.WEEKNUM(A695, 2))</f>
        <v/>
      </c>
    </row>
    <row r="696">
      <c r="M696">
        <f>IF(A696="","", _xludf.WEEKNUM(A696, 2))</f>
        <v/>
      </c>
    </row>
    <row r="697">
      <c r="M697">
        <f>IF(A697="","", _xludf.WEEKNUM(A697, 2))</f>
        <v/>
      </c>
    </row>
    <row r="698">
      <c r="M698">
        <f>IF(A698="","", _xludf.WEEKNUM(A698, 2))</f>
        <v/>
      </c>
    </row>
    <row r="699">
      <c r="M699">
        <f>IF(A699="","", _xludf.WEEKNUM(A699, 2))</f>
        <v/>
      </c>
    </row>
    <row r="700">
      <c r="M700">
        <f>IF(A700="","", _xludf.WEEKNUM(A700, 2))</f>
        <v/>
      </c>
    </row>
    <row r="701">
      <c r="M701">
        <f>IF(A701="","", _xludf.WEEKNUM(A701, 2))</f>
        <v/>
      </c>
    </row>
    <row r="702">
      <c r="M702">
        <f>IF(A702="","", _xludf.WEEKNUM(A702, 2))</f>
        <v/>
      </c>
    </row>
    <row r="703">
      <c r="M703">
        <f>IF(A703="","", _xludf.WEEKNUM(A703, 2))</f>
        <v/>
      </c>
    </row>
    <row r="704">
      <c r="M704">
        <f>IF(A704="","", _xludf.WEEKNUM(A704, 2))</f>
        <v/>
      </c>
    </row>
    <row r="705">
      <c r="M705">
        <f>IF(A705="","", _xludf.WEEKNUM(A705, 2))</f>
        <v/>
      </c>
    </row>
    <row r="706">
      <c r="M706">
        <f>IF(A706="","", _xludf.WEEKNUM(A706, 2))</f>
        <v/>
      </c>
    </row>
    <row r="707">
      <c r="M707">
        <f>IF(A707="","", _xludf.WEEKNUM(A707, 2))</f>
        <v/>
      </c>
    </row>
    <row r="708">
      <c r="M708">
        <f>IF(A708="","", _xludf.WEEKNUM(A708, 2))</f>
        <v/>
      </c>
    </row>
    <row r="709">
      <c r="M709">
        <f>IF(A709="","", _xludf.WEEKNUM(A709, 2))</f>
        <v/>
      </c>
    </row>
    <row r="710">
      <c r="M710">
        <f>IF(A710="","", _xludf.WEEKNUM(A710, 2))</f>
        <v/>
      </c>
    </row>
    <row r="711">
      <c r="M711">
        <f>IF(A711="","", _xludf.WEEKNUM(A711, 2))</f>
        <v/>
      </c>
    </row>
    <row r="712">
      <c r="M712">
        <f>IF(A712="","", _xludf.WEEKNUM(A712, 2))</f>
        <v/>
      </c>
    </row>
    <row r="713">
      <c r="M713">
        <f>IF(A713="","", _xludf.WEEKNUM(A713, 2))</f>
        <v/>
      </c>
    </row>
    <row r="714">
      <c r="M714">
        <f>IF(A714="","", _xludf.WEEKNUM(A714, 2))</f>
        <v/>
      </c>
    </row>
    <row r="715">
      <c r="M715">
        <f>IF(A715="","", _xludf.WEEKNUM(A715, 2))</f>
        <v/>
      </c>
    </row>
    <row r="716">
      <c r="M716">
        <f>IF(A716="","", _xludf.WEEKNUM(A716, 2))</f>
        <v/>
      </c>
    </row>
    <row r="717">
      <c r="M717">
        <f>IF(A717="","", _xludf.WEEKNUM(A717, 2))</f>
        <v/>
      </c>
    </row>
    <row r="718">
      <c r="M718">
        <f>IF(A718="","", _xludf.WEEKNUM(A718, 2))</f>
        <v/>
      </c>
    </row>
    <row r="719">
      <c r="M719">
        <f>IF(A719="","", _xludf.WEEKNUM(A719, 2))</f>
        <v/>
      </c>
    </row>
    <row r="720">
      <c r="M720">
        <f>IF(A720="","", _xludf.WEEKNUM(A720, 2))</f>
        <v/>
      </c>
    </row>
    <row r="721">
      <c r="M721">
        <f>IF(A721="","", _xludf.WEEKNUM(A721, 2))</f>
        <v/>
      </c>
    </row>
    <row r="722">
      <c r="M722">
        <f>IF(A722="","", _xludf.WEEKNUM(A722, 2))</f>
        <v/>
      </c>
    </row>
    <row r="723">
      <c r="M723">
        <f>IF(A723="","", _xludf.WEEKNUM(A723, 2))</f>
        <v/>
      </c>
    </row>
    <row r="724">
      <c r="M724">
        <f>IF(A724="","", _xludf.WEEKNUM(A724, 2))</f>
        <v/>
      </c>
    </row>
    <row r="725">
      <c r="M725">
        <f>IF(A725="","", _xludf.WEEKNUM(A725, 2))</f>
        <v/>
      </c>
    </row>
    <row r="726">
      <c r="M726">
        <f>IF(A726="","", _xludf.WEEKNUM(A726, 2))</f>
        <v/>
      </c>
    </row>
    <row r="727">
      <c r="M727">
        <f>IF(A727="","", _xludf.WEEKNUM(A727, 2))</f>
        <v/>
      </c>
    </row>
    <row r="728">
      <c r="M728">
        <f>IF(A728="","", _xludf.WEEKNUM(A728, 2))</f>
        <v/>
      </c>
    </row>
    <row r="729">
      <c r="M729">
        <f>IF(A729="","", _xludf.WEEKNUM(A729, 2))</f>
        <v/>
      </c>
    </row>
    <row r="730">
      <c r="M730">
        <f>IF(A730="","", _xludf.WEEKNUM(A730, 2))</f>
        <v/>
      </c>
    </row>
    <row r="731">
      <c r="M731">
        <f>IF(A731="","", _xludf.WEEKNUM(A731, 2))</f>
        <v/>
      </c>
    </row>
    <row r="732">
      <c r="M732">
        <f>IF(A732="","", _xludf.WEEKNUM(A732, 2))</f>
        <v/>
      </c>
    </row>
    <row r="733">
      <c r="M733">
        <f>IF(A733="","", _xludf.WEEKNUM(A733, 2))</f>
        <v/>
      </c>
    </row>
    <row r="734">
      <c r="M734">
        <f>IF(A734="","", _xludf.WEEKNUM(A734, 2))</f>
        <v/>
      </c>
    </row>
    <row r="735">
      <c r="M735">
        <f>IF(A735="","", _xludf.WEEKNUM(A735, 2))</f>
        <v/>
      </c>
    </row>
    <row r="736">
      <c r="M736">
        <f>IF(A736="","", _xludf.WEEKNUM(A736, 2))</f>
        <v/>
      </c>
    </row>
    <row r="737">
      <c r="M737">
        <f>IF(A737="","", _xludf.WEEKNUM(A737, 2))</f>
        <v/>
      </c>
    </row>
    <row r="738">
      <c r="M738">
        <f>IF(A738="","", _xludf.WEEKNUM(A738, 2))</f>
        <v/>
      </c>
    </row>
    <row r="739">
      <c r="M739">
        <f>IF(A739="","", _xludf.WEEKNUM(A739, 2))</f>
        <v/>
      </c>
    </row>
    <row r="740">
      <c r="M740">
        <f>IF(A740="","", _xludf.WEEKNUM(A740, 2))</f>
        <v/>
      </c>
    </row>
    <row r="741">
      <c r="M741">
        <f>IF(A741="","", _xludf.WEEKNUM(A741, 2))</f>
        <v/>
      </c>
    </row>
    <row r="742">
      <c r="M742">
        <f>IF(A742="","", _xludf.WEEKNUM(A742, 2))</f>
        <v/>
      </c>
    </row>
    <row r="743">
      <c r="M743">
        <f>IF(A743="","", _xludf.WEEKNUM(A743, 2))</f>
        <v/>
      </c>
    </row>
    <row r="744">
      <c r="M744">
        <f>IF(A744="","", _xludf.WEEKNUM(A744, 2))</f>
        <v/>
      </c>
    </row>
    <row r="745">
      <c r="M745">
        <f>IF(A745="","", _xludf.WEEKNUM(A745, 2))</f>
        <v/>
      </c>
    </row>
    <row r="746">
      <c r="M746">
        <f>IF(A746="","", _xludf.WEEKNUM(A746, 2))</f>
        <v/>
      </c>
    </row>
    <row r="747">
      <c r="M747">
        <f>IF(A747="","", _xludf.WEEKNUM(A747, 2))</f>
        <v/>
      </c>
    </row>
    <row r="748">
      <c r="M748">
        <f>IF(A748="","", _xludf.WEEKNUM(A748, 2))</f>
        <v/>
      </c>
    </row>
    <row r="749">
      <c r="M749">
        <f>IF(A749="","", _xludf.WEEKNUM(A749, 2))</f>
        <v/>
      </c>
    </row>
    <row r="750">
      <c r="M750">
        <f>IF(A750="","", _xludf.WEEKNUM(A750, 2))</f>
        <v/>
      </c>
    </row>
    <row r="751">
      <c r="M751">
        <f>IF(A751="","", _xludf.WEEKNUM(A751, 2))</f>
        <v/>
      </c>
    </row>
    <row r="752">
      <c r="M752">
        <f>IF(A752="","", _xludf.WEEKNUM(A752, 2))</f>
        <v/>
      </c>
    </row>
    <row r="753">
      <c r="M753">
        <f>IF(A753="","", _xludf.WEEKNUM(A753, 2))</f>
        <v/>
      </c>
    </row>
    <row r="754">
      <c r="M754">
        <f>IF(A754="","", _xludf.WEEKNUM(A754, 2))</f>
        <v/>
      </c>
    </row>
    <row r="755">
      <c r="M755">
        <f>IF(A755="","", _xludf.WEEKNUM(A755, 2))</f>
        <v/>
      </c>
    </row>
    <row r="756">
      <c r="M756">
        <f>IF(A756="","", _xludf.WEEKNUM(A756, 2))</f>
        <v/>
      </c>
    </row>
    <row r="757">
      <c r="M757">
        <f>IF(A757="","", _xludf.WEEKNUM(A757, 2))</f>
        <v/>
      </c>
    </row>
    <row r="758">
      <c r="M758">
        <f>IF(A758="","", _xludf.WEEKNUM(A758, 2))</f>
        <v/>
      </c>
    </row>
    <row r="759">
      <c r="M759">
        <f>IF(A759="","", _xludf.WEEKNUM(A759, 2))</f>
        <v/>
      </c>
    </row>
    <row r="760">
      <c r="M760">
        <f>IF(A760="","", _xludf.WEEKNUM(A760, 2))</f>
        <v/>
      </c>
    </row>
    <row r="761">
      <c r="M761">
        <f>IF(A761="","", _xludf.WEEKNUM(A761, 2))</f>
        <v/>
      </c>
    </row>
    <row r="762">
      <c r="M762">
        <f>IF(A762="","", _xludf.WEEKNUM(A762, 2))</f>
        <v/>
      </c>
    </row>
    <row r="763">
      <c r="M763">
        <f>IF(A763="","", _xludf.WEEKNUM(A763, 2))</f>
        <v/>
      </c>
    </row>
    <row r="764">
      <c r="M764">
        <f>IF(A764="","", _xludf.WEEKNUM(A764, 2))</f>
        <v/>
      </c>
    </row>
    <row r="765">
      <c r="M765">
        <f>IF(A765="","", _xludf.WEEKNUM(A765, 2))</f>
        <v/>
      </c>
    </row>
    <row r="766">
      <c r="M766">
        <f>IF(A766="","", _xludf.WEEKNUM(A766, 2))</f>
        <v/>
      </c>
    </row>
    <row r="767">
      <c r="M767">
        <f>IF(A767="","", _xludf.WEEKNUM(A767, 2))</f>
        <v/>
      </c>
    </row>
    <row r="768">
      <c r="M768">
        <f>IF(A768="","", _xludf.WEEKNUM(A768, 2))</f>
        <v/>
      </c>
    </row>
    <row r="769">
      <c r="M769">
        <f>IF(A769="","", _xludf.WEEKNUM(A769, 2))</f>
        <v/>
      </c>
    </row>
    <row r="770">
      <c r="M770">
        <f>IF(A770="","", _xludf.WEEKNUM(A770, 2))</f>
        <v/>
      </c>
    </row>
    <row r="771">
      <c r="M771">
        <f>IF(A771="","", _xludf.WEEKNUM(A771, 2))</f>
        <v/>
      </c>
    </row>
    <row r="772">
      <c r="M772">
        <f>IF(A772="","", _xludf.WEEKNUM(A772, 2))</f>
        <v/>
      </c>
    </row>
    <row r="773">
      <c r="M773">
        <f>IF(A773="","", _xludf.WEEKNUM(A773, 2))</f>
        <v/>
      </c>
    </row>
    <row r="774">
      <c r="M774">
        <f>IF(A774="","", _xludf.WEEKNUM(A774, 2))</f>
        <v/>
      </c>
    </row>
    <row r="775">
      <c r="M775">
        <f>IF(A775="","", _xludf.WEEKNUM(A775, 2))</f>
        <v/>
      </c>
    </row>
    <row r="776">
      <c r="M776">
        <f>IF(A776="","", _xludf.WEEKNUM(A776, 2))</f>
        <v/>
      </c>
    </row>
    <row r="777">
      <c r="M777">
        <f>IF(A777="","", _xludf.WEEKNUM(A777, 2))</f>
        <v/>
      </c>
    </row>
    <row r="778">
      <c r="M778">
        <f>IF(A778="","", _xludf.WEEKNUM(A778, 2))</f>
        <v/>
      </c>
    </row>
    <row r="779">
      <c r="M779">
        <f>IF(A779="","", _xludf.WEEKNUM(A779, 2))</f>
        <v/>
      </c>
    </row>
    <row r="780">
      <c r="M780">
        <f>IF(A780="","", _xludf.WEEKNUM(A780, 2))</f>
        <v/>
      </c>
    </row>
    <row r="781">
      <c r="M781">
        <f>IF(A781="","", _xludf.WEEKNUM(A781, 2))</f>
        <v/>
      </c>
    </row>
    <row r="782">
      <c r="M782">
        <f>IF(A782="","", _xludf.WEEKNUM(A782, 2))</f>
        <v/>
      </c>
    </row>
    <row r="783">
      <c r="M783">
        <f>IF(A783="","", _xludf.WEEKNUM(A783, 2))</f>
        <v/>
      </c>
    </row>
    <row r="784">
      <c r="M784">
        <f>IF(A784="","", _xludf.WEEKNUM(A784, 2))</f>
        <v/>
      </c>
    </row>
    <row r="785">
      <c r="M785">
        <f>IF(A785="","", _xludf.WEEKNUM(A785, 2))</f>
        <v/>
      </c>
    </row>
    <row r="786">
      <c r="M786">
        <f>IF(A786="","", _xludf.WEEKNUM(A786, 2))</f>
        <v/>
      </c>
    </row>
    <row r="787">
      <c r="M787">
        <f>IF(A787="","", _xludf.WEEKNUM(A787, 2))</f>
        <v/>
      </c>
    </row>
    <row r="788">
      <c r="M788">
        <f>IF(A788="","", _xludf.WEEKNUM(A788, 2))</f>
        <v/>
      </c>
    </row>
    <row r="789">
      <c r="M789">
        <f>IF(A789="","", _xludf.WEEKNUM(A789, 2))</f>
        <v/>
      </c>
    </row>
    <row r="790">
      <c r="M790">
        <f>IF(A790="","", _xludf.WEEKNUM(A790, 2))</f>
        <v/>
      </c>
    </row>
    <row r="791">
      <c r="M791">
        <f>IF(A791="","", _xludf.WEEKNUM(A791, 2))</f>
        <v/>
      </c>
    </row>
    <row r="792">
      <c r="M792">
        <f>IF(A792="","", _xludf.WEEKNUM(A792, 2))</f>
        <v/>
      </c>
    </row>
    <row r="793">
      <c r="M793">
        <f>IF(A793="","", _xludf.WEEKNUM(A793, 2))</f>
        <v/>
      </c>
    </row>
    <row r="794">
      <c r="M794">
        <f>IF(A794="","", _xludf.WEEKNUM(A794, 2))</f>
        <v/>
      </c>
    </row>
    <row r="795">
      <c r="M795">
        <f>IF(A795="","", _xludf.WEEKNUM(A795, 2))</f>
        <v/>
      </c>
    </row>
    <row r="796">
      <c r="M796">
        <f>IF(A796="","", _xludf.WEEKNUM(A796, 2))</f>
        <v/>
      </c>
    </row>
    <row r="797">
      <c r="M797">
        <f>IF(A797="","", _xludf.WEEKNUM(A797, 2))</f>
        <v/>
      </c>
    </row>
    <row r="798">
      <c r="M798">
        <f>IF(A798="","", _xludf.WEEKNUM(A798, 2))</f>
        <v/>
      </c>
    </row>
    <row r="799">
      <c r="M799">
        <f>IF(A799="","", _xludf.WEEKNUM(A799, 2))</f>
        <v/>
      </c>
    </row>
    <row r="800">
      <c r="M800">
        <f>IF(A800="","", _xludf.WEEKNUM(A800, 2))</f>
        <v/>
      </c>
    </row>
    <row r="801">
      <c r="M801">
        <f>IF(A801="","", _xludf.WEEKNUM(A801, 2))</f>
        <v/>
      </c>
    </row>
    <row r="802">
      <c r="M802">
        <f>IF(A802="","", _xludf.WEEKNUM(A802, 2))</f>
        <v/>
      </c>
    </row>
    <row r="803">
      <c r="M803">
        <f>IF(A803="","", _xludf.WEEKNUM(A803, 2))</f>
        <v/>
      </c>
    </row>
    <row r="804">
      <c r="M804">
        <f>IF(A804="","", _xludf.WEEKNUM(A804, 2))</f>
        <v/>
      </c>
    </row>
    <row r="805">
      <c r="M805">
        <f>IF(A805="","", _xludf.WEEKNUM(A805, 2))</f>
        <v/>
      </c>
    </row>
    <row r="806">
      <c r="M806">
        <f>IF(A806="","", _xludf.WEEKNUM(A806, 2))</f>
        <v/>
      </c>
    </row>
    <row r="807">
      <c r="M807">
        <f>IF(A807="","", _xludf.WEEKNUM(A807, 2))</f>
        <v/>
      </c>
    </row>
    <row r="808">
      <c r="M808">
        <f>IF(A808="","", _xludf.WEEKNUM(A808, 2))</f>
        <v/>
      </c>
    </row>
    <row r="809">
      <c r="M809">
        <f>IF(A809="","", _xludf.WEEKNUM(A809, 2))</f>
        <v/>
      </c>
    </row>
    <row r="810">
      <c r="M810">
        <f>IF(A810="","", _xludf.WEEKNUM(A810, 2))</f>
        <v/>
      </c>
    </row>
    <row r="811">
      <c r="M811">
        <f>IF(A811="","", _xludf.WEEKNUM(A811, 2))</f>
        <v/>
      </c>
    </row>
    <row r="812">
      <c r="M812">
        <f>IF(A812="","", _xludf.WEEKNUM(A812, 2))</f>
        <v/>
      </c>
    </row>
    <row r="813">
      <c r="M813">
        <f>IF(A813="","", _xludf.WEEKNUM(A813, 2))</f>
        <v/>
      </c>
    </row>
    <row r="814">
      <c r="M814">
        <f>IF(A814="","", _xludf.WEEKNUM(A814, 2))</f>
        <v/>
      </c>
    </row>
    <row r="815">
      <c r="M815">
        <f>IF(A815="","", _xludf.WEEKNUM(A815, 2))</f>
        <v/>
      </c>
    </row>
    <row r="816">
      <c r="M816">
        <f>IF(A816="","", _xludf.WEEKNUM(A816, 2))</f>
        <v/>
      </c>
    </row>
    <row r="817">
      <c r="M817">
        <f>IF(A817="","", _xludf.WEEKNUM(A817, 2))</f>
        <v/>
      </c>
    </row>
    <row r="818">
      <c r="M818">
        <f>IF(A818="","", _xludf.WEEKNUM(A818, 2))</f>
        <v/>
      </c>
    </row>
    <row r="819">
      <c r="M819">
        <f>IF(A819="","", _xludf.WEEKNUM(A819, 2))</f>
        <v/>
      </c>
    </row>
    <row r="820">
      <c r="M820">
        <f>IF(A820="","", _xludf.WEEKNUM(A820, 2))</f>
        <v/>
      </c>
    </row>
    <row r="821">
      <c r="M821">
        <f>IF(A821="","", _xludf.WEEKNUM(A821, 2))</f>
        <v/>
      </c>
    </row>
    <row r="822">
      <c r="M822">
        <f>IF(A822="","", _xludf.WEEKNUM(A822, 2))</f>
        <v/>
      </c>
    </row>
    <row r="823">
      <c r="M823">
        <f>IF(A823="","", _xludf.WEEKNUM(A823, 2))</f>
        <v/>
      </c>
    </row>
    <row r="824">
      <c r="M824">
        <f>IF(A824="","", _xludf.WEEKNUM(A824, 2))</f>
        <v/>
      </c>
    </row>
    <row r="825">
      <c r="M825">
        <f>IF(A825="","", _xludf.WEEKNUM(A825, 2))</f>
        <v/>
      </c>
    </row>
    <row r="826">
      <c r="M826">
        <f>IF(A826="","", _xludf.WEEKNUM(A826, 2))</f>
        <v/>
      </c>
    </row>
    <row r="827">
      <c r="M827">
        <f>IF(A827="","", _xludf.WEEKNUM(A827, 2))</f>
        <v/>
      </c>
    </row>
    <row r="828">
      <c r="M828">
        <f>IF(A828="","", _xludf.WEEKNUM(A828, 2))</f>
        <v/>
      </c>
    </row>
    <row r="829">
      <c r="M829">
        <f>IF(A829="","", _xludf.WEEKNUM(A829, 2))</f>
        <v/>
      </c>
    </row>
    <row r="830">
      <c r="M830">
        <f>IF(A830="","", _xludf.WEEKNUM(A830, 2))</f>
        <v/>
      </c>
    </row>
    <row r="831">
      <c r="M831">
        <f>IF(A831="","", _xludf.WEEKNUM(A831, 2))</f>
        <v/>
      </c>
    </row>
    <row r="832">
      <c r="M832">
        <f>IF(A832="","", _xludf.WEEKNUM(A832, 2))</f>
        <v/>
      </c>
    </row>
    <row r="833">
      <c r="M833">
        <f>IF(A833="","", _xludf.WEEKNUM(A833, 2))</f>
        <v/>
      </c>
    </row>
    <row r="834">
      <c r="M834">
        <f>IF(A834="","", _xludf.WEEKNUM(A834, 2))</f>
        <v/>
      </c>
    </row>
    <row r="835">
      <c r="M835">
        <f>IF(A835="","", _xludf.WEEKNUM(A835, 2))</f>
        <v/>
      </c>
    </row>
    <row r="836">
      <c r="M836">
        <f>IF(A836="","", _xludf.WEEKNUM(A836, 2))</f>
        <v/>
      </c>
    </row>
    <row r="837">
      <c r="M837">
        <f>IF(A837="","", _xludf.WEEKNUM(A837, 2))</f>
        <v/>
      </c>
    </row>
    <row r="838">
      <c r="M838">
        <f>IF(A838="","", _xludf.WEEKNUM(A838, 2))</f>
        <v/>
      </c>
    </row>
    <row r="839">
      <c r="M839">
        <f>IF(A839="","", _xludf.WEEKNUM(A839, 2))</f>
        <v/>
      </c>
    </row>
    <row r="840">
      <c r="M840">
        <f>IF(A840="","", _xludf.WEEKNUM(A840, 2))</f>
        <v/>
      </c>
    </row>
    <row r="841">
      <c r="M841">
        <f>IF(A841="","", _xludf.WEEKNUM(A841, 2))</f>
        <v/>
      </c>
    </row>
    <row r="842">
      <c r="M842">
        <f>IF(A842="","", _xludf.WEEKNUM(A842, 2))</f>
        <v/>
      </c>
    </row>
    <row r="843">
      <c r="M843">
        <f>IF(A843="","", _xludf.WEEKNUM(A843, 2))</f>
        <v/>
      </c>
    </row>
    <row r="844">
      <c r="M844">
        <f>IF(A844="","", _xludf.WEEKNUM(A844, 2))</f>
        <v/>
      </c>
    </row>
    <row r="845">
      <c r="M845">
        <f>IF(A845="","", _xludf.WEEKNUM(A845, 2))</f>
        <v/>
      </c>
    </row>
    <row r="846">
      <c r="M846">
        <f>IF(A846="","", _xludf.WEEKNUM(A846, 2))</f>
        <v/>
      </c>
    </row>
    <row r="847">
      <c r="M847">
        <f>IF(A847="","", _xludf.WEEKNUM(A847, 2))</f>
        <v/>
      </c>
    </row>
    <row r="848">
      <c r="M848">
        <f>IF(A848="","", _xludf.WEEKNUM(A848, 2))</f>
        <v/>
      </c>
    </row>
    <row r="849">
      <c r="M849">
        <f>IF(A849="","", _xludf.WEEKNUM(A849, 2))</f>
        <v/>
      </c>
    </row>
    <row r="850">
      <c r="M850">
        <f>IF(A850="","", _xludf.WEEKNUM(A850, 2))</f>
        <v/>
      </c>
    </row>
    <row r="851">
      <c r="M851">
        <f>IF(A851="","", _xludf.WEEKNUM(A851, 2))</f>
        <v/>
      </c>
    </row>
    <row r="852">
      <c r="M852">
        <f>IF(A852="","", _xludf.WEEKNUM(A852, 2))</f>
        <v/>
      </c>
    </row>
    <row r="853">
      <c r="M853">
        <f>IF(A853="","", _xludf.WEEKNUM(A853, 2))</f>
        <v/>
      </c>
    </row>
    <row r="854">
      <c r="M854">
        <f>IF(A854="","", _xludf.WEEKNUM(A854, 2))</f>
        <v/>
      </c>
    </row>
    <row r="855">
      <c r="M855">
        <f>IF(A855="","", _xludf.WEEKNUM(A855, 2))</f>
        <v/>
      </c>
    </row>
    <row r="856">
      <c r="M856">
        <f>IF(A856="","", _xludf.WEEKNUM(A856, 2))</f>
        <v/>
      </c>
    </row>
    <row r="857">
      <c r="M857">
        <f>IF(A857="","", _xludf.WEEKNUM(A857, 2))</f>
        <v/>
      </c>
    </row>
    <row r="858">
      <c r="M858">
        <f>IF(A858="","", _xludf.WEEKNUM(A858, 2))</f>
        <v/>
      </c>
    </row>
    <row r="859">
      <c r="M859">
        <f>IF(A859="","", _xludf.WEEKNUM(A859, 2))</f>
        <v/>
      </c>
    </row>
    <row r="860">
      <c r="M860">
        <f>IF(A860="","", _xludf.WEEKNUM(A860, 2))</f>
        <v/>
      </c>
    </row>
    <row r="861">
      <c r="M861">
        <f>IF(A861="","", _xludf.WEEKNUM(A861, 2))</f>
        <v/>
      </c>
    </row>
    <row r="862">
      <c r="M862">
        <f>IF(A862="","", _xludf.WEEKNUM(A862, 2))</f>
        <v/>
      </c>
    </row>
    <row r="863">
      <c r="M863">
        <f>IF(A863="","", _xludf.WEEKNUM(A863, 2))</f>
        <v/>
      </c>
    </row>
    <row r="864">
      <c r="M864">
        <f>IF(A864="","", _xludf.WEEKNUM(A864, 2))</f>
        <v/>
      </c>
    </row>
    <row r="865">
      <c r="M865">
        <f>IF(A865="","", _xludf.WEEKNUM(A865, 2))</f>
        <v/>
      </c>
    </row>
    <row r="866">
      <c r="M866">
        <f>IF(A866="","", _xludf.WEEKNUM(A866, 2))</f>
        <v/>
      </c>
    </row>
    <row r="867">
      <c r="M867">
        <f>IF(A867="","", _xludf.WEEKNUM(A867, 2))</f>
        <v/>
      </c>
    </row>
    <row r="868">
      <c r="M868">
        <f>IF(A868="","", _xludf.WEEKNUM(A868, 2))</f>
        <v/>
      </c>
    </row>
    <row r="869">
      <c r="M869">
        <f>IF(A869="","", _xludf.WEEKNUM(A869, 2))</f>
        <v/>
      </c>
    </row>
    <row r="870">
      <c r="M870">
        <f>IF(A870="","", _xludf.WEEKNUM(A870, 2))</f>
        <v/>
      </c>
    </row>
    <row r="871">
      <c r="M871">
        <f>IF(A871="","", _xludf.WEEKNUM(A871, 2))</f>
        <v/>
      </c>
    </row>
    <row r="872">
      <c r="M872">
        <f>IF(A872="","", _xludf.WEEKNUM(A872, 2))</f>
        <v/>
      </c>
    </row>
    <row r="873">
      <c r="M873">
        <f>IF(A873="","", _xludf.WEEKNUM(A873, 2))</f>
        <v/>
      </c>
    </row>
    <row r="874">
      <c r="M874">
        <f>IF(A874="","", _xludf.WEEKNUM(A874, 2))</f>
        <v/>
      </c>
    </row>
    <row r="875">
      <c r="M875">
        <f>IF(A875="","", _xludf.WEEKNUM(A875, 2))</f>
        <v/>
      </c>
    </row>
    <row r="876">
      <c r="M876">
        <f>IF(A876="","", _xludf.WEEKNUM(A876, 2))</f>
        <v/>
      </c>
    </row>
    <row r="877">
      <c r="M877">
        <f>IF(A877="","", _xludf.WEEKNUM(A877, 2))</f>
        <v/>
      </c>
    </row>
    <row r="878">
      <c r="M878">
        <f>IF(A878="","", _xludf.WEEKNUM(A878, 2))</f>
        <v/>
      </c>
    </row>
    <row r="879">
      <c r="M879">
        <f>IF(A879="","", _xludf.WEEKNUM(A879, 2))</f>
        <v/>
      </c>
    </row>
    <row r="880">
      <c r="M880">
        <f>IF(A880="","", _xludf.WEEKNUM(A880, 2))</f>
        <v/>
      </c>
    </row>
    <row r="881">
      <c r="M881">
        <f>IF(A881="","", _xludf.WEEKNUM(A881, 2))</f>
        <v/>
      </c>
    </row>
    <row r="882">
      <c r="M882">
        <f>IF(A882="","", _xludf.WEEKNUM(A882, 2))</f>
        <v/>
      </c>
    </row>
    <row r="883">
      <c r="M883">
        <f>IF(A883="","", _xludf.WEEKNUM(A883, 2))</f>
        <v/>
      </c>
    </row>
    <row r="884">
      <c r="M884">
        <f>IF(A884="","", _xludf.WEEKNUM(A884, 2))</f>
        <v/>
      </c>
    </row>
    <row r="885">
      <c r="M885">
        <f>IF(A885="","", _xludf.WEEKNUM(A885, 2))</f>
        <v/>
      </c>
    </row>
    <row r="886">
      <c r="M886">
        <f>IF(A886="","", _xludf.WEEKNUM(A886, 2))</f>
        <v/>
      </c>
    </row>
    <row r="887">
      <c r="M887">
        <f>IF(A887="","", _xludf.WEEKNUM(A887, 2))</f>
        <v/>
      </c>
    </row>
    <row r="888">
      <c r="M888">
        <f>IF(A888="","", _xludf.WEEKNUM(A888, 2))</f>
        <v/>
      </c>
    </row>
    <row r="889">
      <c r="M889">
        <f>IF(A889="","", _xludf.WEEKNUM(A889, 2))</f>
        <v/>
      </c>
    </row>
    <row r="890">
      <c r="M890">
        <f>IF(A890="","", _xludf.WEEKNUM(A890, 2))</f>
        <v/>
      </c>
    </row>
    <row r="891">
      <c r="M891">
        <f>IF(A891="","", _xludf.WEEKNUM(A891, 2))</f>
        <v/>
      </c>
    </row>
    <row r="892">
      <c r="M892">
        <f>IF(A892="","", _xludf.WEEKNUM(A892, 2))</f>
        <v/>
      </c>
    </row>
    <row r="893">
      <c r="M893">
        <f>IF(A893="","", _xludf.WEEKNUM(A893, 2))</f>
        <v/>
      </c>
    </row>
    <row r="894">
      <c r="M894">
        <f>IF(A894="","", _xludf.WEEKNUM(A894, 2))</f>
        <v/>
      </c>
    </row>
    <row r="895">
      <c r="M895">
        <f>IF(A895="","", _xludf.WEEKNUM(A895, 2))</f>
        <v/>
      </c>
    </row>
    <row r="896">
      <c r="M896">
        <f>IF(A896="","", _xludf.WEEKNUM(A896, 2))</f>
        <v/>
      </c>
    </row>
    <row r="897">
      <c r="M897">
        <f>IF(A897="","", _xludf.WEEKNUM(A897, 2))</f>
        <v/>
      </c>
    </row>
    <row r="898">
      <c r="M898">
        <f>IF(A898="","", _xludf.WEEKNUM(A898, 2))</f>
        <v/>
      </c>
    </row>
    <row r="899">
      <c r="M899">
        <f>IF(A899="","", _xludf.WEEKNUM(A899, 2))</f>
        <v/>
      </c>
    </row>
    <row r="900">
      <c r="M900">
        <f>IF(A900="","", _xludf.WEEKNUM(A900, 2))</f>
        <v/>
      </c>
    </row>
    <row r="901">
      <c r="M901">
        <f>IF(A901="","", _xludf.WEEKNUM(A901, 2))</f>
        <v/>
      </c>
    </row>
    <row r="902">
      <c r="M902">
        <f>IF(A902="","", _xludf.WEEKNUM(A902, 2))</f>
        <v/>
      </c>
    </row>
    <row r="903">
      <c r="M903">
        <f>IF(A903="","", _xludf.WEEKNUM(A903, 2))</f>
        <v/>
      </c>
    </row>
    <row r="904">
      <c r="M904">
        <f>IF(A904="","", _xludf.WEEKNUM(A904, 2))</f>
        <v/>
      </c>
    </row>
    <row r="905">
      <c r="M905">
        <f>IF(A905="","", _xludf.WEEKNUM(A905, 2))</f>
        <v/>
      </c>
    </row>
    <row r="906">
      <c r="M906">
        <f>IF(A906="","", _xludf.WEEKNUM(A906, 2))</f>
        <v/>
      </c>
    </row>
    <row r="907">
      <c r="M907">
        <f>IF(A907="","", _xludf.WEEKNUM(A907, 2))</f>
        <v/>
      </c>
    </row>
    <row r="908">
      <c r="M908">
        <f>IF(A908="","", _xludf.WEEKNUM(A908, 2))</f>
        <v/>
      </c>
    </row>
    <row r="909">
      <c r="M909">
        <f>IF(A909="","", _xludf.WEEKNUM(A909, 2))</f>
        <v/>
      </c>
    </row>
    <row r="910">
      <c r="M910">
        <f>IF(A910="","", _xludf.WEEKNUM(A910, 2))</f>
        <v/>
      </c>
    </row>
    <row r="911">
      <c r="M911">
        <f>IF(A911="","", _xludf.WEEKNUM(A911, 2))</f>
        <v/>
      </c>
    </row>
    <row r="912">
      <c r="M912">
        <f>IF(A912="","", _xludf.WEEKNUM(A912, 2))</f>
        <v/>
      </c>
    </row>
    <row r="913">
      <c r="M913">
        <f>IF(A913="","", _xludf.WEEKNUM(A913, 2))</f>
        <v/>
      </c>
    </row>
    <row r="914">
      <c r="M914">
        <f>IF(A914="","", _xludf.WEEKNUM(A914, 2))</f>
        <v/>
      </c>
    </row>
    <row r="915">
      <c r="M915">
        <f>IF(A915="","", _xludf.WEEKNUM(A915, 2))</f>
        <v/>
      </c>
    </row>
    <row r="916">
      <c r="M916">
        <f>IF(A916="","", _xludf.WEEKNUM(A916, 2))</f>
        <v/>
      </c>
    </row>
    <row r="917">
      <c r="M917">
        <f>IF(A917="","", _xludf.WEEKNUM(A917, 2))</f>
        <v/>
      </c>
    </row>
    <row r="918">
      <c r="M918">
        <f>IF(A918="","", _xludf.WEEKNUM(A918, 2))</f>
        <v/>
      </c>
    </row>
    <row r="919">
      <c r="M919">
        <f>IF(A919="","", _xludf.WEEKNUM(A919, 2))</f>
        <v/>
      </c>
    </row>
    <row r="920">
      <c r="M920">
        <f>IF(A920="","", _xludf.WEEKNUM(A920, 2))</f>
        <v/>
      </c>
    </row>
    <row r="921">
      <c r="M921">
        <f>IF(A921="","", _xludf.WEEKNUM(A921, 2))</f>
        <v/>
      </c>
    </row>
    <row r="922">
      <c r="M922">
        <f>IF(A922="","", _xludf.WEEKNUM(A922, 2))</f>
        <v/>
      </c>
    </row>
    <row r="923">
      <c r="M923">
        <f>IF(A923="","", _xludf.WEEKNUM(A923, 2))</f>
        <v/>
      </c>
    </row>
    <row r="924">
      <c r="M924">
        <f>IF(A924="","", _xludf.WEEKNUM(A924, 2))</f>
        <v/>
      </c>
    </row>
    <row r="925">
      <c r="M925">
        <f>IF(A925="","", _xludf.WEEKNUM(A925, 2))</f>
        <v/>
      </c>
    </row>
    <row r="926">
      <c r="M926">
        <f>IF(A926="","", _xludf.WEEKNUM(A926, 2))</f>
        <v/>
      </c>
    </row>
    <row r="927">
      <c r="M927">
        <f>IF(A927="","", _xludf.WEEKNUM(A927, 2))</f>
        <v/>
      </c>
    </row>
    <row r="928">
      <c r="M928">
        <f>IF(A928="","", _xludf.WEEKNUM(A928, 2))</f>
        <v/>
      </c>
    </row>
    <row r="929">
      <c r="M929">
        <f>IF(A929="","", _xludf.WEEKNUM(A929, 2))</f>
        <v/>
      </c>
    </row>
    <row r="930">
      <c r="M930">
        <f>IF(A930="","", _xludf.WEEKNUM(A930, 2))</f>
        <v/>
      </c>
    </row>
    <row r="931">
      <c r="M931">
        <f>IF(A931="","", _xludf.WEEKNUM(A931, 2))</f>
        <v/>
      </c>
    </row>
    <row r="932">
      <c r="M932">
        <f>IF(A932="","", _xludf.WEEKNUM(A932, 2))</f>
        <v/>
      </c>
    </row>
    <row r="933">
      <c r="M933">
        <f>IF(A933="","", _xludf.WEEKNUM(A933, 2))</f>
        <v/>
      </c>
    </row>
    <row r="934">
      <c r="M934">
        <f>IF(A934="","", _xludf.WEEKNUM(A934, 2))</f>
        <v/>
      </c>
    </row>
    <row r="935">
      <c r="M935">
        <f>IF(A935="","", _xludf.WEEKNUM(A935, 2))</f>
        <v/>
      </c>
    </row>
    <row r="936">
      <c r="M936">
        <f>IF(A936="","", _xludf.WEEKNUM(A936, 2))</f>
        <v/>
      </c>
    </row>
    <row r="937">
      <c r="M937">
        <f>IF(A937="","", _xludf.WEEKNUM(A937, 2))</f>
        <v/>
      </c>
    </row>
    <row r="938">
      <c r="M938">
        <f>IF(A938="","", _xludf.WEEKNUM(A938, 2))</f>
        <v/>
      </c>
    </row>
    <row r="939">
      <c r="M939">
        <f>IF(A939="","", _xludf.WEEKNUM(A939, 2))</f>
        <v/>
      </c>
    </row>
    <row r="940">
      <c r="M940">
        <f>IF(A940="","", _xludf.WEEKNUM(A940, 2))</f>
        <v/>
      </c>
    </row>
    <row r="941">
      <c r="M941">
        <f>IF(A941="","", _xludf.WEEKNUM(A941, 2))</f>
        <v/>
      </c>
    </row>
    <row r="942">
      <c r="M942">
        <f>IF(A942="","", _xludf.WEEKNUM(A942, 2))</f>
        <v/>
      </c>
    </row>
    <row r="943">
      <c r="M943">
        <f>IF(A943="","", _xludf.WEEKNUM(A943, 2))</f>
        <v/>
      </c>
    </row>
    <row r="944">
      <c r="M944">
        <f>IF(A944="","", _xludf.WEEKNUM(A944, 2))</f>
        <v/>
      </c>
    </row>
    <row r="945">
      <c r="M945">
        <f>IF(A945="","", _xludf.WEEKNUM(A945, 2))</f>
        <v/>
      </c>
    </row>
    <row r="946">
      <c r="M946">
        <f>IF(A946="","", _xludf.WEEKNUM(A946, 2))</f>
        <v/>
      </c>
    </row>
    <row r="947">
      <c r="M947">
        <f>IF(A947="","", _xludf.WEEKNUM(A947, 2))</f>
        <v/>
      </c>
    </row>
    <row r="948">
      <c r="M948">
        <f>IF(A948="","", _xludf.WEEKNUM(A948, 2))</f>
        <v/>
      </c>
    </row>
    <row r="949">
      <c r="M949">
        <f>IF(A949="","", _xludf.WEEKNUM(A949, 2))</f>
        <v/>
      </c>
    </row>
    <row r="950">
      <c r="M950">
        <f>IF(A950="","", _xludf.WEEKNUM(A950, 2))</f>
        <v/>
      </c>
    </row>
    <row r="951">
      <c r="M951">
        <f>IF(A951="","", _xludf.WEEKNUM(A951, 2))</f>
        <v/>
      </c>
    </row>
    <row r="952">
      <c r="M952">
        <f>IF(A952="","", _xludf.WEEKNUM(A952, 2))</f>
        <v/>
      </c>
    </row>
    <row r="953">
      <c r="M953">
        <f>IF(A953="","", _xludf.WEEKNUM(A953, 2))</f>
        <v/>
      </c>
    </row>
    <row r="954">
      <c r="M954">
        <f>IF(A954="","", _xludf.WEEKNUM(A954, 2))</f>
        <v/>
      </c>
    </row>
    <row r="955">
      <c r="M955">
        <f>IF(A955="","", _xludf.WEEKNUM(A955, 2))</f>
        <v/>
      </c>
    </row>
    <row r="956">
      <c r="M956">
        <f>IF(A956="","", _xludf.WEEKNUM(A956, 2))</f>
        <v/>
      </c>
    </row>
    <row r="957">
      <c r="M957">
        <f>IF(A957="","", _xludf.WEEKNUM(A957, 2))</f>
        <v/>
      </c>
    </row>
    <row r="958">
      <c r="M958">
        <f>IF(A958="","", _xludf.WEEKNUM(A958, 2))</f>
        <v/>
      </c>
    </row>
    <row r="959">
      <c r="M959">
        <f>IF(A959="","", _xludf.WEEKNUM(A959, 2))</f>
        <v/>
      </c>
    </row>
    <row r="960">
      <c r="M960">
        <f>IF(A960="","", _xludf.WEEKNUM(A960, 2))</f>
        <v/>
      </c>
    </row>
    <row r="961">
      <c r="M961">
        <f>IF(A961="","", _xludf.WEEKNUM(A961, 2))</f>
        <v/>
      </c>
    </row>
    <row r="962">
      <c r="M962">
        <f>IF(A962="","", _xludf.WEEKNUM(A962, 2))</f>
        <v/>
      </c>
    </row>
    <row r="963">
      <c r="M963">
        <f>IF(A963="","", _xludf.WEEKNUM(A963, 2))</f>
        <v/>
      </c>
    </row>
    <row r="964">
      <c r="M964">
        <f>IF(A964="","", _xludf.WEEKNUM(A964, 2))</f>
        <v/>
      </c>
    </row>
    <row r="965">
      <c r="M965">
        <f>IF(A965="","", _xludf.WEEKNUM(A965, 2))</f>
        <v/>
      </c>
    </row>
    <row r="966">
      <c r="M966">
        <f>IF(A966="","", _xludf.WEEKNUM(A966, 2))</f>
        <v/>
      </c>
    </row>
    <row r="967">
      <c r="M967">
        <f>IF(A967="","", _xludf.WEEKNUM(A967, 2))</f>
        <v/>
      </c>
    </row>
    <row r="968">
      <c r="M968">
        <f>IF(A968="","", _xludf.WEEKNUM(A968, 2))</f>
        <v/>
      </c>
    </row>
    <row r="969">
      <c r="M969">
        <f>IF(A969="","", _xludf.WEEKNUM(A969, 2))</f>
        <v/>
      </c>
    </row>
    <row r="970">
      <c r="M970">
        <f>IF(A970="","", _xludf.WEEKNUM(A970, 2))</f>
        <v/>
      </c>
    </row>
    <row r="971">
      <c r="M971">
        <f>IF(A971="","", _xludf.WEEKNUM(A971, 2))</f>
        <v/>
      </c>
    </row>
    <row r="972">
      <c r="M972">
        <f>IF(A972="","", _xludf.WEEKNUM(A972, 2))</f>
        <v/>
      </c>
    </row>
    <row r="973">
      <c r="M973">
        <f>IF(A973="","", _xludf.WEEKNUM(A973, 2))</f>
        <v/>
      </c>
    </row>
    <row r="974">
      <c r="M974">
        <f>IF(A974="","", _xludf.WEEKNUM(A974, 2))</f>
        <v/>
      </c>
    </row>
    <row r="975">
      <c r="M975">
        <f>IF(A975="","", _xludf.WEEKNUM(A975, 2))</f>
        <v/>
      </c>
    </row>
    <row r="976">
      <c r="M976">
        <f>IF(A976="","", _xludf.WEEKNUM(A976, 2))</f>
        <v/>
      </c>
    </row>
    <row r="977">
      <c r="M977">
        <f>IF(A977="","", _xludf.WEEKNUM(A977, 2))</f>
        <v/>
      </c>
    </row>
    <row r="978">
      <c r="M978">
        <f>IF(A978="","", _xludf.WEEKNUM(A978, 2))</f>
        <v/>
      </c>
    </row>
    <row r="979">
      <c r="M979">
        <f>IF(A979="","", _xludf.WEEKNUM(A979, 2))</f>
        <v/>
      </c>
    </row>
    <row r="980">
      <c r="M980">
        <f>IF(A980="","", _xludf.WEEKNUM(A980, 2))</f>
        <v/>
      </c>
    </row>
    <row r="981">
      <c r="M981">
        <f>IF(A981="","", _xludf.WEEKNUM(A981, 2))</f>
        <v/>
      </c>
    </row>
    <row r="982">
      <c r="M982">
        <f>IF(A982="","", _xludf.WEEKNUM(A982, 2))</f>
        <v/>
      </c>
    </row>
    <row r="983">
      <c r="M983">
        <f>IF(A983="","", _xludf.WEEKNUM(A983, 2))</f>
        <v/>
      </c>
    </row>
    <row r="984">
      <c r="M984">
        <f>IF(A984="","", _xludf.WEEKNUM(A984, 2))</f>
        <v/>
      </c>
    </row>
    <row r="985">
      <c r="M985">
        <f>IF(A985="","", _xludf.WEEKNUM(A985, 2))</f>
        <v/>
      </c>
    </row>
    <row r="986">
      <c r="M986">
        <f>IF(A986="","", _xludf.WEEKNUM(A986, 2))</f>
        <v/>
      </c>
    </row>
    <row r="987">
      <c r="M987">
        <f>IF(A987="","", _xludf.WEEKNUM(A987, 2))</f>
        <v/>
      </c>
    </row>
    <row r="988">
      <c r="M988">
        <f>IF(A988="","", _xludf.WEEKNUM(A988, 2))</f>
        <v/>
      </c>
    </row>
    <row r="989">
      <c r="M989">
        <f>IF(A989="","", _xludf.WEEKNUM(A989, 2))</f>
        <v/>
      </c>
    </row>
    <row r="990">
      <c r="M990">
        <f>IF(A990="","", _xludf.WEEKNUM(A990, 2))</f>
        <v/>
      </c>
    </row>
    <row r="991">
      <c r="M991">
        <f>IF(A991="","", _xludf.WEEKNUM(A991, 2))</f>
        <v/>
      </c>
    </row>
    <row r="992">
      <c r="M992">
        <f>IF(A992="","", _xludf.WEEKNUM(A992, 2))</f>
        <v/>
      </c>
    </row>
    <row r="993">
      <c r="M993">
        <f>IF(A993="","", _xludf.WEEKNUM(A993, 2))</f>
        <v/>
      </c>
    </row>
    <row r="994">
      <c r="M994">
        <f>IF(A994="","", _xludf.WEEKNUM(A994, 2))</f>
        <v/>
      </c>
    </row>
    <row r="995">
      <c r="M995">
        <f>IF(A995="","", _xludf.WEEKNUM(A995, 2))</f>
        <v/>
      </c>
    </row>
    <row r="996">
      <c r="M996">
        <f>IF(A996="","", _xludf.WEEKNUM(A996, 2))</f>
        <v/>
      </c>
    </row>
    <row r="997">
      <c r="M997">
        <f>IF(A997="","", _xludf.WEEKNUM(A997, 2))</f>
        <v/>
      </c>
    </row>
    <row r="998">
      <c r="M998">
        <f>IF(A998="","", _xludf.WEEKNUM(A998, 2))</f>
        <v/>
      </c>
    </row>
    <row r="999">
      <c r="M999">
        <f>IF(A999="","", _xludf.WEEKNUM(A999, 2))</f>
        <v/>
      </c>
    </row>
    <row r="1000">
      <c r="M1000">
        <f>IF(A1000="","", _xludf.WEEKNUM(A1000, 2))</f>
        <v/>
      </c>
    </row>
    <row r="1001">
      <c r="M1001">
        <f>IF(A1001="","", _xludf.WEEKNUM(A1001, 2))</f>
        <v/>
      </c>
    </row>
    <row r="1002">
      <c r="M1002">
        <f>IF(A1002="","", _xludf.WEEKNUM(A1002, 2))</f>
        <v/>
      </c>
    </row>
    <row r="1003">
      <c r="M1003">
        <f>IF(A1003="","", _xludf.WEEKNUM(A1003, 2))</f>
        <v/>
      </c>
    </row>
    <row r="1004">
      <c r="M1004">
        <f>IF(A1004="","", _xludf.WEEKNUM(A1004, 2))</f>
        <v/>
      </c>
    </row>
    <row r="1005">
      <c r="M1005">
        <f>IF(A1005="","", _xludf.WEEKNUM(A1005, 2))</f>
        <v/>
      </c>
    </row>
    <row r="1006">
      <c r="M1006">
        <f>IF(A1006="","", _xludf.WEEKNUM(A1006, 2))</f>
        <v/>
      </c>
    </row>
    <row r="1007">
      <c r="M1007">
        <f>IF(A1007="","", _xludf.WEEKNUM(A1007, 2))</f>
        <v/>
      </c>
    </row>
    <row r="1008">
      <c r="M1008">
        <f>IF(A1008="","", _xludf.WEEKNUM(A1008, 2))</f>
        <v/>
      </c>
    </row>
    <row r="1009">
      <c r="M1009">
        <f>IF(A1009="","", _xludf.WEEKNUM(A1009, 2))</f>
        <v/>
      </c>
    </row>
    <row r="1010">
      <c r="M1010">
        <f>IF(A1010="","", _xludf.WEEKNUM(A1010, 2))</f>
        <v/>
      </c>
    </row>
    <row r="1011">
      <c r="M1011">
        <f>IF(A1011="","", _xludf.WEEKNUM(A1011, 2))</f>
        <v/>
      </c>
    </row>
    <row r="1012">
      <c r="M1012">
        <f>IF(A1012="","", _xludf.WEEKNUM(A1012, 2))</f>
        <v/>
      </c>
    </row>
    <row r="1013">
      <c r="M1013">
        <f>IF(A1013="","", _xludf.WEEKNUM(A1013, 2))</f>
        <v/>
      </c>
    </row>
    <row r="1014">
      <c r="M1014">
        <f>IF(A1014="","", _xludf.WEEKNUM(A1014, 2))</f>
        <v/>
      </c>
    </row>
    <row r="1015">
      <c r="M1015">
        <f>IF(A1015="","", _xludf.WEEKNUM(A1015, 2))</f>
        <v/>
      </c>
    </row>
    <row r="1016">
      <c r="M1016">
        <f>IF(A1016="","", _xludf.WEEKNUM(A1016, 2))</f>
        <v/>
      </c>
    </row>
    <row r="1017">
      <c r="M1017">
        <f>IF(A1017="","", _xludf.WEEKNUM(A1017, 2))</f>
        <v/>
      </c>
    </row>
    <row r="1018">
      <c r="M1018">
        <f>IF(A1018="","", _xludf.WEEKNUM(A1018, 2))</f>
        <v/>
      </c>
    </row>
    <row r="1019">
      <c r="M1019">
        <f>IF(A1019="","", _xludf.WEEKNUM(A1019, 2))</f>
        <v/>
      </c>
    </row>
    <row r="1020">
      <c r="M1020">
        <f>IF(A1020="","", _xludf.WEEKNUM(A1020, 2))</f>
        <v/>
      </c>
    </row>
    <row r="1021">
      <c r="M1021">
        <f>IF(A1021="","", _xludf.WEEKNUM(A1021, 2))</f>
        <v/>
      </c>
    </row>
    <row r="1022">
      <c r="M1022">
        <f>IF(A1022="","", _xludf.WEEKNUM(A1022, 2))</f>
        <v/>
      </c>
    </row>
    <row r="1023">
      <c r="M1023">
        <f>IF(A1023="","", _xludf.WEEKNUM(A1023, 2))</f>
        <v/>
      </c>
    </row>
    <row r="1024">
      <c r="M1024">
        <f>IF(A1024="","", _xludf.WEEKNUM(A1024, 2))</f>
        <v/>
      </c>
    </row>
    <row r="1025">
      <c r="M1025">
        <f>IF(A1025="","", _xludf.WEEKNUM(A1025, 2))</f>
        <v/>
      </c>
    </row>
    <row r="1026">
      <c r="M1026">
        <f>IF(A1026="","", _xludf.WEEKNUM(A1026, 2))</f>
        <v/>
      </c>
    </row>
    <row r="1027">
      <c r="M1027">
        <f>IF(A1027="","", _xludf.WEEKNUM(A1027, 2))</f>
        <v/>
      </c>
    </row>
    <row r="1028">
      <c r="M1028">
        <f>IF(A1028="","", _xludf.WEEKNUM(A1028, 2))</f>
        <v/>
      </c>
    </row>
    <row r="1029">
      <c r="M1029">
        <f>IF(A1029="","", _xludf.WEEKNUM(A1029, 2))</f>
        <v/>
      </c>
    </row>
    <row r="1030">
      <c r="M1030">
        <f>IF(A1030="","", _xludf.WEEKNUM(A1030, 2))</f>
        <v/>
      </c>
    </row>
    <row r="1031">
      <c r="M1031">
        <f>IF(A1031="","", _xludf.WEEKNUM(A1031, 2))</f>
        <v/>
      </c>
    </row>
    <row r="1032">
      <c r="M1032">
        <f>IF(A1032="","", _xludf.WEEKNUM(A1032, 2))</f>
        <v/>
      </c>
    </row>
    <row r="1033">
      <c r="M1033">
        <f>IF(A1033="","", _xludf.WEEKNUM(A1033, 2))</f>
        <v/>
      </c>
    </row>
    <row r="1034">
      <c r="M1034">
        <f>IF(A1034="","", _xludf.WEEKNUM(A1034, 2))</f>
        <v/>
      </c>
    </row>
    <row r="1035">
      <c r="M1035">
        <f>IF(A1035="","", _xludf.WEEKNUM(A1035, 2))</f>
        <v/>
      </c>
    </row>
    <row r="1036">
      <c r="M1036">
        <f>IF(A1036="","", _xludf.WEEKNUM(A1036, 2))</f>
        <v/>
      </c>
    </row>
    <row r="1037">
      <c r="M1037">
        <f>IF(A1037="","", _xludf.WEEKNUM(A1037, 2))</f>
        <v/>
      </c>
    </row>
    <row r="1038">
      <c r="M1038">
        <f>IF(A1038="","", _xludf.WEEKNUM(A1038, 2))</f>
        <v/>
      </c>
    </row>
    <row r="1039">
      <c r="M1039">
        <f>IF(A1039="","", _xludf.WEEKNUM(A1039, 2))</f>
        <v/>
      </c>
    </row>
    <row r="1040">
      <c r="M1040">
        <f>IF(A1040="","", _xludf.WEEKNUM(A1040, 2))</f>
        <v/>
      </c>
    </row>
    <row r="1041">
      <c r="M1041">
        <f>IF(A1041="","", _xludf.WEEKNUM(A1041, 2))</f>
        <v/>
      </c>
    </row>
    <row r="1042">
      <c r="M1042">
        <f>IF(A1042="","", _xludf.WEEKNUM(A1042, 2))</f>
        <v/>
      </c>
    </row>
    <row r="1043">
      <c r="M1043">
        <f>IF(A1043="","", _xludf.WEEKNUM(A1043, 2))</f>
        <v/>
      </c>
    </row>
    <row r="1044">
      <c r="M1044">
        <f>IF(A1044="","", _xludf.WEEKNUM(A1044, 2))</f>
        <v/>
      </c>
    </row>
    <row r="1045">
      <c r="M1045">
        <f>IF(A1045="","", _xludf.WEEKNUM(A1045, 2))</f>
        <v/>
      </c>
    </row>
    <row r="1046">
      <c r="M1046">
        <f>IF(A1046="","", _xludf.WEEKNUM(A1046, 2))</f>
        <v/>
      </c>
    </row>
    <row r="1047">
      <c r="M1047">
        <f>IF(A1047="","", _xludf.WEEKNUM(A1047, 2))</f>
        <v/>
      </c>
    </row>
    <row r="1048">
      <c r="M1048">
        <f>IF(A1048="","", _xludf.WEEKNUM(A1048, 2))</f>
        <v/>
      </c>
    </row>
    <row r="1049">
      <c r="M1049">
        <f>IF(A1049="","", _xludf.WEEKNUM(A1049, 2))</f>
        <v/>
      </c>
    </row>
    <row r="1050">
      <c r="M1050">
        <f>IF(A1050="","", _xludf.WEEKNUM(A1050, 2))</f>
        <v/>
      </c>
    </row>
    <row r="1051">
      <c r="M1051">
        <f>IF(A1051="","", _xludf.WEEKNUM(A1051, 2))</f>
        <v/>
      </c>
    </row>
    <row r="1052">
      <c r="M1052">
        <f>IF(A1052="","", _xludf.WEEKNUM(A1052, 2))</f>
        <v/>
      </c>
    </row>
    <row r="1053">
      <c r="M1053">
        <f>IF(A1053="","", _xludf.WEEKNUM(A1053, 2))</f>
        <v/>
      </c>
    </row>
    <row r="1054">
      <c r="M1054">
        <f>IF(A1054="","", _xludf.WEEKNUM(A1054, 2))</f>
        <v/>
      </c>
    </row>
    <row r="1055">
      <c r="M1055">
        <f>IF(A1055="","", _xludf.WEEKNUM(A1055, 2))</f>
        <v/>
      </c>
    </row>
    <row r="1056">
      <c r="M1056">
        <f>IF(A1056="","", _xludf.WEEKNUM(A1056, 2))</f>
        <v/>
      </c>
    </row>
    <row r="1057">
      <c r="M1057">
        <f>IF(A1057="","", _xludf.WEEKNUM(A1057, 2))</f>
        <v/>
      </c>
    </row>
    <row r="1058">
      <c r="M1058">
        <f>IF(A1058="","", _xludf.WEEKNUM(A1058, 2))</f>
        <v/>
      </c>
    </row>
    <row r="1059">
      <c r="M1059">
        <f>IF(A1059="","", _xludf.WEEKNUM(A1059, 2))</f>
        <v/>
      </c>
    </row>
    <row r="1060">
      <c r="M1060">
        <f>IF(A1060="","", _xludf.WEEKNUM(A1060, 2))</f>
        <v/>
      </c>
    </row>
    <row r="1061">
      <c r="M1061">
        <f>IF(A1061="","", _xludf.WEEKNUM(A1061, 2))</f>
        <v/>
      </c>
    </row>
    <row r="1062">
      <c r="M1062">
        <f>IF(A1062="","", _xludf.WEEKNUM(A1062, 2))</f>
        <v/>
      </c>
    </row>
    <row r="1063">
      <c r="M1063">
        <f>IF(A1063="","", _xludf.WEEKNUM(A1063, 2))</f>
        <v/>
      </c>
    </row>
    <row r="1064">
      <c r="M1064">
        <f>IF(A1064="","", _xludf.WEEKNUM(A1064, 2))</f>
        <v/>
      </c>
    </row>
    <row r="1065">
      <c r="M1065">
        <f>IF(A1065="","", _xludf.WEEKNUM(A1065, 2))</f>
        <v/>
      </c>
    </row>
    <row r="1066">
      <c r="M1066">
        <f>IF(A1066="","", _xludf.WEEKNUM(A1066, 2))</f>
        <v/>
      </c>
    </row>
    <row r="1067">
      <c r="M1067">
        <f>IF(A1067="","", _xludf.WEEKNUM(A1067, 2))</f>
        <v/>
      </c>
    </row>
    <row r="1068">
      <c r="M1068">
        <f>IF(A1068="","", _xludf.WEEKNUM(A1068, 2))</f>
        <v/>
      </c>
    </row>
    <row r="1069">
      <c r="M1069">
        <f>IF(A1069="","", _xludf.WEEKNUM(A1069, 2))</f>
        <v/>
      </c>
    </row>
    <row r="1070">
      <c r="M1070">
        <f>IF(A1070="","", _xludf.WEEKNUM(A1070, 2))</f>
        <v/>
      </c>
    </row>
    <row r="1071">
      <c r="M1071">
        <f>IF(A1071="","", _xludf.WEEKNUM(A1071, 2))</f>
        <v/>
      </c>
    </row>
    <row r="1072">
      <c r="M1072">
        <f>IF(A1072="","", _xludf.WEEKNUM(A1072, 2))</f>
        <v/>
      </c>
    </row>
    <row r="1073">
      <c r="M1073">
        <f>IF(A1073="","", _xludf.WEEKNUM(A1073, 2))</f>
        <v/>
      </c>
    </row>
    <row r="1074">
      <c r="M1074">
        <f>IF(A1074="","", _xludf.WEEKNUM(A1074, 2))</f>
        <v/>
      </c>
    </row>
    <row r="1075">
      <c r="M1075">
        <f>IF(A1075="","", _xludf.WEEKNUM(A1075, 2))</f>
        <v/>
      </c>
    </row>
    <row r="1076">
      <c r="M1076">
        <f>IF(A1076="","", _xludf.WEEKNUM(A1076, 2))</f>
        <v/>
      </c>
    </row>
    <row r="1077">
      <c r="M1077">
        <f>IF(A1077="","", _xludf.WEEKNUM(A1077, 2))</f>
        <v/>
      </c>
    </row>
    <row r="1078">
      <c r="M1078">
        <f>IF(A1078="","", _xludf.WEEKNUM(A1078, 2))</f>
        <v/>
      </c>
    </row>
    <row r="1079">
      <c r="M1079">
        <f>IF(A1079="","", _xludf.WEEKNUM(A1079, 2))</f>
        <v/>
      </c>
    </row>
    <row r="1080">
      <c r="M1080">
        <f>IF(A1080="","", _xludf.WEEKNUM(A1080, 2))</f>
        <v/>
      </c>
    </row>
    <row r="1081">
      <c r="M1081">
        <f>IF(A1081="","", _xludf.WEEKNUM(A1081, 2))</f>
        <v/>
      </c>
    </row>
    <row r="1082">
      <c r="M1082">
        <f>IF(A1082="","", _xludf.WEEKNUM(A1082, 2))</f>
        <v/>
      </c>
    </row>
    <row r="1083">
      <c r="M1083">
        <f>IF(A1083="","", _xludf.WEEKNUM(A1083, 2))</f>
        <v/>
      </c>
    </row>
    <row r="1084">
      <c r="M1084">
        <f>IF(A1084="","", _xludf.WEEKNUM(A1084, 2))</f>
        <v/>
      </c>
    </row>
    <row r="1085">
      <c r="M1085">
        <f>IF(A1085="","", _xludf.WEEKNUM(A1085, 2))</f>
        <v/>
      </c>
    </row>
    <row r="1086">
      <c r="M1086">
        <f>IF(A1086="","", _xludf.WEEKNUM(A1086, 2))</f>
        <v/>
      </c>
    </row>
    <row r="1087">
      <c r="M1087">
        <f>IF(A1087="","", _xludf.WEEKNUM(A1087, 2))</f>
        <v/>
      </c>
    </row>
    <row r="1088">
      <c r="M1088">
        <f>IF(A1088="","", _xludf.WEEKNUM(A1088, 2))</f>
        <v/>
      </c>
    </row>
    <row r="1089">
      <c r="M1089">
        <f>IF(A1089="","", _xludf.WEEKNUM(A1089, 2))</f>
        <v/>
      </c>
    </row>
    <row r="1090">
      <c r="M1090">
        <f>IF(A1090="","", _xludf.WEEKNUM(A1090, 2))</f>
        <v/>
      </c>
    </row>
    <row r="1091">
      <c r="M1091">
        <f>IF(A1091="","", _xludf.WEEKNUM(A1091, 2))</f>
        <v/>
      </c>
    </row>
    <row r="1092">
      <c r="M1092">
        <f>IF(A1092="","", _xludf.WEEKNUM(A1092, 2))</f>
        <v/>
      </c>
    </row>
    <row r="1093">
      <c r="M1093">
        <f>IF(A1093="","", _xludf.WEEKNUM(A1093, 2))</f>
        <v/>
      </c>
    </row>
    <row r="1094">
      <c r="M1094">
        <f>IF(A1094="","", _xludf.WEEKNUM(A1094, 2))</f>
        <v/>
      </c>
    </row>
    <row r="1095">
      <c r="M1095">
        <f>IF(A1095="","", _xludf.WEEKNUM(A1095, 2))</f>
        <v/>
      </c>
    </row>
    <row r="1096">
      <c r="M1096">
        <f>IF(A1096="","", _xludf.WEEKNUM(A1096, 2))</f>
        <v/>
      </c>
    </row>
    <row r="1097">
      <c r="M1097">
        <f>IF(A1097="","", _xludf.WEEKNUM(A1097, 2))</f>
        <v/>
      </c>
    </row>
    <row r="1098">
      <c r="M1098">
        <f>IF(A1098="","", _xludf.WEEKNUM(A1098, 2))</f>
        <v/>
      </c>
    </row>
    <row r="1099">
      <c r="M1099">
        <f>IF(A1099="","", _xludf.WEEKNUM(A1099, 2))</f>
        <v/>
      </c>
    </row>
    <row r="1100">
      <c r="M1100">
        <f>IF(A1100="","", _xludf.WEEKNUM(A1100, 2))</f>
        <v/>
      </c>
    </row>
    <row r="1101">
      <c r="M1101">
        <f>IF(A1101="","", _xludf.WEEKNUM(A1101, 2))</f>
        <v/>
      </c>
    </row>
    <row r="1102">
      <c r="M1102">
        <f>IF(A1102="","", _xludf.WEEKNUM(A1102, 2))</f>
        <v/>
      </c>
    </row>
    <row r="1103">
      <c r="M1103">
        <f>IF(A1103="","", _xludf.WEEKNUM(A1103, 2))</f>
        <v/>
      </c>
    </row>
    <row r="1104">
      <c r="M1104">
        <f>IF(A1104="","", _xludf.WEEKNUM(A1104, 2))</f>
        <v/>
      </c>
    </row>
    <row r="1105">
      <c r="M1105">
        <f>IF(A1105="","", _xludf.WEEKNUM(A1105, 2))</f>
        <v/>
      </c>
    </row>
    <row r="1106">
      <c r="M1106">
        <f>IF(A1106="","", _xludf.WEEKNUM(A1106, 2))</f>
        <v/>
      </c>
    </row>
    <row r="1107">
      <c r="M1107">
        <f>IF(A1107="","", _xludf.WEEKNUM(A1107, 2))</f>
        <v/>
      </c>
    </row>
    <row r="1108">
      <c r="M1108">
        <f>IF(A1108="","", _xludf.WEEKNUM(A1108, 2))</f>
        <v/>
      </c>
    </row>
    <row r="1109">
      <c r="M1109">
        <f>IF(A1109="","", _xludf.WEEKNUM(A1109, 2))</f>
        <v/>
      </c>
    </row>
    <row r="1110">
      <c r="M1110">
        <f>IF(A1110="","", _xludf.WEEKNUM(A1110, 2))</f>
        <v/>
      </c>
    </row>
    <row r="1111">
      <c r="M1111">
        <f>IF(A1111="","", _xludf.WEEKNUM(A1111, 2))</f>
        <v/>
      </c>
    </row>
    <row r="1112">
      <c r="M1112">
        <f>IF(A1112="","", _xludf.WEEKNUM(A1112, 2))</f>
        <v/>
      </c>
    </row>
    <row r="1113">
      <c r="M1113">
        <f>IF(A1113="","", _xludf.WEEKNUM(A1113, 2))</f>
        <v/>
      </c>
    </row>
    <row r="1114">
      <c r="M1114">
        <f>IF(A1114="","", _xludf.WEEKNUM(A1114, 2))</f>
        <v/>
      </c>
    </row>
    <row r="1115">
      <c r="M1115">
        <f>IF(A1115="","", _xludf.WEEKNUM(A1115, 2))</f>
        <v/>
      </c>
    </row>
    <row r="1116">
      <c r="M1116">
        <f>IF(A1116="","", _xludf.WEEKNUM(A1116, 2))</f>
        <v/>
      </c>
    </row>
    <row r="1117">
      <c r="M1117">
        <f>IF(A1117="","", _xludf.WEEKNUM(A1117, 2))</f>
        <v/>
      </c>
    </row>
    <row r="1118">
      <c r="M1118">
        <f>IF(A1118="","", _xludf.WEEKNUM(A1118, 2))</f>
        <v/>
      </c>
    </row>
    <row r="1119">
      <c r="M1119">
        <f>IF(A1119="","", _xludf.WEEKNUM(A1119, 2))</f>
        <v/>
      </c>
    </row>
    <row r="1120">
      <c r="M1120">
        <f>IF(A1120="","", _xludf.WEEKNUM(A1120, 2))</f>
        <v/>
      </c>
    </row>
    <row r="1121">
      <c r="M1121">
        <f>IF(A1121="","", _xludf.WEEKNUM(A1121, 2))</f>
        <v/>
      </c>
    </row>
    <row r="1122">
      <c r="M1122">
        <f>IF(A1122="","", _xludf.WEEKNUM(A1122, 2))</f>
        <v/>
      </c>
    </row>
    <row r="1123">
      <c r="M1123">
        <f>IF(A1123="","", _xludf.WEEKNUM(A1123, 2))</f>
        <v/>
      </c>
    </row>
    <row r="1124">
      <c r="M1124">
        <f>IF(A1124="","", _xludf.WEEKNUM(A1124, 2))</f>
        <v/>
      </c>
    </row>
    <row r="1125">
      <c r="M1125">
        <f>IF(A1125="","", _xludf.WEEKNUM(A1125, 2))</f>
        <v/>
      </c>
    </row>
    <row r="1126">
      <c r="M1126">
        <f>IF(A1126="","", _xludf.WEEKNUM(A1126, 2))</f>
        <v/>
      </c>
    </row>
    <row r="1127">
      <c r="M1127">
        <f>IF(A1127="","", _xludf.WEEKNUM(A1127, 2))</f>
        <v/>
      </c>
    </row>
    <row r="1128">
      <c r="M1128">
        <f>IF(A1128="","", _xludf.WEEKNUM(A1128, 2))</f>
        <v/>
      </c>
    </row>
    <row r="1129">
      <c r="M1129">
        <f>IF(A1129="","", _xludf.WEEKNUM(A1129, 2))</f>
        <v/>
      </c>
    </row>
    <row r="1130">
      <c r="M1130">
        <f>IF(A1130="","", _xludf.WEEKNUM(A1130, 2))</f>
        <v/>
      </c>
    </row>
    <row r="1131">
      <c r="M1131">
        <f>IF(A1131="","", _xludf.WEEKNUM(A1131, 2))</f>
        <v/>
      </c>
    </row>
    <row r="1132">
      <c r="M1132">
        <f>IF(A1132="","", _xludf.WEEKNUM(A1132, 2))</f>
        <v/>
      </c>
    </row>
    <row r="1133">
      <c r="M1133">
        <f>IF(A1133="","", _xludf.WEEKNUM(A1133, 2))</f>
        <v/>
      </c>
    </row>
    <row r="1134">
      <c r="M1134">
        <f>IF(A1134="","", _xludf.WEEKNUM(A1134, 2))</f>
        <v/>
      </c>
    </row>
    <row r="1135">
      <c r="M1135">
        <f>IF(A1135="","", _xludf.WEEKNUM(A1135, 2))</f>
        <v/>
      </c>
    </row>
    <row r="1136">
      <c r="M1136">
        <f>IF(A1136="","", _xludf.WEEKNUM(A1136, 2))</f>
        <v/>
      </c>
    </row>
    <row r="1137">
      <c r="M1137">
        <f>IF(A1137="","", _xludf.WEEKNUM(A1137, 2))</f>
        <v/>
      </c>
    </row>
    <row r="1138">
      <c r="M1138">
        <f>IF(A1138="","", _xludf.WEEKNUM(A1138, 2))</f>
        <v/>
      </c>
    </row>
    <row r="1139">
      <c r="M1139">
        <f>IF(A1139="","", _xludf.WEEKNUM(A1139, 2))</f>
        <v/>
      </c>
    </row>
    <row r="1140">
      <c r="M1140">
        <f>IF(A1140="","", _xludf.WEEKNUM(A1140, 2))</f>
        <v/>
      </c>
    </row>
    <row r="1141">
      <c r="M1141">
        <f>IF(A1141="","", _xludf.WEEKNUM(A1141, 2))</f>
        <v/>
      </c>
    </row>
    <row r="1142">
      <c r="M1142">
        <f>IF(A1142="","", _xludf.WEEKNUM(A1142, 2))</f>
        <v/>
      </c>
    </row>
    <row r="1143">
      <c r="M1143">
        <f>IF(A1143="","", _xludf.WEEKNUM(A1143, 2))</f>
        <v/>
      </c>
    </row>
    <row r="1144">
      <c r="M1144">
        <f>IF(A1144="","", _xludf.WEEKNUM(A1144, 2))</f>
        <v/>
      </c>
    </row>
    <row r="1145">
      <c r="M1145">
        <f>IF(A1145="","", _xludf.WEEKNUM(A1145, 2))</f>
        <v/>
      </c>
    </row>
    <row r="1146">
      <c r="M1146">
        <f>IF(A1146="","", _xludf.WEEKNUM(A1146, 2))</f>
        <v/>
      </c>
    </row>
    <row r="1147">
      <c r="M1147">
        <f>IF(A1147="","", _xludf.WEEKNUM(A1147, 2))</f>
        <v/>
      </c>
    </row>
    <row r="1148">
      <c r="M1148">
        <f>IF(A1148="","", _xludf.WEEKNUM(A1148, 2))</f>
        <v/>
      </c>
    </row>
    <row r="1149">
      <c r="M1149">
        <f>IF(A1149="","", _xludf.WEEKNUM(A1149, 2))</f>
        <v/>
      </c>
    </row>
    <row r="1150">
      <c r="M1150">
        <f>IF(A1150="","", _xludf.WEEKNUM(A1150, 2))</f>
        <v/>
      </c>
    </row>
    <row r="1151">
      <c r="M1151">
        <f>IF(A1151="","", _xludf.WEEKNUM(A1151, 2))</f>
        <v/>
      </c>
    </row>
    <row r="1152">
      <c r="M1152">
        <f>IF(A1152="","", _xludf.WEEKNUM(A1152, 2))</f>
        <v/>
      </c>
    </row>
    <row r="1153">
      <c r="M1153">
        <f>IF(A1153="","", _xludf.WEEKNUM(A1153, 2))</f>
        <v/>
      </c>
    </row>
    <row r="1154">
      <c r="M1154">
        <f>IF(A1154="","", _xludf.WEEKNUM(A1154, 2))</f>
        <v/>
      </c>
    </row>
    <row r="1155">
      <c r="M1155">
        <f>IF(A1155="","", _xludf.WEEKNUM(A1155, 2))</f>
        <v/>
      </c>
    </row>
    <row r="1156">
      <c r="M1156">
        <f>IF(A1156="","", _xludf.WEEKNUM(A1156, 2))</f>
        <v/>
      </c>
    </row>
    <row r="1157">
      <c r="M1157">
        <f>IF(A1157="","", _xludf.WEEKNUM(A1157, 2))</f>
        <v/>
      </c>
    </row>
    <row r="1158">
      <c r="M1158">
        <f>IF(A1158="","", _xludf.WEEKNUM(A1158, 2))</f>
        <v/>
      </c>
    </row>
    <row r="1159">
      <c r="M1159">
        <f>IF(A1159="","", _xludf.WEEKNUM(A1159, 2))</f>
        <v/>
      </c>
    </row>
    <row r="1160">
      <c r="M1160">
        <f>IF(A1160="","", _xludf.WEEKNUM(A1160, 2))</f>
        <v/>
      </c>
    </row>
    <row r="1161">
      <c r="M1161">
        <f>IF(A1161="","", _xludf.WEEKNUM(A1161, 2))</f>
        <v/>
      </c>
    </row>
    <row r="1162">
      <c r="M1162">
        <f>IF(A1162="","", _xludf.WEEKNUM(A1162, 2))</f>
        <v/>
      </c>
    </row>
    <row r="1163">
      <c r="M1163">
        <f>IF(A1163="","", _xludf.WEEKNUM(A1163, 2))</f>
        <v/>
      </c>
    </row>
    <row r="1164">
      <c r="M1164">
        <f>IF(A1164="","", _xludf.WEEKNUM(A1164, 2))</f>
        <v/>
      </c>
    </row>
    <row r="1165">
      <c r="M1165">
        <f>IF(A1165="","", _xludf.WEEKNUM(A1165, 2))</f>
        <v/>
      </c>
    </row>
    <row r="1166">
      <c r="M1166">
        <f>IF(A1166="","", _xludf.WEEKNUM(A1166, 2))</f>
        <v/>
      </c>
    </row>
    <row r="1167">
      <c r="M1167">
        <f>IF(A1167="","", _xludf.WEEKNUM(A1167, 2))</f>
        <v/>
      </c>
    </row>
    <row r="1168">
      <c r="M1168">
        <f>IF(A1168="","", _xludf.WEEKNUM(A1168, 2))</f>
        <v/>
      </c>
    </row>
    <row r="1169">
      <c r="M1169">
        <f>IF(A1169="","", _xludf.WEEKNUM(A1169, 2))</f>
        <v/>
      </c>
    </row>
    <row r="1170">
      <c r="M1170">
        <f>IF(A1170="","", _xludf.WEEKNUM(A1170, 2))</f>
        <v/>
      </c>
    </row>
    <row r="1171">
      <c r="M1171">
        <f>IF(A1171="","", _xludf.WEEKNUM(A1171, 2))</f>
        <v/>
      </c>
    </row>
    <row r="1172">
      <c r="M1172">
        <f>IF(A1172="","", _xludf.WEEKNUM(A1172, 2))</f>
        <v/>
      </c>
    </row>
    <row r="1173">
      <c r="M1173">
        <f>IF(A1173="","", _xludf.WEEKNUM(A1173, 2))</f>
        <v/>
      </c>
    </row>
    <row r="1174">
      <c r="M1174">
        <f>IF(A1174="","", _xludf.WEEKNUM(A1174, 2))</f>
        <v/>
      </c>
    </row>
    <row r="1175">
      <c r="M1175">
        <f>IF(A1175="","", _xludf.WEEKNUM(A1175, 2))</f>
        <v/>
      </c>
    </row>
    <row r="1176">
      <c r="M1176">
        <f>IF(A1176="","", _xludf.WEEKNUM(A1176, 2))</f>
        <v/>
      </c>
    </row>
    <row r="1177">
      <c r="M1177">
        <f>IF(A1177="","", _xludf.WEEKNUM(A1177, 2))</f>
        <v/>
      </c>
    </row>
    <row r="1178">
      <c r="M1178">
        <f>IF(A1178="","", _xludf.WEEKNUM(A1178, 2))</f>
        <v/>
      </c>
    </row>
    <row r="1179">
      <c r="M1179">
        <f>IF(A1179="","", _xludf.WEEKNUM(A1179, 2))</f>
        <v/>
      </c>
    </row>
    <row r="1180">
      <c r="M1180">
        <f>IF(A1180="","", _xludf.WEEKNUM(A1180, 2))</f>
        <v/>
      </c>
    </row>
    <row r="1181">
      <c r="M1181">
        <f>IF(A1181="","", _xludf.WEEKNUM(A1181, 2))</f>
        <v/>
      </c>
    </row>
    <row r="1182">
      <c r="M1182">
        <f>IF(A1182="","", _xludf.WEEKNUM(A1182, 2))</f>
        <v/>
      </c>
    </row>
    <row r="1183">
      <c r="M1183">
        <f>IF(A1183="","", _xludf.WEEKNUM(A1183, 2))</f>
        <v/>
      </c>
    </row>
    <row r="1184">
      <c r="M1184">
        <f>IF(A1184="","", _xludf.WEEKNUM(A1184, 2))</f>
        <v/>
      </c>
    </row>
    <row r="1185">
      <c r="M1185">
        <f>IF(A1185="","", _xludf.WEEKNUM(A1185, 2))</f>
        <v/>
      </c>
    </row>
    <row r="1186">
      <c r="M1186">
        <f>IF(A1186="","", _xludf.WEEKNUM(A1186, 2))</f>
        <v/>
      </c>
    </row>
    <row r="1187">
      <c r="M1187">
        <f>IF(A1187="","", _xludf.WEEKNUM(A1187, 2))</f>
        <v/>
      </c>
    </row>
    <row r="1188">
      <c r="M1188">
        <f>IF(A1188="","", _xludf.WEEKNUM(A1188, 2))</f>
        <v/>
      </c>
    </row>
    <row r="1189">
      <c r="M1189">
        <f>IF(A1189="","", _xludf.WEEKNUM(A1189, 2))</f>
        <v/>
      </c>
    </row>
    <row r="1190">
      <c r="M1190">
        <f>IF(A1190="","", _xludf.WEEKNUM(A1190, 2))</f>
        <v/>
      </c>
    </row>
    <row r="1191">
      <c r="M1191">
        <f>IF(A1191="","", _xludf.WEEKNUM(A1191, 2))</f>
        <v/>
      </c>
    </row>
    <row r="1192">
      <c r="M1192">
        <f>IF(A1192="","", _xludf.WEEKNUM(A1192, 2))</f>
        <v/>
      </c>
    </row>
    <row r="1193">
      <c r="M1193">
        <f>IF(A1193="","", _xludf.WEEKNUM(A1193, 2))</f>
        <v/>
      </c>
    </row>
    <row r="1194">
      <c r="M1194">
        <f>IF(A1194="","", _xludf.WEEKNUM(A1194, 2))</f>
        <v/>
      </c>
    </row>
    <row r="1195">
      <c r="M1195">
        <f>IF(A1195="","", _xludf.WEEKNUM(A1195, 2))</f>
        <v/>
      </c>
    </row>
    <row r="1196">
      <c r="M1196">
        <f>IF(A1196="","", _xludf.WEEKNUM(A1196, 2))</f>
        <v/>
      </c>
    </row>
    <row r="1197">
      <c r="M1197">
        <f>IF(A1197="","", _xludf.WEEKNUM(A1197, 2))</f>
        <v/>
      </c>
    </row>
    <row r="1198">
      <c r="M1198">
        <f>IF(A1198="","", _xludf.WEEKNUM(A1198, 2))</f>
        <v/>
      </c>
    </row>
    <row r="1199">
      <c r="M1199">
        <f>IF(A1199="","", _xludf.WEEKNUM(A1199, 2))</f>
        <v/>
      </c>
    </row>
    <row r="1200">
      <c r="M1200">
        <f>IF(A1200="","", _xludf.WEEKNUM(A1200, 2))</f>
        <v/>
      </c>
    </row>
    <row r="1201">
      <c r="M1201">
        <f>IF(A1201="","", _xludf.WEEKNUM(A1201, 2))</f>
        <v/>
      </c>
    </row>
    <row r="1202">
      <c r="M1202">
        <f>IF(A1202="","", _xludf.WEEKNUM(A1202, 2))</f>
        <v/>
      </c>
    </row>
    <row r="1203">
      <c r="M1203">
        <f>IF(A1203="","", _xludf.WEEKNUM(A1203, 2))</f>
        <v/>
      </c>
    </row>
    <row r="1204">
      <c r="M1204">
        <f>IF(A1204="","", _xludf.WEEKNUM(A1204, 2))</f>
        <v/>
      </c>
    </row>
    <row r="1205">
      <c r="M1205">
        <f>IF(A1205="","", _xludf.WEEKNUM(A1205, 2))</f>
        <v/>
      </c>
    </row>
    <row r="1206">
      <c r="M1206">
        <f>IF(A1206="","", _xludf.WEEKNUM(A1206, 2))</f>
        <v/>
      </c>
    </row>
    <row r="1207">
      <c r="M1207">
        <f>IF(A1207="","", _xludf.WEEKNUM(A1207, 2))</f>
        <v/>
      </c>
    </row>
    <row r="1208">
      <c r="M1208">
        <f>IF(A1208="","", _xludf.WEEKNUM(A1208, 2))</f>
        <v/>
      </c>
    </row>
    <row r="1209">
      <c r="M1209">
        <f>IF(A1209="","", _xludf.WEEKNUM(A1209, 2))</f>
        <v/>
      </c>
    </row>
    <row r="1210">
      <c r="M1210">
        <f>IF(A1210="","", _xludf.WEEKNUM(A1210, 2))</f>
        <v/>
      </c>
    </row>
    <row r="1211">
      <c r="M1211">
        <f>IF(A1211="","", _xludf.WEEKNUM(A1211, 2))</f>
        <v/>
      </c>
    </row>
    <row r="1212">
      <c r="M1212">
        <f>IF(A1212="","", _xludf.WEEKNUM(A1212, 2))</f>
        <v/>
      </c>
    </row>
    <row r="1213">
      <c r="M1213">
        <f>IF(A1213="","", _xludf.WEEKNUM(A1213, 2))</f>
        <v/>
      </c>
    </row>
    <row r="1214">
      <c r="M1214">
        <f>IF(A1214="","", _xludf.WEEKNUM(A1214, 2))</f>
        <v/>
      </c>
    </row>
    <row r="1215">
      <c r="M1215">
        <f>IF(A1215="","", _xludf.WEEKNUM(A1215, 2))</f>
        <v/>
      </c>
    </row>
    <row r="1216">
      <c r="M1216">
        <f>IF(A1216="","", _xludf.WEEKNUM(A1216, 2))</f>
        <v/>
      </c>
    </row>
    <row r="1217">
      <c r="M1217">
        <f>IF(A1217="","", _xludf.WEEKNUM(A1217, 2))</f>
        <v/>
      </c>
    </row>
    <row r="1218">
      <c r="M1218">
        <f>IF(A1218="","", _xludf.WEEKNUM(A1218, 2))</f>
        <v/>
      </c>
    </row>
    <row r="1219">
      <c r="M1219">
        <f>IF(A1219="","", _xludf.WEEKNUM(A1219, 2))</f>
        <v/>
      </c>
    </row>
    <row r="1220">
      <c r="M1220">
        <f>IF(A1220="","", _xludf.WEEKNUM(A1220, 2))</f>
        <v/>
      </c>
    </row>
    <row r="1221">
      <c r="M1221">
        <f>IF(A1221="","", _xludf.WEEKNUM(A1221, 2))</f>
        <v/>
      </c>
    </row>
    <row r="1222">
      <c r="M1222">
        <f>IF(A1222="","", _xludf.WEEKNUM(A1222, 2))</f>
        <v/>
      </c>
    </row>
    <row r="1223">
      <c r="M1223">
        <f>IF(A1223="","", _xludf.WEEKNUM(A1223, 2))</f>
        <v/>
      </c>
    </row>
    <row r="1224">
      <c r="M1224">
        <f>IF(A1224="","", _xludf.WEEKNUM(A1224, 2))</f>
        <v/>
      </c>
    </row>
    <row r="1225">
      <c r="M1225">
        <f>IF(A1225="","", _xludf.WEEKNUM(A1225, 2))</f>
        <v/>
      </c>
    </row>
    <row r="1226">
      <c r="M1226">
        <f>IF(A1226="","", _xludf.WEEKNUM(A1226, 2))</f>
        <v/>
      </c>
    </row>
    <row r="1227">
      <c r="M1227">
        <f>IF(A1227="","", _xludf.WEEKNUM(A1227, 2))</f>
        <v/>
      </c>
    </row>
    <row r="1228">
      <c r="M1228">
        <f>IF(A1228="","", _xludf.WEEKNUM(A1228, 2))</f>
        <v/>
      </c>
    </row>
    <row r="1229">
      <c r="M1229">
        <f>IF(A1229="","", _xludf.WEEKNUM(A1229, 2))</f>
        <v/>
      </c>
    </row>
    <row r="1230">
      <c r="M1230">
        <f>IF(A1230="","", _xludf.WEEKNUM(A1230, 2))</f>
        <v/>
      </c>
    </row>
    <row r="1231">
      <c r="M1231">
        <f>IF(A1231="","", _xludf.WEEKNUM(A1231, 2))</f>
        <v/>
      </c>
    </row>
    <row r="1232">
      <c r="M1232">
        <f>IF(A1232="","", _xludf.WEEKNUM(A1232, 2))</f>
        <v/>
      </c>
    </row>
    <row r="1233">
      <c r="M1233">
        <f>IF(A1233="","", _xludf.WEEKNUM(A1233, 2))</f>
        <v/>
      </c>
    </row>
    <row r="1234">
      <c r="M1234">
        <f>IF(A1234="","", _xludf.WEEKNUM(A1234, 2))</f>
        <v/>
      </c>
    </row>
    <row r="1235">
      <c r="M1235">
        <f>IF(A1235="","", _xludf.WEEKNUM(A1235, 2))</f>
        <v/>
      </c>
    </row>
    <row r="1236">
      <c r="M1236">
        <f>IF(A1236="","", _xludf.WEEKNUM(A1236, 2))</f>
        <v/>
      </c>
    </row>
    <row r="1237">
      <c r="M1237">
        <f>IF(A1237="","", _xludf.WEEKNUM(A1237, 2))</f>
        <v/>
      </c>
    </row>
    <row r="1238">
      <c r="M1238">
        <f>IF(A1238="","", _xludf.WEEKNUM(A1238, 2))</f>
        <v/>
      </c>
    </row>
    <row r="1239">
      <c r="M1239">
        <f>IF(A1239="","", _xludf.WEEKNUM(A1239, 2))</f>
        <v/>
      </c>
    </row>
    <row r="1240">
      <c r="M1240">
        <f>IF(A1240="","", _xludf.WEEKNUM(A1240, 2))</f>
        <v/>
      </c>
    </row>
    <row r="1241">
      <c r="M1241">
        <f>IF(A1241="","", _xludf.WEEKNUM(A1241, 2))</f>
        <v/>
      </c>
    </row>
    <row r="1242">
      <c r="M1242">
        <f>IF(A1242="","", _xludf.WEEKNUM(A1242, 2))</f>
        <v/>
      </c>
    </row>
    <row r="1243">
      <c r="M1243">
        <f>IF(A1243="","", _xludf.WEEKNUM(A1243, 2))</f>
        <v/>
      </c>
    </row>
    <row r="1244">
      <c r="M1244">
        <f>IF(A1244="","", _xludf.WEEKNUM(A1244, 2))</f>
        <v/>
      </c>
    </row>
    <row r="1245">
      <c r="M1245">
        <f>IF(A1245="","", _xludf.WEEKNUM(A1245, 2))</f>
        <v/>
      </c>
    </row>
    <row r="1246">
      <c r="M1246">
        <f>IF(A1246="","", _xludf.WEEKNUM(A1246, 2))</f>
        <v/>
      </c>
    </row>
    <row r="1247">
      <c r="M1247">
        <f>IF(A1247="","", _xludf.WEEKNUM(A1247, 2))</f>
        <v/>
      </c>
    </row>
    <row r="1248">
      <c r="M1248">
        <f>IF(A1248="","", _xludf.WEEKNUM(A1248, 2))</f>
        <v/>
      </c>
    </row>
    <row r="1249">
      <c r="M1249">
        <f>IF(A1249="","", _xludf.WEEKNUM(A1249, 2))</f>
        <v/>
      </c>
    </row>
    <row r="1250">
      <c r="M1250">
        <f>IF(A1250="","", _xludf.WEEKNUM(A1250, 2))</f>
        <v/>
      </c>
    </row>
    <row r="1251">
      <c r="M1251">
        <f>IF(A1251="","", _xludf.WEEKNUM(A1251, 2))</f>
        <v/>
      </c>
    </row>
    <row r="1252">
      <c r="M1252">
        <f>IF(A1252="","", _xludf.WEEKNUM(A1252, 2))</f>
        <v/>
      </c>
    </row>
    <row r="1253">
      <c r="M1253">
        <f>IF(A1253="","", _xludf.WEEKNUM(A1253, 2))</f>
        <v/>
      </c>
    </row>
    <row r="1254">
      <c r="M1254">
        <f>IF(A1254="","", _xludf.WEEKNUM(A1254, 2))</f>
        <v/>
      </c>
    </row>
    <row r="1255">
      <c r="M1255">
        <f>IF(A1255="","", _xludf.WEEKNUM(A1255, 2))</f>
        <v/>
      </c>
    </row>
    <row r="1256">
      <c r="M1256">
        <f>IF(A1256="","", _xludf.WEEKNUM(A1256, 2))</f>
        <v/>
      </c>
    </row>
    <row r="1257">
      <c r="M1257">
        <f>IF(A1257="","", _xludf.WEEKNUM(A1257, 2))</f>
        <v/>
      </c>
    </row>
    <row r="1258">
      <c r="M1258">
        <f>IF(A1258="","", _xludf.WEEKNUM(A1258, 2))</f>
        <v/>
      </c>
    </row>
    <row r="1259">
      <c r="M1259">
        <f>IF(A1259="","", _xludf.WEEKNUM(A1259, 2))</f>
        <v/>
      </c>
    </row>
    <row r="1260">
      <c r="M1260">
        <f>IF(A1260="","", _xludf.WEEKNUM(A1260, 2))</f>
        <v/>
      </c>
    </row>
    <row r="1261">
      <c r="M1261">
        <f>IF(A1261="","", _xludf.WEEKNUM(A1261, 2))</f>
        <v/>
      </c>
    </row>
    <row r="1262">
      <c r="M1262">
        <f>IF(A1262="","", _xludf.WEEKNUM(A1262, 2))</f>
        <v/>
      </c>
    </row>
    <row r="1263">
      <c r="M1263">
        <f>IF(A1263="","", _xludf.WEEKNUM(A1263, 2))</f>
        <v/>
      </c>
    </row>
    <row r="1264">
      <c r="M1264">
        <f>IF(A1264="","", _xludf.WEEKNUM(A1264, 2))</f>
        <v/>
      </c>
    </row>
    <row r="1265">
      <c r="M1265">
        <f>IF(A1265="","", _xludf.WEEKNUM(A1265, 2))</f>
        <v/>
      </c>
    </row>
    <row r="1266">
      <c r="M1266">
        <f>IF(A1266="","", _xludf.WEEKNUM(A1266, 2))</f>
        <v/>
      </c>
    </row>
    <row r="1267">
      <c r="M1267">
        <f>IF(A1267="","", _xludf.WEEKNUM(A1267, 2))</f>
        <v/>
      </c>
    </row>
    <row r="1268">
      <c r="M1268">
        <f>IF(A1268="","", _xludf.WEEKNUM(A1268, 2))</f>
        <v/>
      </c>
    </row>
    <row r="1269">
      <c r="M1269">
        <f>IF(A1269="","", _xludf.WEEKNUM(A1269, 2))</f>
        <v/>
      </c>
    </row>
    <row r="1270">
      <c r="M1270">
        <f>IF(A1270="","", _xludf.WEEKNUM(A1270, 2))</f>
        <v/>
      </c>
    </row>
    <row r="1271">
      <c r="M1271">
        <f>IF(A1271="","", _xludf.WEEKNUM(A1271, 2))</f>
        <v/>
      </c>
    </row>
    <row r="1272">
      <c r="M1272">
        <f>IF(A1272="","", _xludf.WEEKNUM(A1272, 2))</f>
        <v/>
      </c>
    </row>
    <row r="1273">
      <c r="M1273">
        <f>IF(A1273="","", _xludf.WEEKNUM(A1273, 2))</f>
        <v/>
      </c>
    </row>
    <row r="1274">
      <c r="M1274">
        <f>IF(A1274="","", _xludf.WEEKNUM(A1274, 2))</f>
        <v/>
      </c>
    </row>
    <row r="1275">
      <c r="M1275">
        <f>IF(A1275="","", _xludf.WEEKNUM(A1275, 2))</f>
        <v/>
      </c>
    </row>
    <row r="1276">
      <c r="M1276">
        <f>IF(A1276="","", _xludf.WEEKNUM(A1276, 2))</f>
        <v/>
      </c>
    </row>
    <row r="1277">
      <c r="M1277">
        <f>IF(A1277="","", _xludf.WEEKNUM(A1277, 2))</f>
        <v/>
      </c>
    </row>
    <row r="1278">
      <c r="M1278">
        <f>IF(A1278="","", _xludf.WEEKNUM(A1278, 2))</f>
        <v/>
      </c>
    </row>
    <row r="1279">
      <c r="M1279">
        <f>IF(A1279="","", _xludf.WEEKNUM(A1279, 2))</f>
        <v/>
      </c>
    </row>
    <row r="1280">
      <c r="M1280">
        <f>IF(A1280="","", _xludf.WEEKNUM(A1280, 2))</f>
        <v/>
      </c>
    </row>
    <row r="1281">
      <c r="M1281">
        <f>IF(A1281="","", _xludf.WEEKNUM(A1281, 2))</f>
        <v/>
      </c>
    </row>
    <row r="1282">
      <c r="M1282">
        <f>IF(A1282="","", _xludf.WEEKNUM(A1282, 2))</f>
        <v/>
      </c>
    </row>
    <row r="1283">
      <c r="M1283">
        <f>IF(A1283="","", _xludf.WEEKNUM(A1283, 2))</f>
        <v/>
      </c>
    </row>
    <row r="1284">
      <c r="M1284">
        <f>IF(A1284="","", _xludf.WEEKNUM(A1284, 2))</f>
        <v/>
      </c>
    </row>
    <row r="1285">
      <c r="M1285">
        <f>IF(A1285="","", _xludf.WEEKNUM(A1285, 2))</f>
        <v/>
      </c>
    </row>
    <row r="1286">
      <c r="M1286">
        <f>IF(A1286="","", _xludf.WEEKNUM(A1286, 2))</f>
        <v/>
      </c>
    </row>
    <row r="1287">
      <c r="M1287">
        <f>IF(A1287="","", _xludf.WEEKNUM(A1287, 2))</f>
        <v/>
      </c>
    </row>
    <row r="1288">
      <c r="M1288">
        <f>IF(A1288="","", _xludf.WEEKNUM(A1288, 2))</f>
        <v/>
      </c>
    </row>
    <row r="1289">
      <c r="M1289">
        <f>IF(A1289="","", _xludf.WEEKNUM(A1289, 2))</f>
        <v/>
      </c>
    </row>
    <row r="1290">
      <c r="M1290">
        <f>IF(A1290="","", _xludf.WEEKNUM(A1290, 2))</f>
        <v/>
      </c>
    </row>
    <row r="1291">
      <c r="M1291">
        <f>IF(A1291="","", _xludf.WEEKNUM(A1291, 2))</f>
        <v/>
      </c>
    </row>
    <row r="1292">
      <c r="M1292">
        <f>IF(A1292="","", _xludf.WEEKNUM(A1292, 2))</f>
        <v/>
      </c>
    </row>
    <row r="1293">
      <c r="M1293">
        <f>IF(A1293="","", _xludf.WEEKNUM(A1293, 2))</f>
        <v/>
      </c>
    </row>
    <row r="1294">
      <c r="M1294">
        <f>IF(A1294="","", _xludf.WEEKNUM(A1294, 2))</f>
        <v/>
      </c>
    </row>
    <row r="1295">
      <c r="M1295">
        <f>IF(A1295="","", _xludf.WEEKNUM(A1295, 2))</f>
        <v/>
      </c>
    </row>
    <row r="1296">
      <c r="M1296">
        <f>IF(A1296="","", _xludf.WEEKNUM(A1296, 2))</f>
        <v/>
      </c>
    </row>
    <row r="1297">
      <c r="M1297">
        <f>IF(A1297="","", _xludf.WEEKNUM(A1297, 2))</f>
        <v/>
      </c>
    </row>
    <row r="1298">
      <c r="M1298">
        <f>IF(A1298="","", _xludf.WEEKNUM(A1298, 2))</f>
        <v/>
      </c>
    </row>
    <row r="1299">
      <c r="M1299">
        <f>IF(A1299="","", _xludf.WEEKNUM(A1299, 2))</f>
        <v/>
      </c>
    </row>
    <row r="1300">
      <c r="M1300">
        <f>IF(A1300="","", _xludf.WEEKNUM(A1300, 2))</f>
        <v/>
      </c>
    </row>
    <row r="1301">
      <c r="M1301">
        <f>IF(A1301="","", _xludf.WEEKNUM(A1301, 2))</f>
        <v/>
      </c>
    </row>
    <row r="1302">
      <c r="M1302">
        <f>IF(A1302="","", _xludf.WEEKNUM(A1302, 2))</f>
        <v/>
      </c>
    </row>
    <row r="1303">
      <c r="M1303">
        <f>IF(A1303="","", _xludf.WEEKNUM(A1303, 2))</f>
        <v/>
      </c>
    </row>
    <row r="1304">
      <c r="M1304">
        <f>IF(A1304="","", _xludf.WEEKNUM(A1304, 2))</f>
        <v/>
      </c>
    </row>
    <row r="1305">
      <c r="M1305">
        <f>IF(A1305="","", _xludf.WEEKNUM(A1305, 2))</f>
        <v/>
      </c>
    </row>
    <row r="1306">
      <c r="M1306">
        <f>IF(A1306="","", _xludf.WEEKNUM(A1306, 2))</f>
        <v/>
      </c>
    </row>
    <row r="1307">
      <c r="M1307">
        <f>IF(A1307="","", _xludf.WEEKNUM(A1307, 2))</f>
        <v/>
      </c>
    </row>
    <row r="1308">
      <c r="M1308">
        <f>IF(A1308="","", _xludf.WEEKNUM(A1308, 2))</f>
        <v/>
      </c>
    </row>
    <row r="1309">
      <c r="M1309">
        <f>IF(A1309="","", _xludf.WEEKNUM(A1309, 2))</f>
        <v/>
      </c>
    </row>
    <row r="1310">
      <c r="M1310">
        <f>IF(A1310="","", _xludf.WEEKNUM(A1310, 2))</f>
        <v/>
      </c>
    </row>
    <row r="1311">
      <c r="M1311">
        <f>IF(A1311="","", _xludf.WEEKNUM(A1311, 2))</f>
        <v/>
      </c>
    </row>
    <row r="1312">
      <c r="M1312">
        <f>IF(A1312="","", _xludf.WEEKNUM(A1312, 2))</f>
        <v/>
      </c>
    </row>
    <row r="1313">
      <c r="M1313">
        <f>IF(A1313="","", _xludf.WEEKNUM(A1313, 2))</f>
        <v/>
      </c>
    </row>
    <row r="1314">
      <c r="M1314">
        <f>IF(A1314="","", _xludf.WEEKNUM(A1314, 2))</f>
        <v/>
      </c>
    </row>
    <row r="1315">
      <c r="M1315">
        <f>IF(A1315="","", _xludf.WEEKNUM(A1315, 2))</f>
        <v/>
      </c>
    </row>
    <row r="1316">
      <c r="M1316">
        <f>IF(A1316="","", _xludf.WEEKNUM(A1316, 2))</f>
        <v/>
      </c>
    </row>
    <row r="1317">
      <c r="M1317">
        <f>IF(A1317="","", _xludf.WEEKNUM(A1317, 2))</f>
        <v/>
      </c>
    </row>
    <row r="1318">
      <c r="M1318">
        <f>IF(A1318="","", _xludf.WEEKNUM(A1318, 2))</f>
        <v/>
      </c>
    </row>
    <row r="1319">
      <c r="M1319">
        <f>IF(A1319="","", _xludf.WEEKNUM(A1319, 2))</f>
        <v/>
      </c>
    </row>
    <row r="1320">
      <c r="M1320">
        <f>IF(A1320="","", _xludf.WEEKNUM(A1320, 2))</f>
        <v/>
      </c>
    </row>
    <row r="1321">
      <c r="M1321">
        <f>IF(A1321="","", _xludf.WEEKNUM(A1321, 2))</f>
        <v/>
      </c>
    </row>
    <row r="1322">
      <c r="M1322">
        <f>IF(A1322="","", _xludf.WEEKNUM(A1322, 2))</f>
        <v/>
      </c>
    </row>
    <row r="1323">
      <c r="M1323">
        <f>IF(A1323="","", _xludf.WEEKNUM(A1323, 2))</f>
        <v/>
      </c>
    </row>
    <row r="1324">
      <c r="M1324">
        <f>IF(A1324="","", _xludf.WEEKNUM(A1324, 2))</f>
        <v/>
      </c>
    </row>
    <row r="1325">
      <c r="M1325">
        <f>IF(A1325="","", _xludf.WEEKNUM(A1325, 2))</f>
        <v/>
      </c>
    </row>
    <row r="1326">
      <c r="M1326">
        <f>IF(A1326="","", _xludf.WEEKNUM(A1326, 2))</f>
        <v/>
      </c>
    </row>
    <row r="1327">
      <c r="M1327">
        <f>IF(A1327="","", _xludf.WEEKNUM(A1327, 2))</f>
        <v/>
      </c>
    </row>
    <row r="1328">
      <c r="M1328">
        <f>IF(A1328="","", _xludf.WEEKNUM(A1328, 2))</f>
        <v/>
      </c>
    </row>
    <row r="1329">
      <c r="M1329">
        <f>IF(A1329="","", _xludf.WEEKNUM(A1329, 2))</f>
        <v/>
      </c>
    </row>
    <row r="1330">
      <c r="M1330">
        <f>IF(A1330="","", _xludf.WEEKNUM(A1330, 2))</f>
        <v/>
      </c>
    </row>
    <row r="1331">
      <c r="M1331">
        <f>IF(A1331="","", _xludf.WEEKNUM(A1331, 2))</f>
        <v/>
      </c>
    </row>
    <row r="1332">
      <c r="M1332">
        <f>IF(A1332="","", _xludf.WEEKNUM(A1332, 2))</f>
        <v/>
      </c>
    </row>
    <row r="1333">
      <c r="M1333">
        <f>IF(A1333="","", _xludf.WEEKNUM(A1333, 2))</f>
        <v/>
      </c>
    </row>
    <row r="1334">
      <c r="M1334">
        <f>IF(A1334="","", _xludf.WEEKNUM(A1334, 2))</f>
        <v/>
      </c>
    </row>
    <row r="1335">
      <c r="M1335">
        <f>IF(A1335="","", _xludf.WEEKNUM(A1335, 2))</f>
        <v/>
      </c>
    </row>
    <row r="1336">
      <c r="M1336">
        <f>IF(A1336="","", _xludf.WEEKNUM(A1336, 2))</f>
        <v/>
      </c>
    </row>
    <row r="1337">
      <c r="M1337">
        <f>IF(A1337="","", _xludf.WEEKNUM(A1337, 2))</f>
        <v/>
      </c>
    </row>
    <row r="1338">
      <c r="M1338">
        <f>IF(A1338="","", _xludf.WEEKNUM(A1338, 2))</f>
        <v/>
      </c>
    </row>
    <row r="1339">
      <c r="M1339">
        <f>IF(A1339="","", _xludf.WEEKNUM(A1339, 2))</f>
        <v/>
      </c>
    </row>
    <row r="1340">
      <c r="M1340">
        <f>IF(A1340="","", _xludf.WEEKNUM(A1340, 2))</f>
        <v/>
      </c>
    </row>
    <row r="1341">
      <c r="M1341">
        <f>IF(A1341="","", _xludf.WEEKNUM(A1341, 2))</f>
        <v/>
      </c>
    </row>
    <row r="1342">
      <c r="M1342">
        <f>IF(A1342="","", _xludf.WEEKNUM(A1342, 2))</f>
        <v/>
      </c>
    </row>
    <row r="1343">
      <c r="M1343">
        <f>IF(A1343="","", _xludf.WEEKNUM(A1343, 2))</f>
        <v/>
      </c>
    </row>
    <row r="1344">
      <c r="M1344">
        <f>IF(A1344="","", _xludf.WEEKNUM(A1344, 2))</f>
        <v/>
      </c>
    </row>
    <row r="1345">
      <c r="M1345">
        <f>IF(A1345="","", _xludf.WEEKNUM(A1345, 2))</f>
        <v/>
      </c>
    </row>
    <row r="1346">
      <c r="M1346">
        <f>IF(A1346="","", _xludf.WEEKNUM(A1346, 2))</f>
        <v/>
      </c>
    </row>
    <row r="1347">
      <c r="M1347">
        <f>IF(A1347="","", _xludf.WEEKNUM(A1347, 2))</f>
        <v/>
      </c>
    </row>
    <row r="1348">
      <c r="M1348">
        <f>IF(A1348="","", _xludf.WEEKNUM(A1348, 2))</f>
        <v/>
      </c>
    </row>
    <row r="1349">
      <c r="M1349">
        <f>IF(A1349="","", _xludf.WEEKNUM(A1349, 2))</f>
        <v/>
      </c>
    </row>
    <row r="1350">
      <c r="M1350">
        <f>IF(A1350="","", _xludf.WEEKNUM(A1350, 2))</f>
        <v/>
      </c>
    </row>
    <row r="1351">
      <c r="M1351">
        <f>IF(A1351="","", _xludf.WEEKNUM(A1351, 2))</f>
        <v/>
      </c>
    </row>
    <row r="1352">
      <c r="M1352">
        <f>IF(A1352="","", _xludf.WEEKNUM(A1352, 2))</f>
        <v/>
      </c>
    </row>
    <row r="1353">
      <c r="M1353">
        <f>IF(A1353="","", _xludf.WEEKNUM(A1353, 2))</f>
        <v/>
      </c>
    </row>
    <row r="1354">
      <c r="M1354">
        <f>IF(A1354="","", _xludf.WEEKNUM(A1354, 2))</f>
        <v/>
      </c>
    </row>
    <row r="1355">
      <c r="M1355">
        <f>IF(A1355="","", _xludf.WEEKNUM(A1355, 2))</f>
        <v/>
      </c>
    </row>
    <row r="1356">
      <c r="M1356">
        <f>IF(A1356="","", _xludf.WEEKNUM(A1356, 2))</f>
        <v/>
      </c>
    </row>
    <row r="1357">
      <c r="M1357">
        <f>IF(A1357="","", _xludf.WEEKNUM(A1357, 2))</f>
        <v/>
      </c>
    </row>
    <row r="1358">
      <c r="M1358">
        <f>IF(A1358="","", _xludf.WEEKNUM(A1358, 2))</f>
        <v/>
      </c>
    </row>
    <row r="1359">
      <c r="M1359">
        <f>IF(A1359="","", _xludf.WEEKNUM(A1359, 2))</f>
        <v/>
      </c>
    </row>
    <row r="1360">
      <c r="M1360">
        <f>IF(A1360="","", _xludf.WEEKNUM(A1360, 2))</f>
        <v/>
      </c>
    </row>
    <row r="1361">
      <c r="M1361">
        <f>IF(A1361="","", _xludf.WEEKNUM(A1361, 2))</f>
        <v/>
      </c>
    </row>
    <row r="1362">
      <c r="M1362">
        <f>IF(A1362="","", _xludf.WEEKNUM(A1362, 2))</f>
        <v/>
      </c>
    </row>
    <row r="1363">
      <c r="M1363">
        <f>IF(A1363="","", _xludf.WEEKNUM(A1363, 2))</f>
        <v/>
      </c>
    </row>
    <row r="1364">
      <c r="M1364">
        <f>IF(A1364="","", _xludf.WEEKNUM(A1364, 2))</f>
        <v/>
      </c>
    </row>
    <row r="1365">
      <c r="M1365">
        <f>IF(A1365="","", _xludf.WEEKNUM(A1365, 2))</f>
        <v/>
      </c>
    </row>
    <row r="1366">
      <c r="M1366">
        <f>IF(A1366="","", _xludf.WEEKNUM(A1366, 2))</f>
        <v/>
      </c>
    </row>
    <row r="1367">
      <c r="M1367">
        <f>IF(A1367="","", _xludf.WEEKNUM(A1367, 2))</f>
        <v/>
      </c>
    </row>
    <row r="1368">
      <c r="M1368">
        <f>IF(A1368="","", _xludf.WEEKNUM(A1368, 2))</f>
        <v/>
      </c>
    </row>
    <row r="1369">
      <c r="M1369">
        <f>IF(A1369="","", _xludf.WEEKNUM(A1369, 2))</f>
        <v/>
      </c>
    </row>
    <row r="1370">
      <c r="M1370">
        <f>IF(A1370="","", _xludf.WEEKNUM(A1370, 2))</f>
        <v/>
      </c>
    </row>
    <row r="1371">
      <c r="M1371">
        <f>IF(A1371="","", _xludf.WEEKNUM(A1371, 2))</f>
        <v/>
      </c>
    </row>
    <row r="1372">
      <c r="M1372">
        <f>IF(A1372="","", _xludf.WEEKNUM(A1372, 2))</f>
        <v/>
      </c>
    </row>
    <row r="1373">
      <c r="M1373">
        <f>IF(A1373="","", _xludf.WEEKNUM(A1373, 2))</f>
        <v/>
      </c>
    </row>
    <row r="1374">
      <c r="M1374">
        <f>IF(A1374="","", _xludf.WEEKNUM(A1374, 2))</f>
        <v/>
      </c>
    </row>
    <row r="1375">
      <c r="M1375">
        <f>IF(A1375="","", _xludf.WEEKNUM(A1375, 2))</f>
        <v/>
      </c>
    </row>
    <row r="1376">
      <c r="M1376">
        <f>IF(A1376="","", _xludf.WEEKNUM(A1376, 2))</f>
        <v/>
      </c>
    </row>
    <row r="1377">
      <c r="M1377">
        <f>IF(A1377="","", _xludf.WEEKNUM(A1377, 2))</f>
        <v/>
      </c>
    </row>
    <row r="1378">
      <c r="M1378">
        <f>IF(A1378="","", _xludf.WEEKNUM(A1378, 2))</f>
        <v/>
      </c>
    </row>
    <row r="1379">
      <c r="M1379">
        <f>IF(A1379="","", _xludf.WEEKNUM(A1379, 2))</f>
        <v/>
      </c>
    </row>
    <row r="1380">
      <c r="M1380">
        <f>IF(A1380="","", _xludf.WEEKNUM(A1380, 2))</f>
        <v/>
      </c>
    </row>
    <row r="1381">
      <c r="M1381">
        <f>IF(A1381="","", _xludf.WEEKNUM(A1381, 2))</f>
        <v/>
      </c>
    </row>
    <row r="1382">
      <c r="M1382">
        <f>IF(A1382="","", _xludf.WEEKNUM(A1382, 2))</f>
        <v/>
      </c>
    </row>
    <row r="1383">
      <c r="M1383">
        <f>IF(A1383="","", _xludf.WEEKNUM(A1383, 2))</f>
        <v/>
      </c>
    </row>
    <row r="1384">
      <c r="M1384">
        <f>IF(A1384="","", _xludf.WEEKNUM(A1384, 2))</f>
        <v/>
      </c>
    </row>
    <row r="1385">
      <c r="M1385">
        <f>IF(A1385="","", _xludf.WEEKNUM(A1385, 2))</f>
        <v/>
      </c>
    </row>
    <row r="1386">
      <c r="M1386">
        <f>IF(A1386="","", _xludf.WEEKNUM(A1386, 2))</f>
        <v/>
      </c>
    </row>
    <row r="1387">
      <c r="M1387">
        <f>IF(A1387="","", _xludf.WEEKNUM(A1387, 2))</f>
        <v/>
      </c>
    </row>
    <row r="1388">
      <c r="M1388">
        <f>IF(A1388="","", _xludf.WEEKNUM(A1388, 2))</f>
        <v/>
      </c>
    </row>
    <row r="1389">
      <c r="M1389">
        <f>IF(A1389="","", _xludf.WEEKNUM(A1389, 2))</f>
        <v/>
      </c>
    </row>
    <row r="1390">
      <c r="M1390">
        <f>IF(A1390="","", _xludf.WEEKNUM(A1390, 2))</f>
        <v/>
      </c>
    </row>
    <row r="1391">
      <c r="M1391">
        <f>IF(A1391="","", _xludf.WEEKNUM(A1391, 2))</f>
        <v/>
      </c>
    </row>
    <row r="1392">
      <c r="M1392">
        <f>IF(A1392="","", _xludf.WEEKNUM(A1392, 2))</f>
        <v/>
      </c>
    </row>
    <row r="1393">
      <c r="M1393">
        <f>IF(A1393="","", _xludf.WEEKNUM(A1393, 2))</f>
        <v/>
      </c>
    </row>
    <row r="1394">
      <c r="M1394">
        <f>IF(A1394="","", _xludf.WEEKNUM(A1394, 2))</f>
        <v/>
      </c>
    </row>
    <row r="1395">
      <c r="M1395">
        <f>IF(A1395="","", _xludf.WEEKNUM(A1395, 2))</f>
        <v/>
      </c>
    </row>
    <row r="1396">
      <c r="M1396">
        <f>IF(A1396="","", _xludf.WEEKNUM(A1396, 2))</f>
        <v/>
      </c>
    </row>
    <row r="1397">
      <c r="M1397">
        <f>IF(A1397="","", _xludf.WEEKNUM(A1397, 2))</f>
        <v/>
      </c>
    </row>
    <row r="1398">
      <c r="M1398">
        <f>IF(A1398="","", _xludf.WEEKNUM(A1398, 2))</f>
        <v/>
      </c>
    </row>
    <row r="1399">
      <c r="M1399">
        <f>IF(A1399="","", _xludf.WEEKNUM(A1399, 2))</f>
        <v/>
      </c>
    </row>
    <row r="1400">
      <c r="M1400">
        <f>IF(A1400="","", _xludf.WEEKNUM(A1400, 2))</f>
        <v/>
      </c>
    </row>
    <row r="1401">
      <c r="M1401">
        <f>IF(A1401="","", _xludf.WEEKNUM(A1401, 2))</f>
        <v/>
      </c>
    </row>
    <row r="1402">
      <c r="M1402">
        <f>IF(A1402="","", _xludf.WEEKNUM(A1402, 2))</f>
        <v/>
      </c>
    </row>
    <row r="1403">
      <c r="M1403">
        <f>IF(A1403="","", _xludf.WEEKNUM(A1403, 2))</f>
        <v/>
      </c>
    </row>
    <row r="1404">
      <c r="M1404">
        <f>IF(A1404="","", _xludf.WEEKNUM(A1404, 2))</f>
        <v/>
      </c>
    </row>
    <row r="1405">
      <c r="M1405">
        <f>IF(A1405="","", _xludf.WEEKNUM(A1405, 2))</f>
        <v/>
      </c>
    </row>
    <row r="1406">
      <c r="M1406">
        <f>IF(A1406="","", _xludf.WEEKNUM(A1406, 2))</f>
        <v/>
      </c>
    </row>
    <row r="1407">
      <c r="M1407">
        <f>IF(A1407="","", _xludf.WEEKNUM(A1407, 2))</f>
        <v/>
      </c>
    </row>
    <row r="1408">
      <c r="M1408">
        <f>IF(A1408="","", _xludf.WEEKNUM(A1408, 2))</f>
        <v/>
      </c>
    </row>
    <row r="1409">
      <c r="M1409">
        <f>IF(A1409="","", _xludf.WEEKNUM(A1409, 2))</f>
        <v/>
      </c>
    </row>
    <row r="1410">
      <c r="M1410">
        <f>IF(A1410="","", _xludf.WEEKNUM(A1410, 2))</f>
        <v/>
      </c>
    </row>
    <row r="1411">
      <c r="M1411">
        <f>IF(A1411="","", _xludf.WEEKNUM(A1411, 2))</f>
        <v/>
      </c>
    </row>
    <row r="1412">
      <c r="M1412">
        <f>IF(A1412="","", _xludf.WEEKNUM(A1412, 2))</f>
        <v/>
      </c>
    </row>
    <row r="1413">
      <c r="M1413">
        <f>IF(A1413="","", _xludf.WEEKNUM(A1413, 2))</f>
        <v/>
      </c>
    </row>
    <row r="1414">
      <c r="M1414">
        <f>IF(A1414="","", _xludf.WEEKNUM(A1414, 2))</f>
        <v/>
      </c>
    </row>
    <row r="1415">
      <c r="M1415">
        <f>IF(A1415="","", _xludf.WEEKNUM(A1415, 2))</f>
        <v/>
      </c>
    </row>
    <row r="1416">
      <c r="M1416">
        <f>IF(A1416="","", _xludf.WEEKNUM(A1416, 2))</f>
        <v/>
      </c>
    </row>
    <row r="1417">
      <c r="M1417">
        <f>IF(A1417="","", _xludf.WEEKNUM(A1417, 2))</f>
        <v/>
      </c>
    </row>
    <row r="1418">
      <c r="M1418">
        <f>IF(A1418="","", _xludf.WEEKNUM(A1418, 2))</f>
        <v/>
      </c>
    </row>
    <row r="1419">
      <c r="M1419">
        <f>IF(A1419="","", _xludf.WEEKNUM(A1419, 2))</f>
        <v/>
      </c>
    </row>
    <row r="1420">
      <c r="M1420">
        <f>IF(A1420="","", _xludf.WEEKNUM(A1420, 2))</f>
        <v/>
      </c>
    </row>
    <row r="1421">
      <c r="M1421">
        <f>IF(A1421="","", _xludf.WEEKNUM(A1421, 2))</f>
        <v/>
      </c>
    </row>
    <row r="1422">
      <c r="M1422">
        <f>IF(A1422="","", _xludf.WEEKNUM(A1422, 2))</f>
        <v/>
      </c>
    </row>
    <row r="1423">
      <c r="M1423">
        <f>IF(A1423="","", _xludf.WEEKNUM(A1423, 2))</f>
        <v/>
      </c>
    </row>
    <row r="1424">
      <c r="M1424">
        <f>IF(A1424="","", _xludf.WEEKNUM(A1424, 2))</f>
        <v/>
      </c>
    </row>
    <row r="1425">
      <c r="M1425">
        <f>IF(A1425="","", _xludf.WEEKNUM(A1425, 2))</f>
        <v/>
      </c>
    </row>
    <row r="1426">
      <c r="M1426">
        <f>IF(A1426="","", _xludf.WEEKNUM(A1426, 2))</f>
        <v/>
      </c>
    </row>
    <row r="1427">
      <c r="M1427">
        <f>IF(A1427="","", _xludf.WEEKNUM(A1427, 2))</f>
        <v/>
      </c>
    </row>
    <row r="1428">
      <c r="M1428">
        <f>IF(A1428="","", _xludf.WEEKNUM(A1428, 2))</f>
        <v/>
      </c>
    </row>
    <row r="1429">
      <c r="M1429">
        <f>IF(A1429="","", _xludf.WEEKNUM(A1429, 2))</f>
        <v/>
      </c>
    </row>
    <row r="1430">
      <c r="M1430">
        <f>IF(A1430="","", _xludf.WEEKNUM(A1430, 2))</f>
        <v/>
      </c>
    </row>
    <row r="1431">
      <c r="M1431">
        <f>IF(A1431="","", _xludf.WEEKNUM(A1431, 2))</f>
        <v/>
      </c>
    </row>
    <row r="1432">
      <c r="M1432">
        <f>IF(A1432="","", _xludf.WEEKNUM(A1432, 2))</f>
        <v/>
      </c>
    </row>
    <row r="1433">
      <c r="M1433">
        <f>IF(A1433="","", _xludf.WEEKNUM(A1433, 2))</f>
        <v/>
      </c>
    </row>
    <row r="1434">
      <c r="M1434">
        <f>IF(A1434="","", _xludf.WEEKNUM(A1434, 2))</f>
        <v/>
      </c>
    </row>
    <row r="1435">
      <c r="M1435">
        <f>IF(A1435="","", _xludf.WEEKNUM(A1435, 2))</f>
        <v/>
      </c>
    </row>
    <row r="1436">
      <c r="M1436">
        <f>IF(A1436="","", _xludf.WEEKNUM(A1436, 2))</f>
        <v/>
      </c>
    </row>
    <row r="1437">
      <c r="M1437">
        <f>IF(A1437="","", _xludf.WEEKNUM(A1437, 2))</f>
        <v/>
      </c>
    </row>
    <row r="1438">
      <c r="M1438">
        <f>IF(A1438="","", _xludf.WEEKNUM(A1438, 2))</f>
        <v/>
      </c>
    </row>
    <row r="1439">
      <c r="M1439">
        <f>IF(A1439="","", _xludf.WEEKNUM(A1439, 2))</f>
        <v/>
      </c>
    </row>
    <row r="1440">
      <c r="M1440">
        <f>IF(A1440="","", _xludf.WEEKNUM(A1440, 2))</f>
        <v/>
      </c>
    </row>
    <row r="1441">
      <c r="M1441">
        <f>IF(A1441="","", _xludf.WEEKNUM(A1441, 2))</f>
        <v/>
      </c>
    </row>
    <row r="1442">
      <c r="M1442">
        <f>IF(A1442="","", _xludf.WEEKNUM(A1442, 2))</f>
        <v/>
      </c>
    </row>
    <row r="1443">
      <c r="M1443">
        <f>IF(A1443="","", _xludf.WEEKNUM(A1443, 2))</f>
        <v/>
      </c>
    </row>
    <row r="1444">
      <c r="M1444">
        <f>IF(A1444="","", _xludf.WEEKNUM(A1444, 2))</f>
        <v/>
      </c>
    </row>
    <row r="1445">
      <c r="M1445">
        <f>IF(A1445="","", _xludf.WEEKNUM(A1445, 2))</f>
        <v/>
      </c>
    </row>
    <row r="1446">
      <c r="M1446">
        <f>IF(A1446="","", _xludf.WEEKNUM(A1446, 2))</f>
        <v/>
      </c>
    </row>
    <row r="1447">
      <c r="M1447">
        <f>IF(A1447="","", _xludf.WEEKNUM(A1447, 2))</f>
        <v/>
      </c>
    </row>
    <row r="1448">
      <c r="M1448">
        <f>IF(A1448="","", _xludf.WEEKNUM(A1448, 2))</f>
        <v/>
      </c>
    </row>
    <row r="1449">
      <c r="M1449">
        <f>IF(A1449="","", _xludf.WEEKNUM(A1449, 2))</f>
        <v/>
      </c>
    </row>
    <row r="1450">
      <c r="M1450">
        <f>IF(A1450="","", _xludf.WEEKNUM(A1450, 2))</f>
        <v/>
      </c>
    </row>
    <row r="1451">
      <c r="M1451">
        <f>IF(A1451="","", _xludf.WEEKNUM(A1451, 2))</f>
        <v/>
      </c>
    </row>
    <row r="1452">
      <c r="M1452">
        <f>IF(A1452="","", _xludf.WEEKNUM(A1452, 2))</f>
        <v/>
      </c>
    </row>
    <row r="1453">
      <c r="M1453">
        <f>IF(A1453="","", _xludf.WEEKNUM(A1453, 2))</f>
        <v/>
      </c>
    </row>
    <row r="1454">
      <c r="M1454">
        <f>IF(A1454="","", _xludf.WEEKNUM(A1454, 2))</f>
        <v/>
      </c>
    </row>
    <row r="1455">
      <c r="M1455">
        <f>IF(A1455="","", _xludf.WEEKNUM(A1455, 2))</f>
        <v/>
      </c>
    </row>
    <row r="1456">
      <c r="M1456">
        <f>IF(A1456="","", _xludf.WEEKNUM(A1456, 2))</f>
        <v/>
      </c>
    </row>
    <row r="1457">
      <c r="M1457">
        <f>IF(A1457="","", _xludf.WEEKNUM(A1457, 2))</f>
        <v/>
      </c>
    </row>
    <row r="1458">
      <c r="M1458">
        <f>IF(A1458="","", _xludf.WEEKNUM(A1458, 2))</f>
        <v/>
      </c>
    </row>
    <row r="1459">
      <c r="M1459">
        <f>IF(A1459="","", _xludf.WEEKNUM(A1459, 2))</f>
        <v/>
      </c>
    </row>
    <row r="1460">
      <c r="M1460">
        <f>IF(A1460="","", _xludf.WEEKNUM(A1460, 2))</f>
        <v/>
      </c>
    </row>
    <row r="1461">
      <c r="M1461">
        <f>IF(A1461="","", _xludf.WEEKNUM(A1461, 2))</f>
        <v/>
      </c>
    </row>
    <row r="1462">
      <c r="M1462">
        <f>IF(A1462="","", _xludf.WEEKNUM(A1462, 2))</f>
        <v/>
      </c>
    </row>
    <row r="1463">
      <c r="M1463">
        <f>IF(A1463="","", _xludf.WEEKNUM(A1463, 2))</f>
        <v/>
      </c>
    </row>
    <row r="1464">
      <c r="M1464">
        <f>IF(A1464="","", _xludf.WEEKNUM(A1464, 2))</f>
        <v/>
      </c>
    </row>
    <row r="1465">
      <c r="M1465">
        <f>IF(A1465="","", _xludf.WEEKNUM(A1465, 2))</f>
        <v/>
      </c>
    </row>
    <row r="1466">
      <c r="M1466">
        <f>IF(A1466="","", _xludf.WEEKNUM(A1466, 2))</f>
        <v/>
      </c>
    </row>
    <row r="1467">
      <c r="M1467">
        <f>IF(A1467="","", _xludf.WEEKNUM(A1467, 2))</f>
        <v/>
      </c>
    </row>
    <row r="1468">
      <c r="M1468">
        <f>IF(A1468="","", _xludf.WEEKNUM(A1468, 2))</f>
        <v/>
      </c>
    </row>
    <row r="1469">
      <c r="M1469">
        <f>IF(A1469="","", _xludf.WEEKNUM(A1469, 2))</f>
        <v/>
      </c>
    </row>
    <row r="1470">
      <c r="M1470">
        <f>IF(A1470="","", _xludf.WEEKNUM(A1470, 2))</f>
        <v/>
      </c>
    </row>
    <row r="1471">
      <c r="M1471">
        <f>IF(A1471="","", _xludf.WEEKNUM(A1471, 2))</f>
        <v/>
      </c>
    </row>
    <row r="1472">
      <c r="M1472">
        <f>IF(A1472="","", _xludf.WEEKNUM(A1472, 2))</f>
        <v/>
      </c>
    </row>
    <row r="1473">
      <c r="M1473">
        <f>IF(A1473="","", _xludf.WEEKNUM(A1473, 2))</f>
        <v/>
      </c>
    </row>
    <row r="1474">
      <c r="M1474">
        <f>IF(A1474="","", _xludf.WEEKNUM(A1474, 2))</f>
        <v/>
      </c>
    </row>
    <row r="1475">
      <c r="M1475">
        <f>IF(A1475="","", _xludf.WEEKNUM(A1475, 2))</f>
        <v/>
      </c>
    </row>
    <row r="1476">
      <c r="M1476">
        <f>IF(A1476="","", _xludf.WEEKNUM(A1476, 2))</f>
        <v/>
      </c>
    </row>
    <row r="1477">
      <c r="M1477">
        <f>IF(A1477="","", _xludf.WEEKNUM(A1477, 2))</f>
        <v/>
      </c>
    </row>
    <row r="1478">
      <c r="M1478">
        <f>IF(A1478="","", _xludf.WEEKNUM(A1478, 2))</f>
        <v/>
      </c>
    </row>
    <row r="1479">
      <c r="M1479">
        <f>IF(A1479="","", _xludf.WEEKNUM(A1479, 2))</f>
        <v/>
      </c>
    </row>
    <row r="1480">
      <c r="M1480">
        <f>IF(A1480="","", _xludf.WEEKNUM(A1480, 2))</f>
        <v/>
      </c>
    </row>
    <row r="1481">
      <c r="M1481">
        <f>IF(A1481="","", _xludf.WEEKNUM(A1481, 2))</f>
        <v/>
      </c>
    </row>
    <row r="1482">
      <c r="M1482">
        <f>IF(A1482="","", _xludf.WEEKNUM(A1482, 2))</f>
        <v/>
      </c>
    </row>
    <row r="1483">
      <c r="M1483">
        <f>IF(A1483="","", _xludf.WEEKNUM(A1483, 2))</f>
        <v/>
      </c>
    </row>
    <row r="1484">
      <c r="M1484">
        <f>IF(A1484="","", _xludf.WEEKNUM(A1484, 2))</f>
        <v/>
      </c>
    </row>
    <row r="1485">
      <c r="M1485">
        <f>IF(A1485="","", _xludf.WEEKNUM(A1485, 2))</f>
        <v/>
      </c>
    </row>
    <row r="1486">
      <c r="M1486">
        <f>IF(A1486="","", _xludf.WEEKNUM(A1486, 2))</f>
        <v/>
      </c>
    </row>
    <row r="1487">
      <c r="M1487">
        <f>IF(A1487="","", _xludf.WEEKNUM(A1487, 2))</f>
        <v/>
      </c>
    </row>
    <row r="1488">
      <c r="M1488">
        <f>IF(A1488="","", _xludf.WEEKNUM(A1488, 2))</f>
        <v/>
      </c>
    </row>
    <row r="1489">
      <c r="M1489">
        <f>IF(A1489="","", _xludf.WEEKNUM(A1489, 2))</f>
        <v/>
      </c>
    </row>
    <row r="1490">
      <c r="M1490">
        <f>IF(A1490="","", _xludf.WEEKNUM(A1490, 2))</f>
        <v/>
      </c>
    </row>
    <row r="1491">
      <c r="M1491">
        <f>IF(A1491="","", _xludf.WEEKNUM(A1491, 2))</f>
        <v/>
      </c>
    </row>
    <row r="1492">
      <c r="M1492">
        <f>IF(A1492="","", _xludf.WEEKNUM(A1492, 2))</f>
        <v/>
      </c>
    </row>
    <row r="1493">
      <c r="M1493">
        <f>IF(A1493="","", _xludf.WEEKNUM(A1493, 2))</f>
        <v/>
      </c>
    </row>
    <row r="1494">
      <c r="M1494">
        <f>IF(A1494="","", _xludf.WEEKNUM(A1494, 2))</f>
        <v/>
      </c>
    </row>
    <row r="1495">
      <c r="M1495">
        <f>IF(A1495="","", _xludf.WEEKNUM(A1495, 2))</f>
        <v/>
      </c>
    </row>
    <row r="1496">
      <c r="M1496">
        <f>IF(A1496="","", _xludf.WEEKNUM(A1496, 2))</f>
        <v/>
      </c>
    </row>
    <row r="1497">
      <c r="M1497">
        <f>IF(A1497="","", _xludf.WEEKNUM(A1497, 2))</f>
        <v/>
      </c>
    </row>
    <row r="1498">
      <c r="M1498">
        <f>IF(A1498="","", _xludf.WEEKNUM(A1498, 2))</f>
        <v/>
      </c>
    </row>
    <row r="1499">
      <c r="M1499">
        <f>IF(A1499="","", _xludf.WEEKNUM(A1499, 2))</f>
        <v/>
      </c>
    </row>
    <row r="1500">
      <c r="M1500">
        <f>IF(A1500="","", _xludf.WEEKNUM(A1500, 2))</f>
        <v/>
      </c>
    </row>
    <row r="1501">
      <c r="M1501">
        <f>IF(A1501="","", _xludf.WEEKNUM(A1501, 2))</f>
        <v/>
      </c>
    </row>
    <row r="1502">
      <c r="M1502">
        <f>IF(A1502="","", _xludf.WEEKNUM(A1502, 2))</f>
        <v/>
      </c>
    </row>
    <row r="1503">
      <c r="M1503">
        <f>IF(A1503="","", _xludf.WEEKNUM(A1503, 2))</f>
        <v/>
      </c>
    </row>
    <row r="1504">
      <c r="M1504">
        <f>IF(A1504="","", _xludf.WEEKNUM(A1504, 2))</f>
        <v/>
      </c>
    </row>
    <row r="1505">
      <c r="M1505">
        <f>IF(A1505="","", _xludf.WEEKNUM(A1505, 2))</f>
        <v/>
      </c>
    </row>
    <row r="1506">
      <c r="M1506">
        <f>IF(A1506="","", _xludf.WEEKNUM(A1506, 2))</f>
        <v/>
      </c>
    </row>
    <row r="1507">
      <c r="M1507">
        <f>IF(A1507="","", _xludf.WEEKNUM(A1507, 2))</f>
        <v/>
      </c>
    </row>
    <row r="1508">
      <c r="M1508">
        <f>IF(A1508="","", _xludf.WEEKNUM(A1508, 2))</f>
        <v/>
      </c>
    </row>
    <row r="1509">
      <c r="M1509">
        <f>IF(A1509="","", _xludf.WEEKNUM(A1509, 2))</f>
        <v/>
      </c>
    </row>
    <row r="1510">
      <c r="M1510">
        <f>IF(A1510="","", _xludf.WEEKNUM(A1510, 2))</f>
        <v/>
      </c>
    </row>
    <row r="1511">
      <c r="M1511">
        <f>IF(A1511="","", _xludf.WEEKNUM(A1511, 2))</f>
        <v/>
      </c>
    </row>
    <row r="1512">
      <c r="M1512">
        <f>IF(A1512="","", _xludf.WEEKNUM(A1512, 2))</f>
        <v/>
      </c>
    </row>
    <row r="1513">
      <c r="M1513">
        <f>IF(A1513="","", _xludf.WEEKNUM(A1513, 2))</f>
        <v/>
      </c>
    </row>
    <row r="1514">
      <c r="M1514">
        <f>IF(A1514="","", _xludf.WEEKNUM(A1514, 2))</f>
        <v/>
      </c>
    </row>
    <row r="1515">
      <c r="M1515">
        <f>IF(A1515="","", _xludf.WEEKNUM(A1515, 2))</f>
        <v/>
      </c>
    </row>
    <row r="1516">
      <c r="M1516">
        <f>IF(A1516="","", _xludf.WEEKNUM(A1516, 2))</f>
        <v/>
      </c>
    </row>
    <row r="1517">
      <c r="M1517">
        <f>IF(A1517="","", _xludf.WEEKNUM(A1517, 2))</f>
        <v/>
      </c>
    </row>
    <row r="1518">
      <c r="M1518">
        <f>IF(A1518="","", _xludf.WEEKNUM(A1518, 2))</f>
        <v/>
      </c>
    </row>
    <row r="1519">
      <c r="M1519">
        <f>IF(A1519="","", _xludf.WEEKNUM(A1519, 2))</f>
        <v/>
      </c>
    </row>
    <row r="1520">
      <c r="M1520">
        <f>IF(A1520="","", _xludf.WEEKNUM(A1520, 2))</f>
        <v/>
      </c>
    </row>
    <row r="1521">
      <c r="M1521">
        <f>IF(A1521="","", _xludf.WEEKNUM(A1521, 2))</f>
        <v/>
      </c>
    </row>
    <row r="1522">
      <c r="M1522">
        <f>IF(A1522="","", _xludf.WEEKNUM(A1522, 2))</f>
        <v/>
      </c>
    </row>
    <row r="1523">
      <c r="M1523">
        <f>IF(A1523="","", _xludf.WEEKNUM(A1523, 2))</f>
        <v/>
      </c>
    </row>
    <row r="1524">
      <c r="M1524">
        <f>IF(A1524="","", _xludf.WEEKNUM(A1524, 2))</f>
        <v/>
      </c>
    </row>
    <row r="1525">
      <c r="M1525">
        <f>IF(A1525="","", _xludf.WEEKNUM(A1525, 2))</f>
        <v/>
      </c>
    </row>
    <row r="1526">
      <c r="M1526">
        <f>IF(A1526="","", _xludf.WEEKNUM(A1526, 2))</f>
        <v/>
      </c>
    </row>
    <row r="1527">
      <c r="M1527">
        <f>IF(A1527="","", _xludf.WEEKNUM(A1527, 2))</f>
        <v/>
      </c>
    </row>
    <row r="1528">
      <c r="M1528">
        <f>IF(A1528="","", _xludf.WEEKNUM(A1528, 2))</f>
        <v/>
      </c>
    </row>
    <row r="1529">
      <c r="M1529">
        <f>IF(A1529="","", _xludf.WEEKNUM(A1529, 2))</f>
        <v/>
      </c>
    </row>
    <row r="1530">
      <c r="M1530">
        <f>IF(A1530="","", _xludf.WEEKNUM(A1530, 2))</f>
        <v/>
      </c>
    </row>
    <row r="1531">
      <c r="M1531">
        <f>IF(A1531="","", _xludf.WEEKNUM(A1531, 2))</f>
        <v/>
      </c>
    </row>
    <row r="1532">
      <c r="M1532">
        <f>IF(A1532="","", _xludf.WEEKNUM(A1532, 2))</f>
        <v/>
      </c>
    </row>
    <row r="1533">
      <c r="M1533">
        <f>IF(A1533="","", _xludf.WEEKNUM(A1533, 2))</f>
        <v/>
      </c>
    </row>
    <row r="1534">
      <c r="M1534">
        <f>IF(A1534="","", _xludf.WEEKNUM(A1534, 2))</f>
        <v/>
      </c>
    </row>
    <row r="1535">
      <c r="M1535">
        <f>IF(A1535="","", _xludf.WEEKNUM(A1535, 2))</f>
        <v/>
      </c>
    </row>
    <row r="1536">
      <c r="M1536">
        <f>IF(A1536="","", _xludf.WEEKNUM(A1536, 2))</f>
        <v/>
      </c>
    </row>
    <row r="1537">
      <c r="M1537">
        <f>IF(A1537="","", _xludf.WEEKNUM(A1537, 2))</f>
        <v/>
      </c>
    </row>
    <row r="1538">
      <c r="M1538">
        <f>IF(A1538="","", _xludf.WEEKNUM(A1538, 2))</f>
        <v/>
      </c>
    </row>
    <row r="1539">
      <c r="M1539">
        <f>IF(A1539="","", _xludf.WEEKNUM(A1539, 2))</f>
        <v/>
      </c>
    </row>
    <row r="1540">
      <c r="M1540">
        <f>IF(A1540="","", _xludf.WEEKNUM(A1540, 2))</f>
        <v/>
      </c>
    </row>
    <row r="1541">
      <c r="M1541">
        <f>IF(A1541="","", _xludf.WEEKNUM(A1541, 2))</f>
        <v/>
      </c>
    </row>
    <row r="1542">
      <c r="M1542">
        <f>IF(A1542="","", _xludf.WEEKNUM(A1542, 2))</f>
        <v/>
      </c>
    </row>
    <row r="1543">
      <c r="M1543">
        <f>IF(A1543="","", _xludf.WEEKNUM(A1543, 2))</f>
        <v/>
      </c>
    </row>
    <row r="1544">
      <c r="M1544">
        <f>IF(A1544="","", _xludf.WEEKNUM(A1544, 2))</f>
        <v/>
      </c>
    </row>
    <row r="1545">
      <c r="M1545">
        <f>IF(A1545="","", _xludf.WEEKNUM(A1545, 2))</f>
        <v/>
      </c>
    </row>
    <row r="1546">
      <c r="M1546">
        <f>IF(A1546="","", _xludf.WEEKNUM(A1546, 2))</f>
        <v/>
      </c>
    </row>
    <row r="1547">
      <c r="M1547">
        <f>IF(A1547="","", _xludf.WEEKNUM(A1547, 2))</f>
        <v/>
      </c>
    </row>
    <row r="1548">
      <c r="M1548">
        <f>IF(A1548="","", _xludf.WEEKNUM(A1548, 2))</f>
        <v/>
      </c>
    </row>
    <row r="1549">
      <c r="M1549">
        <f>IF(A1549="","", _xludf.WEEKNUM(A1549, 2))</f>
        <v/>
      </c>
    </row>
    <row r="1550">
      <c r="M1550">
        <f>IF(A1550="","", _xludf.WEEKNUM(A1550, 2))</f>
        <v/>
      </c>
    </row>
    <row r="1551">
      <c r="M1551">
        <f>IF(A1551="","", _xludf.WEEKNUM(A1551, 2))</f>
        <v/>
      </c>
    </row>
    <row r="1552">
      <c r="M1552">
        <f>IF(A1552="","", _xludf.WEEKNUM(A1552, 2))</f>
        <v/>
      </c>
    </row>
    <row r="1553">
      <c r="M1553">
        <f>IF(A1553="","", _xludf.WEEKNUM(A1553, 2))</f>
        <v/>
      </c>
    </row>
    <row r="1554">
      <c r="M1554">
        <f>IF(A1554="","", _xludf.WEEKNUM(A1554, 2))</f>
        <v/>
      </c>
    </row>
    <row r="1555">
      <c r="M1555">
        <f>IF(A1555="","", _xludf.WEEKNUM(A1555, 2))</f>
        <v/>
      </c>
    </row>
    <row r="1556">
      <c r="M1556">
        <f>IF(A1556="","", _xludf.WEEKNUM(A1556, 2))</f>
        <v/>
      </c>
    </row>
    <row r="1557">
      <c r="M1557">
        <f>IF(A1557="","", _xludf.WEEKNUM(A1557, 2))</f>
        <v/>
      </c>
    </row>
    <row r="1558">
      <c r="M1558">
        <f>IF(A1558="","", _xludf.WEEKNUM(A1558, 2))</f>
        <v/>
      </c>
    </row>
    <row r="1559">
      <c r="M1559">
        <f>IF(A1559="","", _xludf.WEEKNUM(A1559, 2))</f>
        <v/>
      </c>
    </row>
    <row r="1560">
      <c r="M1560">
        <f>IF(A1560="","", _xludf.WEEKNUM(A1560, 2))</f>
        <v/>
      </c>
    </row>
    <row r="1561">
      <c r="M1561">
        <f>IF(A1561="","", _xludf.WEEKNUM(A1561, 2))</f>
        <v/>
      </c>
    </row>
    <row r="1562">
      <c r="M1562">
        <f>IF(A1562="","", _xludf.WEEKNUM(A1562, 2))</f>
        <v/>
      </c>
    </row>
    <row r="1563">
      <c r="M1563">
        <f>IF(A1563="","", _xludf.WEEKNUM(A1563, 2))</f>
        <v/>
      </c>
    </row>
    <row r="1564">
      <c r="M1564">
        <f>IF(A1564="","", _xludf.WEEKNUM(A1564, 2))</f>
        <v/>
      </c>
    </row>
    <row r="1565">
      <c r="M1565">
        <f>IF(A1565="","", _xludf.WEEKNUM(A1565, 2))</f>
        <v/>
      </c>
    </row>
    <row r="1566">
      <c r="M1566">
        <f>IF(A1566="","", _xludf.WEEKNUM(A1566, 2))</f>
        <v/>
      </c>
    </row>
    <row r="1567">
      <c r="M1567">
        <f>IF(A1567="","", _xludf.WEEKNUM(A1567, 2))</f>
        <v/>
      </c>
    </row>
    <row r="1568">
      <c r="M1568">
        <f>IF(A1568="","", _xludf.WEEKNUM(A1568, 2))</f>
        <v/>
      </c>
    </row>
    <row r="1569">
      <c r="M1569">
        <f>IF(A1569="","", _xludf.WEEKNUM(A1569, 2))</f>
        <v/>
      </c>
    </row>
    <row r="1570">
      <c r="M1570">
        <f>IF(A1570="","", _xludf.WEEKNUM(A1570, 2))</f>
        <v/>
      </c>
    </row>
    <row r="1571">
      <c r="M1571">
        <f>IF(A1571="","", _xludf.WEEKNUM(A1571, 2))</f>
        <v/>
      </c>
    </row>
    <row r="1572">
      <c r="M1572">
        <f>IF(A1572="","", _xludf.WEEKNUM(A1572, 2))</f>
        <v/>
      </c>
    </row>
    <row r="1573">
      <c r="M1573">
        <f>IF(A1573="","", _xludf.WEEKNUM(A1573, 2))</f>
        <v/>
      </c>
    </row>
    <row r="1574">
      <c r="M1574">
        <f>IF(A1574="","", _xludf.WEEKNUM(A1574, 2))</f>
        <v/>
      </c>
    </row>
    <row r="1575">
      <c r="M1575">
        <f>IF(A1575="","", _xludf.WEEKNUM(A1575, 2))</f>
        <v/>
      </c>
    </row>
    <row r="1576">
      <c r="M1576">
        <f>IF(A1576="","", _xludf.WEEKNUM(A1576, 2))</f>
        <v/>
      </c>
    </row>
    <row r="1577">
      <c r="M1577">
        <f>IF(A1577="","", _xludf.WEEKNUM(A1577, 2))</f>
        <v/>
      </c>
    </row>
    <row r="1578">
      <c r="M1578">
        <f>IF(A1578="","", _xludf.WEEKNUM(A1578, 2))</f>
        <v/>
      </c>
    </row>
    <row r="1579">
      <c r="M1579">
        <f>IF(A1579="","", _xludf.WEEKNUM(A1579, 2))</f>
        <v/>
      </c>
    </row>
    <row r="1580">
      <c r="M1580">
        <f>IF(A1580="","", _xludf.WEEKNUM(A1580, 2))</f>
        <v/>
      </c>
    </row>
    <row r="1581">
      <c r="M1581">
        <f>IF(A1581="","", _xludf.WEEKNUM(A1581, 2))</f>
        <v/>
      </c>
    </row>
    <row r="1582">
      <c r="M1582">
        <f>IF(A1582="","", _xludf.WEEKNUM(A1582, 2))</f>
        <v/>
      </c>
    </row>
    <row r="1583">
      <c r="M1583">
        <f>IF(A1583="","", _xludf.WEEKNUM(A1583, 2))</f>
        <v/>
      </c>
    </row>
    <row r="1584">
      <c r="M1584">
        <f>IF(A1584="","", _xludf.WEEKNUM(A1584, 2))</f>
        <v/>
      </c>
    </row>
    <row r="1585">
      <c r="M1585">
        <f>IF(A1585="","", _xludf.WEEKNUM(A1585, 2))</f>
        <v/>
      </c>
    </row>
    <row r="1586">
      <c r="M1586">
        <f>IF(A1586="","", _xludf.WEEKNUM(A1586, 2))</f>
        <v/>
      </c>
    </row>
    <row r="1587">
      <c r="M1587">
        <f>IF(A1587="","", _xludf.WEEKNUM(A1587, 2))</f>
        <v/>
      </c>
    </row>
    <row r="1588">
      <c r="M1588">
        <f>IF(A1588="","", _xludf.WEEKNUM(A1588, 2))</f>
        <v/>
      </c>
    </row>
    <row r="1589">
      <c r="M1589">
        <f>IF(A1589="","", _xludf.WEEKNUM(A1589, 2))</f>
        <v/>
      </c>
    </row>
    <row r="1590">
      <c r="M1590">
        <f>IF(A1590="","", _xludf.WEEKNUM(A1590, 2))</f>
        <v/>
      </c>
    </row>
    <row r="1591">
      <c r="M1591">
        <f>IF(A1591="","", _xludf.WEEKNUM(A1591, 2))</f>
        <v/>
      </c>
    </row>
    <row r="1592">
      <c r="M1592">
        <f>IF(A1592="","", _xludf.WEEKNUM(A1592, 2))</f>
        <v/>
      </c>
    </row>
    <row r="1593">
      <c r="M1593">
        <f>IF(A1593="","", _xludf.WEEKNUM(A1593, 2))</f>
        <v/>
      </c>
    </row>
    <row r="1594">
      <c r="M1594">
        <f>IF(A1594="","", _xludf.WEEKNUM(A1594, 2))</f>
        <v/>
      </c>
    </row>
    <row r="1595">
      <c r="M1595">
        <f>IF(A1595="","", _xludf.WEEKNUM(A1595, 2))</f>
        <v/>
      </c>
    </row>
    <row r="1596">
      <c r="M1596">
        <f>IF(A1596="","", _xludf.WEEKNUM(A1596, 2))</f>
        <v/>
      </c>
    </row>
    <row r="1597">
      <c r="M1597">
        <f>IF(A1597="","", _xludf.WEEKNUM(A1597, 2))</f>
        <v/>
      </c>
    </row>
    <row r="1598">
      <c r="M1598">
        <f>IF(A1598="","", _xludf.WEEKNUM(A1598, 2))</f>
        <v/>
      </c>
    </row>
    <row r="1599">
      <c r="M1599">
        <f>IF(A1599="","", _xludf.WEEKNUM(A1599, 2))</f>
        <v/>
      </c>
    </row>
    <row r="1600">
      <c r="M1600">
        <f>IF(A1600="","", _xludf.WEEKNUM(A1600, 2))</f>
        <v/>
      </c>
    </row>
    <row r="1601">
      <c r="M1601">
        <f>IF(A1601="","", _xludf.WEEKNUM(A1601, 2))</f>
        <v/>
      </c>
    </row>
    <row r="1602">
      <c r="M1602">
        <f>IF(A1602="","", _xludf.WEEKNUM(A1602, 2))</f>
        <v/>
      </c>
    </row>
    <row r="1603">
      <c r="M1603">
        <f>IF(A1603="","", _xludf.WEEKNUM(A1603, 2))</f>
        <v/>
      </c>
    </row>
    <row r="1604">
      <c r="M1604">
        <f>IF(A1604="","", _xludf.WEEKNUM(A1604, 2))</f>
        <v/>
      </c>
    </row>
    <row r="1605">
      <c r="M1605">
        <f>IF(A1605="","", _xludf.WEEKNUM(A1605, 2))</f>
        <v/>
      </c>
    </row>
    <row r="1606">
      <c r="M1606">
        <f>IF(A1606="","", _xludf.WEEKNUM(A1606, 2))</f>
        <v/>
      </c>
    </row>
    <row r="1607">
      <c r="M1607">
        <f>IF(A1607="","", _xludf.WEEKNUM(A1607, 2))</f>
        <v/>
      </c>
    </row>
    <row r="1608">
      <c r="M1608">
        <f>IF(A1608="","", _xludf.WEEKNUM(A1608, 2))</f>
        <v/>
      </c>
    </row>
    <row r="1609">
      <c r="M1609">
        <f>IF(A1609="","", _xludf.WEEKNUM(A1609, 2))</f>
        <v/>
      </c>
    </row>
    <row r="1610">
      <c r="M1610">
        <f>IF(A1610="","", _xludf.WEEKNUM(A1610, 2))</f>
        <v/>
      </c>
    </row>
    <row r="1611">
      <c r="M1611">
        <f>IF(A1611="","", _xludf.WEEKNUM(A1611, 2))</f>
        <v/>
      </c>
    </row>
    <row r="1612">
      <c r="M1612">
        <f>IF(A1612="","", _xludf.WEEKNUM(A1612, 2))</f>
        <v/>
      </c>
    </row>
    <row r="1613">
      <c r="M1613">
        <f>IF(A1613="","", _xludf.WEEKNUM(A1613, 2))</f>
        <v/>
      </c>
    </row>
    <row r="1614">
      <c r="M1614">
        <f>IF(A1614="","", _xludf.WEEKNUM(A1614, 2))</f>
        <v/>
      </c>
    </row>
    <row r="1615">
      <c r="M1615">
        <f>IF(A1615="","", _xludf.WEEKNUM(A1615, 2))</f>
        <v/>
      </c>
    </row>
    <row r="1616">
      <c r="M1616">
        <f>IF(A1616="","", _xludf.WEEKNUM(A1616, 2))</f>
        <v/>
      </c>
    </row>
    <row r="1617">
      <c r="M1617">
        <f>IF(A1617="","", _xludf.WEEKNUM(A1617, 2))</f>
        <v/>
      </c>
    </row>
    <row r="1618">
      <c r="M1618">
        <f>IF(A1618="","", _xludf.WEEKNUM(A1618, 2))</f>
        <v/>
      </c>
    </row>
    <row r="1619">
      <c r="M1619">
        <f>IF(A1619="","", _xludf.WEEKNUM(A1619, 2))</f>
        <v/>
      </c>
    </row>
    <row r="1620">
      <c r="M1620">
        <f>IF(A1620="","", _xludf.WEEKNUM(A1620, 2))</f>
        <v/>
      </c>
    </row>
    <row r="1621">
      <c r="M1621">
        <f>IF(A1621="","", _xludf.WEEKNUM(A1621, 2))</f>
        <v/>
      </c>
    </row>
    <row r="1622">
      <c r="M1622">
        <f>IF(A1622="","", _xludf.WEEKNUM(A1622, 2))</f>
        <v/>
      </c>
    </row>
    <row r="1623">
      <c r="M1623">
        <f>IF(A1623="","", _xludf.WEEKNUM(A1623, 2))</f>
        <v/>
      </c>
    </row>
    <row r="1624">
      <c r="M1624">
        <f>IF(A1624="","", _xludf.WEEKNUM(A1624, 2))</f>
        <v/>
      </c>
    </row>
    <row r="1625">
      <c r="M1625">
        <f>IF(A1625="","", _xludf.WEEKNUM(A1625, 2))</f>
        <v/>
      </c>
    </row>
    <row r="1626">
      <c r="M1626">
        <f>IF(A1626="","", _xludf.WEEKNUM(A1626, 2))</f>
        <v/>
      </c>
    </row>
    <row r="1627">
      <c r="M1627">
        <f>IF(A1627="","", _xludf.WEEKNUM(A1627, 2))</f>
        <v/>
      </c>
    </row>
    <row r="1628">
      <c r="M1628">
        <f>IF(A1628="","", _xludf.WEEKNUM(A1628, 2))</f>
        <v/>
      </c>
    </row>
    <row r="1629">
      <c r="M1629">
        <f>IF(A1629="","", _xludf.WEEKNUM(A1629, 2))</f>
        <v/>
      </c>
    </row>
    <row r="1630">
      <c r="M1630">
        <f>IF(A1630="","", _xludf.WEEKNUM(A1630, 2))</f>
        <v/>
      </c>
    </row>
    <row r="1631">
      <c r="M1631">
        <f>IF(A1631="","", _xludf.WEEKNUM(A1631, 2))</f>
        <v/>
      </c>
    </row>
    <row r="1632">
      <c r="M1632">
        <f>IF(A1632="","", _xludf.WEEKNUM(A1632, 2))</f>
        <v/>
      </c>
    </row>
    <row r="1633">
      <c r="M1633">
        <f>IF(A1633="","", _xludf.WEEKNUM(A1633, 2))</f>
        <v/>
      </c>
    </row>
    <row r="1634">
      <c r="M1634">
        <f>IF(A1634="","", _xludf.WEEKNUM(A1634, 2))</f>
        <v/>
      </c>
    </row>
    <row r="1635">
      <c r="M1635">
        <f>IF(A1635="","", _xludf.WEEKNUM(A1635, 2))</f>
        <v/>
      </c>
    </row>
    <row r="1636">
      <c r="M1636">
        <f>IF(A1636="","", _xludf.WEEKNUM(A1636, 2))</f>
        <v/>
      </c>
    </row>
    <row r="1637">
      <c r="M1637">
        <f>IF(A1637="","", _xludf.WEEKNUM(A1637, 2))</f>
        <v/>
      </c>
    </row>
    <row r="1638">
      <c r="M1638">
        <f>IF(A1638="","", _xludf.WEEKNUM(A1638, 2))</f>
        <v/>
      </c>
    </row>
    <row r="1639">
      <c r="M1639">
        <f>IF(A1639="","", _xludf.WEEKNUM(A1639, 2))</f>
        <v/>
      </c>
    </row>
    <row r="1640">
      <c r="M1640">
        <f>IF(A1640="","", _xludf.WEEKNUM(A1640, 2))</f>
        <v/>
      </c>
    </row>
    <row r="1641">
      <c r="M1641">
        <f>IF(A1641="","", _xludf.WEEKNUM(A1641, 2))</f>
        <v/>
      </c>
    </row>
    <row r="1642">
      <c r="M1642">
        <f>IF(A1642="","", _xludf.WEEKNUM(A1642, 2))</f>
        <v/>
      </c>
    </row>
    <row r="1643">
      <c r="M1643">
        <f>IF(A1643="","", _xludf.WEEKNUM(A1643, 2))</f>
        <v/>
      </c>
    </row>
    <row r="1644">
      <c r="M1644">
        <f>IF(A1644="","", _xludf.WEEKNUM(A1644, 2))</f>
        <v/>
      </c>
    </row>
    <row r="1645">
      <c r="M1645">
        <f>IF(A1645="","", _xludf.WEEKNUM(A1645, 2))</f>
        <v/>
      </c>
    </row>
    <row r="1646">
      <c r="M1646">
        <f>IF(A1646="","", _xludf.WEEKNUM(A1646, 2))</f>
        <v/>
      </c>
    </row>
    <row r="1647">
      <c r="M1647">
        <f>IF(A1647="","", _xludf.WEEKNUM(A1647, 2))</f>
        <v/>
      </c>
    </row>
    <row r="1648">
      <c r="M1648">
        <f>IF(A1648="","", _xludf.WEEKNUM(A1648, 2))</f>
        <v/>
      </c>
    </row>
    <row r="1649">
      <c r="M1649">
        <f>IF(A1649="","", _xludf.WEEKNUM(A1649, 2))</f>
        <v/>
      </c>
    </row>
    <row r="1650">
      <c r="M1650">
        <f>IF(A1650="","", _xludf.WEEKNUM(A1650, 2))</f>
        <v/>
      </c>
    </row>
    <row r="1651">
      <c r="M1651">
        <f>IF(A1651="","", _xludf.WEEKNUM(A1651, 2))</f>
        <v/>
      </c>
    </row>
    <row r="1652">
      <c r="M1652">
        <f>IF(A1652="","", _xludf.WEEKNUM(A1652, 2))</f>
        <v/>
      </c>
    </row>
    <row r="1653">
      <c r="M1653">
        <f>IF(A1653="","", _xludf.WEEKNUM(A1653, 2))</f>
        <v/>
      </c>
    </row>
    <row r="1654">
      <c r="M1654">
        <f>IF(A1654="","", _xludf.WEEKNUM(A1654, 2))</f>
        <v/>
      </c>
    </row>
    <row r="1655">
      <c r="M1655">
        <f>IF(A1655="","", _xludf.WEEKNUM(A1655, 2))</f>
        <v/>
      </c>
    </row>
    <row r="1656">
      <c r="M1656">
        <f>IF(A1656="","", _xludf.WEEKNUM(A1656, 2))</f>
        <v/>
      </c>
    </row>
    <row r="1657">
      <c r="M1657">
        <f>IF(A1657="","", _xludf.WEEKNUM(A1657, 2))</f>
        <v/>
      </c>
    </row>
    <row r="1658">
      <c r="M1658">
        <f>IF(A1658="","", _xludf.WEEKNUM(A1658, 2))</f>
        <v/>
      </c>
    </row>
    <row r="1659">
      <c r="M1659">
        <f>IF(A1659="","", _xludf.WEEKNUM(A1659, 2))</f>
        <v/>
      </c>
    </row>
    <row r="1660">
      <c r="M1660">
        <f>IF(A1660="","", _xludf.WEEKNUM(A1660, 2))</f>
        <v/>
      </c>
    </row>
    <row r="1661">
      <c r="M1661">
        <f>IF(A1661="","", _xludf.WEEKNUM(A1661, 2))</f>
        <v/>
      </c>
    </row>
    <row r="1662">
      <c r="M1662">
        <f>IF(A1662="","", _xludf.WEEKNUM(A1662, 2))</f>
        <v/>
      </c>
    </row>
    <row r="1663">
      <c r="M1663">
        <f>IF(A1663="","", _xludf.WEEKNUM(A1663, 2))</f>
        <v/>
      </c>
    </row>
    <row r="1664">
      <c r="M1664">
        <f>IF(A1664="","", _xludf.WEEKNUM(A1664, 2))</f>
        <v/>
      </c>
    </row>
    <row r="1665">
      <c r="M1665">
        <f>IF(A1665="","", _xludf.WEEKNUM(A1665, 2))</f>
        <v/>
      </c>
    </row>
    <row r="1666">
      <c r="M1666">
        <f>IF(A1666="","", _xludf.WEEKNUM(A1666, 2))</f>
        <v/>
      </c>
    </row>
    <row r="1667">
      <c r="M1667">
        <f>IF(A1667="","", _xludf.WEEKNUM(A1667, 2))</f>
        <v/>
      </c>
    </row>
    <row r="1668">
      <c r="M1668">
        <f>IF(A1668="","", _xludf.WEEKNUM(A1668, 2))</f>
        <v/>
      </c>
    </row>
    <row r="1669">
      <c r="M1669">
        <f>IF(A1669="","", _xludf.WEEKNUM(A1669, 2))</f>
        <v/>
      </c>
    </row>
    <row r="1670">
      <c r="M1670">
        <f>IF(A1670="","", _xludf.WEEKNUM(A1670, 2))</f>
        <v/>
      </c>
    </row>
    <row r="1671">
      <c r="M1671">
        <f>IF(A1671="","", _xludf.WEEKNUM(A1671, 2))</f>
        <v/>
      </c>
    </row>
    <row r="1672">
      <c r="M1672">
        <f>IF(A1672="","", _xludf.WEEKNUM(A1672, 2))</f>
        <v/>
      </c>
    </row>
    <row r="1673">
      <c r="M1673">
        <f>IF(A1673="","", _xludf.WEEKNUM(A1673, 2))</f>
        <v/>
      </c>
    </row>
    <row r="1674">
      <c r="M1674">
        <f>IF(A1674="","", _xludf.WEEKNUM(A1674, 2))</f>
        <v/>
      </c>
    </row>
    <row r="1675">
      <c r="M1675">
        <f>IF(A1675="","", _xludf.WEEKNUM(A1675, 2))</f>
        <v/>
      </c>
    </row>
    <row r="1676">
      <c r="M1676">
        <f>IF(A1676="","", _xludf.WEEKNUM(A1676, 2))</f>
        <v/>
      </c>
    </row>
    <row r="1677">
      <c r="M1677">
        <f>IF(A1677="","", _xludf.WEEKNUM(A1677, 2))</f>
        <v/>
      </c>
    </row>
    <row r="1678">
      <c r="M1678">
        <f>IF(A1678="","", _xludf.WEEKNUM(A1678, 2))</f>
        <v/>
      </c>
    </row>
    <row r="1679">
      <c r="M1679">
        <f>IF(A1679="","", _xludf.WEEKNUM(A1679, 2))</f>
        <v/>
      </c>
    </row>
    <row r="1680">
      <c r="M1680">
        <f>IF(A1680="","", _xludf.WEEKNUM(A1680, 2))</f>
        <v/>
      </c>
    </row>
    <row r="1681">
      <c r="M1681">
        <f>IF(A1681="","", _xludf.WEEKNUM(A1681, 2))</f>
        <v/>
      </c>
    </row>
    <row r="1682">
      <c r="M1682">
        <f>IF(A1682="","", _xludf.WEEKNUM(A1682, 2))</f>
        <v/>
      </c>
    </row>
    <row r="1683">
      <c r="M1683">
        <f>IF(A1683="","", _xludf.WEEKNUM(A1683, 2))</f>
        <v/>
      </c>
    </row>
    <row r="1684">
      <c r="M1684">
        <f>IF(A1684="","", _xludf.WEEKNUM(A1684, 2))</f>
        <v/>
      </c>
    </row>
    <row r="1685">
      <c r="M1685">
        <f>IF(A1685="","", _xludf.WEEKNUM(A1685, 2))</f>
        <v/>
      </c>
    </row>
    <row r="1686">
      <c r="M1686">
        <f>IF(A1686="","", _xludf.WEEKNUM(A1686, 2))</f>
        <v/>
      </c>
    </row>
    <row r="1687">
      <c r="M1687">
        <f>IF(A1687="","", _xludf.WEEKNUM(A1687, 2))</f>
        <v/>
      </c>
    </row>
    <row r="1688">
      <c r="M1688">
        <f>IF(A1688="","", _xludf.WEEKNUM(A1688, 2))</f>
        <v/>
      </c>
    </row>
    <row r="1689">
      <c r="M1689">
        <f>IF(A1689="","", _xludf.WEEKNUM(A1689, 2))</f>
        <v/>
      </c>
    </row>
    <row r="1690">
      <c r="M1690">
        <f>IF(A1690="","", _xludf.WEEKNUM(A1690, 2))</f>
        <v/>
      </c>
    </row>
    <row r="1691">
      <c r="M1691">
        <f>IF(A1691="","", _xludf.WEEKNUM(A1691, 2))</f>
        <v/>
      </c>
    </row>
    <row r="1692">
      <c r="M1692">
        <f>IF(A1692="","", _xludf.WEEKNUM(A1692, 2))</f>
        <v/>
      </c>
    </row>
    <row r="1693">
      <c r="M1693">
        <f>IF(A1693="","", _xludf.WEEKNUM(A1693, 2))</f>
        <v/>
      </c>
    </row>
    <row r="1694">
      <c r="M1694">
        <f>IF(A1694="","", _xludf.WEEKNUM(A1694, 2))</f>
        <v/>
      </c>
    </row>
    <row r="1695">
      <c r="M1695">
        <f>IF(A1695="","", _xludf.WEEKNUM(A1695, 2))</f>
        <v/>
      </c>
    </row>
    <row r="1696">
      <c r="M1696">
        <f>IF(A1696="","", _xludf.WEEKNUM(A1696, 2))</f>
        <v/>
      </c>
    </row>
    <row r="1697">
      <c r="M1697">
        <f>IF(A1697="","", _xludf.WEEKNUM(A1697, 2))</f>
        <v/>
      </c>
    </row>
    <row r="1698">
      <c r="M1698">
        <f>IF(A1698="","", _xludf.WEEKNUM(A1698, 2))</f>
        <v/>
      </c>
    </row>
    <row r="1699">
      <c r="M1699">
        <f>IF(A1699="","", _xludf.WEEKNUM(A1699, 2))</f>
        <v/>
      </c>
    </row>
    <row r="1700">
      <c r="M1700">
        <f>IF(A1700="","", _xludf.WEEKNUM(A1700, 2))</f>
        <v/>
      </c>
    </row>
    <row r="1701">
      <c r="M1701">
        <f>IF(A1701="","", _xludf.WEEKNUM(A1701, 2))</f>
        <v/>
      </c>
    </row>
    <row r="1702">
      <c r="M1702">
        <f>IF(A1702="","", _xludf.WEEKNUM(A1702, 2))</f>
        <v/>
      </c>
    </row>
    <row r="1703">
      <c r="M1703">
        <f>IF(A1703="","", _xludf.WEEKNUM(A1703, 2))</f>
        <v/>
      </c>
    </row>
    <row r="1704">
      <c r="M1704">
        <f>IF(A1704="","", _xludf.WEEKNUM(A1704, 2))</f>
        <v/>
      </c>
    </row>
    <row r="1705">
      <c r="M1705">
        <f>IF(A1705="","", _xludf.WEEKNUM(A1705, 2))</f>
        <v/>
      </c>
    </row>
    <row r="1706">
      <c r="M1706">
        <f>IF(A1706="","", _xludf.WEEKNUM(A1706, 2))</f>
        <v/>
      </c>
    </row>
    <row r="1707">
      <c r="M1707">
        <f>IF(A1707="","", _xludf.WEEKNUM(A1707, 2))</f>
        <v/>
      </c>
    </row>
    <row r="1708">
      <c r="M1708">
        <f>IF(A1708="","", _xludf.WEEKNUM(A1708, 2))</f>
        <v/>
      </c>
    </row>
    <row r="1709">
      <c r="M1709">
        <f>IF(A1709="","", _xludf.WEEKNUM(A1709, 2))</f>
        <v/>
      </c>
    </row>
    <row r="1710">
      <c r="M1710">
        <f>IF(A1710="","", _xludf.WEEKNUM(A1710, 2))</f>
        <v/>
      </c>
    </row>
    <row r="1711">
      <c r="M1711">
        <f>IF(A1711="","", _xludf.WEEKNUM(A1711, 2))</f>
        <v/>
      </c>
    </row>
    <row r="1712">
      <c r="M1712">
        <f>IF(A1712="","", _xludf.WEEKNUM(A1712, 2))</f>
        <v/>
      </c>
    </row>
    <row r="1713">
      <c r="M1713">
        <f>IF(A1713="","", _xludf.WEEKNUM(A1713, 2))</f>
        <v/>
      </c>
    </row>
    <row r="1714">
      <c r="M1714">
        <f>IF(A1714="","", _xludf.WEEKNUM(A1714, 2))</f>
        <v/>
      </c>
    </row>
    <row r="1715">
      <c r="M1715">
        <f>IF(A1715="","", _xludf.WEEKNUM(A1715, 2))</f>
        <v/>
      </c>
    </row>
    <row r="1716">
      <c r="M1716">
        <f>IF(A1716="","", _xludf.WEEKNUM(A1716, 2))</f>
        <v/>
      </c>
    </row>
    <row r="1717">
      <c r="M1717">
        <f>IF(A1717="","", _xludf.WEEKNUM(A1717, 2))</f>
        <v/>
      </c>
    </row>
    <row r="1718">
      <c r="M1718">
        <f>IF(A1718="","", _xludf.WEEKNUM(A1718, 2))</f>
        <v/>
      </c>
    </row>
    <row r="1719">
      <c r="M1719">
        <f>IF(A1719="","", _xludf.WEEKNUM(A1719, 2))</f>
        <v/>
      </c>
    </row>
    <row r="1720">
      <c r="M1720">
        <f>IF(A1720="","", _xludf.WEEKNUM(A1720, 2))</f>
        <v/>
      </c>
    </row>
    <row r="1721">
      <c r="M1721">
        <f>IF(A1721="","", _xludf.WEEKNUM(A1721, 2))</f>
        <v/>
      </c>
    </row>
    <row r="1722">
      <c r="M1722">
        <f>IF(A1722="","", _xludf.WEEKNUM(A1722, 2))</f>
        <v/>
      </c>
    </row>
    <row r="1723">
      <c r="M1723">
        <f>IF(A1723="","", _xludf.WEEKNUM(A1723, 2))</f>
        <v/>
      </c>
    </row>
    <row r="1724">
      <c r="M1724">
        <f>IF(A1724="","", _xludf.WEEKNUM(A1724, 2))</f>
        <v/>
      </c>
    </row>
    <row r="1725">
      <c r="M1725">
        <f>IF(A1725="","", _xludf.WEEKNUM(A1725, 2))</f>
        <v/>
      </c>
    </row>
    <row r="1726">
      <c r="M1726">
        <f>IF(A1726="","", _xludf.WEEKNUM(A1726, 2))</f>
        <v/>
      </c>
    </row>
    <row r="1727">
      <c r="M1727">
        <f>IF(A1727="","", _xludf.WEEKNUM(A1727, 2))</f>
        <v/>
      </c>
    </row>
    <row r="1728">
      <c r="M1728">
        <f>IF(A1728="","", _xludf.WEEKNUM(A1728, 2))</f>
        <v/>
      </c>
    </row>
    <row r="1729">
      <c r="M1729">
        <f>IF(A1729="","", _xludf.WEEKNUM(A1729, 2))</f>
        <v/>
      </c>
    </row>
    <row r="1730">
      <c r="M1730">
        <f>IF(A1730="","", _xludf.WEEKNUM(A1730, 2))</f>
        <v/>
      </c>
    </row>
    <row r="1731">
      <c r="M1731">
        <f>IF(A1731="","", _xludf.WEEKNUM(A1731, 2))</f>
        <v/>
      </c>
    </row>
    <row r="1732">
      <c r="M1732">
        <f>IF(A1732="","", _xludf.WEEKNUM(A1732, 2))</f>
        <v/>
      </c>
    </row>
    <row r="1733">
      <c r="M1733">
        <f>IF(A1733="","", _xludf.WEEKNUM(A1733, 2))</f>
        <v/>
      </c>
    </row>
    <row r="1734">
      <c r="M1734">
        <f>IF(A1734="","", _xludf.WEEKNUM(A1734, 2))</f>
        <v/>
      </c>
    </row>
    <row r="1735">
      <c r="M1735">
        <f>IF(A1735="","", _xludf.WEEKNUM(A1735, 2))</f>
        <v/>
      </c>
    </row>
    <row r="1736">
      <c r="M1736">
        <f>IF(A1736="","", _xludf.WEEKNUM(A1736, 2))</f>
        <v/>
      </c>
    </row>
    <row r="1737">
      <c r="M1737">
        <f>IF(A1737="","", _xludf.WEEKNUM(A1737, 2))</f>
        <v/>
      </c>
    </row>
    <row r="1738">
      <c r="M1738">
        <f>IF(A1738="","", _xludf.WEEKNUM(A1738, 2))</f>
        <v/>
      </c>
    </row>
    <row r="1739">
      <c r="M1739">
        <f>IF(A1739="","", _xludf.WEEKNUM(A1739, 2))</f>
        <v/>
      </c>
    </row>
    <row r="1740">
      <c r="M1740">
        <f>IF(A1740="","", _xludf.WEEKNUM(A1740, 2))</f>
        <v/>
      </c>
    </row>
    <row r="1741">
      <c r="M1741">
        <f>IF(A1741="","", _xludf.WEEKNUM(A1741, 2))</f>
        <v/>
      </c>
    </row>
    <row r="1742">
      <c r="M1742">
        <f>IF(A1742="","", _xludf.WEEKNUM(A1742, 2))</f>
        <v/>
      </c>
    </row>
    <row r="1743">
      <c r="M1743">
        <f>IF(A1743="","", _xludf.WEEKNUM(A1743, 2))</f>
        <v/>
      </c>
    </row>
    <row r="1744">
      <c r="M1744">
        <f>IF(A1744="","", _xludf.WEEKNUM(A1744, 2))</f>
        <v/>
      </c>
    </row>
    <row r="1745">
      <c r="M1745">
        <f>IF(A1745="","", _xludf.WEEKNUM(A1745, 2))</f>
        <v/>
      </c>
    </row>
    <row r="1746">
      <c r="M1746">
        <f>IF(A1746="","", _xludf.WEEKNUM(A1746, 2))</f>
        <v/>
      </c>
    </row>
    <row r="1747">
      <c r="M1747">
        <f>IF(A1747="","", _xludf.WEEKNUM(A1747, 2))</f>
        <v/>
      </c>
    </row>
    <row r="1748">
      <c r="M1748">
        <f>IF(A1748="","", _xludf.WEEKNUM(A1748, 2))</f>
        <v/>
      </c>
    </row>
    <row r="1749">
      <c r="M1749">
        <f>IF(A1749="","", _xludf.WEEKNUM(A1749, 2))</f>
        <v/>
      </c>
    </row>
    <row r="1750">
      <c r="M1750">
        <f>IF(A1750="","", _xludf.WEEKNUM(A1750, 2))</f>
        <v/>
      </c>
    </row>
    <row r="1751">
      <c r="M1751">
        <f>IF(A1751="","", _xludf.WEEKNUM(A1751, 2))</f>
        <v/>
      </c>
    </row>
    <row r="1752">
      <c r="M1752">
        <f>IF(A1752="","", _xludf.WEEKNUM(A1752, 2))</f>
        <v/>
      </c>
    </row>
    <row r="1753">
      <c r="M1753">
        <f>IF(A1753="","", _xludf.WEEKNUM(A1753, 2))</f>
        <v/>
      </c>
    </row>
    <row r="1754">
      <c r="M1754">
        <f>IF(A1754="","", _xludf.WEEKNUM(A1754, 2))</f>
        <v/>
      </c>
    </row>
    <row r="1755">
      <c r="M1755">
        <f>IF(A1755="","", _xludf.WEEKNUM(A1755, 2))</f>
        <v/>
      </c>
    </row>
    <row r="1756">
      <c r="M1756">
        <f>IF(A1756="","", _xludf.WEEKNUM(A1756, 2))</f>
        <v/>
      </c>
    </row>
    <row r="1757">
      <c r="M1757">
        <f>IF(A1757="","", _xludf.WEEKNUM(A1757, 2))</f>
        <v/>
      </c>
    </row>
    <row r="1758">
      <c r="M1758">
        <f>IF(A1758="","", _xludf.WEEKNUM(A1758, 2))</f>
        <v/>
      </c>
    </row>
    <row r="1759">
      <c r="M1759">
        <f>IF(A1759="","", _xludf.WEEKNUM(A1759, 2))</f>
        <v/>
      </c>
    </row>
    <row r="1760">
      <c r="M1760">
        <f>IF(A1760="","", _xludf.WEEKNUM(A1760, 2))</f>
        <v/>
      </c>
    </row>
    <row r="1761">
      <c r="M1761">
        <f>IF(A1761="","", _xludf.WEEKNUM(A1761, 2))</f>
        <v/>
      </c>
    </row>
    <row r="1762">
      <c r="M1762">
        <f>IF(A1762="","", _xludf.WEEKNUM(A1762, 2))</f>
        <v/>
      </c>
    </row>
    <row r="1763">
      <c r="M1763">
        <f>IF(A1763="","", _xludf.WEEKNUM(A1763, 2))</f>
        <v/>
      </c>
    </row>
    <row r="1764">
      <c r="M1764">
        <f>IF(A1764="","", _xludf.WEEKNUM(A1764, 2))</f>
        <v/>
      </c>
    </row>
    <row r="1765">
      <c r="M1765">
        <f>IF(A1765="","", _xludf.WEEKNUM(A1765, 2))</f>
        <v/>
      </c>
    </row>
    <row r="1766">
      <c r="M1766">
        <f>IF(A1766="","", _xludf.WEEKNUM(A1766, 2))</f>
        <v/>
      </c>
    </row>
    <row r="1767">
      <c r="M1767">
        <f>IF(A1767="","", _xludf.WEEKNUM(A1767, 2))</f>
        <v/>
      </c>
    </row>
    <row r="1768">
      <c r="M1768">
        <f>IF(A1768="","", _xludf.WEEKNUM(A1768, 2))</f>
        <v/>
      </c>
    </row>
    <row r="1769">
      <c r="M1769">
        <f>IF(A1769="","", _xludf.WEEKNUM(A1769, 2))</f>
        <v/>
      </c>
    </row>
    <row r="1770">
      <c r="M1770">
        <f>IF(A1770="","", _xludf.WEEKNUM(A1770, 2))</f>
        <v/>
      </c>
    </row>
    <row r="1771">
      <c r="M1771">
        <f>IF(A1771="","", _xludf.WEEKNUM(A1771, 2))</f>
        <v/>
      </c>
    </row>
    <row r="1772">
      <c r="M1772">
        <f>IF(A1772="","", _xludf.WEEKNUM(A1772, 2))</f>
        <v/>
      </c>
    </row>
    <row r="1773">
      <c r="M1773">
        <f>IF(A1773="","", _xludf.WEEKNUM(A1773, 2))</f>
        <v/>
      </c>
    </row>
    <row r="1774">
      <c r="M1774">
        <f>IF(A1774="","", _xludf.WEEKNUM(A1774, 2))</f>
        <v/>
      </c>
    </row>
    <row r="1775">
      <c r="M1775">
        <f>IF(A1775="","", _xludf.WEEKNUM(A1775, 2))</f>
        <v/>
      </c>
    </row>
    <row r="1776">
      <c r="M1776">
        <f>IF(A1776="","", _xludf.WEEKNUM(A1776, 2))</f>
        <v/>
      </c>
    </row>
    <row r="1777">
      <c r="M1777">
        <f>IF(A1777="","", _xludf.WEEKNUM(A1777, 2))</f>
        <v/>
      </c>
    </row>
    <row r="1778">
      <c r="M1778">
        <f>IF(A1778="","", _xludf.WEEKNUM(A1778, 2))</f>
        <v/>
      </c>
    </row>
    <row r="1779">
      <c r="M1779">
        <f>IF(A1779="","", _xludf.WEEKNUM(A1779, 2))</f>
        <v/>
      </c>
    </row>
    <row r="1780">
      <c r="M1780">
        <f>IF(A1780="","", _xludf.WEEKNUM(A1780, 2))</f>
        <v/>
      </c>
    </row>
    <row r="1781">
      <c r="M1781">
        <f>IF(A1781="","", _xludf.WEEKNUM(A1781, 2))</f>
        <v/>
      </c>
    </row>
    <row r="1782">
      <c r="M1782">
        <f>IF(A1782="","", _xludf.WEEKNUM(A1782, 2))</f>
        <v/>
      </c>
    </row>
    <row r="1783">
      <c r="M1783">
        <f>IF(A1783="","", _xludf.WEEKNUM(A1783, 2))</f>
        <v/>
      </c>
    </row>
    <row r="1784">
      <c r="M1784">
        <f>IF(A1784="","", _xludf.WEEKNUM(A1784, 2))</f>
        <v/>
      </c>
    </row>
    <row r="1785">
      <c r="M1785">
        <f>IF(A1785="","", _xludf.WEEKNUM(A1785, 2))</f>
        <v/>
      </c>
    </row>
    <row r="1786">
      <c r="M1786">
        <f>IF(A1786="","", _xludf.WEEKNUM(A1786, 2))</f>
        <v/>
      </c>
    </row>
    <row r="1787">
      <c r="M1787">
        <f>IF(A1787="","", _xludf.WEEKNUM(A1787, 2))</f>
        <v/>
      </c>
    </row>
    <row r="1788">
      <c r="M1788">
        <f>IF(A1788="","", _xludf.WEEKNUM(A1788, 2))</f>
        <v/>
      </c>
    </row>
    <row r="1789">
      <c r="M1789">
        <f>IF(A1789="","", _xludf.WEEKNUM(A1789, 2))</f>
        <v/>
      </c>
    </row>
    <row r="1790">
      <c r="M1790">
        <f>IF(A1790="","", _xludf.WEEKNUM(A1790, 2))</f>
        <v/>
      </c>
    </row>
    <row r="1791">
      <c r="M1791">
        <f>IF(A1791="","", _xludf.WEEKNUM(A1791, 2))</f>
        <v/>
      </c>
    </row>
    <row r="1792">
      <c r="M1792">
        <f>IF(A1792="","", _xludf.WEEKNUM(A1792, 2))</f>
        <v/>
      </c>
    </row>
    <row r="1793">
      <c r="M1793">
        <f>IF(A1793="","", _xludf.WEEKNUM(A1793, 2))</f>
        <v/>
      </c>
    </row>
    <row r="1794">
      <c r="M1794">
        <f>IF(A1794="","", _xludf.WEEKNUM(A1794, 2))</f>
        <v/>
      </c>
    </row>
    <row r="1795">
      <c r="M1795">
        <f>IF(A1795="","", _xludf.WEEKNUM(A1795, 2))</f>
        <v/>
      </c>
    </row>
    <row r="1796">
      <c r="M1796">
        <f>IF(A1796="","", _xludf.WEEKNUM(A1796, 2))</f>
        <v/>
      </c>
    </row>
    <row r="1797">
      <c r="M1797">
        <f>IF(A1797="","", _xludf.WEEKNUM(A1797, 2))</f>
        <v/>
      </c>
    </row>
    <row r="1798">
      <c r="M1798">
        <f>IF(A1798="","", _xludf.WEEKNUM(A1798, 2))</f>
        <v/>
      </c>
    </row>
    <row r="1799">
      <c r="M1799">
        <f>IF(A1799="","", _xludf.WEEKNUM(A1799, 2))</f>
        <v/>
      </c>
    </row>
    <row r="1800">
      <c r="M1800">
        <f>IF(A1800="","", _xludf.WEEKNUM(A1800, 2))</f>
        <v/>
      </c>
    </row>
    <row r="1801">
      <c r="M1801">
        <f>IF(A1801="","", _xludf.WEEKNUM(A1801, 2))</f>
        <v/>
      </c>
    </row>
    <row r="1802">
      <c r="M1802">
        <f>IF(A1802="","", _xludf.WEEKNUM(A1802, 2))</f>
        <v/>
      </c>
    </row>
    <row r="1803">
      <c r="M1803">
        <f>IF(A1803="","", _xludf.WEEKNUM(A1803, 2))</f>
        <v/>
      </c>
    </row>
    <row r="1804">
      <c r="M1804">
        <f>IF(A1804="","", _xludf.WEEKNUM(A1804, 2))</f>
        <v/>
      </c>
    </row>
    <row r="1805">
      <c r="M1805">
        <f>IF(A1805="","", _xludf.WEEKNUM(A1805, 2))</f>
        <v/>
      </c>
    </row>
    <row r="1806">
      <c r="M1806">
        <f>IF(A1806="","", _xludf.WEEKNUM(A1806, 2))</f>
        <v/>
      </c>
    </row>
    <row r="1807">
      <c r="M1807">
        <f>IF(A1807="","", _xludf.WEEKNUM(A1807, 2))</f>
        <v/>
      </c>
    </row>
    <row r="1808">
      <c r="M1808">
        <f>IF(A1808="","", _xludf.WEEKNUM(A1808, 2))</f>
        <v/>
      </c>
    </row>
    <row r="1809">
      <c r="M1809">
        <f>IF(A1809="","", _xludf.WEEKNUM(A1809, 2))</f>
        <v/>
      </c>
    </row>
    <row r="1810">
      <c r="M1810">
        <f>IF(A1810="","", _xludf.WEEKNUM(A1810, 2))</f>
        <v/>
      </c>
    </row>
    <row r="1811">
      <c r="M1811">
        <f>IF(A1811="","", _xludf.WEEKNUM(A1811, 2))</f>
        <v/>
      </c>
    </row>
    <row r="1812">
      <c r="M1812">
        <f>IF(A1812="","", _xludf.WEEKNUM(A1812, 2))</f>
        <v/>
      </c>
    </row>
    <row r="1813">
      <c r="M1813">
        <f>IF(A1813="","", _xludf.WEEKNUM(A1813, 2))</f>
        <v/>
      </c>
    </row>
    <row r="1814">
      <c r="M1814">
        <f>IF(A1814="","", _xludf.WEEKNUM(A1814, 2))</f>
        <v/>
      </c>
    </row>
    <row r="1815">
      <c r="M1815">
        <f>IF(A1815="","", _xludf.WEEKNUM(A1815, 2))</f>
        <v/>
      </c>
    </row>
    <row r="1816">
      <c r="M1816">
        <f>IF(A1816="","", _xludf.WEEKNUM(A1816, 2))</f>
        <v/>
      </c>
    </row>
    <row r="1817">
      <c r="M1817">
        <f>IF(A1817="","", _xludf.WEEKNUM(A1817, 2))</f>
        <v/>
      </c>
    </row>
    <row r="1818">
      <c r="M1818">
        <f>IF(A1818="","", _xludf.WEEKNUM(A1818, 2))</f>
        <v/>
      </c>
    </row>
    <row r="1819">
      <c r="M1819">
        <f>IF(A1819="","", _xludf.WEEKNUM(A1819, 2))</f>
        <v/>
      </c>
    </row>
    <row r="1820">
      <c r="M1820">
        <f>IF(A1820="","", _xludf.WEEKNUM(A1820, 2))</f>
        <v/>
      </c>
    </row>
    <row r="1821">
      <c r="M1821">
        <f>IF(A1821="","", _xludf.WEEKNUM(A1821, 2))</f>
        <v/>
      </c>
    </row>
    <row r="1822">
      <c r="M1822">
        <f>IF(A1822="","", _xludf.WEEKNUM(A1822, 2))</f>
        <v/>
      </c>
    </row>
    <row r="1823">
      <c r="M1823">
        <f>IF(A1823="","", _xludf.WEEKNUM(A1823, 2))</f>
        <v/>
      </c>
    </row>
    <row r="1824">
      <c r="M1824">
        <f>IF(A1824="","", _xludf.WEEKNUM(A1824, 2))</f>
        <v/>
      </c>
    </row>
    <row r="1825">
      <c r="M1825">
        <f>IF(A1825="","", _xludf.WEEKNUM(A1825, 2))</f>
        <v/>
      </c>
    </row>
    <row r="1826">
      <c r="M1826">
        <f>IF(A1826="","", _xludf.WEEKNUM(A1826, 2))</f>
        <v/>
      </c>
    </row>
    <row r="1827">
      <c r="M1827">
        <f>IF(A1827="","", _xludf.WEEKNUM(A1827, 2))</f>
        <v/>
      </c>
    </row>
    <row r="1828">
      <c r="M1828">
        <f>IF(A1828="","", _xludf.WEEKNUM(A1828, 2))</f>
        <v/>
      </c>
    </row>
    <row r="1829">
      <c r="M1829">
        <f>IF(A1829="","", _xludf.WEEKNUM(A1829, 2))</f>
        <v/>
      </c>
    </row>
    <row r="1830">
      <c r="M1830">
        <f>IF(A1830="","", _xludf.WEEKNUM(A1830, 2))</f>
        <v/>
      </c>
    </row>
    <row r="1831">
      <c r="M1831">
        <f>IF(A1831="","", _xludf.WEEKNUM(A1831, 2))</f>
        <v/>
      </c>
    </row>
    <row r="1832">
      <c r="M1832">
        <f>IF(A1832="","", _xludf.WEEKNUM(A1832, 2))</f>
        <v/>
      </c>
    </row>
    <row r="1833">
      <c r="M1833">
        <f>IF(A1833="","", _xludf.WEEKNUM(A1833, 2))</f>
        <v/>
      </c>
    </row>
    <row r="1834">
      <c r="M1834">
        <f>IF(A1834="","", _xludf.WEEKNUM(A1834, 2))</f>
        <v/>
      </c>
    </row>
    <row r="1835">
      <c r="M1835">
        <f>IF(A1835="","", _xludf.WEEKNUM(A1835, 2))</f>
        <v/>
      </c>
    </row>
    <row r="1836">
      <c r="M1836">
        <f>IF(A1836="","", _xludf.WEEKNUM(A1836, 2))</f>
        <v/>
      </c>
    </row>
    <row r="1837">
      <c r="M1837">
        <f>IF(A1837="","", _xludf.WEEKNUM(A1837, 2))</f>
        <v/>
      </c>
    </row>
    <row r="1838">
      <c r="M1838">
        <f>IF(A1838="","", _xludf.WEEKNUM(A1838, 2))</f>
        <v/>
      </c>
    </row>
    <row r="1839">
      <c r="M1839">
        <f>IF(A1839="","", _xludf.WEEKNUM(A1839, 2))</f>
        <v/>
      </c>
    </row>
    <row r="1840">
      <c r="M1840">
        <f>IF(A1840="","", _xludf.WEEKNUM(A1840, 2))</f>
        <v/>
      </c>
    </row>
    <row r="1841">
      <c r="M1841">
        <f>IF(A1841="","", _xludf.WEEKNUM(A1841, 2))</f>
        <v/>
      </c>
    </row>
    <row r="1842">
      <c r="M1842">
        <f>IF(A1842="","", _xludf.WEEKNUM(A1842, 2))</f>
        <v/>
      </c>
    </row>
    <row r="1843">
      <c r="M1843">
        <f>IF(A1843="","", _xludf.WEEKNUM(A1843, 2))</f>
        <v/>
      </c>
    </row>
    <row r="1844">
      <c r="M1844">
        <f>IF(A1844="","", _xludf.WEEKNUM(A1844, 2))</f>
        <v/>
      </c>
    </row>
    <row r="1845">
      <c r="M1845">
        <f>IF(A1845="","", _xludf.WEEKNUM(A1845, 2))</f>
        <v/>
      </c>
    </row>
    <row r="1846">
      <c r="M1846">
        <f>IF(A1846="","", _xludf.WEEKNUM(A1846, 2))</f>
        <v/>
      </c>
    </row>
    <row r="1847">
      <c r="M1847">
        <f>IF(A1847="","", _xludf.WEEKNUM(A1847, 2))</f>
        <v/>
      </c>
    </row>
    <row r="1848">
      <c r="M1848">
        <f>IF(A1848="","", _xludf.WEEKNUM(A1848, 2))</f>
        <v/>
      </c>
    </row>
    <row r="1849">
      <c r="M1849">
        <f>IF(A1849="","", _xludf.WEEKNUM(A1849, 2))</f>
        <v/>
      </c>
    </row>
    <row r="1850">
      <c r="M1850">
        <f>IF(A1850="","", _xludf.WEEKNUM(A1850, 2))</f>
        <v/>
      </c>
    </row>
    <row r="1851">
      <c r="M1851">
        <f>IF(A1851="","", _xludf.WEEKNUM(A1851, 2))</f>
        <v/>
      </c>
    </row>
    <row r="1852">
      <c r="M1852">
        <f>IF(A1852="","", _xludf.WEEKNUM(A1852, 2))</f>
        <v/>
      </c>
    </row>
    <row r="1853">
      <c r="M1853">
        <f>IF(A1853="","", _xludf.WEEKNUM(A1853, 2))</f>
        <v/>
      </c>
    </row>
    <row r="1854">
      <c r="M1854">
        <f>IF(A1854="","", _xludf.WEEKNUM(A1854, 2))</f>
        <v/>
      </c>
    </row>
    <row r="1855">
      <c r="M1855">
        <f>IF(A1855="","", _xludf.WEEKNUM(A1855, 2))</f>
        <v/>
      </c>
    </row>
    <row r="1856">
      <c r="M1856">
        <f>IF(A1856="","", _xludf.WEEKNUM(A1856, 2))</f>
        <v/>
      </c>
    </row>
    <row r="1857">
      <c r="M1857">
        <f>IF(A1857="","", _xludf.WEEKNUM(A1857, 2))</f>
        <v/>
      </c>
    </row>
    <row r="1858">
      <c r="M1858">
        <f>IF(A1858="","", _xludf.WEEKNUM(A1858, 2))</f>
        <v/>
      </c>
    </row>
    <row r="1859">
      <c r="M1859">
        <f>IF(A1859="","", _xludf.WEEKNUM(A1859, 2))</f>
        <v/>
      </c>
    </row>
    <row r="1860">
      <c r="M1860">
        <f>IF(A1860="","", _xludf.WEEKNUM(A1860, 2))</f>
        <v/>
      </c>
    </row>
    <row r="1861">
      <c r="M1861">
        <f>IF(A1861="","", _xludf.WEEKNUM(A1861, 2))</f>
        <v/>
      </c>
    </row>
    <row r="1862">
      <c r="M1862">
        <f>IF(A1862="","", _xludf.WEEKNUM(A1862, 2))</f>
        <v/>
      </c>
    </row>
    <row r="1863">
      <c r="M1863">
        <f>IF(A1863="","", _xludf.WEEKNUM(A1863, 2))</f>
        <v/>
      </c>
    </row>
    <row r="1864">
      <c r="M1864">
        <f>IF(A1864="","", _xludf.WEEKNUM(A1864, 2))</f>
        <v/>
      </c>
    </row>
    <row r="1865">
      <c r="M1865">
        <f>IF(A1865="","", _xludf.WEEKNUM(A1865, 2))</f>
        <v/>
      </c>
    </row>
    <row r="1866">
      <c r="M1866">
        <f>IF(A1866="","", _xludf.WEEKNUM(A1866, 2))</f>
        <v/>
      </c>
    </row>
    <row r="1867">
      <c r="M1867">
        <f>IF(A1867="","", _xludf.WEEKNUM(A1867, 2))</f>
        <v/>
      </c>
    </row>
    <row r="1868">
      <c r="M1868">
        <f>IF(A1868="","", _xludf.WEEKNUM(A1868, 2))</f>
        <v/>
      </c>
    </row>
    <row r="1869">
      <c r="M1869">
        <f>IF(A1869="","", _xludf.WEEKNUM(A1869, 2))</f>
        <v/>
      </c>
    </row>
    <row r="1870">
      <c r="M1870">
        <f>IF(A1870="","", _xludf.WEEKNUM(A1870, 2))</f>
        <v/>
      </c>
    </row>
    <row r="1871">
      <c r="M1871">
        <f>IF(A1871="","", _xludf.WEEKNUM(A1871, 2))</f>
        <v/>
      </c>
    </row>
    <row r="1872">
      <c r="M1872">
        <f>IF(A1872="","", _xludf.WEEKNUM(A1872, 2))</f>
        <v/>
      </c>
    </row>
    <row r="1873">
      <c r="M1873">
        <f>IF(A1873="","", _xludf.WEEKNUM(A1873, 2))</f>
        <v/>
      </c>
    </row>
    <row r="1874">
      <c r="M1874">
        <f>IF(A1874="","", _xludf.WEEKNUM(A1874, 2))</f>
        <v/>
      </c>
    </row>
    <row r="1875">
      <c r="M1875">
        <f>IF(A1875="","", _xludf.WEEKNUM(A1875, 2))</f>
        <v/>
      </c>
    </row>
    <row r="1876">
      <c r="M1876">
        <f>IF(A1876="","", _xludf.WEEKNUM(A1876, 2))</f>
        <v/>
      </c>
    </row>
    <row r="1877">
      <c r="M1877">
        <f>IF(A1877="","", _xludf.WEEKNUM(A1877, 2))</f>
        <v/>
      </c>
    </row>
    <row r="1878">
      <c r="M1878">
        <f>IF(A1878="","", _xludf.WEEKNUM(A1878, 2))</f>
        <v/>
      </c>
    </row>
    <row r="1879">
      <c r="M1879">
        <f>IF(A1879="","", _xludf.WEEKNUM(A1879, 2))</f>
        <v/>
      </c>
    </row>
    <row r="1880">
      <c r="M1880">
        <f>IF(A1880="","", _xludf.WEEKNUM(A1880, 2))</f>
        <v/>
      </c>
    </row>
    <row r="1881">
      <c r="M1881">
        <f>IF(A1881="","", _xludf.WEEKNUM(A1881, 2))</f>
        <v/>
      </c>
    </row>
    <row r="1882">
      <c r="M1882">
        <f>IF(A1882="","", _xludf.WEEKNUM(A1882, 2))</f>
        <v/>
      </c>
    </row>
    <row r="1883">
      <c r="M1883">
        <f>IF(A1883="","", _xludf.WEEKNUM(A1883, 2))</f>
        <v/>
      </c>
    </row>
    <row r="1884">
      <c r="M1884">
        <f>IF(A1884="","", _xludf.WEEKNUM(A1884, 2))</f>
        <v/>
      </c>
    </row>
    <row r="1885">
      <c r="M1885">
        <f>IF(A1885="","", _xludf.WEEKNUM(A1885, 2))</f>
        <v/>
      </c>
    </row>
    <row r="1886">
      <c r="M1886">
        <f>IF(A1886="","", _xludf.WEEKNUM(A1886, 2))</f>
        <v/>
      </c>
    </row>
    <row r="1887">
      <c r="M1887">
        <f>IF(A1887="","", _xludf.WEEKNUM(A1887, 2))</f>
        <v/>
      </c>
    </row>
    <row r="1888">
      <c r="M1888">
        <f>IF(A1888="","", _xludf.WEEKNUM(A1888, 2))</f>
        <v/>
      </c>
    </row>
    <row r="1889">
      <c r="M1889">
        <f>IF(A1889="","", _xludf.WEEKNUM(A1889, 2))</f>
        <v/>
      </c>
    </row>
    <row r="1890">
      <c r="M1890">
        <f>IF(A1890="","", _xludf.WEEKNUM(A1890, 2))</f>
        <v/>
      </c>
    </row>
    <row r="1891">
      <c r="M1891">
        <f>IF(A1891="","", _xludf.WEEKNUM(A1891, 2))</f>
        <v/>
      </c>
    </row>
    <row r="1892">
      <c r="M1892">
        <f>IF(A1892="","", _xludf.WEEKNUM(A1892, 2))</f>
        <v/>
      </c>
    </row>
    <row r="1893">
      <c r="M1893">
        <f>IF(A1893="","", _xludf.WEEKNUM(A1893, 2))</f>
        <v/>
      </c>
    </row>
    <row r="1894">
      <c r="M1894">
        <f>IF(A1894="","", _xludf.WEEKNUM(A1894, 2))</f>
        <v/>
      </c>
    </row>
    <row r="1895">
      <c r="M1895">
        <f>IF(A1895="","", _xludf.WEEKNUM(A1895, 2))</f>
        <v/>
      </c>
    </row>
    <row r="1896">
      <c r="M1896">
        <f>IF(A1896="","", _xludf.WEEKNUM(A1896, 2))</f>
        <v/>
      </c>
    </row>
    <row r="1897">
      <c r="M1897">
        <f>IF(A1897="","", _xludf.WEEKNUM(A1897, 2))</f>
        <v/>
      </c>
    </row>
    <row r="1898">
      <c r="M1898">
        <f>IF(A1898="","", _xludf.WEEKNUM(A1898, 2))</f>
        <v/>
      </c>
    </row>
    <row r="1899">
      <c r="M1899">
        <f>IF(A1899="","", _xludf.WEEKNUM(A1899, 2))</f>
        <v/>
      </c>
    </row>
    <row r="1900">
      <c r="M1900">
        <f>IF(A1900="","", _xludf.WEEKNUM(A1900, 2))</f>
        <v/>
      </c>
    </row>
    <row r="1901">
      <c r="M1901">
        <f>IF(A1901="","", _xludf.WEEKNUM(A1901, 2))</f>
        <v/>
      </c>
    </row>
    <row r="1902">
      <c r="M1902">
        <f>IF(A1902="","", _xludf.WEEKNUM(A1902, 2))</f>
        <v/>
      </c>
    </row>
    <row r="1903">
      <c r="M1903">
        <f>IF(A1903="","", _xludf.WEEKNUM(A1903, 2))</f>
        <v/>
      </c>
    </row>
    <row r="1904">
      <c r="M1904">
        <f>IF(A1904="","", _xludf.WEEKNUM(A1904, 2))</f>
        <v/>
      </c>
    </row>
    <row r="1905">
      <c r="M1905">
        <f>IF(A1905="","", _xludf.WEEKNUM(A1905, 2))</f>
        <v/>
      </c>
    </row>
    <row r="1906">
      <c r="M1906">
        <f>IF(A1906="","", _xludf.WEEKNUM(A1906, 2))</f>
        <v/>
      </c>
    </row>
    <row r="1907">
      <c r="M1907">
        <f>IF(A1907="","", _xludf.WEEKNUM(A1907, 2))</f>
        <v/>
      </c>
    </row>
    <row r="1908">
      <c r="M1908">
        <f>IF(A1908="","", _xludf.WEEKNUM(A1908, 2))</f>
        <v/>
      </c>
    </row>
    <row r="1909">
      <c r="M1909">
        <f>IF(A1909="","", _xludf.WEEKNUM(A1909, 2))</f>
        <v/>
      </c>
    </row>
    <row r="1910">
      <c r="M1910">
        <f>IF(A1910="","", _xludf.WEEKNUM(A1910, 2))</f>
        <v/>
      </c>
    </row>
    <row r="1911">
      <c r="M1911">
        <f>IF(A1911="","", _xludf.WEEKNUM(A1911, 2))</f>
        <v/>
      </c>
    </row>
    <row r="1912">
      <c r="M1912">
        <f>IF(A1912="","", _xludf.WEEKNUM(A1912, 2))</f>
        <v/>
      </c>
    </row>
    <row r="1913">
      <c r="M1913">
        <f>IF(A1913="","", _xludf.WEEKNUM(A1913, 2))</f>
        <v/>
      </c>
    </row>
    <row r="1914">
      <c r="M1914">
        <f>IF(A1914="","", _xludf.WEEKNUM(A1914, 2))</f>
        <v/>
      </c>
    </row>
    <row r="1915">
      <c r="M1915">
        <f>IF(A1915="","", _xludf.WEEKNUM(A1915, 2))</f>
        <v/>
      </c>
    </row>
    <row r="1916">
      <c r="M1916">
        <f>IF(A1916="","", _xludf.WEEKNUM(A1916, 2))</f>
        <v/>
      </c>
    </row>
    <row r="1917">
      <c r="M1917">
        <f>IF(A1917="","", _xludf.WEEKNUM(A1917, 2))</f>
        <v/>
      </c>
    </row>
    <row r="1918">
      <c r="M1918">
        <f>IF(A1918="","", _xludf.WEEKNUM(A1918, 2))</f>
        <v/>
      </c>
    </row>
    <row r="1919">
      <c r="M1919">
        <f>IF(A1919="","", _xludf.WEEKNUM(A1919, 2))</f>
        <v/>
      </c>
    </row>
    <row r="1920">
      <c r="M1920">
        <f>IF(A1920="","", _xludf.WEEKNUM(A1920, 2))</f>
        <v/>
      </c>
    </row>
    <row r="1921">
      <c r="M1921">
        <f>IF(A1921="","", _xludf.WEEKNUM(A1921, 2))</f>
        <v/>
      </c>
    </row>
    <row r="1922">
      <c r="M1922">
        <f>IF(A1922="","", _xludf.WEEKNUM(A1922, 2))</f>
        <v/>
      </c>
    </row>
    <row r="1923">
      <c r="M1923">
        <f>IF(A1923="","", _xludf.WEEKNUM(A1923, 2))</f>
        <v/>
      </c>
    </row>
    <row r="1924">
      <c r="M1924">
        <f>IF(A1924="","", _xludf.WEEKNUM(A1924, 2))</f>
        <v/>
      </c>
    </row>
    <row r="1925">
      <c r="M1925">
        <f>IF(A1925="","", _xludf.WEEKNUM(A1925, 2))</f>
        <v/>
      </c>
    </row>
    <row r="1926">
      <c r="M1926">
        <f>IF(A1926="","", _xludf.WEEKNUM(A1926, 2))</f>
        <v/>
      </c>
    </row>
    <row r="1927">
      <c r="M1927">
        <f>IF(A1927="","", _xludf.WEEKNUM(A1927, 2))</f>
        <v/>
      </c>
    </row>
    <row r="1928">
      <c r="M1928">
        <f>IF(A1928="","", _xludf.WEEKNUM(A1928, 2))</f>
        <v/>
      </c>
    </row>
    <row r="1929">
      <c r="M1929">
        <f>IF(A1929="","", _xludf.WEEKNUM(A1929, 2))</f>
        <v/>
      </c>
    </row>
    <row r="1930">
      <c r="M1930">
        <f>IF(A1930="","", _xludf.WEEKNUM(A1930, 2))</f>
        <v/>
      </c>
    </row>
    <row r="1931">
      <c r="M1931">
        <f>IF(A1931="","", _xludf.WEEKNUM(A1931, 2))</f>
        <v/>
      </c>
    </row>
    <row r="1932">
      <c r="M1932">
        <f>IF(A1932="","", _xludf.WEEKNUM(A1932, 2))</f>
        <v/>
      </c>
    </row>
    <row r="1933">
      <c r="M1933">
        <f>IF(A1933="","", _xludf.WEEKNUM(A1933, 2))</f>
        <v/>
      </c>
    </row>
    <row r="1934">
      <c r="M1934">
        <f>IF(A1934="","", _xludf.WEEKNUM(A1934, 2))</f>
        <v/>
      </c>
    </row>
    <row r="1935">
      <c r="M1935">
        <f>IF(A1935="","", _xludf.WEEKNUM(A1935, 2))</f>
        <v/>
      </c>
    </row>
    <row r="1936">
      <c r="M1936">
        <f>IF(A1936="","", _xludf.WEEKNUM(A1936, 2))</f>
        <v/>
      </c>
    </row>
    <row r="1937">
      <c r="M1937">
        <f>IF(A1937="","", _xludf.WEEKNUM(A1937, 2))</f>
        <v/>
      </c>
    </row>
    <row r="1938">
      <c r="M1938">
        <f>IF(A1938="","", _xludf.WEEKNUM(A1938, 2))</f>
        <v/>
      </c>
    </row>
    <row r="1939">
      <c r="M1939">
        <f>IF(A1939="","", _xludf.WEEKNUM(A1939, 2))</f>
        <v/>
      </c>
    </row>
    <row r="1940">
      <c r="M1940">
        <f>IF(A1940="","", _xludf.WEEKNUM(A1940, 2))</f>
        <v/>
      </c>
    </row>
    <row r="1941">
      <c r="M1941">
        <f>IF(A1941="","", _xludf.WEEKNUM(A1941, 2))</f>
        <v/>
      </c>
    </row>
    <row r="1942">
      <c r="M1942">
        <f>IF(A1942="","", _xludf.WEEKNUM(A1942, 2))</f>
        <v/>
      </c>
    </row>
    <row r="1943">
      <c r="M1943">
        <f>IF(A1943="","", _xludf.WEEKNUM(A1943, 2))</f>
        <v/>
      </c>
    </row>
    <row r="1944">
      <c r="M1944">
        <f>IF(A1944="","", _xludf.WEEKNUM(A1944, 2))</f>
        <v/>
      </c>
    </row>
    <row r="1945">
      <c r="M1945">
        <f>IF(A1945="","", _xludf.WEEKNUM(A1945, 2))</f>
        <v/>
      </c>
    </row>
    <row r="1946">
      <c r="M1946">
        <f>IF(A1946="","", _xludf.WEEKNUM(A1946, 2))</f>
        <v/>
      </c>
    </row>
    <row r="1947">
      <c r="M1947">
        <f>IF(A1947="","", _xludf.WEEKNUM(A1947, 2))</f>
        <v/>
      </c>
    </row>
    <row r="1948">
      <c r="M1948">
        <f>IF(A1948="","", _xludf.WEEKNUM(A1948, 2))</f>
        <v/>
      </c>
    </row>
    <row r="1949">
      <c r="M1949">
        <f>IF(A1949="","", _xludf.WEEKNUM(A1949, 2))</f>
        <v/>
      </c>
    </row>
    <row r="1950">
      <c r="M1950">
        <f>IF(A1950="","", _xludf.WEEKNUM(A1950, 2))</f>
        <v/>
      </c>
    </row>
    <row r="1951">
      <c r="M1951">
        <f>IF(A1951="","", _xludf.WEEKNUM(A1951, 2))</f>
        <v/>
      </c>
    </row>
    <row r="1952">
      <c r="M1952">
        <f>IF(A1952="","", _xludf.WEEKNUM(A1952, 2))</f>
        <v/>
      </c>
    </row>
    <row r="1953">
      <c r="M1953">
        <f>IF(A1953="","", _xludf.WEEKNUM(A1953, 2))</f>
        <v/>
      </c>
    </row>
    <row r="1954">
      <c r="M1954">
        <f>IF(A1954="","", _xludf.WEEKNUM(A1954, 2))</f>
        <v/>
      </c>
    </row>
    <row r="1955">
      <c r="M1955">
        <f>IF(A1955="","", _xludf.WEEKNUM(A1955, 2))</f>
        <v/>
      </c>
    </row>
    <row r="1956">
      <c r="M1956">
        <f>IF(A1956="","", _xludf.WEEKNUM(A1956, 2))</f>
        <v/>
      </c>
    </row>
    <row r="1957">
      <c r="M1957">
        <f>IF(A1957="","", _xludf.WEEKNUM(A1957, 2))</f>
        <v/>
      </c>
    </row>
    <row r="1958">
      <c r="M1958">
        <f>IF(A1958="","", _xludf.WEEKNUM(A1958, 2))</f>
        <v/>
      </c>
    </row>
    <row r="1959">
      <c r="M1959">
        <f>IF(A1959="","", _xludf.WEEKNUM(A1959, 2))</f>
        <v/>
      </c>
    </row>
    <row r="1960">
      <c r="M1960">
        <f>IF(A1960="","", _xludf.WEEKNUM(A1960, 2))</f>
        <v/>
      </c>
    </row>
    <row r="1961">
      <c r="M1961">
        <f>IF(A1961="","", _xludf.WEEKNUM(A1961, 2))</f>
        <v/>
      </c>
    </row>
    <row r="1962">
      <c r="M1962">
        <f>IF(A1962="","", _xludf.WEEKNUM(A1962, 2))</f>
        <v/>
      </c>
    </row>
    <row r="1963">
      <c r="M1963">
        <f>IF(A1963="","", _xludf.WEEKNUM(A1963, 2))</f>
        <v/>
      </c>
    </row>
    <row r="1964">
      <c r="M1964">
        <f>IF(A1964="","", _xludf.WEEKNUM(A1964, 2))</f>
        <v/>
      </c>
    </row>
    <row r="1965">
      <c r="M1965">
        <f>IF(A1965="","", _xludf.WEEKNUM(A1965, 2))</f>
        <v/>
      </c>
    </row>
    <row r="1966">
      <c r="M1966">
        <f>IF(A1966="","", _xludf.WEEKNUM(A1966, 2))</f>
        <v/>
      </c>
    </row>
    <row r="1967">
      <c r="M1967">
        <f>IF(A1967="","", _xludf.WEEKNUM(A1967, 2))</f>
        <v/>
      </c>
    </row>
    <row r="1968">
      <c r="M1968">
        <f>IF(A1968="","", _xludf.WEEKNUM(A1968, 2))</f>
        <v/>
      </c>
    </row>
    <row r="1969">
      <c r="M1969">
        <f>IF(A1969="","", _xludf.WEEKNUM(A1969, 2))</f>
        <v/>
      </c>
    </row>
    <row r="1970">
      <c r="M1970">
        <f>IF(A1970="","", _xludf.WEEKNUM(A1970, 2))</f>
        <v/>
      </c>
    </row>
    <row r="1971">
      <c r="M1971">
        <f>IF(A1971="","", _xludf.WEEKNUM(A1971, 2))</f>
        <v/>
      </c>
    </row>
    <row r="1972">
      <c r="M1972">
        <f>IF(A1972="","", _xludf.WEEKNUM(A1972, 2))</f>
        <v/>
      </c>
    </row>
    <row r="1973">
      <c r="M1973">
        <f>IF(A1973="","", _xludf.WEEKNUM(A1973, 2))</f>
        <v/>
      </c>
    </row>
    <row r="1974">
      <c r="M1974">
        <f>IF(A1974="","", _xludf.WEEKNUM(A1974, 2))</f>
        <v/>
      </c>
    </row>
    <row r="1975">
      <c r="M1975">
        <f>IF(A1975="","", _xludf.WEEKNUM(A1975, 2))</f>
        <v/>
      </c>
    </row>
    <row r="1976">
      <c r="M1976">
        <f>IF(A1976="","", _xludf.WEEKNUM(A1976, 2))</f>
        <v/>
      </c>
    </row>
    <row r="1977">
      <c r="M1977">
        <f>IF(A1977="","", _xludf.WEEKNUM(A1977, 2))</f>
        <v/>
      </c>
    </row>
    <row r="1978">
      <c r="M1978">
        <f>IF(A1978="","", _xludf.WEEKNUM(A1978, 2))</f>
        <v/>
      </c>
    </row>
    <row r="1979">
      <c r="M1979">
        <f>IF(A1979="","", _xludf.WEEKNUM(A1979, 2))</f>
        <v/>
      </c>
    </row>
    <row r="1980">
      <c r="M1980">
        <f>IF(A1980="","", _xludf.WEEKNUM(A1980, 2))</f>
        <v/>
      </c>
    </row>
    <row r="1981">
      <c r="M1981">
        <f>IF(A1981="","", _xludf.WEEKNUM(A1981, 2))</f>
        <v/>
      </c>
    </row>
    <row r="1982">
      <c r="M1982">
        <f>IF(A1982="","", _xludf.WEEKNUM(A1982, 2))</f>
        <v/>
      </c>
    </row>
    <row r="1983">
      <c r="M1983">
        <f>IF(A1983="","", _xludf.WEEKNUM(A1983, 2))</f>
        <v/>
      </c>
    </row>
    <row r="1984">
      <c r="M1984">
        <f>IF(A1984="","", _xludf.WEEKNUM(A1984, 2))</f>
        <v/>
      </c>
    </row>
    <row r="1985">
      <c r="M1985">
        <f>IF(A1985="","", _xludf.WEEKNUM(A1985, 2))</f>
        <v/>
      </c>
    </row>
    <row r="1986">
      <c r="M1986">
        <f>IF(A1986="","", _xludf.WEEKNUM(A1986, 2))</f>
        <v/>
      </c>
    </row>
    <row r="1987">
      <c r="M1987">
        <f>IF(A1987="","", _xludf.WEEKNUM(A1987, 2))</f>
        <v/>
      </c>
    </row>
    <row r="1988">
      <c r="M1988">
        <f>IF(A1988="","", _xludf.WEEKNUM(A1988, 2))</f>
        <v/>
      </c>
    </row>
    <row r="1989">
      <c r="M1989">
        <f>IF(A1989="","", _xludf.WEEKNUM(A1989, 2))</f>
        <v/>
      </c>
    </row>
    <row r="1990">
      <c r="M1990">
        <f>IF(A1990="","", _xludf.WEEKNUM(A1990, 2))</f>
        <v/>
      </c>
    </row>
    <row r="1991">
      <c r="M1991">
        <f>IF(A1991="","", _xludf.WEEKNUM(A1991, 2))</f>
        <v/>
      </c>
    </row>
    <row r="1992">
      <c r="M1992">
        <f>IF(A1992="","", _xludf.WEEKNUM(A1992, 2))</f>
        <v/>
      </c>
    </row>
    <row r="1993">
      <c r="M1993">
        <f>IF(A1993="","", _xludf.WEEKNUM(A1993, 2))</f>
        <v/>
      </c>
    </row>
    <row r="1994">
      <c r="M1994">
        <f>IF(A1994="","", _xludf.WEEKNUM(A1994, 2))</f>
        <v/>
      </c>
    </row>
    <row r="1995">
      <c r="M1995">
        <f>IF(A1995="","", _xludf.WEEKNUM(A1995, 2))</f>
        <v/>
      </c>
    </row>
    <row r="1996">
      <c r="M1996">
        <f>IF(A1996="","", _xludf.WEEKNUM(A1996, 2))</f>
        <v/>
      </c>
    </row>
    <row r="1997">
      <c r="M1997">
        <f>IF(A1997="","", _xludf.WEEKNUM(A1997, 2))</f>
        <v/>
      </c>
    </row>
    <row r="1998">
      <c r="M1998">
        <f>IF(A1998="","", _xludf.WEEKNUM(A1998, 2))</f>
        <v/>
      </c>
    </row>
    <row r="1999">
      <c r="M1999">
        <f>IF(A1999="","", _xludf.WEEKNUM(A1999, 2))</f>
        <v/>
      </c>
    </row>
    <row r="2000">
      <c r="M2000">
        <f>IF(A2000="","", _xludf.WEEKNUM(A2000, 2))</f>
        <v/>
      </c>
    </row>
  </sheetData>
  <mergeCells count="1">
    <mergeCell ref="A1:P1"/>
  </mergeCells>
  <dataValidations count="1">
    <dataValidation sqref="E5:E206" showDropDown="0" showInputMessage="0" showErrorMessage="0" allowBlank="0"/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000"/>
  <sheetViews>
    <sheetView topLeftCell="A285" workbookViewId="0">
      <selection activeCell="B315" sqref="B315"/>
    </sheetView>
  </sheetViews>
  <sheetFormatPr baseColWidth="10" defaultColWidth="8.796875" defaultRowHeight="13.8"/>
  <cols>
    <col width="13" customWidth="1" style="17625" min="1" max="1"/>
    <col width="20" customWidth="1" style="17580" min="2" max="2"/>
    <col width="17" customWidth="1" style="17625" min="3" max="3"/>
    <col width="22" customWidth="1" style="17580" min="4" max="4"/>
    <col width="14" customWidth="1" style="17580" min="5" max="5"/>
    <col width="14" customWidth="1" style="17626" min="6" max="6"/>
    <col width="12" customWidth="1" style="17580" min="7" max="7"/>
    <col width="14" customWidth="1" style="17580" min="8" max="8"/>
    <col width="25" customWidth="1" style="17580" min="9" max="9"/>
    <col width="16" customWidth="1" style="17580" min="10" max="10"/>
    <col hidden="1" width="30" customWidth="1" style="17580" min="11" max="11"/>
  </cols>
  <sheetData>
    <row r="1" ht="22.35" customHeight="1" s="17580">
      <c r="A1" s="17624" t="inlineStr">
        <is>
          <t>GC-COMB-003 | BITÁCORA DE SOLICITUDES DE COMBUSTIBLE DE OBRA</t>
        </is>
      </c>
    </row>
    <row r="2">
      <c r="A2" t="inlineStr">
        <is>
          <t>Ingeniero:</t>
        </is>
      </c>
      <c r="C2" t="inlineStr">
        <is>
          <t>Semana:</t>
        </is>
      </c>
      <c r="E2" t="inlineStr">
        <is>
          <t>Fecha entrega:</t>
        </is>
      </c>
      <c r="G2" t="inlineStr">
        <is>
          <t>Obra:</t>
        </is>
      </c>
      <c r="I2" t="inlineStr">
        <is>
          <t>Costo/L base:</t>
        </is>
      </c>
    </row>
    <row r="4" ht="27.6" customHeight="1" s="17580">
      <c r="A4" s="1" t="inlineStr">
        <is>
          <t>Fecha de Solicitud</t>
        </is>
      </c>
      <c r="B4" s="1" t="inlineStr">
        <is>
          <t>Obra</t>
        </is>
      </c>
      <c r="C4" s="1" t="inlineStr">
        <is>
          <t>Fecha de Trabajo</t>
        </is>
      </c>
      <c r="D4" s="1" t="inlineStr">
        <is>
          <t>Equipo</t>
        </is>
      </c>
      <c r="E4" s="1" t="inlineStr">
        <is>
          <t>Económico</t>
        </is>
      </c>
      <c r="F4" s="16924" t="inlineStr">
        <is>
          <t>Litros Solicitados</t>
        </is>
      </c>
      <c r="G4" s="1" t="inlineStr">
        <is>
          <t>Costo/L</t>
        </is>
      </c>
      <c r="H4" s="1" t="inlineStr">
        <is>
          <t>Importe</t>
        </is>
      </c>
      <c r="I4" s="1" t="inlineStr">
        <is>
          <t>Solicitante</t>
        </is>
      </c>
      <c r="J4" s="1" t="inlineStr">
        <is>
          <t>Incidencia</t>
        </is>
      </c>
      <c r="K4" s="1" t="inlineStr">
        <is>
          <t>Semana (Helper)</t>
        </is>
      </c>
    </row>
    <row r="5">
      <c r="A5" s="17625" t="n">
        <v>46180</v>
      </c>
      <c r="B5" t="inlineStr">
        <is>
          <t>México-Toluca</t>
        </is>
      </c>
      <c r="C5" s="17625" t="n">
        <v>46181</v>
      </c>
      <c r="D5" t="inlineStr">
        <is>
          <t>Vogel</t>
        </is>
      </c>
      <c r="E5">
        <f>VLOOKUP(TablaObra5[[#This Row],[Equipo]],Catalogos!$I$4:$J$64,2,FALSE)</f>
        <v/>
      </c>
      <c r="F5" s="17626" t="n">
        <v>200</v>
      </c>
      <c r="G5" s="4" t="n">
        <v>27</v>
      </c>
      <c r="H5" s="4">
        <f>IFERROR(F5*G5,0)</f>
        <v/>
      </c>
      <c r="I5">
        <f>VLOOKUP(TablaObra5[[#This Row],[Obra]],Catalogos!$B$3:$C$10,2,FALSE)</f>
        <v/>
      </c>
      <c r="K5" t="n">
        <v>24</v>
      </c>
    </row>
    <row r="6">
      <c r="A6" s="17625" t="n">
        <v>46180</v>
      </c>
      <c r="B6" t="inlineStr">
        <is>
          <t>México-Toluca</t>
        </is>
      </c>
      <c r="C6" s="17625" t="n">
        <v>46181</v>
      </c>
      <c r="D6" t="inlineStr">
        <is>
          <t>Perfiladora</t>
        </is>
      </c>
      <c r="E6">
        <f>VLOOKUP(TablaObra5[[#This Row],[Equipo]],Catalogos!$I$4:$J$64,2,FALSE)</f>
        <v/>
      </c>
      <c r="F6" s="17626" t="n">
        <v>300</v>
      </c>
      <c r="G6" s="4" t="n">
        <v>27</v>
      </c>
      <c r="H6" s="4">
        <f>IFERROR(F6*G6,0)</f>
        <v/>
      </c>
      <c r="I6">
        <f>VLOOKUP(TablaObra5[[#This Row],[Obra]],Catalogos!$B$3:$C$10,2,FALSE)</f>
        <v/>
      </c>
      <c r="K6" t="n">
        <v>24</v>
      </c>
    </row>
    <row r="7">
      <c r="A7" s="17625" t="n">
        <v>46180</v>
      </c>
      <c r="B7" t="inlineStr">
        <is>
          <t>México-Toluca</t>
        </is>
      </c>
      <c r="C7" s="17625" t="n">
        <v>46181</v>
      </c>
      <c r="D7" t="inlineStr">
        <is>
          <t>Retroexcavadora</t>
        </is>
      </c>
      <c r="E7">
        <f>VLOOKUP(TablaObra5[[#This Row],[Equipo]],Catalogos!$I$4:$J$64,2,FALSE)</f>
        <v/>
      </c>
      <c r="F7" s="17626" t="n">
        <v>30</v>
      </c>
      <c r="G7" s="4" t="n">
        <v>27</v>
      </c>
      <c r="H7" s="4">
        <f>IFERROR(F7*G7,0)</f>
        <v/>
      </c>
      <c r="I7">
        <f>VLOOKUP(TablaObra5[[#This Row],[Obra]],Catalogos!$B$3:$C$10,2,FALSE)</f>
        <v/>
      </c>
      <c r="K7" t="n">
        <v>24</v>
      </c>
    </row>
    <row r="8">
      <c r="A8" s="17625" t="n">
        <v>46180</v>
      </c>
      <c r="B8" t="inlineStr">
        <is>
          <t>México-Toluca</t>
        </is>
      </c>
      <c r="C8" s="17625" t="n">
        <v>46181</v>
      </c>
      <c r="D8" t="inlineStr">
        <is>
          <t>Barredora</t>
        </is>
      </c>
      <c r="E8">
        <f>VLOOKUP(TablaObra5[[#This Row],[Equipo]],Catalogos!$I$4:$J$64,2,FALSE)</f>
        <v/>
      </c>
      <c r="F8" s="17626" t="n">
        <v>20</v>
      </c>
      <c r="G8" s="4" t="n">
        <v>27</v>
      </c>
      <c r="H8" s="4">
        <f>IFERROR(F8*G8,0)</f>
        <v/>
      </c>
      <c r="I8">
        <f>VLOOKUP(TablaObra5[[#This Row],[Obra]],Catalogos!$B$3:$C$10,2,FALSE)</f>
        <v/>
      </c>
      <c r="K8" t="n">
        <v>24</v>
      </c>
    </row>
    <row r="9">
      <c r="A9" s="17625" t="n">
        <v>46180</v>
      </c>
      <c r="B9" t="inlineStr">
        <is>
          <t>México-Toluca</t>
        </is>
      </c>
      <c r="C9" s="17625" t="n">
        <v>46181</v>
      </c>
      <c r="D9" t="inlineStr">
        <is>
          <t>Neuomatico</t>
        </is>
      </c>
      <c r="E9">
        <f>VLOOKUP(TablaObra5[[#This Row],[Equipo]],Catalogos!$I$4:$J$64,2,FALSE)</f>
        <v/>
      </c>
      <c r="F9" s="17626" t="n">
        <v>30</v>
      </c>
      <c r="G9" s="4" t="n">
        <v>27</v>
      </c>
      <c r="H9" s="4">
        <f>IFERROR(F9*G9,0)</f>
        <v/>
      </c>
      <c r="I9">
        <f>VLOOKUP(TablaObra5[[#This Row],[Obra]],Catalogos!$B$3:$C$10,2,FALSE)</f>
        <v/>
      </c>
      <c r="K9" t="n">
        <v>24</v>
      </c>
    </row>
    <row r="10">
      <c r="A10" s="17625" t="n">
        <v>46180</v>
      </c>
      <c r="B10" t="inlineStr">
        <is>
          <t>México-Toluca</t>
        </is>
      </c>
      <c r="C10" s="17625" t="n">
        <v>46181</v>
      </c>
      <c r="D10" t="inlineStr">
        <is>
          <t>Compactador</t>
        </is>
      </c>
      <c r="E10">
        <f>VLOOKUP(TablaObra5[[#This Row],[Equipo]],Catalogos!$I$4:$J$64,2,FALSE)</f>
        <v/>
      </c>
      <c r="F10" s="17626" t="n">
        <v>30</v>
      </c>
      <c r="G10" s="4" t="n">
        <v>27</v>
      </c>
      <c r="H10" s="4">
        <f>IFERROR(F10*G10,0)</f>
        <v/>
      </c>
      <c r="I10">
        <f>VLOOKUP(TablaObra5[[#This Row],[Obra]],Catalogos!$B$3:$C$10,2,FALSE)</f>
        <v/>
      </c>
      <c r="K10" t="n">
        <v>24</v>
      </c>
    </row>
    <row r="11">
      <c r="A11" s="17625" t="n">
        <v>46180</v>
      </c>
      <c r="B11" t="inlineStr">
        <is>
          <t>México-Toluca</t>
        </is>
      </c>
      <c r="C11" s="17625" t="n">
        <v>46181</v>
      </c>
      <c r="D11" t="inlineStr">
        <is>
          <t>Limpieza</t>
        </is>
      </c>
      <c r="E11">
        <f>VLOOKUP(TablaObra5[[#This Row],[Equipo]],Catalogos!$I$4:$J$64,2,FALSE)</f>
        <v/>
      </c>
      <c r="F11" s="17626" t="n">
        <v>30</v>
      </c>
      <c r="G11" s="4" t="n">
        <v>27</v>
      </c>
      <c r="H11" s="4">
        <f>IFERROR(F11*G11,0)</f>
        <v/>
      </c>
      <c r="I11">
        <f>VLOOKUP(TablaObra5[[#This Row],[Obra]],Catalogos!$B$3:$C$10,2,FALSE)</f>
        <v/>
      </c>
      <c r="K11" t="n">
        <v>24</v>
      </c>
    </row>
    <row r="12">
      <c r="A12" s="17625" t="n">
        <v>46180</v>
      </c>
      <c r="B12" t="inlineStr">
        <is>
          <t>Lerma - Tres Marías</t>
        </is>
      </c>
      <c r="C12" s="17625" t="n">
        <v>46181</v>
      </c>
      <c r="D12" t="inlineStr">
        <is>
          <t>Retroexcavadora</t>
        </is>
      </c>
      <c r="E12">
        <f>VLOOKUP(TablaObra5[[#This Row],[Equipo]],Catalogos!$I$4:$J$64,2,FALSE)</f>
        <v/>
      </c>
      <c r="F12" s="17626" t="n">
        <v>50</v>
      </c>
      <c r="G12" s="4" t="n">
        <v>27</v>
      </c>
      <c r="H12" s="4">
        <f>IFERROR(F12*G12,0)</f>
        <v/>
      </c>
      <c r="I12">
        <f>VLOOKUP(TablaObra5[[#This Row],[Obra]],Catalogos!$B$3:$C$10,2,FALSE)</f>
        <v/>
      </c>
      <c r="K12" t="n">
        <v>24</v>
      </c>
    </row>
    <row r="13">
      <c r="A13" s="17625" t="n">
        <v>46180</v>
      </c>
      <c r="B13" t="inlineStr">
        <is>
          <t>Lerma - Tres Marías</t>
        </is>
      </c>
      <c r="C13" s="17625" t="n">
        <v>46181</v>
      </c>
      <c r="D13" t="inlineStr">
        <is>
          <t>Neuomatico</t>
        </is>
      </c>
      <c r="E13">
        <f>VLOOKUP(TablaObra5[[#This Row],[Equipo]],Catalogos!$I$4:$J$64,2,FALSE)</f>
        <v/>
      </c>
      <c r="F13" s="17626" t="n">
        <v>50</v>
      </c>
      <c r="G13" s="4" t="n">
        <v>27</v>
      </c>
      <c r="H13" s="4">
        <f>IFERROR(F13*G13,0)</f>
        <v/>
      </c>
      <c r="I13">
        <f>VLOOKUP(TablaObra5[[#This Row],[Obra]],Catalogos!$B$3:$C$10,2,FALSE)</f>
        <v/>
      </c>
      <c r="K13" t="n">
        <v>24</v>
      </c>
    </row>
    <row r="14">
      <c r="A14" s="17625" t="n">
        <v>46180</v>
      </c>
      <c r="B14" t="inlineStr">
        <is>
          <t>Lerma - Tres Marías</t>
        </is>
      </c>
      <c r="C14" s="17625" t="n">
        <v>46181</v>
      </c>
      <c r="D14" t="inlineStr">
        <is>
          <t>Petrolizadora</t>
        </is>
      </c>
      <c r="E14">
        <f>VLOOKUP(TablaObra5[[#This Row],[Equipo]],Catalogos!$I$4:$J$64,2,FALSE)</f>
        <v/>
      </c>
      <c r="F14" s="17626" t="n">
        <v>60</v>
      </c>
      <c r="G14" s="4" t="n">
        <v>27</v>
      </c>
      <c r="H14" s="4">
        <f>IFERROR(F14*G14,0)</f>
        <v/>
      </c>
      <c r="I14">
        <f>VLOOKUP(TablaObra5[[#This Row],[Obra]],Catalogos!$B$3:$C$10,2,FALSE)</f>
        <v/>
      </c>
      <c r="K14" t="n">
        <v>24</v>
      </c>
    </row>
    <row r="15">
      <c r="A15" s="17625" t="n">
        <v>46181</v>
      </c>
      <c r="B15" t="inlineStr">
        <is>
          <t>Bacheo Toluca</t>
        </is>
      </c>
      <c r="D15" t="inlineStr">
        <is>
          <t>Retroexcavadora</t>
        </is>
      </c>
      <c r="E15">
        <f>VLOOKUP(TablaObra5[[#This Row],[Equipo]],Catalogos!$I$4:$J$64,2,FALSE)</f>
        <v/>
      </c>
      <c r="F15" s="17626" t="n">
        <v>100</v>
      </c>
      <c r="G15" s="4" t="n">
        <v>27</v>
      </c>
      <c r="H15" s="4">
        <f>IFERROR(F15*G15,0)</f>
        <v/>
      </c>
      <c r="I15">
        <f>VLOOKUP(TablaObra5[[#This Row],[Obra]],Catalogos!$B$3:$C$10,2,FALSE)</f>
        <v/>
      </c>
      <c r="K15" t="n">
        <v>24</v>
      </c>
    </row>
    <row r="16">
      <c r="A16" s="17625" t="n">
        <v>46181</v>
      </c>
      <c r="B16" t="inlineStr">
        <is>
          <t>Chamapa-Lechería</t>
        </is>
      </c>
      <c r="C16" s="17625" t="n">
        <v>46181</v>
      </c>
      <c r="D16" t="inlineStr">
        <is>
          <t>Perfiladora Wirgent</t>
        </is>
      </c>
      <c r="E16">
        <f>VLOOKUP(TablaObra5[[#This Row],[Equipo]],Catalogos!$I$4:$J$64,2,FALSE)</f>
        <v/>
      </c>
      <c r="F16" s="17626" t="n">
        <v>250</v>
      </c>
      <c r="G16" s="4" t="n">
        <v>27</v>
      </c>
      <c r="H16" s="4">
        <f>IFERROR(F16*G16,0)</f>
        <v/>
      </c>
      <c r="I16">
        <f>VLOOKUP(TablaObra5[[#This Row],[Obra]],Catalogos!$B$3:$C$10,2,FALSE)</f>
        <v/>
      </c>
      <c r="K16" t="n">
        <v>24</v>
      </c>
    </row>
    <row r="17">
      <c r="A17" s="17625" t="n">
        <v>46181</v>
      </c>
      <c r="B17" t="inlineStr">
        <is>
          <t>Chamapa-Lechería</t>
        </is>
      </c>
      <c r="C17" s="17625" t="n">
        <v>46181</v>
      </c>
      <c r="D17" t="inlineStr">
        <is>
          <t>Perfiladora Cat-PM</t>
        </is>
      </c>
      <c r="E17">
        <f>VLOOKUP(TablaObra5[[#This Row],[Equipo]],Catalogos!$I$4:$J$64,2,FALSE)</f>
        <v/>
      </c>
      <c r="F17" s="17626" t="n">
        <v>150</v>
      </c>
      <c r="G17" s="4" t="n">
        <v>27</v>
      </c>
      <c r="H17" s="4">
        <f>IFERROR(F17*G17,0)</f>
        <v/>
      </c>
      <c r="I17">
        <f>VLOOKUP(TablaObra5[[#This Row],[Obra]],Catalogos!$B$3:$C$10,2,FALSE)</f>
        <v/>
      </c>
      <c r="K17" t="n">
        <v>24</v>
      </c>
    </row>
    <row r="18">
      <c r="A18" s="17625" t="n">
        <v>46181</v>
      </c>
      <c r="B18" t="inlineStr">
        <is>
          <t>Chamapa-Lechería</t>
        </is>
      </c>
      <c r="C18" s="17625" t="n">
        <v>46181</v>
      </c>
      <c r="D18" t="inlineStr">
        <is>
          <t>Barredora Broce</t>
        </is>
      </c>
      <c r="E18">
        <f>VLOOKUP(TablaObra5[[#This Row],[Equipo]],Catalogos!$I$4:$J$64,2,FALSE)</f>
        <v/>
      </c>
      <c r="F18" s="17626" t="n">
        <v>40</v>
      </c>
      <c r="G18" s="4" t="n">
        <v>27</v>
      </c>
      <c r="H18" s="4">
        <f>IFERROR(F18*G18,0)</f>
        <v/>
      </c>
      <c r="I18">
        <f>VLOOKUP(TablaObra5[[#This Row],[Obra]],Catalogos!$B$3:$C$10,2,FALSE)</f>
        <v/>
      </c>
      <c r="K18" t="n">
        <v>24</v>
      </c>
    </row>
    <row r="19">
      <c r="A19" s="17625" t="n">
        <v>46181</v>
      </c>
      <c r="B19" t="inlineStr">
        <is>
          <t>Chamapa-Lechería</t>
        </is>
      </c>
      <c r="C19" s="17625" t="n">
        <v>46181</v>
      </c>
      <c r="D19" t="inlineStr">
        <is>
          <t>Retroexcavadora Jonh Deere</t>
        </is>
      </c>
      <c r="E19">
        <f>VLOOKUP(TablaObra5[[#This Row],[Equipo]],Catalogos!$I$4:$J$64,2,FALSE)</f>
        <v/>
      </c>
      <c r="F19" s="17626" t="n">
        <v>60</v>
      </c>
      <c r="G19" s="4" t="n">
        <v>27</v>
      </c>
      <c r="H19" s="4">
        <f>IFERROR(F19*G19,0)</f>
        <v/>
      </c>
      <c r="I19">
        <f>VLOOKUP(TablaObra5[[#This Row],[Obra]],Catalogos!$B$3:$C$10,2,FALSE)</f>
        <v/>
      </c>
      <c r="K19" t="n">
        <v>24</v>
      </c>
    </row>
    <row r="20">
      <c r="A20" s="17625" t="n">
        <v>46181</v>
      </c>
      <c r="B20" t="inlineStr">
        <is>
          <t>Chamapa-Lechería</t>
        </is>
      </c>
      <c r="C20" s="17625" t="n">
        <v>46181</v>
      </c>
      <c r="D20" t="inlineStr">
        <is>
          <t>Buggy Trasnfer</t>
        </is>
      </c>
      <c r="E20">
        <f>VLOOKUP(TablaObra5[[#This Row],[Equipo]],Catalogos!$I$4:$J$64,2,FALSE)</f>
        <v/>
      </c>
      <c r="F20" s="17626" t="n">
        <v>100</v>
      </c>
      <c r="G20" s="4" t="n">
        <v>27</v>
      </c>
      <c r="H20" s="4">
        <f>IFERROR(F20*G20,0)</f>
        <v/>
      </c>
      <c r="I20">
        <f>VLOOKUP(TablaObra5[[#This Row],[Obra]],Catalogos!$B$3:$C$10,2,FALSE)</f>
        <v/>
      </c>
      <c r="K20" t="n">
        <v>24</v>
      </c>
    </row>
    <row r="21">
      <c r="A21" s="17625" t="n">
        <v>46181</v>
      </c>
      <c r="B21" t="inlineStr">
        <is>
          <t>Chamapa-Lechería</t>
        </is>
      </c>
      <c r="C21" s="17625" t="n">
        <v>46181</v>
      </c>
      <c r="D21" t="inlineStr">
        <is>
          <t>Vogele Guion</t>
        </is>
      </c>
      <c r="E21">
        <f>VLOOKUP(TablaObra5[[#This Row],[Equipo]],Catalogos!$I$4:$J$64,2,FALSE)</f>
        <v/>
      </c>
      <c r="F21" s="17626" t="n">
        <v>100</v>
      </c>
      <c r="G21" s="4" t="n">
        <v>27</v>
      </c>
      <c r="H21" s="4">
        <f>IFERROR(F21*G21,0)</f>
        <v/>
      </c>
      <c r="I21">
        <f>VLOOKUP(TablaObra5[[#This Row],[Obra]],Catalogos!$B$3:$C$10,2,FALSE)</f>
        <v/>
      </c>
      <c r="K21" t="n">
        <v>24</v>
      </c>
    </row>
    <row r="22">
      <c r="A22" s="17625" t="n">
        <v>46181</v>
      </c>
      <c r="B22" t="inlineStr">
        <is>
          <t>Chamapa-Lechería</t>
        </is>
      </c>
      <c r="C22" s="17625" t="n">
        <v>46181</v>
      </c>
      <c r="D22" t="inlineStr">
        <is>
          <t>Limpieza</t>
        </is>
      </c>
      <c r="E22">
        <f>VLOOKUP(TablaObra5[[#This Row],[Equipo]],Catalogos!$I$4:$J$64,2,FALSE)</f>
        <v/>
      </c>
      <c r="F22" s="17626" t="n">
        <v>20</v>
      </c>
      <c r="G22" s="4" t="n">
        <v>27</v>
      </c>
      <c r="H22" s="4">
        <f>IFERROR(F22*G22,0)</f>
        <v/>
      </c>
      <c r="I22">
        <f>VLOOKUP(TablaObra5[[#This Row],[Obra]],Catalogos!$B$3:$C$10,2,FALSE)</f>
        <v/>
      </c>
      <c r="K22" t="n">
        <v>24</v>
      </c>
    </row>
    <row r="23">
      <c r="A23" s="17625" t="n">
        <v>46181</v>
      </c>
      <c r="B23" t="inlineStr">
        <is>
          <t>Chamapa-Lechería</t>
        </is>
      </c>
      <c r="C23" s="17625" t="n">
        <v>46181</v>
      </c>
      <c r="D23" t="inlineStr">
        <is>
          <t>Tandem Hamm</t>
        </is>
      </c>
      <c r="E23">
        <f>VLOOKUP(TablaObra5[[#This Row],[Equipo]],Catalogos!$I$4:$J$64,2,FALSE)</f>
        <v/>
      </c>
      <c r="F23" s="17626" t="n">
        <v>50</v>
      </c>
      <c r="G23" s="4" t="n">
        <v>27</v>
      </c>
      <c r="H23" s="4">
        <f>IFERROR(F23*G23,0)</f>
        <v/>
      </c>
      <c r="I23">
        <f>VLOOKUP(TablaObra5[[#This Row],[Obra]],Catalogos!$B$3:$C$10,2,FALSE)</f>
        <v/>
      </c>
      <c r="K23" t="n">
        <v>24</v>
      </c>
    </row>
    <row r="24">
      <c r="A24" s="17625" t="n">
        <v>46181</v>
      </c>
      <c r="B24" t="inlineStr">
        <is>
          <t>Chamapa-Lechería</t>
        </is>
      </c>
      <c r="C24" s="17625" t="n">
        <v>46181</v>
      </c>
      <c r="D24" t="inlineStr">
        <is>
          <t>Neuomatico Dynapac</t>
        </is>
      </c>
      <c r="E24">
        <f>VLOOKUP(TablaObra5[[#This Row],[Equipo]],Catalogos!$I$4:$J$64,2,FALSE)</f>
        <v/>
      </c>
      <c r="F24" s="17626" t="n">
        <v>50</v>
      </c>
      <c r="G24" s="4" t="n">
        <v>27</v>
      </c>
      <c r="H24" s="4">
        <f>IFERROR(F24*G24,0)</f>
        <v/>
      </c>
      <c r="I24">
        <f>VLOOKUP(TablaObra5[[#This Row],[Obra]],Catalogos!$B$3:$C$10,2,FALSE)</f>
        <v/>
      </c>
      <c r="K24" t="n">
        <v>24</v>
      </c>
    </row>
    <row r="25">
      <c r="A25" s="17625" t="n">
        <v>46181</v>
      </c>
      <c r="B25" t="inlineStr">
        <is>
          <t>Chamapa-Lechería</t>
        </is>
      </c>
      <c r="C25" s="17625" t="n">
        <v>46181</v>
      </c>
      <c r="D25" t="inlineStr">
        <is>
          <t>Petrolizadora Elton</t>
        </is>
      </c>
      <c r="E25">
        <f>VLOOKUP(TablaObra5[[#This Row],[Equipo]],Catalogos!$I$4:$J$64,2,FALSE)</f>
        <v/>
      </c>
      <c r="F25" s="17626" t="n">
        <v>50</v>
      </c>
      <c r="G25" s="4" t="n">
        <v>27</v>
      </c>
      <c r="H25" s="4">
        <f>IFERROR(F25*G25,0)</f>
        <v/>
      </c>
      <c r="I25">
        <f>VLOOKUP(TablaObra5[[#This Row],[Obra]],Catalogos!$B$3:$C$10,2,FALSE)</f>
        <v/>
      </c>
      <c r="K25" t="n">
        <v>24</v>
      </c>
    </row>
    <row r="26">
      <c r="A26" s="17625" t="n">
        <v>46181</v>
      </c>
      <c r="B26" t="inlineStr">
        <is>
          <t>Chamapa-Lechería</t>
        </is>
      </c>
      <c r="C26" s="17625" t="n">
        <v>46181</v>
      </c>
      <c r="D26" t="inlineStr">
        <is>
          <t>Camion de Impacto</t>
        </is>
      </c>
      <c r="E26">
        <f>VLOOKUP(TablaObra5[[#This Row],[Equipo]],Catalogos!$I$4:$J$64,2,FALSE)</f>
        <v/>
      </c>
      <c r="F26" s="17626" t="n">
        <v>20</v>
      </c>
      <c r="G26" s="4" t="n">
        <v>27</v>
      </c>
      <c r="H26" s="4">
        <f>IFERROR(F26*G26,0)</f>
        <v/>
      </c>
      <c r="I26">
        <f>VLOOKUP(TablaObra5[[#This Row],[Obra]],Catalogos!$B$3:$C$10,2,FALSE)</f>
        <v/>
      </c>
      <c r="K26" t="n">
        <v>24</v>
      </c>
    </row>
    <row r="27">
      <c r="A27" s="17625" t="n">
        <v>46181</v>
      </c>
      <c r="B27" t="inlineStr">
        <is>
          <t>Chamapa-Lechería</t>
        </is>
      </c>
      <c r="C27" s="17625" t="n">
        <v>46181</v>
      </c>
      <c r="D27" t="inlineStr">
        <is>
          <t>Maxilihgs</t>
        </is>
      </c>
      <c r="E27">
        <f>VLOOKUP(TablaObra5[[#This Row],[Equipo]],Catalogos!$I$4:$J$64,2,FALSE)</f>
        <v/>
      </c>
      <c r="F27" s="17626" t="n">
        <v>50</v>
      </c>
      <c r="G27" s="4" t="n">
        <v>27</v>
      </c>
      <c r="H27" s="4">
        <f>IFERROR(F27*G27,0)</f>
        <v/>
      </c>
      <c r="I27">
        <f>VLOOKUP(TablaObra5[[#This Row],[Obra]],Catalogos!$B$3:$C$10,2,FALSE)</f>
        <v/>
      </c>
      <c r="K27" t="n">
        <v>24</v>
      </c>
    </row>
    <row r="28">
      <c r="A28" s="17625" t="n">
        <v>46181</v>
      </c>
      <c r="B28" t="inlineStr">
        <is>
          <t>Chamapa-Lechería</t>
        </is>
      </c>
      <c r="C28" s="17625" t="n">
        <v>46181</v>
      </c>
      <c r="D28" t="inlineStr">
        <is>
          <t>Compresor</t>
        </is>
      </c>
      <c r="E28">
        <f>VLOOKUP(TablaObra5[[#This Row],[Equipo]],Catalogos!$I$4:$J$64,2,FALSE)</f>
        <v/>
      </c>
      <c r="F28" s="17626" t="n">
        <v>40</v>
      </c>
      <c r="G28" s="4" t="n">
        <v>27</v>
      </c>
      <c r="H28" s="4">
        <f>IFERROR(F28*G28,0)</f>
        <v/>
      </c>
      <c r="I28">
        <f>VLOOKUP(TablaObra5[[#This Row],[Obra]],Catalogos!$B$3:$C$10,2,FALSE)</f>
        <v/>
      </c>
      <c r="K28" t="n">
        <v>24</v>
      </c>
    </row>
    <row r="29">
      <c r="A29" s="17625" t="n">
        <v>46181</v>
      </c>
      <c r="B29" t="inlineStr">
        <is>
          <t>Chamapa-Lechería</t>
        </is>
      </c>
      <c r="C29" s="17625" t="n">
        <v>46181</v>
      </c>
      <c r="D29" t="inlineStr">
        <is>
          <t>Rastrillador</t>
        </is>
      </c>
      <c r="E29">
        <f>VLOOKUP(TablaObra5[[#This Row],[Equipo]],Catalogos!$I$4:$J$64,2,FALSE)</f>
        <v/>
      </c>
      <c r="F29" s="17626" t="n">
        <v>10</v>
      </c>
      <c r="G29" s="4" t="n">
        <v>27</v>
      </c>
      <c r="H29" s="4">
        <f>IFERROR(F29*G29,0)</f>
        <v/>
      </c>
      <c r="I29">
        <f>VLOOKUP(TablaObra5[[#This Row],[Obra]],Catalogos!$B$3:$C$10,2,FALSE)</f>
        <v/>
      </c>
      <c r="K29" t="n">
        <v>24</v>
      </c>
    </row>
    <row r="30">
      <c r="A30" s="17625" t="n">
        <v>46182</v>
      </c>
      <c r="B30" t="inlineStr">
        <is>
          <t>Chamapa-Lechería</t>
        </is>
      </c>
      <c r="C30" s="17625" t="n">
        <v>46182</v>
      </c>
      <c r="D30" t="inlineStr">
        <is>
          <t>Perfiladora Wirgent</t>
        </is>
      </c>
      <c r="E30">
        <f>VLOOKUP(TablaObra5[[#This Row],[Equipo]],Catalogos!$I$4:$J$64,2,FALSE)</f>
        <v/>
      </c>
      <c r="F30" s="17626" t="n">
        <v>250</v>
      </c>
      <c r="G30" s="4" t="n">
        <v>27</v>
      </c>
      <c r="H30" s="4">
        <f>IFERROR(F30*G30,0)</f>
        <v/>
      </c>
      <c r="I30">
        <f>VLOOKUP(TablaObra5[[#This Row],[Obra]],Catalogos!$B$3:$C$10,2,FALSE)</f>
        <v/>
      </c>
      <c r="K30" t="n">
        <v>24</v>
      </c>
    </row>
    <row r="31">
      <c r="A31" s="17625" t="n">
        <v>46182</v>
      </c>
      <c r="B31" t="inlineStr">
        <is>
          <t>Chamapa-Lechería</t>
        </is>
      </c>
      <c r="C31" s="17625" t="n">
        <v>46182</v>
      </c>
      <c r="D31" t="inlineStr">
        <is>
          <t>Barredora Broce</t>
        </is>
      </c>
      <c r="E31">
        <f>VLOOKUP(TablaObra5[[#This Row],[Equipo]],Catalogos!$I$4:$J$64,2,FALSE)</f>
        <v/>
      </c>
      <c r="F31" s="17626" t="n">
        <v>40</v>
      </c>
      <c r="G31" s="4" t="n">
        <v>27</v>
      </c>
      <c r="H31" s="4">
        <f>IFERROR(F31*G31,0)</f>
        <v/>
      </c>
      <c r="I31">
        <f>VLOOKUP(TablaObra5[[#This Row],[Obra]],Catalogos!$B$3:$C$10,2,FALSE)</f>
        <v/>
      </c>
      <c r="K31" t="n">
        <v>24</v>
      </c>
    </row>
    <row r="32">
      <c r="A32" s="17625" t="n">
        <v>46182</v>
      </c>
      <c r="B32" t="inlineStr">
        <is>
          <t>Chamapa-Lechería</t>
        </is>
      </c>
      <c r="C32" s="17625" t="n">
        <v>46182</v>
      </c>
      <c r="D32" t="inlineStr">
        <is>
          <t>Retroexcavadora Jonh Deere</t>
        </is>
      </c>
      <c r="E32">
        <f>VLOOKUP(TablaObra5[[#This Row],[Equipo]],Catalogos!$I$4:$J$64,2,FALSE)</f>
        <v/>
      </c>
      <c r="F32" s="17626" t="n">
        <v>60</v>
      </c>
      <c r="G32" s="4" t="n">
        <v>27</v>
      </c>
      <c r="H32" s="4">
        <f>IFERROR(F32*G32,0)</f>
        <v/>
      </c>
      <c r="I32">
        <f>VLOOKUP(TablaObra5[[#This Row],[Obra]],Catalogos!$B$3:$C$10,2,FALSE)</f>
        <v/>
      </c>
      <c r="K32" t="n">
        <v>24</v>
      </c>
    </row>
    <row r="33">
      <c r="A33" s="17625" t="n">
        <v>46182</v>
      </c>
      <c r="B33" t="inlineStr">
        <is>
          <t>Chamapa-Lechería</t>
        </is>
      </c>
      <c r="C33" s="17625" t="n">
        <v>46182</v>
      </c>
      <c r="D33" t="inlineStr">
        <is>
          <t>Buggy Trasnfer</t>
        </is>
      </c>
      <c r="E33">
        <f>VLOOKUP(TablaObra5[[#This Row],[Equipo]],Catalogos!$I$4:$J$64,2,FALSE)</f>
        <v/>
      </c>
      <c r="F33" s="17626" t="n">
        <v>100</v>
      </c>
      <c r="G33" s="4" t="n">
        <v>27</v>
      </c>
      <c r="H33" s="4">
        <f>IFERROR(F33*G33,0)</f>
        <v/>
      </c>
      <c r="I33">
        <f>VLOOKUP(TablaObra5[[#This Row],[Obra]],Catalogos!$B$3:$C$10,2,FALSE)</f>
        <v/>
      </c>
      <c r="K33" t="n">
        <v>24</v>
      </c>
    </row>
    <row r="34">
      <c r="A34" s="17625" t="n">
        <v>46182</v>
      </c>
      <c r="B34" t="inlineStr">
        <is>
          <t>Chamapa-Lechería</t>
        </is>
      </c>
      <c r="C34" s="17625" t="n">
        <v>46182</v>
      </c>
      <c r="D34" t="inlineStr">
        <is>
          <t>Vogele Guion</t>
        </is>
      </c>
      <c r="E34">
        <f>VLOOKUP(TablaObra5[[#This Row],[Equipo]],Catalogos!$I$4:$J$64,2,FALSE)</f>
        <v/>
      </c>
      <c r="F34" s="17626" t="n">
        <v>100</v>
      </c>
      <c r="G34" s="4" t="n">
        <v>27</v>
      </c>
      <c r="H34" s="4">
        <f>IFERROR(F34*G34,0)</f>
        <v/>
      </c>
      <c r="I34">
        <f>VLOOKUP(TablaObra5[[#This Row],[Obra]],Catalogos!$B$3:$C$10,2,FALSE)</f>
        <v/>
      </c>
      <c r="K34" t="n">
        <v>24</v>
      </c>
    </row>
    <row r="35">
      <c r="A35" s="17625" t="n">
        <v>46182</v>
      </c>
      <c r="B35" t="inlineStr">
        <is>
          <t>Chamapa-Lechería</t>
        </is>
      </c>
      <c r="C35" s="17625" t="n">
        <v>46182</v>
      </c>
      <c r="D35" t="inlineStr">
        <is>
          <t>Limpieza</t>
        </is>
      </c>
      <c r="E35">
        <f>VLOOKUP(TablaObra5[[#This Row],[Equipo]],Catalogos!$I$4:$J$64,2,FALSE)</f>
        <v/>
      </c>
      <c r="F35" s="17626" t="n">
        <v>20</v>
      </c>
      <c r="G35" s="4" t="n">
        <v>27</v>
      </c>
      <c r="H35" s="4">
        <f>IFERROR(F35*G35,0)</f>
        <v/>
      </c>
      <c r="I35">
        <f>VLOOKUP(TablaObra5[[#This Row],[Obra]],Catalogos!$B$3:$C$10,2,FALSE)</f>
        <v/>
      </c>
      <c r="K35" t="n">
        <v>24</v>
      </c>
    </row>
    <row r="36">
      <c r="A36" s="17625" t="n">
        <v>46182</v>
      </c>
      <c r="B36" t="inlineStr">
        <is>
          <t>Chamapa-Lechería</t>
        </is>
      </c>
      <c r="C36" s="17625" t="n">
        <v>46182</v>
      </c>
      <c r="D36" t="inlineStr">
        <is>
          <t>Tandem Hamm</t>
        </is>
      </c>
      <c r="E36">
        <f>VLOOKUP(TablaObra5[[#This Row],[Equipo]],Catalogos!$I$4:$J$64,2,FALSE)</f>
        <v/>
      </c>
      <c r="F36" s="17626" t="n">
        <v>50</v>
      </c>
      <c r="G36" s="4" t="n">
        <v>27</v>
      </c>
      <c r="H36" s="4">
        <f>IFERROR(F36*G36,0)</f>
        <v/>
      </c>
      <c r="I36">
        <f>VLOOKUP(TablaObra5[[#This Row],[Obra]],Catalogos!$B$3:$C$10,2,FALSE)</f>
        <v/>
      </c>
      <c r="K36" t="n">
        <v>24</v>
      </c>
    </row>
    <row r="37">
      <c r="A37" s="17625" t="n">
        <v>46182</v>
      </c>
      <c r="B37" t="inlineStr">
        <is>
          <t>Chamapa-Lechería</t>
        </is>
      </c>
      <c r="C37" s="17625" t="n">
        <v>46182</v>
      </c>
      <c r="D37" t="inlineStr">
        <is>
          <t>Neuomatico Dynapac</t>
        </is>
      </c>
      <c r="E37">
        <f>VLOOKUP(TablaObra5[[#This Row],[Equipo]],Catalogos!$I$4:$J$64,2,FALSE)</f>
        <v/>
      </c>
      <c r="F37" s="17626" t="n">
        <v>50</v>
      </c>
      <c r="G37" s="4" t="n">
        <v>27</v>
      </c>
      <c r="H37" s="4">
        <f>IFERROR(F37*G37,0)</f>
        <v/>
      </c>
      <c r="I37">
        <f>VLOOKUP(TablaObra5[[#This Row],[Obra]],Catalogos!$B$3:$C$10,2,FALSE)</f>
        <v/>
      </c>
      <c r="K37" t="n">
        <v>24</v>
      </c>
    </row>
    <row r="38">
      <c r="A38" s="17625" t="n">
        <v>46182</v>
      </c>
      <c r="B38" t="inlineStr">
        <is>
          <t>Chamapa-Lechería</t>
        </is>
      </c>
      <c r="C38" s="17625" t="n">
        <v>46182</v>
      </c>
      <c r="D38" t="inlineStr">
        <is>
          <t>Petrolizadora Elton</t>
        </is>
      </c>
      <c r="E38">
        <f>VLOOKUP(TablaObra5[[#This Row],[Equipo]],Catalogos!$I$4:$J$64,2,FALSE)</f>
        <v/>
      </c>
      <c r="F38" s="17626" t="n">
        <v>50</v>
      </c>
      <c r="G38" s="4" t="n">
        <v>27</v>
      </c>
      <c r="H38" s="4">
        <f>IFERROR(F38*G38,0)</f>
        <v/>
      </c>
      <c r="I38">
        <f>VLOOKUP(TablaObra5[[#This Row],[Obra]],Catalogos!$B$3:$C$10,2,FALSE)</f>
        <v/>
      </c>
      <c r="K38" t="n">
        <v>24</v>
      </c>
    </row>
    <row r="39">
      <c r="A39" s="17625" t="n">
        <v>46182</v>
      </c>
      <c r="B39" t="inlineStr">
        <is>
          <t>Chamapa-Lechería</t>
        </is>
      </c>
      <c r="C39" s="17625" t="n">
        <v>46182</v>
      </c>
      <c r="D39" t="inlineStr">
        <is>
          <t>Maxilihgs</t>
        </is>
      </c>
      <c r="E39">
        <f>VLOOKUP(TablaObra5[[#This Row],[Equipo]],Catalogos!$I$4:$J$64,2,FALSE)</f>
        <v/>
      </c>
      <c r="F39" s="17626" t="n">
        <v>40</v>
      </c>
      <c r="G39" s="4" t="n">
        <v>27</v>
      </c>
      <c r="H39" s="4">
        <f>IFERROR(F39*G39,0)</f>
        <v/>
      </c>
      <c r="I39">
        <f>VLOOKUP(TablaObra5[[#This Row],[Obra]],Catalogos!$B$3:$C$10,2,FALSE)</f>
        <v/>
      </c>
      <c r="K39" t="n">
        <v>24</v>
      </c>
    </row>
    <row r="40">
      <c r="A40" s="17625" t="n">
        <v>46182</v>
      </c>
      <c r="B40" t="inlineStr">
        <is>
          <t>Chamapa-Lechería</t>
        </is>
      </c>
      <c r="C40" s="17625" t="n">
        <v>46182</v>
      </c>
      <c r="D40" t="inlineStr">
        <is>
          <t>Compresor</t>
        </is>
      </c>
      <c r="E40">
        <f>VLOOKUP(TablaObra5[[#This Row],[Equipo]],Catalogos!$I$4:$J$64,2,FALSE)</f>
        <v/>
      </c>
      <c r="F40" s="17626" t="n">
        <v>30</v>
      </c>
      <c r="G40" s="4" t="n">
        <v>27</v>
      </c>
      <c r="H40" s="4">
        <f>IFERROR(F40*G40,0)</f>
        <v/>
      </c>
      <c r="I40">
        <f>VLOOKUP(TablaObra5[[#This Row],[Obra]],Catalogos!$B$3:$C$10,2,FALSE)</f>
        <v/>
      </c>
      <c r="K40" t="n">
        <v>24</v>
      </c>
    </row>
    <row r="41">
      <c r="A41" s="17625" t="n">
        <v>46182</v>
      </c>
      <c r="B41" t="inlineStr">
        <is>
          <t>Lerma - Tres Marías</t>
        </is>
      </c>
      <c r="C41" s="17625" t="n">
        <v>46182</v>
      </c>
      <c r="D41" t="inlineStr">
        <is>
          <t>Retroexcavadora</t>
        </is>
      </c>
      <c r="E41">
        <f>VLOOKUP(TablaObra5[[#This Row],[Equipo]],Catalogos!$I$4:$J$64,2,FALSE)</f>
        <v/>
      </c>
      <c r="F41" s="17626" t="n">
        <v>50</v>
      </c>
      <c r="G41" s="4" t="n">
        <v>27</v>
      </c>
      <c r="H41" s="4">
        <f>IFERROR(F41*G41,0)</f>
        <v/>
      </c>
      <c r="I41">
        <f>VLOOKUP(TablaObra5[[#This Row],[Obra]],Catalogos!$B$3:$C$10,2,FALSE)</f>
        <v/>
      </c>
      <c r="K41" t="n">
        <v>24</v>
      </c>
    </row>
    <row r="42">
      <c r="A42" s="17625" t="n">
        <v>46182</v>
      </c>
      <c r="B42" t="inlineStr">
        <is>
          <t>Lerma - Tres Marías</t>
        </is>
      </c>
      <c r="C42" s="17625" t="n">
        <v>46182</v>
      </c>
      <c r="D42" t="inlineStr">
        <is>
          <t>Neuomatico</t>
        </is>
      </c>
      <c r="E42">
        <f>VLOOKUP(TablaObra5[[#This Row],[Equipo]],Catalogos!$I$4:$J$64,2,FALSE)</f>
        <v/>
      </c>
      <c r="F42" s="17626" t="n">
        <v>50</v>
      </c>
      <c r="G42" s="4" t="n">
        <v>27</v>
      </c>
      <c r="H42" s="4">
        <f>IFERROR(F42*G42,0)</f>
        <v/>
      </c>
      <c r="I42">
        <f>VLOOKUP(TablaObra5[[#This Row],[Obra]],Catalogos!$B$3:$C$10,2,FALSE)</f>
        <v/>
      </c>
      <c r="K42" t="n">
        <v>24</v>
      </c>
    </row>
    <row r="43">
      <c r="A43" s="17625" t="n">
        <v>46182</v>
      </c>
      <c r="B43" t="inlineStr">
        <is>
          <t>Lerma - Tres Marías</t>
        </is>
      </c>
      <c r="C43" s="17625" t="n">
        <v>46182</v>
      </c>
      <c r="D43" t="inlineStr">
        <is>
          <t>Petrolizadora</t>
        </is>
      </c>
      <c r="E43">
        <f>VLOOKUP(TablaObra5[[#This Row],[Equipo]],Catalogos!$I$4:$J$64,2,FALSE)</f>
        <v/>
      </c>
      <c r="F43" s="17626" t="n">
        <v>60</v>
      </c>
      <c r="G43" s="4" t="n">
        <v>27</v>
      </c>
      <c r="H43" s="4">
        <f>IFERROR(F43*G43,0)</f>
        <v/>
      </c>
      <c r="I43">
        <f>VLOOKUP(TablaObra5[[#This Row],[Obra]],Catalogos!$B$3:$C$10,2,FALSE)</f>
        <v/>
      </c>
      <c r="K43" t="n">
        <v>24</v>
      </c>
    </row>
    <row r="44">
      <c r="A44" s="17625" t="n">
        <v>46182</v>
      </c>
      <c r="B44" t="inlineStr">
        <is>
          <t>Lerma - Tres Marías</t>
        </is>
      </c>
      <c r="C44" s="17625" t="n">
        <v>46182</v>
      </c>
      <c r="D44" t="inlineStr">
        <is>
          <t>Doble Rodillo</t>
        </is>
      </c>
      <c r="E44">
        <f>VLOOKUP(TablaObra5[[#This Row],[Equipo]],Catalogos!$I$4:$J$64,2,FALSE)</f>
        <v/>
      </c>
      <c r="F44" s="17626" t="n">
        <v>50</v>
      </c>
      <c r="G44" s="4" t="n">
        <v>27</v>
      </c>
      <c r="H44" s="4">
        <f>IFERROR(F44*G44,0)</f>
        <v/>
      </c>
      <c r="I44">
        <f>VLOOKUP(TablaObra5[[#This Row],[Obra]],Catalogos!$B$3:$C$10,2,FALSE)</f>
        <v/>
      </c>
      <c r="K44" t="n">
        <v>24</v>
      </c>
    </row>
    <row r="45">
      <c r="A45" s="17625" t="n">
        <v>46182</v>
      </c>
      <c r="B45" t="inlineStr">
        <is>
          <t>Bacheo Toluca</t>
        </is>
      </c>
      <c r="D45" t="inlineStr">
        <is>
          <t>Retroexcavadora</t>
        </is>
      </c>
      <c r="E45">
        <f>VLOOKUP(TablaObra5[[#This Row],[Equipo]],Catalogos!$I$4:$J$64,2,FALSE)</f>
        <v/>
      </c>
      <c r="F45" s="17626" t="n">
        <v>100</v>
      </c>
      <c r="G45" s="4" t="n">
        <v>27</v>
      </c>
      <c r="H45" s="4">
        <f>IFERROR(F45*G45,0)</f>
        <v/>
      </c>
      <c r="I45">
        <f>VLOOKUP(TablaObra5[[#This Row],[Obra]],Catalogos!$B$3:$C$10,2,FALSE)</f>
        <v/>
      </c>
      <c r="K45" t="n">
        <v>24</v>
      </c>
    </row>
    <row r="46">
      <c r="A46" s="17625" t="n">
        <v>46183</v>
      </c>
      <c r="B46" t="inlineStr">
        <is>
          <t>México-Toluca</t>
        </is>
      </c>
      <c r="C46" s="17625" t="n">
        <v>46183</v>
      </c>
      <c r="D46" t="inlineStr">
        <is>
          <t>Perfiladora</t>
        </is>
      </c>
      <c r="E46">
        <f>VLOOKUP(TablaObra5[[#This Row],[Equipo]],Catalogos!$I$4:$J$64,2,FALSE)</f>
        <v/>
      </c>
      <c r="F46" s="17626" t="n">
        <v>250</v>
      </c>
      <c r="G46" s="4" t="n">
        <v>27</v>
      </c>
      <c r="H46" s="4">
        <f>IFERROR(F46*G46,0)</f>
        <v/>
      </c>
      <c r="I46">
        <f>VLOOKUP(TablaObra5[[#This Row],[Obra]],Catalogos!$B$3:$C$10,2,FALSE)</f>
        <v/>
      </c>
      <c r="K46" t="n">
        <v>24</v>
      </c>
    </row>
    <row r="47">
      <c r="A47" s="17625" t="n">
        <v>46183</v>
      </c>
      <c r="B47" t="inlineStr">
        <is>
          <t>México-Toluca</t>
        </is>
      </c>
      <c r="C47" s="17625" t="n">
        <v>46183</v>
      </c>
      <c r="D47" t="inlineStr">
        <is>
          <t>Retroexcavadora</t>
        </is>
      </c>
      <c r="E47">
        <f>VLOOKUP(TablaObra5[[#This Row],[Equipo]],Catalogos!$I$4:$J$64,2,FALSE)</f>
        <v/>
      </c>
      <c r="F47" s="17626" t="n">
        <v>30</v>
      </c>
      <c r="G47" s="4" t="n">
        <v>27</v>
      </c>
      <c r="H47" s="4">
        <f>IFERROR(F47*G47,0)</f>
        <v/>
      </c>
      <c r="I47">
        <f>VLOOKUP(TablaObra5[[#This Row],[Obra]],Catalogos!$B$3:$C$10,2,FALSE)</f>
        <v/>
      </c>
      <c r="K47" t="n">
        <v>24</v>
      </c>
    </row>
    <row r="48">
      <c r="A48" s="17625" t="n">
        <v>46183</v>
      </c>
      <c r="B48" t="inlineStr">
        <is>
          <t>México-Toluca</t>
        </is>
      </c>
      <c r="C48" s="17625" t="n">
        <v>46183</v>
      </c>
      <c r="D48" t="inlineStr">
        <is>
          <t>Barredora</t>
        </is>
      </c>
      <c r="E48">
        <f>VLOOKUP(TablaObra5[[#This Row],[Equipo]],Catalogos!$I$4:$J$64,2,FALSE)</f>
        <v/>
      </c>
      <c r="F48" s="17626" t="n">
        <v>20</v>
      </c>
      <c r="G48" s="4" t="n">
        <v>27</v>
      </c>
      <c r="H48" s="4">
        <f>IFERROR(F48*G48,0)</f>
        <v/>
      </c>
      <c r="I48">
        <f>VLOOKUP(TablaObra5[[#This Row],[Obra]],Catalogos!$B$3:$C$10,2,FALSE)</f>
        <v/>
      </c>
      <c r="K48" t="n">
        <v>24</v>
      </c>
    </row>
    <row r="49">
      <c r="A49" s="17625" t="n">
        <v>46183</v>
      </c>
      <c r="B49" t="inlineStr">
        <is>
          <t>México-Toluca</t>
        </is>
      </c>
      <c r="C49" s="17625" t="n">
        <v>46183</v>
      </c>
      <c r="D49" t="inlineStr">
        <is>
          <t>Maxilihgs</t>
        </is>
      </c>
      <c r="E49">
        <f>VLOOKUP(TablaObra5[[#This Row],[Equipo]],Catalogos!$I$4:$J$64,2,FALSE)</f>
        <v/>
      </c>
      <c r="F49" s="17626" t="n">
        <v>20</v>
      </c>
      <c r="G49" s="4" t="n">
        <v>27</v>
      </c>
      <c r="H49" s="4">
        <f>IFERROR(F49*G49,0)</f>
        <v/>
      </c>
      <c r="I49">
        <f>VLOOKUP(TablaObra5[[#This Row],[Obra]],Catalogos!$B$3:$C$10,2,FALSE)</f>
        <v/>
      </c>
      <c r="K49" t="n">
        <v>24</v>
      </c>
    </row>
    <row r="50">
      <c r="A50" s="17625" t="n">
        <v>46184</v>
      </c>
      <c r="B50" t="inlineStr">
        <is>
          <t>Lerma - Tres Marías</t>
        </is>
      </c>
      <c r="C50" s="17625" t="n">
        <v>46184</v>
      </c>
      <c r="D50" t="inlineStr">
        <is>
          <t>Petrolizadora</t>
        </is>
      </c>
      <c r="E50">
        <f>VLOOKUP(TablaObra5[[#This Row],[Equipo]],Catalogos!$I$4:$J$64,2,FALSE)</f>
        <v/>
      </c>
      <c r="F50" s="17626" t="n">
        <v>80</v>
      </c>
      <c r="G50" s="4" t="n">
        <v>27</v>
      </c>
      <c r="H50" s="4">
        <f>IFERROR(F50*G50,0)</f>
        <v/>
      </c>
      <c r="I50">
        <f>VLOOKUP(TablaObra5[[#This Row],[Obra]],Catalogos!$B$3:$C$10,2,FALSE)</f>
        <v/>
      </c>
      <c r="K50" t="n">
        <v>24</v>
      </c>
    </row>
    <row r="51">
      <c r="A51" s="17625" t="n">
        <v>46184</v>
      </c>
      <c r="B51" t="inlineStr">
        <is>
          <t>Lerma - Tres Marías</t>
        </is>
      </c>
      <c r="C51" s="17625" t="n">
        <v>46184</v>
      </c>
      <c r="D51" t="inlineStr">
        <is>
          <t>Camion de Impacto</t>
        </is>
      </c>
      <c r="E51">
        <f>VLOOKUP(TablaObra5[[#This Row],[Equipo]],Catalogos!$I$4:$J$64,2,FALSE)</f>
        <v/>
      </c>
      <c r="F51" s="17626" t="n">
        <v>80</v>
      </c>
      <c r="G51" s="4" t="n">
        <v>27</v>
      </c>
      <c r="H51" s="4">
        <f>IFERROR(F51*G51,0)</f>
        <v/>
      </c>
      <c r="I51">
        <f>VLOOKUP(TablaObra5[[#This Row],[Obra]],Catalogos!$B$3:$C$10,2,FALSE)</f>
        <v/>
      </c>
      <c r="K51" t="n">
        <v>24</v>
      </c>
    </row>
    <row r="52">
      <c r="A52" s="17625" t="n">
        <v>46184</v>
      </c>
      <c r="B52" t="inlineStr">
        <is>
          <t>Lerma - Tres Marías</t>
        </is>
      </c>
      <c r="C52" s="17625" t="n">
        <v>46184</v>
      </c>
      <c r="D52" t="inlineStr">
        <is>
          <t>Retroexcavadora</t>
        </is>
      </c>
      <c r="E52">
        <f>VLOOKUP(TablaObra5[[#This Row],[Equipo]],Catalogos!$I$4:$J$64,2,FALSE)</f>
        <v/>
      </c>
      <c r="F52" s="17626" t="n">
        <v>70</v>
      </c>
      <c r="G52" s="4" t="n">
        <v>27</v>
      </c>
      <c r="H52" s="4">
        <f>IFERROR(F52*G52,0)</f>
        <v/>
      </c>
      <c r="I52">
        <f>VLOOKUP(TablaObra5[[#This Row],[Obra]],Catalogos!$B$3:$C$10,2,FALSE)</f>
        <v/>
      </c>
      <c r="K52" t="n">
        <v>24</v>
      </c>
    </row>
    <row r="53">
      <c r="A53" s="17625" t="n">
        <v>46184</v>
      </c>
      <c r="B53" t="inlineStr">
        <is>
          <t>Lerma - Tres Marías</t>
        </is>
      </c>
      <c r="C53" s="17625" t="n">
        <v>46184</v>
      </c>
      <c r="D53" t="inlineStr">
        <is>
          <t>Doble Rodillo</t>
        </is>
      </c>
      <c r="E53">
        <f>VLOOKUP(TablaObra5[[#This Row],[Equipo]],Catalogos!$I$4:$J$64,2,FALSE)</f>
        <v/>
      </c>
      <c r="F53" s="17626" t="n">
        <v>40</v>
      </c>
      <c r="G53" s="4" t="n">
        <v>27</v>
      </c>
      <c r="H53" s="4">
        <f>IFERROR(F53*G53,0)</f>
        <v/>
      </c>
      <c r="I53">
        <f>VLOOKUP(TablaObra5[[#This Row],[Obra]],Catalogos!$B$3:$C$10,2,FALSE)</f>
        <v/>
      </c>
      <c r="K53" t="n">
        <v>24</v>
      </c>
    </row>
    <row r="54">
      <c r="A54" s="17625" t="n">
        <v>46184</v>
      </c>
      <c r="B54" t="inlineStr">
        <is>
          <t>Lerma - Tres Marías</t>
        </is>
      </c>
      <c r="C54" s="17625" t="n">
        <v>46184</v>
      </c>
      <c r="D54" t="inlineStr">
        <is>
          <t>Vogel</t>
        </is>
      </c>
      <c r="E54">
        <f>VLOOKUP(TablaObra5[[#This Row],[Equipo]],Catalogos!$I$4:$J$64,2,FALSE)</f>
        <v/>
      </c>
      <c r="F54" s="17626" t="n">
        <v>150</v>
      </c>
      <c r="G54" s="4" t="n">
        <v>27</v>
      </c>
      <c r="H54" s="4">
        <f>IFERROR(F54*G54,0)</f>
        <v/>
      </c>
      <c r="I54">
        <f>VLOOKUP(TablaObra5[[#This Row],[Obra]],Catalogos!$B$3:$C$10,2,FALSE)</f>
        <v/>
      </c>
      <c r="K54" t="n">
        <v>24</v>
      </c>
    </row>
    <row r="55">
      <c r="A55" s="17625" t="n">
        <v>46184</v>
      </c>
      <c r="B55" t="inlineStr">
        <is>
          <t>Lerma - Tres Marías</t>
        </is>
      </c>
      <c r="C55" s="17625" t="n">
        <v>46184</v>
      </c>
      <c r="D55" t="inlineStr">
        <is>
          <t>Limpieza</t>
        </is>
      </c>
      <c r="E55">
        <f>VLOOKUP(TablaObra5[[#This Row],[Equipo]],Catalogos!$I$4:$J$64,2,FALSE)</f>
        <v/>
      </c>
      <c r="F55" s="17626" t="n">
        <v>30</v>
      </c>
      <c r="G55" s="4" t="n">
        <v>27</v>
      </c>
      <c r="H55" s="4">
        <f>IFERROR(F55*G55,0)</f>
        <v/>
      </c>
      <c r="I55">
        <f>VLOOKUP(TablaObra5[[#This Row],[Obra]],Catalogos!$B$3:$C$10,2,FALSE)</f>
        <v/>
      </c>
      <c r="K55" t="n">
        <v>24</v>
      </c>
    </row>
    <row r="56">
      <c r="A56" s="17625" t="n">
        <v>46184</v>
      </c>
      <c r="B56" t="inlineStr">
        <is>
          <t>Lerma - Tres Marías</t>
        </is>
      </c>
      <c r="C56" s="17625" t="n">
        <v>46184</v>
      </c>
      <c r="D56" t="inlineStr">
        <is>
          <t>Rastrillador</t>
        </is>
      </c>
      <c r="E56">
        <f>VLOOKUP(TablaObra5[[#This Row],[Equipo]],Catalogos!$I$4:$J$64,2,FALSE)</f>
        <v/>
      </c>
      <c r="F56" s="17626" t="n">
        <v>10</v>
      </c>
      <c r="G56" s="4" t="n">
        <v>27</v>
      </c>
      <c r="H56" s="4">
        <f>IFERROR(F56*G56,0)</f>
        <v/>
      </c>
      <c r="I56">
        <f>VLOOKUP(TablaObra5[[#This Row],[Obra]],Catalogos!$B$3:$C$10,2,FALSE)</f>
        <v/>
      </c>
      <c r="K56" t="n">
        <v>24</v>
      </c>
    </row>
    <row r="57">
      <c r="A57" s="17625" t="n">
        <v>46184</v>
      </c>
      <c r="B57" t="inlineStr">
        <is>
          <t>Bacheo Toluca</t>
        </is>
      </c>
      <c r="D57" t="inlineStr">
        <is>
          <t>Retroexcavadora</t>
        </is>
      </c>
      <c r="E57">
        <f>VLOOKUP(TablaObra5[[#This Row],[Equipo]],Catalogos!$I$4:$J$64,2,FALSE)</f>
        <v/>
      </c>
      <c r="F57" s="17626" t="n">
        <v>50</v>
      </c>
      <c r="G57" s="4" t="n">
        <v>27</v>
      </c>
      <c r="H57" s="4">
        <f>IFERROR(F57*G57,0)</f>
        <v/>
      </c>
      <c r="I57">
        <f>VLOOKUP(TablaObra5[[#This Row],[Obra]],Catalogos!$B$3:$C$10,2,FALSE)</f>
        <v/>
      </c>
      <c r="K57" t="n">
        <v>24</v>
      </c>
    </row>
    <row r="58">
      <c r="A58" s="17625" t="n">
        <v>46184</v>
      </c>
      <c r="B58" t="inlineStr">
        <is>
          <t>Bacheo Toluca</t>
        </is>
      </c>
      <c r="D58" t="inlineStr">
        <is>
          <t>Otro</t>
        </is>
      </c>
      <c r="E58">
        <f>VLOOKUP(TablaObra5[[#This Row],[Equipo]],Catalogos!$I$4:$J$64,2,FALSE)</f>
        <v/>
      </c>
      <c r="F58" s="17626" t="n">
        <v>10</v>
      </c>
      <c r="G58" s="4" t="n">
        <v>27</v>
      </c>
      <c r="H58" s="4">
        <f>IFERROR(F58*G58,0)</f>
        <v/>
      </c>
      <c r="I58">
        <f>VLOOKUP(TablaObra5[[#This Row],[Obra]],Catalogos!$B$3:$C$10,2,FALSE)</f>
        <v/>
      </c>
      <c r="K58" t="n">
        <v>24</v>
      </c>
    </row>
    <row r="59">
      <c r="A59" s="17625" t="n">
        <v>46184</v>
      </c>
      <c r="B59" t="inlineStr">
        <is>
          <t>Bacheo Toluca</t>
        </is>
      </c>
      <c r="D59" t="inlineStr">
        <is>
          <t>Limpieza</t>
        </is>
      </c>
      <c r="E59">
        <f>VLOOKUP(TablaObra5[[#This Row],[Equipo]],Catalogos!$I$4:$J$64,2,FALSE)</f>
        <v/>
      </c>
      <c r="F59" s="17626" t="n">
        <v>10</v>
      </c>
      <c r="G59" s="4" t="n">
        <v>27</v>
      </c>
      <c r="H59" s="4">
        <f>IFERROR(F59*G59,0)</f>
        <v/>
      </c>
      <c r="I59">
        <f>VLOOKUP(TablaObra5[[#This Row],[Obra]],Catalogos!$B$3:$C$10,2,FALSE)</f>
        <v/>
      </c>
      <c r="K59" t="n">
        <v>24</v>
      </c>
    </row>
    <row r="60">
      <c r="A60" s="17625" t="n">
        <v>46185</v>
      </c>
      <c r="B60" t="inlineStr">
        <is>
          <t>México-Toluca</t>
        </is>
      </c>
      <c r="C60" s="17625" t="n">
        <v>46185</v>
      </c>
      <c r="D60" t="inlineStr">
        <is>
          <t>Perfiladora</t>
        </is>
      </c>
      <c r="E60">
        <f>VLOOKUP(TablaObra5[[#This Row],[Equipo]],Catalogos!$I$4:$J$64,2,FALSE)</f>
        <v/>
      </c>
      <c r="F60" s="17626" t="n">
        <v>250</v>
      </c>
      <c r="G60" s="4" t="n">
        <v>27</v>
      </c>
      <c r="H60" s="4">
        <f>IFERROR(F60*G60,0)</f>
        <v/>
      </c>
      <c r="I60">
        <f>VLOOKUP(TablaObra5[[#This Row],[Obra]],Catalogos!$B$3:$C$10,2,FALSE)</f>
        <v/>
      </c>
      <c r="K60" t="n">
        <v>24</v>
      </c>
    </row>
    <row r="61">
      <c r="A61" s="17625" t="n">
        <v>46185</v>
      </c>
      <c r="B61" t="inlineStr">
        <is>
          <t>México-Toluca</t>
        </is>
      </c>
      <c r="C61" s="17625" t="n">
        <v>46185</v>
      </c>
      <c r="D61" t="inlineStr">
        <is>
          <t>Vogel</t>
        </is>
      </c>
      <c r="E61">
        <f>VLOOKUP(TablaObra5[[#This Row],[Equipo]],Catalogos!$I$4:$J$64,2,FALSE)</f>
        <v/>
      </c>
      <c r="F61" s="17626" t="n">
        <v>150</v>
      </c>
      <c r="G61" s="4" t="n">
        <v>27</v>
      </c>
      <c r="H61" s="4">
        <f>IFERROR(F61*G61,0)</f>
        <v/>
      </c>
      <c r="I61">
        <f>VLOOKUP(TablaObra5[[#This Row],[Obra]],Catalogos!$B$3:$C$10,2,FALSE)</f>
        <v/>
      </c>
      <c r="K61" t="n">
        <v>24</v>
      </c>
    </row>
    <row r="62">
      <c r="A62" s="17625" t="n">
        <v>46185</v>
      </c>
      <c r="B62" t="inlineStr">
        <is>
          <t>México-Toluca</t>
        </is>
      </c>
      <c r="C62" s="17625" t="n">
        <v>46185</v>
      </c>
      <c r="D62" t="inlineStr">
        <is>
          <t>Compactador</t>
        </is>
      </c>
      <c r="E62">
        <f>VLOOKUP(TablaObra5[[#This Row],[Equipo]],Catalogos!$I$4:$J$64,2,FALSE)</f>
        <v/>
      </c>
      <c r="F62" s="17626" t="n">
        <v>40</v>
      </c>
      <c r="G62" s="4" t="n">
        <v>27</v>
      </c>
      <c r="H62" s="4">
        <f>IFERROR(F62*G62,0)</f>
        <v/>
      </c>
      <c r="I62">
        <f>VLOOKUP(TablaObra5[[#This Row],[Obra]],Catalogos!$B$3:$C$10,2,FALSE)</f>
        <v/>
      </c>
      <c r="K62" t="n">
        <v>24</v>
      </c>
    </row>
    <row r="63">
      <c r="A63" s="17625" t="n">
        <v>46185</v>
      </c>
      <c r="B63" t="inlineStr">
        <is>
          <t>México-Toluca</t>
        </is>
      </c>
      <c r="C63" s="17625" t="n">
        <v>46185</v>
      </c>
      <c r="D63" t="inlineStr">
        <is>
          <t>Neuomatico</t>
        </is>
      </c>
      <c r="E63">
        <f>VLOOKUP(TablaObra5[[#This Row],[Equipo]],Catalogos!$I$4:$J$64,2,FALSE)</f>
        <v/>
      </c>
      <c r="F63" s="17626" t="n">
        <v>30</v>
      </c>
      <c r="G63" s="4" t="n">
        <v>27</v>
      </c>
      <c r="H63" s="4">
        <f>IFERROR(F63*G63,0)</f>
        <v/>
      </c>
      <c r="I63">
        <f>VLOOKUP(TablaObra5[[#This Row],[Obra]],Catalogos!$B$3:$C$10,2,FALSE)</f>
        <v/>
      </c>
      <c r="K63" t="n">
        <v>24</v>
      </c>
    </row>
    <row r="64">
      <c r="A64" s="17625" t="n">
        <v>46185</v>
      </c>
      <c r="B64" t="inlineStr">
        <is>
          <t>México-Toluca</t>
        </is>
      </c>
      <c r="C64" s="17625" t="n">
        <v>46185</v>
      </c>
      <c r="D64" t="inlineStr">
        <is>
          <t>Retroexcavadora</t>
        </is>
      </c>
      <c r="E64">
        <f>VLOOKUP(TablaObra5[[#This Row],[Equipo]],Catalogos!$I$4:$J$64,2,FALSE)</f>
        <v/>
      </c>
      <c r="F64" s="17626" t="n">
        <v>30</v>
      </c>
      <c r="G64" s="4" t="n">
        <v>27</v>
      </c>
      <c r="H64" s="4">
        <f>IFERROR(F64*G64,0)</f>
        <v/>
      </c>
      <c r="I64">
        <f>VLOOKUP(TablaObra5[[#This Row],[Obra]],Catalogos!$B$3:$C$10,2,FALSE)</f>
        <v/>
      </c>
      <c r="K64" t="n">
        <v>24</v>
      </c>
    </row>
    <row r="65">
      <c r="A65" s="17625" t="n">
        <v>46185</v>
      </c>
      <c r="B65" t="inlineStr">
        <is>
          <t>México-Toluca</t>
        </is>
      </c>
      <c r="C65" s="17625" t="n">
        <v>46185</v>
      </c>
      <c r="D65" t="inlineStr">
        <is>
          <t>Barredora</t>
        </is>
      </c>
      <c r="E65">
        <f>VLOOKUP(TablaObra5[[#This Row],[Equipo]],Catalogos!$I$4:$J$64,2,FALSE)</f>
        <v/>
      </c>
      <c r="F65" s="17626" t="n">
        <v>20</v>
      </c>
      <c r="G65" s="4" t="n">
        <v>27</v>
      </c>
      <c r="H65" s="4">
        <f>IFERROR(F65*G65,0)</f>
        <v/>
      </c>
      <c r="I65">
        <f>VLOOKUP(TablaObra5[[#This Row],[Obra]],Catalogos!$B$3:$C$10,2,FALSE)</f>
        <v/>
      </c>
      <c r="K65" t="n">
        <v>24</v>
      </c>
    </row>
    <row r="66">
      <c r="A66" s="17625" t="n">
        <v>46185</v>
      </c>
      <c r="B66" t="inlineStr">
        <is>
          <t>México-Toluca</t>
        </is>
      </c>
      <c r="C66" s="17625" t="n">
        <v>46185</v>
      </c>
      <c r="D66" t="inlineStr">
        <is>
          <t>Maxilihgs</t>
        </is>
      </c>
      <c r="E66">
        <f>VLOOKUP(TablaObra5[[#This Row],[Equipo]],Catalogos!$I$4:$J$64,2,FALSE)</f>
        <v/>
      </c>
      <c r="F66" s="17626" t="n">
        <v>20</v>
      </c>
      <c r="G66" s="4" t="n">
        <v>27</v>
      </c>
      <c r="H66" s="4">
        <f>IFERROR(F66*G66,0)</f>
        <v/>
      </c>
      <c r="I66">
        <f>VLOOKUP(TablaObra5[[#This Row],[Obra]],Catalogos!$B$3:$C$10,2,FALSE)</f>
        <v/>
      </c>
      <c r="K66" t="n">
        <v>24</v>
      </c>
    </row>
    <row r="67">
      <c r="A67" s="17625" t="n">
        <v>46185</v>
      </c>
      <c r="B67" t="inlineStr">
        <is>
          <t>Chamapa-Lechería</t>
        </is>
      </c>
      <c r="C67" s="17625" t="n">
        <v>46185</v>
      </c>
      <c r="D67" t="inlineStr">
        <is>
          <t>Perfiladora Wirgent</t>
        </is>
      </c>
      <c r="E67">
        <f>VLOOKUP(TablaObra5[[#This Row],[Equipo]],Catalogos!$I$4:$J$64,2,FALSE)</f>
        <v/>
      </c>
      <c r="F67" s="17626" t="n">
        <v>250</v>
      </c>
      <c r="G67" s="4" t="n">
        <v>27</v>
      </c>
      <c r="H67" s="4">
        <f>IFERROR(F67*G67,0)</f>
        <v/>
      </c>
      <c r="I67">
        <f>VLOOKUP(TablaObra5[[#This Row],[Obra]],Catalogos!$B$3:$C$10,2,FALSE)</f>
        <v/>
      </c>
      <c r="K67" t="n">
        <v>24</v>
      </c>
    </row>
    <row r="68">
      <c r="A68" s="17625" t="n">
        <v>46185</v>
      </c>
      <c r="B68" t="inlineStr">
        <is>
          <t>Chamapa-Lechería</t>
        </is>
      </c>
      <c r="C68" s="17625" t="n">
        <v>46185</v>
      </c>
      <c r="D68" t="inlineStr">
        <is>
          <t>Barredora Broce</t>
        </is>
      </c>
      <c r="E68">
        <f>VLOOKUP(TablaObra5[[#This Row],[Equipo]],Catalogos!$I$4:$J$64,2,FALSE)</f>
        <v/>
      </c>
      <c r="F68" s="17626" t="n">
        <v>40</v>
      </c>
      <c r="G68" s="4" t="n">
        <v>27</v>
      </c>
      <c r="H68" s="4">
        <f>IFERROR(F68*G68,0)</f>
        <v/>
      </c>
      <c r="I68">
        <f>VLOOKUP(TablaObra5[[#This Row],[Obra]],Catalogos!$B$3:$C$10,2,FALSE)</f>
        <v/>
      </c>
      <c r="K68" t="n">
        <v>24</v>
      </c>
    </row>
    <row r="69">
      <c r="A69" s="17625" t="n">
        <v>46185</v>
      </c>
      <c r="B69" t="inlineStr">
        <is>
          <t>Chamapa-Lechería</t>
        </is>
      </c>
      <c r="C69" s="17625" t="n">
        <v>46185</v>
      </c>
      <c r="D69" t="inlineStr">
        <is>
          <t>Retroexcavadora Jonh Deere</t>
        </is>
      </c>
      <c r="E69">
        <f>VLOOKUP(TablaObra5[[#This Row],[Equipo]],Catalogos!$I$4:$J$64,2,FALSE)</f>
        <v/>
      </c>
      <c r="F69" s="17626" t="n">
        <v>60</v>
      </c>
      <c r="G69" s="4" t="n">
        <v>27</v>
      </c>
      <c r="H69" s="4">
        <f>IFERROR(F69*G69,0)</f>
        <v/>
      </c>
      <c r="I69">
        <f>VLOOKUP(TablaObra5[[#This Row],[Obra]],Catalogos!$B$3:$C$10,2,FALSE)</f>
        <v/>
      </c>
      <c r="K69" t="n">
        <v>24</v>
      </c>
    </row>
    <row r="70">
      <c r="A70" s="17625" t="n">
        <v>46185</v>
      </c>
      <c r="B70" t="inlineStr">
        <is>
          <t>Chamapa-Lechería</t>
        </is>
      </c>
      <c r="C70" s="17625" t="n">
        <v>46185</v>
      </c>
      <c r="D70" t="inlineStr">
        <is>
          <t>Vogele Guion</t>
        </is>
      </c>
      <c r="E70">
        <f>VLOOKUP(TablaObra5[[#This Row],[Equipo]],Catalogos!$I$4:$J$64,2,FALSE)</f>
        <v/>
      </c>
      <c r="F70" s="17626" t="n">
        <v>100</v>
      </c>
      <c r="G70" s="4" t="n">
        <v>27</v>
      </c>
      <c r="H70" s="4">
        <f>IFERROR(F70*G70,0)</f>
        <v/>
      </c>
      <c r="I70">
        <f>VLOOKUP(TablaObra5[[#This Row],[Obra]],Catalogos!$B$3:$C$10,2,FALSE)</f>
        <v/>
      </c>
      <c r="K70" t="n">
        <v>24</v>
      </c>
    </row>
    <row r="71">
      <c r="A71" s="17625" t="n">
        <v>46185</v>
      </c>
      <c r="B71" t="inlineStr">
        <is>
          <t>Chamapa-Lechería</t>
        </is>
      </c>
      <c r="C71" s="17625" t="n">
        <v>46185</v>
      </c>
      <c r="D71" t="inlineStr">
        <is>
          <t>Limpieza</t>
        </is>
      </c>
      <c r="E71">
        <f>VLOOKUP(TablaObra5[[#This Row],[Equipo]],Catalogos!$I$4:$J$64,2,FALSE)</f>
        <v/>
      </c>
      <c r="F71" s="17626" t="n">
        <v>20</v>
      </c>
      <c r="G71" s="4" t="n">
        <v>27</v>
      </c>
      <c r="H71" s="4">
        <f>IFERROR(F71*G71,0)</f>
        <v/>
      </c>
      <c r="I71">
        <f>VLOOKUP(TablaObra5[[#This Row],[Obra]],Catalogos!$B$3:$C$10,2,FALSE)</f>
        <v/>
      </c>
      <c r="K71" t="n">
        <v>24</v>
      </c>
    </row>
    <row r="72">
      <c r="A72" s="17625" t="n">
        <v>46185</v>
      </c>
      <c r="B72" t="inlineStr">
        <is>
          <t>Chamapa-Lechería</t>
        </is>
      </c>
      <c r="C72" s="17625" t="n">
        <v>46185</v>
      </c>
      <c r="D72" t="inlineStr">
        <is>
          <t>Tandem Hamm</t>
        </is>
      </c>
      <c r="E72">
        <f>VLOOKUP(TablaObra5[[#This Row],[Equipo]],Catalogos!$I$4:$J$64,2,FALSE)</f>
        <v/>
      </c>
      <c r="F72" s="17626" t="n">
        <v>50</v>
      </c>
      <c r="G72" s="4" t="n">
        <v>27</v>
      </c>
      <c r="H72" s="4">
        <f>IFERROR(F72*G72,0)</f>
        <v/>
      </c>
      <c r="I72">
        <f>VLOOKUP(TablaObra5[[#This Row],[Obra]],Catalogos!$B$3:$C$10,2,FALSE)</f>
        <v/>
      </c>
      <c r="K72" t="n">
        <v>24</v>
      </c>
    </row>
    <row r="73">
      <c r="A73" s="17625" t="n">
        <v>46185</v>
      </c>
      <c r="B73" t="inlineStr">
        <is>
          <t>Chamapa-Lechería</t>
        </is>
      </c>
      <c r="C73" s="17625" t="n">
        <v>46185</v>
      </c>
      <c r="D73" t="inlineStr">
        <is>
          <t>Neuomatico Dynapac</t>
        </is>
      </c>
      <c r="E73">
        <f>VLOOKUP(TablaObra5[[#This Row],[Equipo]],Catalogos!$I$4:$J$64,2,FALSE)</f>
        <v/>
      </c>
      <c r="F73" s="17626" t="n">
        <v>50</v>
      </c>
      <c r="G73" s="4" t="n">
        <v>27</v>
      </c>
      <c r="H73" s="4">
        <f>IFERROR(F73*G73,0)</f>
        <v/>
      </c>
      <c r="I73">
        <f>VLOOKUP(TablaObra5[[#This Row],[Obra]],Catalogos!$B$3:$C$10,2,FALSE)</f>
        <v/>
      </c>
      <c r="K73" t="n">
        <v>24</v>
      </c>
    </row>
    <row r="74">
      <c r="A74" s="17625" t="n">
        <v>46185</v>
      </c>
      <c r="B74" t="inlineStr">
        <is>
          <t>Chamapa-Lechería</t>
        </is>
      </c>
      <c r="C74" s="17625" t="n">
        <v>46185</v>
      </c>
      <c r="D74" t="inlineStr">
        <is>
          <t>Petrolizadora Elton</t>
        </is>
      </c>
      <c r="E74">
        <f>VLOOKUP(TablaObra5[[#This Row],[Equipo]],Catalogos!$I$4:$J$64,2,FALSE)</f>
        <v/>
      </c>
      <c r="F74" s="17626" t="n">
        <v>50</v>
      </c>
      <c r="G74" s="4" t="n">
        <v>27</v>
      </c>
      <c r="H74" s="4">
        <f>IFERROR(F74*G74,0)</f>
        <v/>
      </c>
      <c r="I74">
        <f>VLOOKUP(TablaObra5[[#This Row],[Obra]],Catalogos!$B$3:$C$10,2,FALSE)</f>
        <v/>
      </c>
      <c r="K74" t="n">
        <v>24</v>
      </c>
    </row>
    <row r="75">
      <c r="A75" s="17625" t="n">
        <v>46187</v>
      </c>
      <c r="B75" t="inlineStr">
        <is>
          <t>México-Toluca</t>
        </is>
      </c>
      <c r="C75" s="17625" t="n">
        <v>46188</v>
      </c>
      <c r="D75" t="inlineStr">
        <is>
          <t>Perfiladora Wirgent</t>
        </is>
      </c>
      <c r="E75">
        <f>VLOOKUP(TablaObra5[[#This Row],[Equipo]],Catalogos!$I$4:$J$64,2,FALSE)</f>
        <v/>
      </c>
      <c r="F75" s="17626" t="n">
        <v>250</v>
      </c>
      <c r="G75" s="4" t="n">
        <v>27</v>
      </c>
      <c r="H75" s="4">
        <f>IFERROR(F75*G75,0)</f>
        <v/>
      </c>
      <c r="I75">
        <f>VLOOKUP(TablaObra5[[#This Row],[Obra]],Catalogos!$B$3:$C$10,2,FALSE)</f>
        <v/>
      </c>
      <c r="K75" t="n">
        <v>25</v>
      </c>
    </row>
    <row r="76">
      <c r="A76" s="17625" t="n">
        <v>46187</v>
      </c>
      <c r="B76" t="inlineStr">
        <is>
          <t>México-Toluca</t>
        </is>
      </c>
      <c r="C76" s="17625" t="n">
        <v>46188</v>
      </c>
      <c r="D76" t="inlineStr">
        <is>
          <t>Vogele Guion</t>
        </is>
      </c>
      <c r="E76">
        <f>VLOOKUP(TablaObra5[[#This Row],[Equipo]],Catalogos!$I$4:$J$64,2,FALSE)</f>
        <v/>
      </c>
      <c r="F76" s="17626" t="n">
        <v>100</v>
      </c>
      <c r="G76" s="4" t="n">
        <v>27</v>
      </c>
      <c r="H76" s="4">
        <f>IFERROR(F76*G76,0)</f>
        <v/>
      </c>
      <c r="I76">
        <f>VLOOKUP(TablaObra5[[#This Row],[Obra]],Catalogos!$B$3:$C$10,2,FALSE)</f>
        <v/>
      </c>
      <c r="K76" t="n">
        <v>25</v>
      </c>
    </row>
    <row r="77">
      <c r="A77" s="17625" t="n">
        <v>46187</v>
      </c>
      <c r="B77" t="inlineStr">
        <is>
          <t>México-Toluca</t>
        </is>
      </c>
      <c r="C77" s="17625" t="n">
        <v>46188</v>
      </c>
      <c r="D77" t="inlineStr">
        <is>
          <t>Tandem Hamm</t>
        </is>
      </c>
      <c r="E77">
        <f>VLOOKUP(TablaObra5[[#This Row],[Equipo]],Catalogos!$I$4:$J$64,2,FALSE)</f>
        <v/>
      </c>
      <c r="F77" s="17626" t="n">
        <v>50</v>
      </c>
      <c r="G77" s="4" t="n">
        <v>27</v>
      </c>
      <c r="H77" s="4">
        <f>IFERROR(F77*G77,0)</f>
        <v/>
      </c>
      <c r="I77">
        <f>VLOOKUP(TablaObra5[[#This Row],[Obra]],Catalogos!$B$3:$C$10,2,FALSE)</f>
        <v/>
      </c>
      <c r="K77" t="n">
        <v>25</v>
      </c>
    </row>
    <row r="78">
      <c r="A78" s="17625" t="n">
        <v>46187</v>
      </c>
      <c r="B78" t="inlineStr">
        <is>
          <t>México-Toluca</t>
        </is>
      </c>
      <c r="C78" s="17625" t="n">
        <v>46188</v>
      </c>
      <c r="D78" t="inlineStr">
        <is>
          <t>Limpieza</t>
        </is>
      </c>
      <c r="E78">
        <f>VLOOKUP(TablaObra5[[#This Row],[Equipo]],Catalogos!$I$4:$J$64,2,FALSE)</f>
        <v/>
      </c>
      <c r="F78" s="17626" t="n">
        <v>20</v>
      </c>
      <c r="G78" s="4" t="n">
        <v>27</v>
      </c>
      <c r="H78" s="4">
        <f>IFERROR(F78*G78,0)</f>
        <v/>
      </c>
      <c r="I78">
        <f>VLOOKUP(TablaObra5[[#This Row],[Obra]],Catalogos!$B$3:$C$10,2,FALSE)</f>
        <v/>
      </c>
      <c r="K78" t="n">
        <v>25</v>
      </c>
    </row>
    <row r="79">
      <c r="A79" s="17625" t="n">
        <v>46187</v>
      </c>
      <c r="B79" t="inlineStr">
        <is>
          <t>México-Toluca</t>
        </is>
      </c>
      <c r="C79" s="17625" t="n">
        <v>46188</v>
      </c>
      <c r="D79" t="inlineStr">
        <is>
          <t>Neuomatico Dynapac</t>
        </is>
      </c>
      <c r="E79">
        <f>VLOOKUP(TablaObra5[[#This Row],[Equipo]],Catalogos!$I$4:$J$64,2,FALSE)</f>
        <v/>
      </c>
      <c r="F79" s="17626" t="n">
        <v>50</v>
      </c>
      <c r="G79" s="4" t="n">
        <v>27</v>
      </c>
      <c r="H79" s="4">
        <f>IFERROR(F79*G79,0)</f>
        <v/>
      </c>
      <c r="I79">
        <f>VLOOKUP(TablaObra5[[#This Row],[Obra]],Catalogos!$B$3:$C$10,2,FALSE)</f>
        <v/>
      </c>
      <c r="K79" t="n">
        <v>25</v>
      </c>
    </row>
    <row r="80">
      <c r="A80" s="17625" t="n">
        <v>46187</v>
      </c>
      <c r="B80" t="inlineStr">
        <is>
          <t>México-Toluca</t>
        </is>
      </c>
      <c r="C80" s="17625" t="n">
        <v>46188</v>
      </c>
      <c r="D80" t="inlineStr">
        <is>
          <t>Barredora Broce</t>
        </is>
      </c>
      <c r="E80">
        <f>VLOOKUP(TablaObra5[[#This Row],[Equipo]],Catalogos!$I$4:$J$64,2,FALSE)</f>
        <v/>
      </c>
      <c r="F80" s="17626" t="n">
        <v>40</v>
      </c>
      <c r="G80" s="4" t="n">
        <v>27</v>
      </c>
      <c r="H80" s="4">
        <f>IFERROR(F80*G80,0)</f>
        <v/>
      </c>
      <c r="I80">
        <f>VLOOKUP(TablaObra5[[#This Row],[Obra]],Catalogos!$B$3:$C$10,2,FALSE)</f>
        <v/>
      </c>
      <c r="K80" t="n">
        <v>25</v>
      </c>
    </row>
    <row r="81">
      <c r="A81" s="17625" t="n">
        <v>46187</v>
      </c>
      <c r="B81" t="inlineStr">
        <is>
          <t>México-Toluca</t>
        </is>
      </c>
      <c r="C81" s="17625" t="n">
        <v>46188</v>
      </c>
      <c r="D81" t="inlineStr">
        <is>
          <t>Retroexcavadora</t>
        </is>
      </c>
      <c r="E81">
        <f>VLOOKUP(TablaObra5[[#This Row],[Equipo]],Catalogos!$I$4:$J$64,2,FALSE)</f>
        <v/>
      </c>
      <c r="F81" s="17626" t="n">
        <v>60</v>
      </c>
      <c r="G81" s="4" t="n">
        <v>27</v>
      </c>
      <c r="H81" s="4">
        <f>IFERROR(F81*G81,0)</f>
        <v/>
      </c>
      <c r="I81">
        <f>VLOOKUP(TablaObra5[[#This Row],[Obra]],Catalogos!$B$3:$C$10,2,FALSE)</f>
        <v/>
      </c>
      <c r="K81" t="n">
        <v>25</v>
      </c>
    </row>
    <row r="82">
      <c r="A82" s="17625" t="n">
        <v>46187</v>
      </c>
      <c r="B82" t="inlineStr">
        <is>
          <t>México-Toluca</t>
        </is>
      </c>
      <c r="C82" s="17625" t="n">
        <v>46188</v>
      </c>
      <c r="D82" t="inlineStr">
        <is>
          <t>Petrolizadora Elton</t>
        </is>
      </c>
      <c r="E82">
        <f>VLOOKUP(TablaObra5[[#This Row],[Equipo]],Catalogos!$I$4:$J$64,2,FALSE)</f>
        <v/>
      </c>
      <c r="F82" s="17626" t="n">
        <v>50</v>
      </c>
      <c r="G82" s="4" t="n">
        <v>27</v>
      </c>
      <c r="H82" s="4">
        <f>IFERROR(F82*G82,0)</f>
        <v/>
      </c>
      <c r="I82">
        <f>VLOOKUP(TablaObra5[[#This Row],[Obra]],Catalogos!$B$3:$C$10,2,FALSE)</f>
        <v/>
      </c>
      <c r="K82" t="n">
        <v>25</v>
      </c>
    </row>
    <row r="83">
      <c r="A83" s="17625" t="n">
        <v>46187</v>
      </c>
      <c r="B83" t="inlineStr">
        <is>
          <t>Lerma - Tres Marías</t>
        </is>
      </c>
      <c r="C83" s="17625" t="n">
        <v>46188</v>
      </c>
      <c r="D83" t="inlineStr">
        <is>
          <t>Vogel</t>
        </is>
      </c>
      <c r="E83">
        <f>VLOOKUP(TablaObra5[[#This Row],[Equipo]],Catalogos!$I$4:$J$64,2,FALSE)</f>
        <v/>
      </c>
      <c r="F83" s="17626" t="n">
        <v>90</v>
      </c>
      <c r="G83" s="4" t="n">
        <v>27</v>
      </c>
      <c r="H83" s="4">
        <f>IFERROR(F83*G83,0)</f>
        <v/>
      </c>
      <c r="I83">
        <f>VLOOKUP(TablaObra5[[#This Row],[Obra]],Catalogos!$B$3:$C$10,2,FALSE)</f>
        <v/>
      </c>
      <c r="K83" t="n">
        <v>25</v>
      </c>
    </row>
    <row r="84">
      <c r="A84" s="17625" t="n">
        <v>46187</v>
      </c>
      <c r="B84" t="inlineStr">
        <is>
          <t>Lerma - Tres Marías</t>
        </is>
      </c>
      <c r="C84" s="17625" t="n">
        <v>46188</v>
      </c>
      <c r="D84" t="inlineStr">
        <is>
          <t>Neuomatico</t>
        </is>
      </c>
      <c r="E84">
        <f>VLOOKUP(TablaObra5[[#This Row],[Equipo]],Catalogos!$I$4:$J$64,2,FALSE)</f>
        <v/>
      </c>
      <c r="F84" s="17626" t="n">
        <v>40</v>
      </c>
      <c r="G84" s="4" t="n">
        <v>27</v>
      </c>
      <c r="H84" s="4">
        <f>IFERROR(F84*G84,0)</f>
        <v/>
      </c>
      <c r="I84">
        <f>VLOOKUP(TablaObra5[[#This Row],[Obra]],Catalogos!$B$3:$C$10,2,FALSE)</f>
        <v/>
      </c>
      <c r="K84" t="n">
        <v>25</v>
      </c>
    </row>
    <row r="85">
      <c r="A85" s="17625" t="n">
        <v>46187</v>
      </c>
      <c r="B85" t="inlineStr">
        <is>
          <t>Lerma - Tres Marías</t>
        </is>
      </c>
      <c r="C85" s="17625" t="n">
        <v>46188</v>
      </c>
      <c r="D85" t="inlineStr">
        <is>
          <t>Barredora</t>
        </is>
      </c>
      <c r="E85">
        <f>VLOOKUP(TablaObra5[[#This Row],[Equipo]],Catalogos!$I$4:$J$64,2,FALSE)</f>
        <v/>
      </c>
      <c r="F85" s="17626" t="n">
        <v>40</v>
      </c>
      <c r="G85" s="4" t="n">
        <v>27</v>
      </c>
      <c r="H85" s="4">
        <f>IFERROR(F85*G85,0)</f>
        <v/>
      </c>
      <c r="I85">
        <f>VLOOKUP(TablaObra5[[#This Row],[Obra]],Catalogos!$B$3:$C$10,2,FALSE)</f>
        <v/>
      </c>
      <c r="K85" t="n">
        <v>25</v>
      </c>
    </row>
    <row r="86">
      <c r="A86" s="17625" t="n">
        <v>46188</v>
      </c>
      <c r="B86" t="inlineStr">
        <is>
          <t>Bacheo Toluca</t>
        </is>
      </c>
      <c r="D86" t="inlineStr">
        <is>
          <t>Retroexcavadora</t>
        </is>
      </c>
      <c r="E86">
        <f>VLOOKUP(TablaObra5[[#This Row],[Equipo]],Catalogos!$I$4:$J$64,2,FALSE)</f>
        <v/>
      </c>
      <c r="F86" s="17626" t="n">
        <v>70</v>
      </c>
      <c r="G86" s="4" t="n">
        <v>27</v>
      </c>
      <c r="H86" s="4">
        <f>IFERROR(F86*G86,0)</f>
        <v/>
      </c>
      <c r="I86">
        <f>VLOOKUP(TablaObra5[[#This Row],[Obra]],Catalogos!$B$3:$C$10,2,FALSE)</f>
        <v/>
      </c>
      <c r="K86" t="n">
        <v>25</v>
      </c>
    </row>
    <row r="87">
      <c r="A87" s="17625" t="n">
        <v>46188</v>
      </c>
      <c r="B87" t="inlineStr">
        <is>
          <t>Bacheo Toluca</t>
        </is>
      </c>
      <c r="D87" t="inlineStr">
        <is>
          <t>Perfiladora</t>
        </is>
      </c>
      <c r="E87">
        <f>VLOOKUP(TablaObra5[[#This Row],[Equipo]],Catalogos!$I$4:$J$64,2,FALSE)</f>
        <v/>
      </c>
      <c r="F87" s="17626" t="n">
        <v>200</v>
      </c>
      <c r="G87" s="4" t="n">
        <v>27</v>
      </c>
      <c r="H87" s="4">
        <f>IFERROR(F87*G87,0)</f>
        <v/>
      </c>
      <c r="I87">
        <f>VLOOKUP(TablaObra5[[#This Row],[Obra]],Catalogos!$B$3:$C$10,2,FALSE)</f>
        <v/>
      </c>
      <c r="K87" t="n">
        <v>25</v>
      </c>
    </row>
    <row r="88">
      <c r="A88" s="17625" t="n">
        <v>46188</v>
      </c>
      <c r="B88" t="inlineStr">
        <is>
          <t>Bacheo Toluca</t>
        </is>
      </c>
      <c r="D88" t="inlineStr">
        <is>
          <t>Doble Rodillo</t>
        </is>
      </c>
      <c r="E88">
        <f>VLOOKUP(TablaObra5[[#This Row],[Equipo]],Catalogos!$I$4:$J$64,2,FALSE)</f>
        <v/>
      </c>
      <c r="F88" s="17626" t="n">
        <v>40</v>
      </c>
      <c r="G88" s="4" t="n">
        <v>27</v>
      </c>
      <c r="H88" s="4">
        <f>IFERROR(F88*G88,0)</f>
        <v/>
      </c>
      <c r="I88">
        <f>VLOOKUP(TablaObra5[[#This Row],[Obra]],Catalogos!$B$3:$C$10,2,FALSE)</f>
        <v/>
      </c>
      <c r="K88" t="n">
        <v>25</v>
      </c>
    </row>
    <row r="89">
      <c r="A89" s="17625" t="n">
        <v>46188</v>
      </c>
      <c r="B89" t="inlineStr">
        <is>
          <t>Lerma - Tres Marías</t>
        </is>
      </c>
      <c r="C89" s="17625" t="n">
        <v>46189</v>
      </c>
      <c r="D89" t="inlineStr">
        <is>
          <t>Limpieza</t>
        </is>
      </c>
      <c r="E89">
        <f>VLOOKUP(TablaObra5[[#This Row],[Equipo]],Catalogos!$I$4:$J$64,2,FALSE)</f>
        <v/>
      </c>
      <c r="F89" s="17626" t="n">
        <v>25</v>
      </c>
      <c r="G89" s="4" t="n">
        <v>27</v>
      </c>
      <c r="H89" s="4">
        <f>IFERROR(F89*G89,0)</f>
        <v/>
      </c>
      <c r="I89">
        <f>VLOOKUP(TablaObra5[[#This Row],[Obra]],Catalogos!$B$3:$C$10,2,FALSE)</f>
        <v/>
      </c>
      <c r="K89" t="n">
        <v>25</v>
      </c>
    </row>
    <row r="90">
      <c r="A90" s="17625" t="n">
        <v>46188</v>
      </c>
      <c r="B90" t="inlineStr">
        <is>
          <t>Lerma - Tres Marías</t>
        </is>
      </c>
      <c r="C90" s="17625" t="n">
        <v>46189</v>
      </c>
      <c r="D90" t="inlineStr">
        <is>
          <t>Petrolizadora</t>
        </is>
      </c>
      <c r="E90">
        <f>VLOOKUP(TablaObra5[[#This Row],[Equipo]],Catalogos!$I$4:$J$64,2,FALSE)</f>
        <v/>
      </c>
      <c r="F90" s="17626" t="n">
        <v>60</v>
      </c>
      <c r="G90" s="4" t="n">
        <v>27</v>
      </c>
      <c r="H90" s="4">
        <f>IFERROR(F90*G90,0)</f>
        <v/>
      </c>
      <c r="I90">
        <f>VLOOKUP(TablaObra5[[#This Row],[Obra]],Catalogos!$B$3:$C$10,2,FALSE)</f>
        <v/>
      </c>
      <c r="K90" t="n">
        <v>25</v>
      </c>
    </row>
    <row r="91">
      <c r="A91" s="17625" t="n">
        <v>46188</v>
      </c>
      <c r="B91" t="inlineStr">
        <is>
          <t>Lerma - Tres Marías</t>
        </is>
      </c>
      <c r="C91" s="17625" t="n">
        <v>46189</v>
      </c>
      <c r="D91" t="inlineStr">
        <is>
          <t>Tandem Hamm</t>
        </is>
      </c>
      <c r="E91">
        <f>VLOOKUP(TablaObra5[[#This Row],[Equipo]],Catalogos!$I$4:$J$64,2,FALSE)</f>
        <v/>
      </c>
      <c r="F91" s="17626" t="n">
        <v>50</v>
      </c>
      <c r="G91" s="4" t="n">
        <v>27</v>
      </c>
      <c r="H91" s="4">
        <f>IFERROR(F91*G91,0)</f>
        <v/>
      </c>
      <c r="I91">
        <f>VLOOKUP(TablaObra5[[#This Row],[Obra]],Catalogos!$B$3:$C$10,2,FALSE)</f>
        <v/>
      </c>
      <c r="K91" t="n">
        <v>25</v>
      </c>
    </row>
    <row r="92">
      <c r="A92" s="17625" t="n">
        <v>46188</v>
      </c>
      <c r="B92" t="inlineStr">
        <is>
          <t>Lerma - Tres Marías</t>
        </is>
      </c>
      <c r="C92" s="17625" t="n">
        <v>46189</v>
      </c>
      <c r="D92" t="inlineStr">
        <is>
          <t>Perfiladora</t>
        </is>
      </c>
      <c r="E92">
        <f>VLOOKUP(TablaObra5[[#This Row],[Equipo]],Catalogos!$I$4:$J$64,2,FALSE)</f>
        <v/>
      </c>
      <c r="F92" s="17626" t="n">
        <v>250</v>
      </c>
      <c r="G92" s="4" t="n">
        <v>27</v>
      </c>
      <c r="H92" s="4">
        <f>IFERROR(F92*G92,0)</f>
        <v/>
      </c>
      <c r="I92">
        <f>VLOOKUP(TablaObra5[[#This Row],[Obra]],Catalogos!$B$3:$C$10,2,FALSE)</f>
        <v/>
      </c>
      <c r="K92" t="n">
        <v>25</v>
      </c>
    </row>
    <row r="93">
      <c r="A93" s="17625" t="n">
        <v>46188</v>
      </c>
      <c r="B93" t="inlineStr">
        <is>
          <t>Lerma - Tres Marías</t>
        </is>
      </c>
      <c r="C93" s="17625" t="n">
        <v>46189</v>
      </c>
      <c r="D93" t="inlineStr">
        <is>
          <t>Barredora</t>
        </is>
      </c>
      <c r="E93">
        <f>VLOOKUP(TablaObra5[[#This Row],[Equipo]],Catalogos!$I$4:$J$64,2,FALSE)</f>
        <v/>
      </c>
      <c r="F93" s="17626" t="n">
        <v>70</v>
      </c>
      <c r="G93" s="4" t="n">
        <v>27</v>
      </c>
      <c r="H93" s="4">
        <f>IFERROR(F93*G93,0)</f>
        <v/>
      </c>
      <c r="I93">
        <f>VLOOKUP(TablaObra5[[#This Row],[Obra]],Catalogos!$B$3:$C$10,2,FALSE)</f>
        <v/>
      </c>
      <c r="K93" t="n">
        <v>25</v>
      </c>
    </row>
    <row r="94">
      <c r="A94" s="17625" t="n">
        <v>46188</v>
      </c>
      <c r="B94" t="inlineStr">
        <is>
          <t>Lerma - Tres Marías</t>
        </is>
      </c>
      <c r="C94" s="17625" t="n">
        <v>46189</v>
      </c>
      <c r="D94" t="inlineStr">
        <is>
          <t>Retroexcavadora</t>
        </is>
      </c>
      <c r="E94">
        <f>VLOOKUP(TablaObra5[[#This Row],[Equipo]],Catalogos!$I$4:$J$64,2,FALSE)</f>
        <v/>
      </c>
      <c r="F94" s="17626" t="n">
        <v>50</v>
      </c>
      <c r="G94" s="4" t="n">
        <v>27</v>
      </c>
      <c r="H94" s="4">
        <f>IFERROR(F94*G94,0)</f>
        <v/>
      </c>
      <c r="I94">
        <f>VLOOKUP(TablaObra5[[#This Row],[Obra]],Catalogos!$B$3:$C$10,2,FALSE)</f>
        <v/>
      </c>
      <c r="K94" t="n">
        <v>25</v>
      </c>
    </row>
    <row r="95">
      <c r="A95" s="17625" t="n">
        <v>46188</v>
      </c>
      <c r="B95" t="inlineStr">
        <is>
          <t>México-Toluca</t>
        </is>
      </c>
      <c r="C95" s="17625" t="n">
        <v>46189</v>
      </c>
      <c r="D95" t="inlineStr">
        <is>
          <t>Perfiladora Wirgent</t>
        </is>
      </c>
      <c r="E95">
        <f>VLOOKUP(TablaObra5[[#This Row],[Equipo]],Catalogos!$I$4:$J$64,2,FALSE)</f>
        <v/>
      </c>
      <c r="F95" s="17626" t="n">
        <v>250</v>
      </c>
      <c r="G95" s="4" t="n">
        <v>27</v>
      </c>
      <c r="H95" s="4">
        <f>IFERROR(F95*G95,0)</f>
        <v/>
      </c>
      <c r="I95">
        <f>VLOOKUP(TablaObra5[[#This Row],[Obra]],Catalogos!$B$3:$C$10,2,FALSE)</f>
        <v/>
      </c>
      <c r="K95" t="n">
        <v>25</v>
      </c>
    </row>
    <row r="96">
      <c r="A96" s="17625" t="n">
        <v>46188</v>
      </c>
      <c r="B96" t="inlineStr">
        <is>
          <t>México-Toluca</t>
        </is>
      </c>
      <c r="C96" s="17625" t="n">
        <v>46189</v>
      </c>
      <c r="D96" t="inlineStr">
        <is>
          <t>Vogele Guion</t>
        </is>
      </c>
      <c r="E96">
        <f>VLOOKUP(TablaObra5[[#This Row],[Equipo]],Catalogos!$I$4:$J$64,2,FALSE)</f>
        <v/>
      </c>
      <c r="F96" s="17626" t="n">
        <v>200</v>
      </c>
      <c r="G96" s="4" t="n">
        <v>27</v>
      </c>
      <c r="H96" s="4">
        <f>IFERROR(F96*G96,0)</f>
        <v/>
      </c>
      <c r="I96">
        <f>VLOOKUP(TablaObra5[[#This Row],[Obra]],Catalogos!$B$3:$C$10,2,FALSE)</f>
        <v/>
      </c>
      <c r="K96" t="n">
        <v>25</v>
      </c>
    </row>
    <row r="97">
      <c r="A97" s="17625" t="n">
        <v>46188</v>
      </c>
      <c r="B97" t="inlineStr">
        <is>
          <t>México-Toluca</t>
        </is>
      </c>
      <c r="C97" s="17625" t="n">
        <v>46189</v>
      </c>
      <c r="D97" t="inlineStr">
        <is>
          <t>Limpieza</t>
        </is>
      </c>
      <c r="E97">
        <f>VLOOKUP(TablaObra5[[#This Row],[Equipo]],Catalogos!$I$4:$J$64,2,FALSE)</f>
        <v/>
      </c>
      <c r="F97" s="17626" t="n">
        <v>20</v>
      </c>
      <c r="G97" s="4" t="n">
        <v>27</v>
      </c>
      <c r="H97" s="4">
        <f>IFERROR(F97*G97,0)</f>
        <v/>
      </c>
      <c r="I97">
        <f>VLOOKUP(TablaObra5[[#This Row],[Obra]],Catalogos!$B$3:$C$10,2,FALSE)</f>
        <v/>
      </c>
      <c r="K97" t="n">
        <v>25</v>
      </c>
    </row>
    <row r="98">
      <c r="A98" s="17625" t="n">
        <v>46188</v>
      </c>
      <c r="B98" t="inlineStr">
        <is>
          <t>México-Toluca</t>
        </is>
      </c>
      <c r="C98" s="17625" t="n">
        <v>46189</v>
      </c>
      <c r="D98" t="inlineStr">
        <is>
          <t>Tandem Hamm</t>
        </is>
      </c>
      <c r="E98">
        <f>VLOOKUP(TablaObra5[[#This Row],[Equipo]],Catalogos!$I$4:$J$64,2,FALSE)</f>
        <v/>
      </c>
      <c r="F98" s="17626" t="n">
        <v>50</v>
      </c>
      <c r="G98" s="4" t="n">
        <v>27</v>
      </c>
      <c r="H98" s="4">
        <f>IFERROR(F98*G98,0)</f>
        <v/>
      </c>
      <c r="I98">
        <f>VLOOKUP(TablaObra5[[#This Row],[Obra]],Catalogos!$B$3:$C$10,2,FALSE)</f>
        <v/>
      </c>
      <c r="K98" t="n">
        <v>25</v>
      </c>
    </row>
    <row r="99">
      <c r="A99" s="17625" t="n">
        <v>46188</v>
      </c>
      <c r="B99" t="inlineStr">
        <is>
          <t>México-Toluca</t>
        </is>
      </c>
      <c r="C99" s="17625" t="n">
        <v>46189</v>
      </c>
      <c r="D99" t="inlineStr">
        <is>
          <t>Neuomatico</t>
        </is>
      </c>
      <c r="E99">
        <f>VLOOKUP(TablaObra5[[#This Row],[Equipo]],Catalogos!$I$4:$J$64,2,FALSE)</f>
        <v/>
      </c>
      <c r="F99" s="17626" t="n">
        <v>50</v>
      </c>
      <c r="G99" s="4" t="n">
        <v>27</v>
      </c>
      <c r="H99" s="4">
        <f>IFERROR(F99*G99,0)</f>
        <v/>
      </c>
      <c r="I99">
        <f>VLOOKUP(TablaObra5[[#This Row],[Obra]],Catalogos!$B$3:$C$10,2,FALSE)</f>
        <v/>
      </c>
      <c r="K99" t="n">
        <v>25</v>
      </c>
    </row>
    <row r="100">
      <c r="A100" s="17625" t="n">
        <v>46188</v>
      </c>
      <c r="B100" t="inlineStr">
        <is>
          <t>México-Toluca</t>
        </is>
      </c>
      <c r="C100" s="17625" t="n">
        <v>46189</v>
      </c>
      <c r="D100" t="inlineStr">
        <is>
          <t>Barredora Broce</t>
        </is>
      </c>
      <c r="E100">
        <f>VLOOKUP(TablaObra5[[#This Row],[Equipo]],Catalogos!$I$4:$J$64,2,FALSE)</f>
        <v/>
      </c>
      <c r="F100" s="17626" t="n">
        <v>40</v>
      </c>
      <c r="G100" s="4" t="n">
        <v>27</v>
      </c>
      <c r="H100" s="4">
        <f>IFERROR(F100*G100,0)</f>
        <v/>
      </c>
      <c r="I100">
        <f>VLOOKUP(TablaObra5[[#This Row],[Obra]],Catalogos!$B$3:$C$10,2,FALSE)</f>
        <v/>
      </c>
      <c r="K100" t="n">
        <v>25</v>
      </c>
    </row>
    <row r="101">
      <c r="A101" s="17625" t="n">
        <v>46188</v>
      </c>
      <c r="B101" t="inlineStr">
        <is>
          <t>México-Toluca</t>
        </is>
      </c>
      <c r="C101" s="17625" t="n">
        <v>46189</v>
      </c>
      <c r="D101" t="inlineStr">
        <is>
          <t>Retroexcavadora</t>
        </is>
      </c>
      <c r="E101">
        <f>VLOOKUP(TablaObra5[[#This Row],[Equipo]],Catalogos!$I$4:$J$64,2,FALSE)</f>
        <v/>
      </c>
      <c r="F101" s="17626" t="n">
        <v>50</v>
      </c>
      <c r="G101" s="4" t="n">
        <v>27</v>
      </c>
      <c r="H101" s="4">
        <f>IFERROR(F101*G101,0)</f>
        <v/>
      </c>
      <c r="I101">
        <f>VLOOKUP(TablaObra5[[#This Row],[Obra]],Catalogos!$B$3:$C$10,2,FALSE)</f>
        <v/>
      </c>
      <c r="K101" t="n">
        <v>25</v>
      </c>
    </row>
    <row r="102">
      <c r="A102" s="17625" t="n">
        <v>46188</v>
      </c>
      <c r="B102" t="inlineStr">
        <is>
          <t>México-Toluca</t>
        </is>
      </c>
      <c r="C102" s="17625" t="n">
        <v>46189</v>
      </c>
      <c r="D102" t="inlineStr">
        <is>
          <t>Petrolizadora Elton</t>
        </is>
      </c>
      <c r="E102">
        <f>VLOOKUP(TablaObra5[[#This Row],[Equipo]],Catalogos!$I$4:$J$64,2,FALSE)</f>
        <v/>
      </c>
      <c r="F102" s="17626" t="n">
        <v>50</v>
      </c>
      <c r="G102" s="4" t="n">
        <v>27</v>
      </c>
      <c r="H102" s="4">
        <f>IFERROR(F102*G102,0)</f>
        <v/>
      </c>
      <c r="I102">
        <f>VLOOKUP(TablaObra5[[#This Row],[Obra]],Catalogos!$B$3:$C$10,2,FALSE)</f>
        <v/>
      </c>
      <c r="K102" t="n">
        <v>25</v>
      </c>
    </row>
    <row r="103">
      <c r="A103" s="17625" t="n">
        <v>46189</v>
      </c>
      <c r="B103" t="inlineStr">
        <is>
          <t>Lerma - Tres Marías</t>
        </is>
      </c>
      <c r="C103" s="17625" t="n">
        <v>46190</v>
      </c>
      <c r="D103" t="inlineStr">
        <is>
          <t>Pipa</t>
        </is>
      </c>
      <c r="E103">
        <f>VLOOKUP(TablaObra5[[#This Row],[Equipo]],Catalogos!$I$4:$J$64,2,FALSE)</f>
        <v/>
      </c>
      <c r="F103" s="17626" t="n">
        <v>50</v>
      </c>
      <c r="G103" s="4" t="n">
        <v>27</v>
      </c>
      <c r="H103" s="4">
        <f>IFERROR(F103*G103,0)</f>
        <v/>
      </c>
      <c r="I103">
        <f>VLOOKUP(TablaObra5[[#This Row],[Obra]],Catalogos!$B$3:$C$10,2,FALSE)</f>
        <v/>
      </c>
      <c r="K103" t="n">
        <v>25</v>
      </c>
    </row>
    <row r="104">
      <c r="A104" s="17625" t="n">
        <v>46189</v>
      </c>
      <c r="B104" t="inlineStr">
        <is>
          <t>Lerma - Tres Marías</t>
        </is>
      </c>
      <c r="C104" s="17625" t="n">
        <v>46190</v>
      </c>
      <c r="D104" t="inlineStr">
        <is>
          <t>Neuomatico</t>
        </is>
      </c>
      <c r="E104">
        <f>VLOOKUP(TablaObra5[[#This Row],[Equipo]],Catalogos!$I$4:$J$64,2,FALSE)</f>
        <v/>
      </c>
      <c r="F104" s="17626" t="n">
        <v>30</v>
      </c>
      <c r="G104" s="4" t="n">
        <v>27</v>
      </c>
      <c r="H104" s="4">
        <f>IFERROR(F104*G104,0)</f>
        <v/>
      </c>
      <c r="I104">
        <f>VLOOKUP(TablaObra5[[#This Row],[Obra]],Catalogos!$B$3:$C$10,2,FALSE)</f>
        <v/>
      </c>
      <c r="K104" t="n">
        <v>25</v>
      </c>
    </row>
    <row r="105">
      <c r="A105" s="17625" t="n">
        <v>46189</v>
      </c>
      <c r="B105" t="inlineStr">
        <is>
          <t>Lerma - Tres Marías</t>
        </is>
      </c>
      <c r="C105" s="17625" t="n">
        <v>46190</v>
      </c>
      <c r="D105" t="inlineStr">
        <is>
          <t>Doble Rodillo</t>
        </is>
      </c>
      <c r="E105">
        <f>VLOOKUP(TablaObra5[[#This Row],[Equipo]],Catalogos!$I$4:$J$64,2,FALSE)</f>
        <v/>
      </c>
      <c r="F105" s="17626" t="n">
        <v>50</v>
      </c>
      <c r="G105" s="4" t="n">
        <v>27</v>
      </c>
      <c r="H105" s="4">
        <f>IFERROR(F105*G105,0)</f>
        <v/>
      </c>
      <c r="I105">
        <f>VLOOKUP(TablaObra5[[#This Row],[Obra]],Catalogos!$B$3:$C$10,2,FALSE)</f>
        <v/>
      </c>
      <c r="K105" t="n">
        <v>25</v>
      </c>
    </row>
    <row r="106">
      <c r="A106" s="17625" t="n">
        <v>46189</v>
      </c>
      <c r="B106" t="inlineStr">
        <is>
          <t>Lerma - Tres Marías</t>
        </is>
      </c>
      <c r="C106" s="17625" t="n">
        <v>46190</v>
      </c>
      <c r="D106" t="inlineStr">
        <is>
          <t>Vogel</t>
        </is>
      </c>
      <c r="E106">
        <f>VLOOKUP(TablaObra5[[#This Row],[Equipo]],Catalogos!$I$4:$J$64,2,FALSE)</f>
        <v/>
      </c>
      <c r="F106" s="17626" t="n">
        <v>130</v>
      </c>
      <c r="G106" s="4" t="n">
        <v>27</v>
      </c>
      <c r="H106" s="4">
        <f>IFERROR(F106*G106,0)</f>
        <v/>
      </c>
      <c r="I106">
        <f>VLOOKUP(TablaObra5[[#This Row],[Obra]],Catalogos!$B$3:$C$10,2,FALSE)</f>
        <v/>
      </c>
      <c r="K106" t="n">
        <v>25</v>
      </c>
    </row>
    <row r="107">
      <c r="A107" s="17625" t="n">
        <v>46189</v>
      </c>
      <c r="B107" t="inlineStr">
        <is>
          <t>Lerma - Tres Marías</t>
        </is>
      </c>
      <c r="C107" s="17625" t="n">
        <v>46190</v>
      </c>
      <c r="D107" t="inlineStr">
        <is>
          <t>Limpieza</t>
        </is>
      </c>
      <c r="E107">
        <f>VLOOKUP(TablaObra5[[#This Row],[Equipo]],Catalogos!$I$4:$J$64,2,FALSE)</f>
        <v/>
      </c>
      <c r="F107" s="17626" t="n">
        <v>20</v>
      </c>
      <c r="G107" s="4" t="n">
        <v>27</v>
      </c>
      <c r="H107" s="4">
        <f>IFERROR(F107*G107,0)</f>
        <v/>
      </c>
      <c r="I107">
        <f>VLOOKUP(TablaObra5[[#This Row],[Obra]],Catalogos!$B$3:$C$10,2,FALSE)</f>
        <v/>
      </c>
      <c r="K107" t="n">
        <v>25</v>
      </c>
    </row>
    <row r="108">
      <c r="A108" s="17625" t="n">
        <v>46189</v>
      </c>
      <c r="B108" t="inlineStr">
        <is>
          <t>Lerma - Tres Marías</t>
        </is>
      </c>
      <c r="C108" s="17625" t="n">
        <v>46190</v>
      </c>
      <c r="D108" t="inlineStr">
        <is>
          <t>Rastrillador</t>
        </is>
      </c>
      <c r="E108">
        <f>VLOOKUP(TablaObra5[[#This Row],[Equipo]],Catalogos!$I$4:$J$64,2,FALSE)</f>
        <v/>
      </c>
      <c r="F108" s="17626" t="n">
        <v>160</v>
      </c>
      <c r="G108" s="4" t="n">
        <v>27</v>
      </c>
      <c r="H108" s="4">
        <f>IFERROR(F108*G108,0)</f>
        <v/>
      </c>
      <c r="I108">
        <f>VLOOKUP(TablaObra5[[#This Row],[Obra]],Catalogos!$B$3:$C$10,2,FALSE)</f>
        <v/>
      </c>
      <c r="K108" t="n">
        <v>25</v>
      </c>
    </row>
    <row r="109">
      <c r="A109" s="17625" t="n">
        <v>46189</v>
      </c>
      <c r="B109" t="inlineStr">
        <is>
          <t>Lerma - Tres Marías</t>
        </is>
      </c>
      <c r="C109" s="17625" t="n">
        <v>46190</v>
      </c>
      <c r="D109" t="inlineStr">
        <is>
          <t>Petrolizadora</t>
        </is>
      </c>
      <c r="E109">
        <f>VLOOKUP(TablaObra5[[#This Row],[Equipo]],Catalogos!$I$4:$J$64,2,FALSE)</f>
        <v/>
      </c>
      <c r="F109" s="17626" t="n">
        <v>70</v>
      </c>
      <c r="G109" s="4" t="n">
        <v>27</v>
      </c>
      <c r="H109" s="4">
        <f>IFERROR(F109*G109,0)</f>
        <v/>
      </c>
      <c r="I109">
        <f>VLOOKUP(TablaObra5[[#This Row],[Obra]],Catalogos!$B$3:$C$10,2,FALSE)</f>
        <v/>
      </c>
      <c r="K109" t="n">
        <v>25</v>
      </c>
    </row>
    <row r="110">
      <c r="A110" s="17625" t="n">
        <v>46189</v>
      </c>
      <c r="B110" t="inlineStr">
        <is>
          <t>Lerma - Tres Marías</t>
        </is>
      </c>
      <c r="C110" s="17625" t="n">
        <v>46190</v>
      </c>
      <c r="D110" t="inlineStr">
        <is>
          <t>Perfiladora</t>
        </is>
      </c>
      <c r="E110">
        <f>VLOOKUP(TablaObra5[[#This Row],[Equipo]],Catalogos!$I$4:$J$64,2,FALSE)</f>
        <v/>
      </c>
      <c r="F110" s="17626" t="n">
        <v>250</v>
      </c>
      <c r="G110" s="4" t="n">
        <v>27</v>
      </c>
      <c r="H110" s="4">
        <f>IFERROR(F110*G110,0)</f>
        <v/>
      </c>
      <c r="I110">
        <f>VLOOKUP(TablaObra5[[#This Row],[Obra]],Catalogos!$B$3:$C$10,2,FALSE)</f>
        <v/>
      </c>
      <c r="K110" t="n">
        <v>25</v>
      </c>
    </row>
    <row r="111">
      <c r="A111" s="17625" t="n">
        <v>46189</v>
      </c>
      <c r="B111" t="inlineStr">
        <is>
          <t>Lerma - Tres Marías</t>
        </is>
      </c>
      <c r="C111" s="17625" t="n">
        <v>46190</v>
      </c>
      <c r="D111" t="inlineStr">
        <is>
          <t>Pipa</t>
        </is>
      </c>
      <c r="E111">
        <f>VLOOKUP(TablaObra5[[#This Row],[Equipo]],Catalogos!$I$4:$J$64,2,FALSE)</f>
        <v/>
      </c>
      <c r="F111" s="17626" t="n">
        <v>150</v>
      </c>
      <c r="G111" s="4" t="n">
        <v>27</v>
      </c>
      <c r="H111" s="4">
        <f>IFERROR(F111*G111,0)</f>
        <v/>
      </c>
      <c r="I111">
        <f>VLOOKUP(TablaObra5[[#This Row],[Obra]],Catalogos!$B$3:$C$10,2,FALSE)</f>
        <v/>
      </c>
      <c r="K111" t="n">
        <v>25</v>
      </c>
    </row>
    <row r="112">
      <c r="A112" s="17625" t="n">
        <v>46190</v>
      </c>
      <c r="B112" t="inlineStr">
        <is>
          <t>México-Toluca</t>
        </is>
      </c>
      <c r="C112" s="17625" t="n">
        <v>46190</v>
      </c>
      <c r="D112" t="inlineStr">
        <is>
          <t>Perfiladora Wirgent</t>
        </is>
      </c>
      <c r="E112">
        <f>VLOOKUP(TablaObra5[[#This Row],[Equipo]],Catalogos!$I$4:$J$64,2,FALSE)</f>
        <v/>
      </c>
      <c r="F112" s="17626" t="n">
        <v>250</v>
      </c>
      <c r="G112" s="4" t="n">
        <v>27</v>
      </c>
      <c r="H112" s="4">
        <f>IFERROR(F112*G112,0)</f>
        <v/>
      </c>
      <c r="I112">
        <f>VLOOKUP(TablaObra5[[#This Row],[Obra]],Catalogos!$B$3:$C$10,2,FALSE)</f>
        <v/>
      </c>
      <c r="K112" t="n">
        <v>25</v>
      </c>
    </row>
    <row r="113">
      <c r="A113" s="17625" t="n">
        <v>46190</v>
      </c>
      <c r="B113" t="inlineStr">
        <is>
          <t>México-Toluca</t>
        </is>
      </c>
      <c r="C113" s="17625" t="n">
        <v>46190</v>
      </c>
      <c r="D113" t="inlineStr">
        <is>
          <t>Vogele Guion</t>
        </is>
      </c>
      <c r="E113">
        <f>VLOOKUP(TablaObra5[[#This Row],[Equipo]],Catalogos!$I$4:$J$64,2,FALSE)</f>
        <v/>
      </c>
      <c r="F113" s="17626" t="n">
        <v>100</v>
      </c>
      <c r="G113" s="4" t="n">
        <v>27</v>
      </c>
      <c r="H113" s="4">
        <f>IFERROR(F113*G113,0)</f>
        <v/>
      </c>
      <c r="I113">
        <f>VLOOKUP(TablaObra5[[#This Row],[Obra]],Catalogos!$B$3:$C$10,2,FALSE)</f>
        <v/>
      </c>
      <c r="K113" t="n">
        <v>25</v>
      </c>
    </row>
    <row r="114">
      <c r="A114" s="17625" t="n">
        <v>46190</v>
      </c>
      <c r="B114" t="inlineStr">
        <is>
          <t>México-Toluca</t>
        </is>
      </c>
      <c r="C114" s="17625" t="n">
        <v>46190</v>
      </c>
      <c r="D114" t="inlineStr">
        <is>
          <t>Limpieza</t>
        </is>
      </c>
      <c r="E114">
        <f>VLOOKUP(TablaObra5[[#This Row],[Equipo]],Catalogos!$I$4:$J$64,2,FALSE)</f>
        <v/>
      </c>
      <c r="F114" s="17626" t="n">
        <v>20</v>
      </c>
      <c r="G114" s="4" t="n">
        <v>27</v>
      </c>
      <c r="H114" s="4">
        <f>IFERROR(F114*G114,0)</f>
        <v/>
      </c>
      <c r="I114">
        <f>VLOOKUP(TablaObra5[[#This Row],[Obra]],Catalogos!$B$3:$C$10,2,FALSE)</f>
        <v/>
      </c>
      <c r="K114" t="n">
        <v>25</v>
      </c>
    </row>
    <row r="115">
      <c r="A115" s="17625" t="n">
        <v>46190</v>
      </c>
      <c r="B115" t="inlineStr">
        <is>
          <t>México-Toluca</t>
        </is>
      </c>
      <c r="C115" s="17625" t="n">
        <v>46190</v>
      </c>
      <c r="D115" t="inlineStr">
        <is>
          <t>Tandem Hamm</t>
        </is>
      </c>
      <c r="E115">
        <f>VLOOKUP(TablaObra5[[#This Row],[Equipo]],Catalogos!$I$4:$J$64,2,FALSE)</f>
        <v/>
      </c>
      <c r="F115" s="17626" t="n">
        <v>50</v>
      </c>
      <c r="G115" s="4" t="n">
        <v>27</v>
      </c>
      <c r="H115" s="4">
        <f>IFERROR(F115*G115,0)</f>
        <v/>
      </c>
      <c r="I115">
        <f>VLOOKUP(TablaObra5[[#This Row],[Obra]],Catalogos!$B$3:$C$10,2,FALSE)</f>
        <v/>
      </c>
      <c r="K115" t="n">
        <v>25</v>
      </c>
    </row>
    <row r="116">
      <c r="A116" s="17625" t="n">
        <v>46190</v>
      </c>
      <c r="B116" t="inlineStr">
        <is>
          <t>México-Toluca</t>
        </is>
      </c>
      <c r="C116" s="17625" t="n">
        <v>46190</v>
      </c>
      <c r="D116" t="inlineStr">
        <is>
          <t>Neuomatico</t>
        </is>
      </c>
      <c r="E116">
        <f>VLOOKUP(TablaObra5[[#This Row],[Equipo]],Catalogos!$I$4:$J$64,2,FALSE)</f>
        <v/>
      </c>
      <c r="F116" s="17626" t="n">
        <v>50</v>
      </c>
      <c r="G116" s="4" t="n">
        <v>27</v>
      </c>
      <c r="H116" s="4">
        <f>IFERROR(F116*G116,0)</f>
        <v/>
      </c>
      <c r="I116">
        <f>VLOOKUP(TablaObra5[[#This Row],[Obra]],Catalogos!$B$3:$C$10,2,FALSE)</f>
        <v/>
      </c>
      <c r="K116" t="n">
        <v>25</v>
      </c>
    </row>
    <row r="117">
      <c r="A117" s="17625" t="n">
        <v>46190</v>
      </c>
      <c r="B117" t="inlineStr">
        <is>
          <t>México-Toluca</t>
        </is>
      </c>
      <c r="C117" s="17625" t="n">
        <v>46190</v>
      </c>
      <c r="D117" t="inlineStr">
        <is>
          <t>Barredora Broce</t>
        </is>
      </c>
      <c r="E117">
        <f>VLOOKUP(TablaObra5[[#This Row],[Equipo]],Catalogos!$I$4:$J$64,2,FALSE)</f>
        <v/>
      </c>
      <c r="F117" s="17626" t="n">
        <v>30</v>
      </c>
      <c r="G117" s="4" t="n">
        <v>27</v>
      </c>
      <c r="H117" s="4">
        <f>IFERROR(F117*G117,0)</f>
        <v/>
      </c>
      <c r="I117">
        <f>VLOOKUP(TablaObra5[[#This Row],[Obra]],Catalogos!$B$3:$C$10,2,FALSE)</f>
        <v/>
      </c>
      <c r="K117" t="n">
        <v>25</v>
      </c>
    </row>
    <row r="118">
      <c r="A118" s="17625" t="n">
        <v>46190</v>
      </c>
      <c r="B118" t="inlineStr">
        <is>
          <t>México-Toluca</t>
        </is>
      </c>
      <c r="C118" s="17625" t="n">
        <v>46190</v>
      </c>
      <c r="D118" t="inlineStr">
        <is>
          <t>Retroexcavadora</t>
        </is>
      </c>
      <c r="E118">
        <f>VLOOKUP(TablaObra5[[#This Row],[Equipo]],Catalogos!$I$4:$J$64,2,FALSE)</f>
        <v/>
      </c>
      <c r="F118" s="17626" t="n">
        <v>80</v>
      </c>
      <c r="G118" s="4" t="n">
        <v>27</v>
      </c>
      <c r="H118" s="4">
        <f>IFERROR(F118*G118,0)</f>
        <v/>
      </c>
      <c r="I118">
        <f>VLOOKUP(TablaObra5[[#This Row],[Obra]],Catalogos!$B$3:$C$10,2,FALSE)</f>
        <v/>
      </c>
      <c r="K118" t="n">
        <v>25</v>
      </c>
    </row>
    <row r="119">
      <c r="A119" s="17625" t="n">
        <v>46190</v>
      </c>
      <c r="B119" t="inlineStr">
        <is>
          <t>México-Toluca</t>
        </is>
      </c>
      <c r="C119" s="17625" t="n">
        <v>46190</v>
      </c>
      <c r="D119" t="inlineStr">
        <is>
          <t>Petrolizadora Elton</t>
        </is>
      </c>
      <c r="E119">
        <f>VLOOKUP(TablaObra5[[#This Row],[Equipo]],Catalogos!$I$4:$J$64,2,FALSE)</f>
        <v/>
      </c>
      <c r="F119" s="17626" t="n">
        <v>50</v>
      </c>
      <c r="G119" s="4" t="n">
        <v>27</v>
      </c>
      <c r="H119" s="4">
        <f>IFERROR(F119*G119,0)</f>
        <v/>
      </c>
      <c r="I119">
        <f>VLOOKUP(TablaObra5[[#This Row],[Obra]],Catalogos!$B$3:$C$10,2,FALSE)</f>
        <v/>
      </c>
      <c r="K119" t="n">
        <v>25</v>
      </c>
    </row>
    <row r="120">
      <c r="A120" s="17625" t="n">
        <v>46190</v>
      </c>
      <c r="B120" t="inlineStr">
        <is>
          <t>Bacheo Toluca</t>
        </is>
      </c>
      <c r="C120" s="17625" t="n">
        <v>46190</v>
      </c>
      <c r="D120" t="inlineStr">
        <is>
          <t>Retroexcavadora</t>
        </is>
      </c>
      <c r="E120">
        <f>VLOOKUP(TablaObra5[[#This Row],[Equipo]],Catalogos!$I$4:$J$64,2,FALSE)</f>
        <v/>
      </c>
      <c r="F120" s="17626" t="n">
        <v>70</v>
      </c>
      <c r="G120" s="4" t="n">
        <v>27</v>
      </c>
      <c r="H120" s="4">
        <f>IFERROR(F120*G120,0)</f>
        <v/>
      </c>
      <c r="I120">
        <f>VLOOKUP(TablaObra5[[#This Row],[Obra]],Catalogos!$B$3:$C$10,2,FALSE)</f>
        <v/>
      </c>
      <c r="K120" t="n">
        <v>25</v>
      </c>
    </row>
    <row r="121">
      <c r="A121" s="17625" t="n">
        <v>46190</v>
      </c>
      <c r="B121" t="inlineStr">
        <is>
          <t>Bacheo Toluca</t>
        </is>
      </c>
      <c r="C121" s="17625" t="n">
        <v>46190</v>
      </c>
      <c r="D121" t="inlineStr">
        <is>
          <t>Retroexcavadora</t>
        </is>
      </c>
      <c r="E121">
        <f>VLOOKUP(TablaObra5[[#This Row],[Equipo]],Catalogos!$I$4:$J$64,2,FALSE)</f>
        <v/>
      </c>
      <c r="F121" s="17626" t="n">
        <v>70</v>
      </c>
      <c r="G121" s="4" t="n">
        <v>27</v>
      </c>
      <c r="H121" s="4">
        <f>IFERROR(F121*G121,0)</f>
        <v/>
      </c>
      <c r="I121">
        <f>VLOOKUP(TablaObra5[[#This Row],[Obra]],Catalogos!$B$3:$C$10,2,FALSE)</f>
        <v/>
      </c>
      <c r="K121" t="n">
        <v>25</v>
      </c>
    </row>
    <row r="122">
      <c r="A122" s="17625" t="n">
        <v>46190</v>
      </c>
      <c r="B122" t="inlineStr">
        <is>
          <t>Bacheo Toluca</t>
        </is>
      </c>
      <c r="C122" s="17625" t="n">
        <v>46190</v>
      </c>
      <c r="D122" t="inlineStr">
        <is>
          <t>Perfiladora</t>
        </is>
      </c>
      <c r="E122">
        <f>VLOOKUP(TablaObra5[[#This Row],[Equipo]],Catalogos!$I$4:$J$64,2,FALSE)</f>
        <v/>
      </c>
      <c r="F122" s="17626" t="n">
        <v>200</v>
      </c>
      <c r="G122" s="4" t="n">
        <v>27</v>
      </c>
      <c r="H122" s="4">
        <f>IFERROR(F122*G122,0)</f>
        <v/>
      </c>
      <c r="I122">
        <f>VLOOKUP(TablaObra5[[#This Row],[Obra]],Catalogos!$B$3:$C$10,2,FALSE)</f>
        <v/>
      </c>
      <c r="K122" t="n">
        <v>25</v>
      </c>
    </row>
    <row r="123">
      <c r="A123" s="17625" t="n">
        <v>46190</v>
      </c>
      <c r="B123" t="inlineStr">
        <is>
          <t>Bacheo Toluca</t>
        </is>
      </c>
      <c r="C123" s="17625" t="n">
        <v>46190</v>
      </c>
      <c r="D123" t="inlineStr">
        <is>
          <t>Doble Rodillo</t>
        </is>
      </c>
      <c r="E123">
        <f>VLOOKUP(TablaObra5[[#This Row],[Equipo]],Catalogos!$I$4:$J$64,2,FALSE)</f>
        <v/>
      </c>
      <c r="F123" s="17626" t="n">
        <v>20</v>
      </c>
      <c r="G123" s="4" t="n">
        <v>27</v>
      </c>
      <c r="H123" s="4">
        <f>IFERROR(F123*G123,0)</f>
        <v/>
      </c>
      <c r="I123">
        <f>VLOOKUP(TablaObra5[[#This Row],[Obra]],Catalogos!$B$3:$C$10,2,FALSE)</f>
        <v/>
      </c>
      <c r="K123" t="n">
        <v>25</v>
      </c>
    </row>
    <row r="124">
      <c r="A124" s="17625" t="n">
        <v>46190</v>
      </c>
      <c r="B124" t="inlineStr">
        <is>
          <t>México-Toluca</t>
        </is>
      </c>
      <c r="C124" s="17625" t="n">
        <v>46191</v>
      </c>
      <c r="D124" t="inlineStr">
        <is>
          <t>Perfiladora Wirgent</t>
        </is>
      </c>
      <c r="E124">
        <f>VLOOKUP(TablaObra5[[#This Row],[Equipo]],Catalogos!$I$4:$J$64,2,FALSE)</f>
        <v/>
      </c>
      <c r="F124" s="17626" t="n">
        <v>250</v>
      </c>
      <c r="G124" s="4" t="n">
        <v>27</v>
      </c>
      <c r="H124" s="4">
        <f>IFERROR(F124*G124,0)</f>
        <v/>
      </c>
      <c r="I124">
        <f>VLOOKUP(TablaObra5[[#This Row],[Obra]],Catalogos!$B$3:$C$10,2,FALSE)</f>
        <v/>
      </c>
      <c r="K124" t="n">
        <v>25</v>
      </c>
    </row>
    <row r="125">
      <c r="A125" s="17625" t="n">
        <v>46190</v>
      </c>
      <c r="B125" t="inlineStr">
        <is>
          <t>México-Toluca</t>
        </is>
      </c>
      <c r="C125" s="17625" t="n">
        <v>46191</v>
      </c>
      <c r="D125" t="inlineStr">
        <is>
          <t>Vogele Guion</t>
        </is>
      </c>
      <c r="E125">
        <f>VLOOKUP(TablaObra5[[#This Row],[Equipo]],Catalogos!$I$4:$J$64,2,FALSE)</f>
        <v/>
      </c>
      <c r="F125" s="17626" t="n">
        <v>100</v>
      </c>
      <c r="G125" s="4" t="n">
        <v>27</v>
      </c>
      <c r="H125" s="4">
        <f>IFERROR(F125*G125,0)</f>
        <v/>
      </c>
      <c r="I125">
        <f>VLOOKUP(TablaObra5[[#This Row],[Obra]],Catalogos!$B$3:$C$10,2,FALSE)</f>
        <v/>
      </c>
      <c r="K125" t="n">
        <v>25</v>
      </c>
    </row>
    <row r="126">
      <c r="A126" s="17625" t="n">
        <v>46190</v>
      </c>
      <c r="B126" t="inlineStr">
        <is>
          <t>México-Toluca</t>
        </is>
      </c>
      <c r="C126" s="17625" t="n">
        <v>46191</v>
      </c>
      <c r="D126" t="inlineStr">
        <is>
          <t>Limpieza</t>
        </is>
      </c>
      <c r="E126">
        <f>VLOOKUP(TablaObra5[[#This Row],[Equipo]],Catalogos!$I$4:$J$64,2,FALSE)</f>
        <v/>
      </c>
      <c r="F126" s="17626" t="n">
        <v>20</v>
      </c>
      <c r="G126" s="4" t="n">
        <v>27</v>
      </c>
      <c r="H126" s="4">
        <f>IFERROR(F126*G126,0)</f>
        <v/>
      </c>
      <c r="I126">
        <f>VLOOKUP(TablaObra5[[#This Row],[Obra]],Catalogos!$B$3:$C$10,2,FALSE)</f>
        <v/>
      </c>
      <c r="K126" t="n">
        <v>25</v>
      </c>
    </row>
    <row r="127">
      <c r="A127" s="17625" t="n">
        <v>46190</v>
      </c>
      <c r="B127" t="inlineStr">
        <is>
          <t>México-Toluca</t>
        </is>
      </c>
      <c r="C127" s="17625" t="n">
        <v>46191</v>
      </c>
      <c r="D127" t="inlineStr">
        <is>
          <t>Tandem Hamm</t>
        </is>
      </c>
      <c r="E127">
        <f>VLOOKUP(TablaObra5[[#This Row],[Equipo]],Catalogos!$I$4:$J$64,2,FALSE)</f>
        <v/>
      </c>
      <c r="F127" s="17626" t="n">
        <v>40</v>
      </c>
      <c r="G127" s="4" t="n">
        <v>27</v>
      </c>
      <c r="H127" s="4">
        <f>IFERROR(F127*G127,0)</f>
        <v/>
      </c>
      <c r="I127">
        <f>VLOOKUP(TablaObra5[[#This Row],[Obra]],Catalogos!$B$3:$C$10,2,FALSE)</f>
        <v/>
      </c>
      <c r="K127" t="n">
        <v>25</v>
      </c>
    </row>
    <row r="128">
      <c r="A128" s="17625" t="n">
        <v>46190</v>
      </c>
      <c r="B128" t="inlineStr">
        <is>
          <t>México-Toluca</t>
        </is>
      </c>
      <c r="C128" s="17625" t="n">
        <v>46191</v>
      </c>
      <c r="D128" t="inlineStr">
        <is>
          <t>Neuomatico</t>
        </is>
      </c>
      <c r="E128">
        <f>VLOOKUP(TablaObra5[[#This Row],[Equipo]],Catalogos!$I$4:$J$64,2,FALSE)</f>
        <v/>
      </c>
      <c r="F128" s="17626" t="n">
        <v>40</v>
      </c>
      <c r="G128" s="4" t="n">
        <v>27</v>
      </c>
      <c r="H128" s="4">
        <f>IFERROR(F128*G128,0)</f>
        <v/>
      </c>
      <c r="I128">
        <f>VLOOKUP(TablaObra5[[#This Row],[Obra]],Catalogos!$B$3:$C$10,2,FALSE)</f>
        <v/>
      </c>
      <c r="K128" t="n">
        <v>25</v>
      </c>
    </row>
    <row r="129">
      <c r="A129" s="17625" t="n">
        <v>46190</v>
      </c>
      <c r="B129" t="inlineStr">
        <is>
          <t>México-Toluca</t>
        </is>
      </c>
      <c r="C129" s="17625" t="n">
        <v>46191</v>
      </c>
      <c r="D129" t="inlineStr">
        <is>
          <t>Barredora Broce</t>
        </is>
      </c>
      <c r="E129">
        <f>VLOOKUP(TablaObra5[[#This Row],[Equipo]],Catalogos!$I$4:$J$64,2,FALSE)</f>
        <v/>
      </c>
      <c r="F129" s="17626" t="n">
        <v>30</v>
      </c>
      <c r="G129" s="4" t="n">
        <v>27</v>
      </c>
      <c r="H129" s="4">
        <f>IFERROR(F129*G129,0)</f>
        <v/>
      </c>
      <c r="I129">
        <f>VLOOKUP(TablaObra5[[#This Row],[Obra]],Catalogos!$B$3:$C$10,2,FALSE)</f>
        <v/>
      </c>
      <c r="K129" t="n">
        <v>25</v>
      </c>
    </row>
    <row r="130">
      <c r="A130" s="17625" t="n">
        <v>46190</v>
      </c>
      <c r="B130" t="inlineStr">
        <is>
          <t>México-Toluca</t>
        </is>
      </c>
      <c r="C130" s="17625" t="n">
        <v>46191</v>
      </c>
      <c r="D130" t="inlineStr">
        <is>
          <t>Retroexcavadora</t>
        </is>
      </c>
      <c r="E130">
        <f>VLOOKUP(TablaObra5[[#This Row],[Equipo]],Catalogos!$I$4:$J$64,2,FALSE)</f>
        <v/>
      </c>
      <c r="F130" s="17626" t="n">
        <v>70</v>
      </c>
      <c r="G130" s="4" t="n">
        <v>27</v>
      </c>
      <c r="H130" s="4">
        <f>IFERROR(F130*G130,0)</f>
        <v/>
      </c>
      <c r="I130">
        <f>VLOOKUP(TablaObra5[[#This Row],[Obra]],Catalogos!$B$3:$C$10,2,FALSE)</f>
        <v/>
      </c>
      <c r="K130" t="n">
        <v>25</v>
      </c>
    </row>
    <row r="131">
      <c r="A131" s="17625" t="n">
        <v>46190</v>
      </c>
      <c r="B131" t="inlineStr">
        <is>
          <t>México-Toluca</t>
        </is>
      </c>
      <c r="C131" s="17625" t="n">
        <v>46191</v>
      </c>
      <c r="D131" t="inlineStr">
        <is>
          <t>Petrolizadora Elton</t>
        </is>
      </c>
      <c r="E131">
        <f>VLOOKUP(TablaObra5[[#This Row],[Equipo]],Catalogos!$I$4:$J$64,2,FALSE)</f>
        <v/>
      </c>
      <c r="F131" s="17626" t="n">
        <v>40</v>
      </c>
      <c r="G131" s="4" t="n">
        <v>27</v>
      </c>
      <c r="H131" s="4">
        <f>IFERROR(F131*G131,0)</f>
        <v/>
      </c>
      <c r="I131">
        <f>VLOOKUP(TablaObra5[[#This Row],[Obra]],Catalogos!$B$3:$C$10,2,FALSE)</f>
        <v/>
      </c>
      <c r="K131" t="n">
        <v>25</v>
      </c>
    </row>
    <row r="132">
      <c r="A132" s="17625" t="n">
        <v>46190</v>
      </c>
      <c r="B132" t="inlineStr">
        <is>
          <t>Lerma - Tres Marías</t>
        </is>
      </c>
      <c r="C132" s="17625" t="n">
        <v>46191</v>
      </c>
      <c r="D132" t="inlineStr">
        <is>
          <t>Camion de Impacto</t>
        </is>
      </c>
      <c r="E132">
        <f>VLOOKUP(TablaObra5[[#This Row],[Equipo]],Catalogos!$I$4:$J$64,2,FALSE)</f>
        <v/>
      </c>
      <c r="F132" s="17626" t="n">
        <v>80</v>
      </c>
      <c r="G132" s="4" t="n">
        <v>27</v>
      </c>
      <c r="H132" s="4">
        <f>IFERROR(F132*G132,0)</f>
        <v/>
      </c>
      <c r="I132">
        <f>VLOOKUP(TablaObra5[[#This Row],[Obra]],Catalogos!$B$3:$C$10,2,FALSE)</f>
        <v/>
      </c>
      <c r="K132" t="n">
        <v>25</v>
      </c>
    </row>
    <row r="133">
      <c r="A133" s="17625" t="n">
        <v>46191</v>
      </c>
      <c r="B133" t="inlineStr">
        <is>
          <t>Planta Asflato Huixquilucan</t>
        </is>
      </c>
      <c r="C133" s="17625" t="n">
        <v>38887</v>
      </c>
      <c r="D133" t="inlineStr">
        <is>
          <t>Maxilihgs</t>
        </is>
      </c>
      <c r="E133">
        <f>VLOOKUP(TablaObra5[[#This Row],[Equipo]],Catalogos!$I$4:$J$64,2,FALSE)</f>
        <v/>
      </c>
      <c r="F133" s="17626" t="n">
        <v>100</v>
      </c>
      <c r="G133" s="4" t="n">
        <v>27</v>
      </c>
      <c r="H133" s="4">
        <f>IFERROR(F133*G133,0)</f>
        <v/>
      </c>
      <c r="I133">
        <f>VLOOKUP(TablaObra5[[#This Row],[Obra]],Catalogos!$B$3:$C$10,2,FALSE)</f>
        <v/>
      </c>
      <c r="K133" t="n">
        <v>26</v>
      </c>
    </row>
    <row r="134">
      <c r="A134" s="17625" t="n">
        <v>46191</v>
      </c>
      <c r="B134" t="inlineStr">
        <is>
          <t>Planta Asflato Huixquilucan</t>
        </is>
      </c>
      <c r="C134" s="17625" t="n">
        <v>38887</v>
      </c>
      <c r="D134" t="inlineStr">
        <is>
          <t>Generador</t>
        </is>
      </c>
      <c r="E134">
        <f>VLOOKUP(TablaObra5[[#This Row],[Equipo]],Catalogos!$I$4:$J$64,2,FALSE)</f>
        <v/>
      </c>
      <c r="F134" s="17626" t="n">
        <v>200</v>
      </c>
      <c r="G134" s="4" t="n">
        <v>27</v>
      </c>
      <c r="H134" s="4">
        <f>IFERROR(F134*G134,0)</f>
        <v/>
      </c>
      <c r="I134">
        <f>VLOOKUP(TablaObra5[[#This Row],[Obra]],Catalogos!$B$3:$C$10,2,FALSE)</f>
        <v/>
      </c>
      <c r="K134" t="n">
        <v>26</v>
      </c>
    </row>
    <row r="135">
      <c r="A135" s="17625" t="n">
        <v>46191</v>
      </c>
      <c r="B135" t="inlineStr">
        <is>
          <t>Planta Asflato Huixquilucan</t>
        </is>
      </c>
      <c r="C135" s="17625" t="n">
        <v>38887</v>
      </c>
      <c r="D135" t="inlineStr">
        <is>
          <t>PayLoder</t>
        </is>
      </c>
      <c r="E135">
        <f>VLOOKUP(TablaObra5[[#This Row],[Equipo]],Catalogos!$I$4:$J$64,2,FALSE)</f>
        <v/>
      </c>
      <c r="F135" s="17626" t="n">
        <v>100</v>
      </c>
      <c r="G135" s="4" t="n">
        <v>27</v>
      </c>
      <c r="H135" s="4">
        <f>IFERROR(F135*G135,0)</f>
        <v/>
      </c>
      <c r="I135">
        <f>VLOOKUP(TablaObra5[[#This Row],[Obra]],Catalogos!$B$3:$C$10,2,FALSE)</f>
        <v/>
      </c>
      <c r="K135" t="n">
        <v>26</v>
      </c>
    </row>
    <row r="136">
      <c r="A136" s="17625" t="n">
        <v>46191</v>
      </c>
      <c r="B136" t="inlineStr">
        <is>
          <t>Planta Asflato Huixquilucan</t>
        </is>
      </c>
      <c r="C136" s="17625" t="n">
        <v>38887</v>
      </c>
      <c r="D136" t="inlineStr">
        <is>
          <t>Criba Roja</t>
        </is>
      </c>
      <c r="E136">
        <f>VLOOKUP(TablaObra5[[#This Row],[Equipo]],Catalogos!$I$4:$J$64,2,FALSE)</f>
        <v/>
      </c>
      <c r="F136" s="17626" t="n">
        <v>100</v>
      </c>
      <c r="G136" s="4" t="n">
        <v>27</v>
      </c>
      <c r="H136" s="4">
        <f>IFERROR(F136*G136,0)</f>
        <v/>
      </c>
      <c r="I136">
        <f>VLOOKUP(TablaObra5[[#This Row],[Obra]],Catalogos!$B$3:$C$10,2,FALSE)</f>
        <v/>
      </c>
      <c r="K136" t="n">
        <v>26</v>
      </c>
    </row>
    <row r="137">
      <c r="A137" s="17625" t="n">
        <v>46191</v>
      </c>
      <c r="B137" t="inlineStr">
        <is>
          <t>Lerma - Tres Marías</t>
        </is>
      </c>
      <c r="C137" s="17625" t="n">
        <v>38887</v>
      </c>
      <c r="D137" t="inlineStr">
        <is>
          <t>Retroexcavadora</t>
        </is>
      </c>
      <c r="E137">
        <f>VLOOKUP(TablaObra5[[#This Row],[Equipo]],Catalogos!$I$4:$J$64,2,FALSE)</f>
        <v/>
      </c>
      <c r="F137" s="17626" t="n">
        <v>80</v>
      </c>
      <c r="G137" s="4" t="n">
        <v>27</v>
      </c>
      <c r="H137" s="4">
        <f>IFERROR(F137*G137,0)</f>
        <v/>
      </c>
      <c r="I137">
        <f>VLOOKUP(TablaObra5[[#This Row],[Obra]],Catalogos!$B$3:$C$10,2,FALSE)</f>
        <v/>
      </c>
      <c r="K137" t="n">
        <v>26</v>
      </c>
    </row>
    <row r="138">
      <c r="A138" s="17625" t="n">
        <v>46191</v>
      </c>
      <c r="B138" t="inlineStr">
        <is>
          <t>Lerma - Tres Marías</t>
        </is>
      </c>
      <c r="C138" s="17625" t="n">
        <v>38887</v>
      </c>
      <c r="D138" t="inlineStr">
        <is>
          <t>Tandem Hamm</t>
        </is>
      </c>
      <c r="E138">
        <f>VLOOKUP(TablaObra5[[#This Row],[Equipo]],Catalogos!$I$4:$J$64,2,FALSE)</f>
        <v/>
      </c>
      <c r="F138" s="17626" t="n">
        <v>50</v>
      </c>
      <c r="G138" s="4" t="n">
        <v>27</v>
      </c>
      <c r="H138" s="4">
        <f>IFERROR(F138*G138,0)</f>
        <v/>
      </c>
      <c r="I138">
        <f>VLOOKUP(TablaObra5[[#This Row],[Obra]],Catalogos!$B$3:$C$10,2,FALSE)</f>
        <v/>
      </c>
      <c r="K138" t="n">
        <v>26</v>
      </c>
    </row>
    <row r="139">
      <c r="A139" s="17625" t="n">
        <v>46191</v>
      </c>
      <c r="B139" t="inlineStr">
        <is>
          <t>Lerma - Tres Marías</t>
        </is>
      </c>
      <c r="C139" s="17625" t="n">
        <v>38887</v>
      </c>
      <c r="D139" t="inlineStr">
        <is>
          <t>Neuomatico Dynapac</t>
        </is>
      </c>
      <c r="E139">
        <f>VLOOKUP(TablaObra5[[#This Row],[Equipo]],Catalogos!$I$4:$J$64,2,FALSE)</f>
        <v/>
      </c>
      <c r="F139" s="17626" t="n">
        <v>30</v>
      </c>
      <c r="G139" s="4" t="n">
        <v>27</v>
      </c>
      <c r="H139" s="4">
        <f>IFERROR(F139*G139,0)</f>
        <v/>
      </c>
      <c r="I139">
        <f>VLOOKUP(TablaObra5[[#This Row],[Obra]],Catalogos!$B$3:$C$10,2,FALSE)</f>
        <v/>
      </c>
      <c r="K139" t="n">
        <v>26</v>
      </c>
    </row>
    <row r="140">
      <c r="A140" s="17625" t="n">
        <v>46191</v>
      </c>
      <c r="B140" t="inlineStr">
        <is>
          <t>Lerma - Tres Marías</t>
        </is>
      </c>
      <c r="C140" s="17625" t="n">
        <v>38887</v>
      </c>
      <c r="D140" t="inlineStr">
        <is>
          <t>Barredora</t>
        </is>
      </c>
      <c r="E140">
        <f>VLOOKUP(TablaObra5[[#This Row],[Equipo]],Catalogos!$I$4:$J$64,2,FALSE)</f>
        <v/>
      </c>
      <c r="F140" s="17626" t="n">
        <v>50</v>
      </c>
      <c r="G140" s="4" t="n">
        <v>27</v>
      </c>
      <c r="H140" s="4">
        <f>IFERROR(F140*G140,0)</f>
        <v/>
      </c>
      <c r="I140">
        <f>VLOOKUP(TablaObra5[[#This Row],[Obra]],Catalogos!$B$3:$C$10,2,FALSE)</f>
        <v/>
      </c>
      <c r="K140" t="n">
        <v>26</v>
      </c>
    </row>
    <row r="141">
      <c r="A141" s="17625" t="n">
        <v>46191</v>
      </c>
      <c r="B141" t="inlineStr">
        <is>
          <t>Lerma - Tres Marías</t>
        </is>
      </c>
      <c r="C141" s="17625" t="n">
        <v>38887</v>
      </c>
      <c r="D141" t="inlineStr">
        <is>
          <t>Pipa</t>
        </is>
      </c>
      <c r="E141">
        <f>VLOOKUP(TablaObra5[[#This Row],[Equipo]],Catalogos!$I$4:$J$64,2,FALSE)</f>
        <v/>
      </c>
      <c r="F141" s="17626" t="n">
        <v>50</v>
      </c>
      <c r="G141" s="4" t="n">
        <v>27</v>
      </c>
      <c r="H141" s="4">
        <f>IFERROR(F141*G141,0)</f>
        <v/>
      </c>
      <c r="I141">
        <f>VLOOKUP(TablaObra5[[#This Row],[Obra]],Catalogos!$B$3:$C$10,2,FALSE)</f>
        <v/>
      </c>
      <c r="K141" t="n">
        <v>26</v>
      </c>
    </row>
    <row r="142">
      <c r="A142" s="17625" t="n">
        <v>46191</v>
      </c>
      <c r="B142" t="inlineStr">
        <is>
          <t>Lerma - Tres Marías</t>
        </is>
      </c>
      <c r="C142" s="17625" t="n">
        <v>38887</v>
      </c>
      <c r="D142" t="inlineStr">
        <is>
          <t>Perfiladora</t>
        </is>
      </c>
      <c r="E142">
        <f>VLOOKUP(TablaObra5[[#This Row],[Equipo]],Catalogos!$I$4:$J$64,2,FALSE)</f>
        <v/>
      </c>
      <c r="F142" s="17626" t="n">
        <v>200</v>
      </c>
      <c r="G142" s="4" t="n">
        <v>27</v>
      </c>
      <c r="H142" s="4">
        <f>IFERROR(F142*G142,0)</f>
        <v/>
      </c>
      <c r="I142">
        <f>VLOOKUP(TablaObra5[[#This Row],[Obra]],Catalogos!$B$3:$C$10,2,FALSE)</f>
        <v/>
      </c>
      <c r="K142" t="n">
        <v>26</v>
      </c>
    </row>
    <row r="143">
      <c r="A143" s="17625" t="n">
        <v>46191</v>
      </c>
      <c r="B143" t="inlineStr">
        <is>
          <t>Lerma - Tres Marías</t>
        </is>
      </c>
      <c r="C143" s="17625" t="n">
        <v>38887</v>
      </c>
      <c r="D143" t="inlineStr">
        <is>
          <t>Vogel</t>
        </is>
      </c>
      <c r="E143">
        <f>VLOOKUP(TablaObra5[[#This Row],[Equipo]],Catalogos!$I$4:$J$64,2,FALSE)</f>
        <v/>
      </c>
      <c r="F143" s="17626" t="n">
        <v>130</v>
      </c>
      <c r="G143" s="4" t="n">
        <v>27</v>
      </c>
      <c r="H143" s="4">
        <f>IFERROR(F143*G143,0)</f>
        <v/>
      </c>
      <c r="I143">
        <f>VLOOKUP(TablaObra5[[#This Row],[Obra]],Catalogos!$B$3:$C$10,2,FALSE)</f>
        <v/>
      </c>
      <c r="K143" t="n">
        <v>26</v>
      </c>
    </row>
    <row r="144">
      <c r="A144" s="17625" t="n">
        <v>46191</v>
      </c>
      <c r="B144" t="inlineStr">
        <is>
          <t>Lerma - Tres Marías</t>
        </is>
      </c>
      <c r="C144" s="17625" t="n">
        <v>38887</v>
      </c>
      <c r="D144" t="inlineStr">
        <is>
          <t>Limpieza</t>
        </is>
      </c>
      <c r="E144">
        <f>VLOOKUP(TablaObra5[[#This Row],[Equipo]],Catalogos!$I$4:$J$64,2,FALSE)</f>
        <v/>
      </c>
      <c r="F144" s="17626" t="n">
        <v>20</v>
      </c>
      <c r="G144" s="4" t="n">
        <v>27</v>
      </c>
      <c r="H144" s="4">
        <f>IFERROR(F144*G144,0)</f>
        <v/>
      </c>
      <c r="I144">
        <f>VLOOKUP(TablaObra5[[#This Row],[Obra]],Catalogos!$B$3:$C$10,2,FALSE)</f>
        <v/>
      </c>
      <c r="K144" t="n">
        <v>26</v>
      </c>
    </row>
    <row r="145">
      <c r="A145" s="17625" t="n">
        <v>46191</v>
      </c>
      <c r="B145" t="inlineStr">
        <is>
          <t>Lerma - Tres Marías</t>
        </is>
      </c>
      <c r="C145" s="17625" t="n">
        <v>38887</v>
      </c>
      <c r="D145" t="inlineStr">
        <is>
          <t>Rastrillador</t>
        </is>
      </c>
      <c r="E145">
        <f>VLOOKUP(TablaObra5[[#This Row],[Equipo]],Catalogos!$I$4:$J$64,2,FALSE)</f>
        <v/>
      </c>
      <c r="F145" s="17626" t="n">
        <v>10</v>
      </c>
      <c r="G145" s="4" t="n">
        <v>27</v>
      </c>
      <c r="H145" s="4">
        <f>IFERROR(F145*G145,0)</f>
        <v/>
      </c>
      <c r="I145">
        <f>VLOOKUP(TablaObra5[[#This Row],[Obra]],Catalogos!$B$3:$C$10,2,FALSE)</f>
        <v/>
      </c>
      <c r="K145" t="n">
        <v>26</v>
      </c>
    </row>
    <row r="146">
      <c r="A146" s="17625" t="n">
        <v>46191</v>
      </c>
      <c r="B146" t="inlineStr">
        <is>
          <t>Lerma - Tres Marías</t>
        </is>
      </c>
      <c r="C146" s="17625" t="n">
        <v>38887</v>
      </c>
      <c r="D146" t="inlineStr">
        <is>
          <t>Petrolizadora</t>
        </is>
      </c>
      <c r="E146">
        <f>VLOOKUP(TablaObra5[[#This Row],[Equipo]],Catalogos!$I$4:$J$64,2,FALSE)</f>
        <v/>
      </c>
      <c r="F146" s="17626" t="n">
        <v>80</v>
      </c>
      <c r="G146" s="4" t="n">
        <v>27</v>
      </c>
      <c r="H146" s="4">
        <f>IFERROR(F146*G146,0)</f>
        <v/>
      </c>
      <c r="I146">
        <f>VLOOKUP(TablaObra5[[#This Row],[Obra]],Catalogos!$B$3:$C$10,2,FALSE)</f>
        <v/>
      </c>
      <c r="K146" t="n">
        <v>26</v>
      </c>
    </row>
    <row r="147">
      <c r="A147" s="17625" t="n">
        <v>46192</v>
      </c>
      <c r="B147" t="inlineStr">
        <is>
          <t>México-Toluca</t>
        </is>
      </c>
      <c r="C147" s="17625" t="n">
        <v>46192</v>
      </c>
      <c r="D147" t="inlineStr">
        <is>
          <t>Vogele Guion</t>
        </is>
      </c>
      <c r="E147">
        <f>VLOOKUP(TablaObra5[[#This Row],[Equipo]],Catalogos!$I$4:$J$64,2,FALSE)</f>
        <v/>
      </c>
      <c r="F147" s="17626" t="n">
        <v>100</v>
      </c>
      <c r="G147" s="4" t="n">
        <v>27</v>
      </c>
      <c r="H147" s="4">
        <f>IFERROR(F147*G147,0)</f>
        <v/>
      </c>
      <c r="I147">
        <f>VLOOKUP(TablaObra5[[#This Row],[Obra]],Catalogos!$B$3:$C$10,2,FALSE)</f>
        <v/>
      </c>
      <c r="K147" t="n">
        <v>25</v>
      </c>
    </row>
    <row r="148">
      <c r="A148" s="17625" t="n">
        <v>46192</v>
      </c>
      <c r="B148" t="inlineStr">
        <is>
          <t>México-Toluca</t>
        </is>
      </c>
      <c r="C148" s="17625" t="n">
        <v>46192</v>
      </c>
      <c r="D148" t="inlineStr">
        <is>
          <t>Limpieza</t>
        </is>
      </c>
      <c r="E148">
        <f>VLOOKUP(TablaObra5[[#This Row],[Equipo]],Catalogos!$I$4:$J$64,2,FALSE)</f>
        <v/>
      </c>
      <c r="F148" s="17626" t="n">
        <v>20</v>
      </c>
      <c r="G148" s="4" t="n">
        <v>27</v>
      </c>
      <c r="H148" s="4">
        <f>IFERROR(F148*G148,0)</f>
        <v/>
      </c>
      <c r="I148">
        <f>VLOOKUP(TablaObra5[[#This Row],[Obra]],Catalogos!$B$3:$C$10,2,FALSE)</f>
        <v/>
      </c>
      <c r="K148" t="n">
        <v>25</v>
      </c>
    </row>
    <row r="149">
      <c r="A149" s="17625" t="n">
        <v>46192</v>
      </c>
      <c r="B149" t="inlineStr">
        <is>
          <t>México-Toluca</t>
        </is>
      </c>
      <c r="C149" s="17625" t="n">
        <v>46192</v>
      </c>
      <c r="D149" t="inlineStr">
        <is>
          <t>Tandem CAT</t>
        </is>
      </c>
      <c r="E149">
        <f>VLOOKUP(TablaObra5[[#This Row],[Equipo]],Catalogos!$I$4:$J$64,2,FALSE)</f>
        <v/>
      </c>
      <c r="F149" s="17626" t="n">
        <v>60</v>
      </c>
      <c r="G149" s="4" t="n">
        <v>27</v>
      </c>
      <c r="H149" s="4">
        <f>IFERROR(F149*G149,0)</f>
        <v/>
      </c>
      <c r="I149">
        <f>VLOOKUP(TablaObra5[[#This Row],[Obra]],Catalogos!$B$3:$C$10,2,FALSE)</f>
        <v/>
      </c>
      <c r="K149" t="n">
        <v>25</v>
      </c>
    </row>
    <row r="150">
      <c r="A150" s="17625" t="n">
        <v>46192</v>
      </c>
      <c r="B150" t="inlineStr">
        <is>
          <t>México-Toluca</t>
        </is>
      </c>
      <c r="C150" s="17625" t="n">
        <v>46192</v>
      </c>
      <c r="D150" t="inlineStr">
        <is>
          <t>Neuomatico</t>
        </is>
      </c>
      <c r="E150">
        <f>VLOOKUP(TablaObra5[[#This Row],[Equipo]],Catalogos!$I$4:$J$64,2,FALSE)</f>
        <v/>
      </c>
      <c r="F150" s="17626" t="n">
        <v>80</v>
      </c>
      <c r="G150" s="4" t="n">
        <v>27</v>
      </c>
      <c r="H150" s="4">
        <f>IFERROR(F150*G150,0)</f>
        <v/>
      </c>
      <c r="I150">
        <f>VLOOKUP(TablaObra5[[#This Row],[Obra]],Catalogos!$B$3:$C$10,2,FALSE)</f>
        <v/>
      </c>
      <c r="K150" t="n">
        <v>25</v>
      </c>
    </row>
    <row r="151">
      <c r="A151" s="17625" t="n">
        <v>46192</v>
      </c>
      <c r="B151" t="inlineStr">
        <is>
          <t>México-Toluca</t>
        </is>
      </c>
      <c r="C151" s="17625" t="n">
        <v>46192</v>
      </c>
      <c r="D151" t="inlineStr">
        <is>
          <t>Barredora Broce</t>
        </is>
      </c>
      <c r="E151">
        <f>VLOOKUP(TablaObra5[[#This Row],[Equipo]],Catalogos!$I$4:$J$64,2,FALSE)</f>
        <v/>
      </c>
      <c r="F151" s="17626" t="n">
        <v>40</v>
      </c>
      <c r="G151" s="4" t="n">
        <v>27</v>
      </c>
      <c r="H151" s="4">
        <f>IFERROR(F151*G151,0)</f>
        <v/>
      </c>
      <c r="I151">
        <f>VLOOKUP(TablaObra5[[#This Row],[Obra]],Catalogos!$B$3:$C$10,2,FALSE)</f>
        <v/>
      </c>
      <c r="K151" t="n">
        <v>25</v>
      </c>
    </row>
    <row r="152">
      <c r="A152" s="17625" t="n">
        <v>46192</v>
      </c>
      <c r="B152" t="inlineStr">
        <is>
          <t>México-Toluca</t>
        </is>
      </c>
      <c r="C152" s="17625" t="n">
        <v>46192</v>
      </c>
      <c r="D152" t="inlineStr">
        <is>
          <t>Retroexcavadora</t>
        </is>
      </c>
      <c r="E152">
        <f>VLOOKUP(TablaObra5[[#This Row],[Equipo]],Catalogos!$I$4:$J$64,2,FALSE)</f>
        <v/>
      </c>
      <c r="F152" s="17626" t="n">
        <v>80</v>
      </c>
      <c r="G152" s="4" t="n">
        <v>27</v>
      </c>
      <c r="H152" s="4">
        <f>IFERROR(F152*G152,0)</f>
        <v/>
      </c>
      <c r="I152">
        <f>VLOOKUP(TablaObra5[[#This Row],[Obra]],Catalogos!$B$3:$C$10,2,FALSE)</f>
        <v/>
      </c>
      <c r="K152" t="n">
        <v>25</v>
      </c>
    </row>
    <row r="153">
      <c r="A153" s="17625" t="n">
        <v>46192</v>
      </c>
      <c r="B153" t="inlineStr">
        <is>
          <t>México-Toluca</t>
        </is>
      </c>
      <c r="C153" s="17625" t="n">
        <v>46192</v>
      </c>
      <c r="D153" t="inlineStr">
        <is>
          <t>Petrolizadora</t>
        </is>
      </c>
      <c r="E153">
        <f>VLOOKUP(TablaObra5[[#This Row],[Equipo]],Catalogos!$I$4:$J$64,2,FALSE)</f>
        <v/>
      </c>
      <c r="F153" s="17626" t="n">
        <v>50</v>
      </c>
      <c r="G153" s="4" t="n">
        <v>27</v>
      </c>
      <c r="H153" s="4">
        <f>IFERROR(F153*G153,0)</f>
        <v/>
      </c>
      <c r="I153">
        <f>VLOOKUP(TablaObra5[[#This Row],[Obra]],Catalogos!$B$3:$C$10,2,FALSE)</f>
        <v/>
      </c>
      <c r="K153" t="n">
        <v>25</v>
      </c>
    </row>
    <row r="154">
      <c r="A154" s="17625" t="n">
        <v>46192</v>
      </c>
      <c r="B154" t="inlineStr">
        <is>
          <t>Bacheo Toluca</t>
        </is>
      </c>
      <c r="D154" t="inlineStr">
        <is>
          <t>Retroexcavadora</t>
        </is>
      </c>
      <c r="E154">
        <f>VLOOKUP(TablaObra5[[#This Row],[Equipo]],Catalogos!$I$4:$J$64,2,FALSE)</f>
        <v/>
      </c>
      <c r="F154" s="17626" t="n">
        <v>60</v>
      </c>
      <c r="G154" s="4" t="n">
        <v>27</v>
      </c>
      <c r="H154" s="4">
        <f>IFERROR(F154*G154,0)</f>
        <v/>
      </c>
      <c r="I154">
        <f>VLOOKUP(TablaObra5[[#This Row],[Obra]],Catalogos!$B$3:$C$10,2,FALSE)</f>
        <v/>
      </c>
      <c r="K154" t="n">
        <v>25</v>
      </c>
    </row>
    <row r="155">
      <c r="A155" s="17625" t="n">
        <v>46192</v>
      </c>
      <c r="B155" t="inlineStr">
        <is>
          <t>Bacheo Toluca</t>
        </is>
      </c>
      <c r="D155" t="inlineStr">
        <is>
          <t>Retroexcavadora</t>
        </is>
      </c>
      <c r="E155">
        <f>VLOOKUP(TablaObra5[[#This Row],[Equipo]],Catalogos!$I$4:$J$64,2,FALSE)</f>
        <v/>
      </c>
      <c r="F155" s="17626" t="n">
        <v>50</v>
      </c>
      <c r="G155" s="4" t="n">
        <v>27</v>
      </c>
      <c r="H155" s="4">
        <f>IFERROR(F155*G155,0)</f>
        <v/>
      </c>
      <c r="I155">
        <f>VLOOKUP(TablaObra5[[#This Row],[Obra]],Catalogos!$B$3:$C$10,2,FALSE)</f>
        <v/>
      </c>
      <c r="K155" t="n">
        <v>25</v>
      </c>
    </row>
    <row r="156">
      <c r="A156" s="17625" t="n">
        <v>46194</v>
      </c>
      <c r="B156" t="inlineStr">
        <is>
          <t>Lerma - Tres Marías</t>
        </is>
      </c>
      <c r="C156" s="17625" t="n">
        <v>46195</v>
      </c>
      <c r="D156" t="inlineStr">
        <is>
          <t>PERFILADORA RODATEC RX600E</t>
        </is>
      </c>
      <c r="E156">
        <f>VLOOKUP(TablaObra5[[#This Row],[Equipo]],Catalogos!$I$4:$J$64,2,FALSE)</f>
        <v/>
      </c>
      <c r="F156" s="17626" t="n">
        <v>240</v>
      </c>
      <c r="G156" s="4" t="n">
        <v>27</v>
      </c>
      <c r="H156" s="4">
        <f>IFERROR(F156*G156,0)</f>
        <v/>
      </c>
      <c r="I156">
        <f>VLOOKUP(TablaObra5[[#This Row],[Obra]],Catalogos!$B$3:$C$10,2,FALSE)</f>
        <v/>
      </c>
      <c r="K156" t="n">
        <v>26</v>
      </c>
    </row>
    <row r="157">
      <c r="A157" s="17625" t="n">
        <v>46194</v>
      </c>
      <c r="B157" t="inlineStr">
        <is>
          <t>Lerma - Tres Marías</t>
        </is>
      </c>
      <c r="C157" s="17625" t="n">
        <v>46195</v>
      </c>
      <c r="D157" t="inlineStr">
        <is>
          <t>BARREDORA LAYMOR SM400</t>
        </is>
      </c>
      <c r="E157">
        <f>VLOOKUP(TablaObra5[[#This Row],[Equipo]],Catalogos!$I$4:$J$64,2,FALSE)</f>
        <v/>
      </c>
      <c r="F157" s="17626" t="n">
        <v>20</v>
      </c>
      <c r="G157" s="4" t="n">
        <v>27</v>
      </c>
      <c r="H157" s="4">
        <f>IFERROR(F157*G157,0)</f>
        <v/>
      </c>
      <c r="I157">
        <f>VLOOKUP(TablaObra5[[#This Row],[Obra]],Catalogos!$B$3:$C$10,2,FALSE)</f>
        <v/>
      </c>
      <c r="K157" t="n">
        <v>26</v>
      </c>
    </row>
    <row r="158">
      <c r="A158" s="17625" t="n">
        <v>46194</v>
      </c>
      <c r="B158" t="inlineStr">
        <is>
          <t>Lerma - Tres Marías</t>
        </is>
      </c>
      <c r="C158" s="17625" t="n">
        <v>46195</v>
      </c>
      <c r="D158" t="inlineStr">
        <is>
          <t>RETROEXCAVADORA JHONDEREE 310 K</t>
        </is>
      </c>
      <c r="E158">
        <f>VLOOKUP(TablaObra5[[#This Row],[Equipo]],Catalogos!$I$4:$J$64,2,FALSE)</f>
        <v/>
      </c>
      <c r="F158" s="17626" t="n">
        <v>30</v>
      </c>
      <c r="G158" s="4" t="n">
        <v>27</v>
      </c>
      <c r="H158" s="4">
        <f>IFERROR(F158*G158,0)</f>
        <v/>
      </c>
      <c r="I158">
        <f>VLOOKUP(TablaObra5[[#This Row],[Obra]],Catalogos!$B$3:$C$10,2,FALSE)</f>
        <v/>
      </c>
      <c r="K158" t="n">
        <v>26</v>
      </c>
    </row>
    <row r="159">
      <c r="A159" s="17625" t="n">
        <v>46194</v>
      </c>
      <c r="B159" t="inlineStr">
        <is>
          <t>Lerma - Tres Marías</t>
        </is>
      </c>
      <c r="C159" s="17625" t="n">
        <v>46195</v>
      </c>
      <c r="D159" t="inlineStr">
        <is>
          <t>PAVIMENTADORA VOGELE 1800-3 I</t>
        </is>
      </c>
      <c r="E159">
        <f>VLOOKUP(TablaObra5[[#This Row],[Equipo]],Catalogos!$I$4:$J$64,2,FALSE)</f>
        <v/>
      </c>
      <c r="F159" s="17626" t="n">
        <v>80</v>
      </c>
      <c r="G159" s="4" t="n">
        <v>27</v>
      </c>
      <c r="H159" s="4">
        <f>IFERROR(F159*G159,0)</f>
        <v/>
      </c>
      <c r="I159">
        <f>VLOOKUP(TablaObra5[[#This Row],[Obra]],Catalogos!$B$3:$C$10,2,FALSE)</f>
        <v/>
      </c>
      <c r="K159" t="n">
        <v>26</v>
      </c>
    </row>
    <row r="160">
      <c r="A160" s="17625" t="n">
        <v>46194</v>
      </c>
      <c r="B160" t="inlineStr">
        <is>
          <t>Lerma - Tres Marías</t>
        </is>
      </c>
      <c r="C160" s="17625" t="n">
        <v>46195</v>
      </c>
      <c r="D160" t="inlineStr">
        <is>
          <t>DOBLE RODILLO RAD ROLLER FILY-325 PRO</t>
        </is>
      </c>
      <c r="E160">
        <f>VLOOKUP(TablaObra5[[#This Row],[Equipo]],Catalogos!$I$4:$J$64,2,FALSE)</f>
        <v/>
      </c>
      <c r="F160" s="17626" t="n">
        <v>40</v>
      </c>
      <c r="G160" s="4" t="n">
        <v>27</v>
      </c>
      <c r="H160" s="4">
        <f>IFERROR(F160*G160,0)</f>
        <v/>
      </c>
      <c r="I160">
        <f>VLOOKUP(TablaObra5[[#This Row],[Obra]],Catalogos!$B$3:$C$10,2,FALSE)</f>
        <v/>
      </c>
      <c r="K160" t="n">
        <v>26</v>
      </c>
    </row>
    <row r="161">
      <c r="A161" s="17625" t="n">
        <v>46194</v>
      </c>
      <c r="B161" t="inlineStr">
        <is>
          <t>Lerma - Tres Marías</t>
        </is>
      </c>
      <c r="C161" s="17625" t="n">
        <v>46195</v>
      </c>
      <c r="D161" t="inlineStr">
        <is>
          <t>NEUMATICO / COMPACTADOR DE NEUMATICOS DINAPAC CP271</t>
        </is>
      </c>
      <c r="E161">
        <f>VLOOKUP(TablaObra5[[#This Row],[Equipo]],Catalogos!$I$4:$J$64,2,FALSE)</f>
        <v/>
      </c>
      <c r="F161" s="17626" t="n">
        <v>24</v>
      </c>
      <c r="G161" s="4" t="n">
        <v>27</v>
      </c>
      <c r="H161" s="4">
        <f>IFERROR(F161*G161,0)</f>
        <v/>
      </c>
      <c r="I161">
        <f>VLOOKUP(TablaObra5[[#This Row],[Obra]],Catalogos!$B$3:$C$10,2,FALSE)</f>
        <v/>
      </c>
      <c r="K161" t="n">
        <v>26</v>
      </c>
    </row>
    <row r="162">
      <c r="A162" s="17625" t="n">
        <v>46194</v>
      </c>
      <c r="B162" t="inlineStr">
        <is>
          <t>Lerma - Tres Marías</t>
        </is>
      </c>
      <c r="C162" s="17625" t="n">
        <v>46195</v>
      </c>
      <c r="D162" t="inlineStr">
        <is>
          <t>IMPACTO FORD 4300</t>
        </is>
      </c>
      <c r="E162">
        <f>VLOOKUP(TablaObra5[[#This Row],[Equipo]],Catalogos!$I$4:$J$64,2,FALSE)</f>
        <v/>
      </c>
      <c r="F162" s="17626" t="n">
        <v>60</v>
      </c>
      <c r="G162" s="4" t="n">
        <v>27</v>
      </c>
      <c r="H162" s="4">
        <f>IFERROR(F162*G162,0)</f>
        <v/>
      </c>
      <c r="I162">
        <f>VLOOKUP(TablaObra5[[#This Row],[Obra]],Catalogos!$B$3:$C$10,2,FALSE)</f>
        <v/>
      </c>
      <c r="K162" t="n">
        <v>26</v>
      </c>
    </row>
    <row r="163">
      <c r="A163" s="17625" t="n">
        <v>46194</v>
      </c>
      <c r="B163" t="inlineStr">
        <is>
          <t>Lerma - Tres Marías</t>
        </is>
      </c>
      <c r="C163" s="17625" t="n">
        <v>46195</v>
      </c>
      <c r="D163" t="inlineStr">
        <is>
          <t>COMPRESOR SULLIVAN PALATEK D2010</t>
        </is>
      </c>
      <c r="E163">
        <f>VLOOKUP(TablaObra5[[#This Row],[Equipo]],Catalogos!$I$4:$J$64,2,FALSE)</f>
        <v/>
      </c>
      <c r="F163" s="17626" t="n">
        <v>24</v>
      </c>
      <c r="G163" s="4" t="n">
        <v>27</v>
      </c>
      <c r="H163" s="4">
        <f>IFERROR(F163*G163,0)</f>
        <v/>
      </c>
      <c r="I163">
        <f>VLOOKUP(TablaObra5[[#This Row],[Obra]],Catalogos!$B$3:$C$10,2,FALSE)</f>
        <v/>
      </c>
      <c r="K163" t="n">
        <v>26</v>
      </c>
    </row>
    <row r="164">
      <c r="A164" s="17625" t="n">
        <v>46194</v>
      </c>
      <c r="B164" t="inlineStr">
        <is>
          <t>Lerma - Tres Marías</t>
        </is>
      </c>
      <c r="C164" s="17625" t="n">
        <v>46195</v>
      </c>
      <c r="D164" t="inlineStr">
        <is>
          <t>PETROLIZADORA INTERNATIONAL</t>
        </is>
      </c>
      <c r="E164">
        <f>VLOOKUP(TablaObra5[[#This Row],[Equipo]],Catalogos!$I$4:$J$64,2,FALSE)</f>
        <v/>
      </c>
      <c r="F164" s="17626" t="n">
        <v>60</v>
      </c>
      <c r="G164" s="4" t="n">
        <v>27</v>
      </c>
      <c r="H164" s="4">
        <f>IFERROR(F164*G164,0)</f>
        <v/>
      </c>
      <c r="I164">
        <f>VLOOKUP(TablaObra5[[#This Row],[Obra]],Catalogos!$B$3:$C$10,2,FALSE)</f>
        <v/>
      </c>
      <c r="K164" t="n">
        <v>26</v>
      </c>
    </row>
    <row r="165">
      <c r="A165" s="17625" t="n">
        <v>46194</v>
      </c>
      <c r="B165" t="inlineStr">
        <is>
          <t>Lerma - Tres Marías</t>
        </is>
      </c>
      <c r="C165" s="17625" t="n">
        <v>46196</v>
      </c>
      <c r="D165" t="inlineStr">
        <is>
          <t>PERFILADORA RODATEC RX600E</t>
        </is>
      </c>
      <c r="E165">
        <f>VLOOKUP(TablaObra5[[#This Row],[Equipo]],Catalogos!$I$4:$J$64,2,FALSE)</f>
        <v/>
      </c>
      <c r="F165" s="17626" t="n">
        <v>240</v>
      </c>
      <c r="G165" s="4" t="n">
        <v>27</v>
      </c>
      <c r="H165" s="4">
        <f>IFERROR(F165*G165,0)</f>
        <v/>
      </c>
      <c r="I165">
        <f>VLOOKUP(TablaObra5[[#This Row],[Obra]],Catalogos!$B$3:$C$10,2,FALSE)</f>
        <v/>
      </c>
      <c r="K165" t="n">
        <v>26</v>
      </c>
    </row>
    <row r="166">
      <c r="A166" s="17625" t="n">
        <v>46194</v>
      </c>
      <c r="B166" t="inlineStr">
        <is>
          <t>Lerma - Tres Marías</t>
        </is>
      </c>
      <c r="C166" s="17625" t="n">
        <v>46196</v>
      </c>
      <c r="D166" t="inlineStr">
        <is>
          <t>BARREDORA LAYMOR SM400</t>
        </is>
      </c>
      <c r="E166">
        <f>VLOOKUP(TablaObra5[[#This Row],[Equipo]],Catalogos!$I$4:$J$64,2,FALSE)</f>
        <v/>
      </c>
      <c r="F166" s="17626" t="n">
        <v>20</v>
      </c>
      <c r="G166" s="4" t="n">
        <v>27</v>
      </c>
      <c r="H166" s="4">
        <f>IFERROR(F166*G166,0)</f>
        <v/>
      </c>
      <c r="I166">
        <f>VLOOKUP(TablaObra5[[#This Row],[Obra]],Catalogos!$B$3:$C$10,2,FALSE)</f>
        <v/>
      </c>
      <c r="K166" t="n">
        <v>26</v>
      </c>
    </row>
    <row r="167">
      <c r="A167" s="17625" t="n">
        <v>46194</v>
      </c>
      <c r="B167" t="inlineStr">
        <is>
          <t>Lerma - Tres Marías</t>
        </is>
      </c>
      <c r="C167" s="17625" t="n">
        <v>46196</v>
      </c>
      <c r="D167" t="inlineStr">
        <is>
          <t>RETROEXCAVADORA JHONDEREE 310 K</t>
        </is>
      </c>
      <c r="E167">
        <f>VLOOKUP(TablaObra5[[#This Row],[Equipo]],Catalogos!$I$4:$J$64,2,FALSE)</f>
        <v/>
      </c>
      <c r="F167" s="17626" t="n">
        <v>30</v>
      </c>
      <c r="G167" s="4" t="n">
        <v>27</v>
      </c>
      <c r="H167" s="4">
        <f>IFERROR(F167*G167,0)</f>
        <v/>
      </c>
      <c r="I167">
        <f>VLOOKUP(TablaObra5[[#This Row],[Obra]],Catalogos!$B$3:$C$10,2,FALSE)</f>
        <v/>
      </c>
      <c r="K167" t="n">
        <v>26</v>
      </c>
    </row>
    <row r="168">
      <c r="A168" s="17625" t="n">
        <v>46194</v>
      </c>
      <c r="B168" t="inlineStr">
        <is>
          <t>Lerma - Tres Marías</t>
        </is>
      </c>
      <c r="C168" s="17625" t="n">
        <v>46196</v>
      </c>
      <c r="D168" t="inlineStr">
        <is>
          <t>PAVIMENTADORA VOGELE 1800-3 I</t>
        </is>
      </c>
      <c r="E168">
        <f>VLOOKUP(TablaObra5[[#This Row],[Equipo]],Catalogos!$I$4:$J$64,2,FALSE)</f>
        <v/>
      </c>
      <c r="F168" s="17626" t="n">
        <v>80</v>
      </c>
      <c r="G168" s="4" t="n">
        <v>27</v>
      </c>
      <c r="H168" s="4">
        <f>IFERROR(F168*G168,0)</f>
        <v/>
      </c>
      <c r="I168">
        <f>VLOOKUP(TablaObra5[[#This Row],[Obra]],Catalogos!$B$3:$C$10,2,FALSE)</f>
        <v/>
      </c>
      <c r="K168" t="n">
        <v>26</v>
      </c>
    </row>
    <row r="169">
      <c r="A169" s="17625" t="n">
        <v>46194</v>
      </c>
      <c r="B169" t="inlineStr">
        <is>
          <t>Lerma - Tres Marías</t>
        </is>
      </c>
      <c r="C169" s="17625" t="n">
        <v>46196</v>
      </c>
      <c r="D169" t="inlineStr">
        <is>
          <t>DOBLE RODILLO RAD ROLLER FILY-325 PRO</t>
        </is>
      </c>
      <c r="E169">
        <f>VLOOKUP(TablaObra5[[#This Row],[Equipo]],Catalogos!$I$4:$J$64,2,FALSE)</f>
        <v/>
      </c>
      <c r="F169" s="17626" t="n">
        <v>40</v>
      </c>
      <c r="G169" s="4" t="n">
        <v>27</v>
      </c>
      <c r="H169" s="4">
        <f>IFERROR(F169*G169,0)</f>
        <v/>
      </c>
      <c r="I169">
        <f>VLOOKUP(TablaObra5[[#This Row],[Obra]],Catalogos!$B$3:$C$10,2,FALSE)</f>
        <v/>
      </c>
      <c r="K169" t="n">
        <v>26</v>
      </c>
    </row>
    <row r="170">
      <c r="A170" s="17625" t="n">
        <v>46194</v>
      </c>
      <c r="B170" t="inlineStr">
        <is>
          <t>Lerma - Tres Marías</t>
        </is>
      </c>
      <c r="C170" s="17625" t="n">
        <v>46196</v>
      </c>
      <c r="D170" t="inlineStr">
        <is>
          <t>NEUMATICO / COMPACTADOR DE NEUMATICOS DINAPAC CP271</t>
        </is>
      </c>
      <c r="E170">
        <f>VLOOKUP(TablaObra5[[#This Row],[Equipo]],Catalogos!$I$4:$J$64,2,FALSE)</f>
        <v/>
      </c>
      <c r="F170" s="17626" t="n">
        <v>24</v>
      </c>
      <c r="G170" s="4" t="n">
        <v>27</v>
      </c>
      <c r="H170" s="4">
        <f>IFERROR(F170*G170,0)</f>
        <v/>
      </c>
      <c r="I170">
        <f>VLOOKUP(TablaObra5[[#This Row],[Obra]],Catalogos!$B$3:$C$10,2,FALSE)</f>
        <v/>
      </c>
      <c r="K170" t="n">
        <v>26</v>
      </c>
    </row>
    <row r="171">
      <c r="A171" s="17625" t="n">
        <v>46194</v>
      </c>
      <c r="B171" t="inlineStr">
        <is>
          <t>Lerma - Tres Marías</t>
        </is>
      </c>
      <c r="C171" s="17625" t="n">
        <v>46196</v>
      </c>
      <c r="D171" t="inlineStr">
        <is>
          <t>IMPACTO FORD 4300</t>
        </is>
      </c>
      <c r="E171">
        <f>VLOOKUP(TablaObra5[[#This Row],[Equipo]],Catalogos!$I$4:$J$64,2,FALSE)</f>
        <v/>
      </c>
      <c r="F171" s="17626" t="n">
        <v>60</v>
      </c>
      <c r="G171" s="4" t="n">
        <v>27</v>
      </c>
      <c r="H171" s="4">
        <f>IFERROR(F171*G171,0)</f>
        <v/>
      </c>
      <c r="I171">
        <f>VLOOKUP(TablaObra5[[#This Row],[Obra]],Catalogos!$B$3:$C$10,2,FALSE)</f>
        <v/>
      </c>
      <c r="K171" t="n">
        <v>26</v>
      </c>
    </row>
    <row r="172">
      <c r="A172" s="17625" t="n">
        <v>46194</v>
      </c>
      <c r="B172" t="inlineStr">
        <is>
          <t>Lerma - Tres Marías</t>
        </is>
      </c>
      <c r="C172" s="17625" t="n">
        <v>46196</v>
      </c>
      <c r="D172" t="inlineStr">
        <is>
          <t>COMPRESOR SULLIVAN PALATEK D2010</t>
        </is>
      </c>
      <c r="E172">
        <f>VLOOKUP(TablaObra5[[#This Row],[Equipo]],Catalogos!$I$4:$J$64,2,FALSE)</f>
        <v/>
      </c>
      <c r="F172" s="17626" t="n">
        <v>24</v>
      </c>
      <c r="G172" s="4" t="n">
        <v>27</v>
      </c>
      <c r="H172" s="4">
        <f>IFERROR(F172*G172,0)</f>
        <v/>
      </c>
      <c r="I172">
        <f>VLOOKUP(TablaObra5[[#This Row],[Obra]],Catalogos!$B$3:$C$10,2,FALSE)</f>
        <v/>
      </c>
      <c r="K172" t="n">
        <v>26</v>
      </c>
    </row>
    <row r="173">
      <c r="A173" s="17625" t="n">
        <v>46194</v>
      </c>
      <c r="B173" t="inlineStr">
        <is>
          <t>Lerma - Tres Marías</t>
        </is>
      </c>
      <c r="C173" s="17625" t="n">
        <v>46196</v>
      </c>
      <c r="D173" t="inlineStr">
        <is>
          <t>PETROLIZADORA INTERNATIONAL</t>
        </is>
      </c>
      <c r="E173">
        <f>VLOOKUP(TablaObra5[[#This Row],[Equipo]],Catalogos!$I$4:$J$64,2,FALSE)</f>
        <v/>
      </c>
      <c r="F173" s="17626" t="n">
        <v>60</v>
      </c>
      <c r="G173" s="4" t="n">
        <v>27</v>
      </c>
      <c r="H173" s="4">
        <f>IFERROR(F173*G173,0)</f>
        <v/>
      </c>
      <c r="I173">
        <f>VLOOKUP(TablaObra5[[#This Row],[Obra]],Catalogos!$B$3:$C$10,2,FALSE)</f>
        <v/>
      </c>
      <c r="K173" t="n">
        <v>26</v>
      </c>
    </row>
    <row r="174">
      <c r="A174" s="17625" t="n">
        <v>46194</v>
      </c>
      <c r="B174" t="inlineStr">
        <is>
          <t>Lerma - Tres Marías</t>
        </is>
      </c>
      <c r="C174" s="17625" t="n">
        <v>46197</v>
      </c>
      <c r="D174" t="inlineStr">
        <is>
          <t>PERFILADORA RODATEC RX600E</t>
        </is>
      </c>
      <c r="E174">
        <f>VLOOKUP(TablaObra5[[#This Row],[Equipo]],Catalogos!$I$4:$J$64,2,FALSE)</f>
        <v/>
      </c>
      <c r="F174" s="17626" t="n">
        <v>240</v>
      </c>
      <c r="G174" s="4" t="n">
        <v>27</v>
      </c>
      <c r="H174" s="4">
        <f>IFERROR(F174*G174,0)</f>
        <v/>
      </c>
      <c r="I174">
        <f>VLOOKUP(TablaObra5[[#This Row],[Obra]],Catalogos!$B$3:$C$10,2,FALSE)</f>
        <v/>
      </c>
      <c r="K174" t="n">
        <v>26</v>
      </c>
    </row>
    <row r="175">
      <c r="A175" s="17625" t="n">
        <v>46194</v>
      </c>
      <c r="B175" t="inlineStr">
        <is>
          <t>Lerma - Tres Marías</t>
        </is>
      </c>
      <c r="C175" s="17625" t="n">
        <v>46197</v>
      </c>
      <c r="D175" t="inlineStr">
        <is>
          <t>BARREDORA LAYMOR SM400</t>
        </is>
      </c>
      <c r="E175">
        <f>VLOOKUP(TablaObra5[[#This Row],[Equipo]],Catalogos!$I$4:$J$64,2,FALSE)</f>
        <v/>
      </c>
      <c r="F175" s="17626" t="n">
        <v>20</v>
      </c>
      <c r="G175" s="4" t="n">
        <v>27</v>
      </c>
      <c r="H175" s="4">
        <f>IFERROR(F175*G175,0)</f>
        <v/>
      </c>
      <c r="I175">
        <f>VLOOKUP(TablaObra5[[#This Row],[Obra]],Catalogos!$B$3:$C$10,2,FALSE)</f>
        <v/>
      </c>
      <c r="K175" t="n">
        <v>26</v>
      </c>
    </row>
    <row r="176">
      <c r="A176" s="17625" t="n">
        <v>46194</v>
      </c>
      <c r="B176" t="inlineStr">
        <is>
          <t>Lerma - Tres Marías</t>
        </is>
      </c>
      <c r="C176" s="17625" t="n">
        <v>46197</v>
      </c>
      <c r="D176" t="inlineStr">
        <is>
          <t>RETROEXCAVADORA JHONDEREE 310 K</t>
        </is>
      </c>
      <c r="E176">
        <f>VLOOKUP(TablaObra5[[#This Row],[Equipo]],Catalogos!$I$4:$J$64,2,FALSE)</f>
        <v/>
      </c>
      <c r="F176" s="17626" t="n">
        <v>30</v>
      </c>
      <c r="G176" s="4" t="n">
        <v>27</v>
      </c>
      <c r="H176" s="4">
        <f>IFERROR(F176*G176,0)</f>
        <v/>
      </c>
      <c r="I176">
        <f>VLOOKUP(TablaObra5[[#This Row],[Obra]],Catalogos!$B$3:$C$10,2,FALSE)</f>
        <v/>
      </c>
      <c r="K176" t="n">
        <v>26</v>
      </c>
    </row>
    <row r="177">
      <c r="A177" s="17625" t="n">
        <v>46194</v>
      </c>
      <c r="B177" t="inlineStr">
        <is>
          <t>Lerma - Tres Marías</t>
        </is>
      </c>
      <c r="C177" s="17625" t="n">
        <v>46197</v>
      </c>
      <c r="D177" t="inlineStr">
        <is>
          <t>PAVIMENTADORA VOGELE 1800-3 I</t>
        </is>
      </c>
      <c r="E177">
        <f>VLOOKUP(TablaObra5[[#This Row],[Equipo]],Catalogos!$I$4:$J$64,2,FALSE)</f>
        <v/>
      </c>
      <c r="F177" s="17626" t="n">
        <v>80</v>
      </c>
      <c r="G177" s="4" t="n">
        <v>27</v>
      </c>
      <c r="H177" s="4">
        <f>IFERROR(F177*G177,0)</f>
        <v/>
      </c>
      <c r="I177">
        <f>VLOOKUP(TablaObra5[[#This Row],[Obra]],Catalogos!$B$3:$C$10,2,FALSE)</f>
        <v/>
      </c>
      <c r="K177" t="n">
        <v>26</v>
      </c>
    </row>
    <row r="178">
      <c r="A178" s="17625" t="n">
        <v>46194</v>
      </c>
      <c r="B178" t="inlineStr">
        <is>
          <t>Lerma - Tres Marías</t>
        </is>
      </c>
      <c r="C178" s="17625" t="n">
        <v>46197</v>
      </c>
      <c r="D178" t="inlineStr">
        <is>
          <t>DOBLE RODILLO RAD ROLLER FILY-325 PRO</t>
        </is>
      </c>
      <c r="E178">
        <f>VLOOKUP(TablaObra5[[#This Row],[Equipo]],Catalogos!$I$4:$J$64,2,FALSE)</f>
        <v/>
      </c>
      <c r="F178" s="17626" t="n">
        <v>40</v>
      </c>
      <c r="G178" s="4" t="n">
        <v>27</v>
      </c>
      <c r="H178" s="4">
        <f>IFERROR(F178*G178,0)</f>
        <v/>
      </c>
      <c r="I178">
        <f>VLOOKUP(TablaObra5[[#This Row],[Obra]],Catalogos!$B$3:$C$10,2,FALSE)</f>
        <v/>
      </c>
      <c r="K178" t="n">
        <v>26</v>
      </c>
    </row>
    <row r="179">
      <c r="A179" s="17625" t="n">
        <v>46194</v>
      </c>
      <c r="B179" t="inlineStr">
        <is>
          <t>Lerma - Tres Marías</t>
        </is>
      </c>
      <c r="C179" s="17625" t="n">
        <v>46197</v>
      </c>
      <c r="D179" t="inlineStr">
        <is>
          <t>NEUMATICO / COMPACTADOR DE NEUMATICOS DINAPAC CP271</t>
        </is>
      </c>
      <c r="E179">
        <f>VLOOKUP(TablaObra5[[#This Row],[Equipo]],Catalogos!$I$4:$J$64,2,FALSE)</f>
        <v/>
      </c>
      <c r="F179" s="17626" t="n">
        <v>24</v>
      </c>
      <c r="G179" s="4" t="n">
        <v>27</v>
      </c>
      <c r="H179" s="4">
        <f>IFERROR(F179*G179,0)</f>
        <v/>
      </c>
      <c r="I179">
        <f>VLOOKUP(TablaObra5[[#This Row],[Obra]],Catalogos!$B$3:$C$10,2,FALSE)</f>
        <v/>
      </c>
      <c r="K179" t="n">
        <v>26</v>
      </c>
    </row>
    <row r="180">
      <c r="A180" s="17625" t="n">
        <v>46194</v>
      </c>
      <c r="B180" t="inlineStr">
        <is>
          <t>Lerma - Tres Marías</t>
        </is>
      </c>
      <c r="C180" s="17625" t="n">
        <v>46197</v>
      </c>
      <c r="D180" t="inlineStr">
        <is>
          <t>IMPACTO FORD 4300</t>
        </is>
      </c>
      <c r="E180">
        <f>VLOOKUP(TablaObra5[[#This Row],[Equipo]],Catalogos!$I$4:$J$64,2,FALSE)</f>
        <v/>
      </c>
      <c r="F180" s="17626" t="n">
        <v>60</v>
      </c>
      <c r="G180" s="4" t="n">
        <v>27</v>
      </c>
      <c r="H180" s="4">
        <f>IFERROR(F180*G180,0)</f>
        <v/>
      </c>
      <c r="I180">
        <f>VLOOKUP(TablaObra5[[#This Row],[Obra]],Catalogos!$B$3:$C$10,2,FALSE)</f>
        <v/>
      </c>
      <c r="K180" t="n">
        <v>26</v>
      </c>
    </row>
    <row r="181">
      <c r="A181" s="17625" t="n">
        <v>46194</v>
      </c>
      <c r="B181" t="inlineStr">
        <is>
          <t>Lerma - Tres Marías</t>
        </is>
      </c>
      <c r="C181" s="17625" t="n">
        <v>46197</v>
      </c>
      <c r="D181" t="inlineStr">
        <is>
          <t>COMPRESOR SULLIVAN PALATEK D2010</t>
        </is>
      </c>
      <c r="E181">
        <f>VLOOKUP(TablaObra5[[#This Row],[Equipo]],Catalogos!$I$4:$J$64,2,FALSE)</f>
        <v/>
      </c>
      <c r="F181" s="17626" t="n">
        <v>24</v>
      </c>
      <c r="G181" s="4" t="n">
        <v>27</v>
      </c>
      <c r="H181" s="4">
        <f>IFERROR(F181*G181,0)</f>
        <v/>
      </c>
      <c r="I181">
        <f>VLOOKUP(TablaObra5[[#This Row],[Obra]],Catalogos!$B$3:$C$10,2,FALSE)</f>
        <v/>
      </c>
      <c r="K181" t="n">
        <v>26</v>
      </c>
    </row>
    <row r="182">
      <c r="A182" s="17625" t="n">
        <v>46194</v>
      </c>
      <c r="B182" t="inlineStr">
        <is>
          <t>Lerma - Tres Marías</t>
        </is>
      </c>
      <c r="C182" s="17625" t="n">
        <v>46197</v>
      </c>
      <c r="D182" t="inlineStr">
        <is>
          <t>PETROLIZADORA INTERNATIONAL</t>
        </is>
      </c>
      <c r="E182">
        <f>VLOOKUP(TablaObra5[[#This Row],[Equipo]],Catalogos!$I$4:$J$64,2,FALSE)</f>
        <v/>
      </c>
      <c r="F182" s="17626" t="n">
        <v>60</v>
      </c>
      <c r="G182" s="4" t="n">
        <v>27</v>
      </c>
      <c r="H182" s="4">
        <f>IFERROR(F182*G182,0)</f>
        <v/>
      </c>
      <c r="I182">
        <f>VLOOKUP(TablaObra5[[#This Row],[Obra]],Catalogos!$B$3:$C$10,2,FALSE)</f>
        <v/>
      </c>
      <c r="K182" t="n">
        <v>26</v>
      </c>
    </row>
    <row r="183">
      <c r="A183" s="17625" t="n">
        <v>46194</v>
      </c>
      <c r="B183" t="inlineStr">
        <is>
          <t>Lerma - Tres Marías</t>
        </is>
      </c>
      <c r="C183" s="17625" t="n">
        <v>46198</v>
      </c>
      <c r="D183" t="inlineStr">
        <is>
          <t>PERFILADORA RODATEC RX600E</t>
        </is>
      </c>
      <c r="E183">
        <f>VLOOKUP(TablaObra5[[#This Row],[Equipo]],Catalogos!$I$4:$J$64,2,FALSE)</f>
        <v/>
      </c>
      <c r="F183" s="17626" t="n">
        <v>240</v>
      </c>
      <c r="G183" s="4" t="n">
        <v>27</v>
      </c>
      <c r="H183" s="4">
        <f>IFERROR(F183*G183,0)</f>
        <v/>
      </c>
      <c r="I183">
        <f>VLOOKUP(TablaObra5[[#This Row],[Obra]],Catalogos!$B$3:$C$10,2,FALSE)</f>
        <v/>
      </c>
      <c r="K183" t="n">
        <v>26</v>
      </c>
    </row>
    <row r="184">
      <c r="A184" s="17625" t="n">
        <v>46194</v>
      </c>
      <c r="B184" t="inlineStr">
        <is>
          <t>Lerma - Tres Marías</t>
        </is>
      </c>
      <c r="C184" s="17625" t="n">
        <v>46198</v>
      </c>
      <c r="D184" t="inlineStr">
        <is>
          <t>BARREDORA LAYMOR SM400</t>
        </is>
      </c>
      <c r="E184">
        <f>VLOOKUP(TablaObra5[[#This Row],[Equipo]],Catalogos!$I$4:$J$64,2,FALSE)</f>
        <v/>
      </c>
      <c r="F184" s="17626" t="n">
        <v>20</v>
      </c>
      <c r="G184" s="4" t="n">
        <v>27</v>
      </c>
      <c r="H184" s="4">
        <f>IFERROR(F184*G184,0)</f>
        <v/>
      </c>
      <c r="I184">
        <f>VLOOKUP(TablaObra5[[#This Row],[Obra]],Catalogos!$B$3:$C$10,2,FALSE)</f>
        <v/>
      </c>
      <c r="K184" t="n">
        <v>26</v>
      </c>
    </row>
    <row r="185">
      <c r="A185" s="17625" t="n">
        <v>46194</v>
      </c>
      <c r="B185" t="inlineStr">
        <is>
          <t>Lerma - Tres Marías</t>
        </is>
      </c>
      <c r="C185" s="17625" t="n">
        <v>46198</v>
      </c>
      <c r="D185" t="inlineStr">
        <is>
          <t>RETROEXCAVADORA JHONDEREE 310 K</t>
        </is>
      </c>
      <c r="E185">
        <f>VLOOKUP(TablaObra5[[#This Row],[Equipo]],Catalogos!$I$4:$J$64,2,FALSE)</f>
        <v/>
      </c>
      <c r="F185" s="17626" t="n">
        <v>30</v>
      </c>
      <c r="G185" s="4" t="n">
        <v>27</v>
      </c>
      <c r="H185" s="4">
        <f>IFERROR(F185*G185,0)</f>
        <v/>
      </c>
      <c r="I185">
        <f>VLOOKUP(TablaObra5[[#This Row],[Obra]],Catalogos!$B$3:$C$10,2,FALSE)</f>
        <v/>
      </c>
      <c r="K185" t="n">
        <v>26</v>
      </c>
    </row>
    <row r="186">
      <c r="A186" s="17625" t="n">
        <v>46194</v>
      </c>
      <c r="B186" t="inlineStr">
        <is>
          <t>Lerma - Tres Marías</t>
        </is>
      </c>
      <c r="C186" s="17625" t="n">
        <v>46198</v>
      </c>
      <c r="D186" t="inlineStr">
        <is>
          <t>PAVIMENTADORA VOGELE 1800-3 I</t>
        </is>
      </c>
      <c r="E186">
        <f>VLOOKUP(TablaObra5[[#This Row],[Equipo]],Catalogos!$I$4:$J$64,2,FALSE)</f>
        <v/>
      </c>
      <c r="F186" s="17626" t="n">
        <v>80</v>
      </c>
      <c r="G186" s="4" t="n">
        <v>27</v>
      </c>
      <c r="H186" s="4">
        <f>IFERROR(F186*G186,0)</f>
        <v/>
      </c>
      <c r="I186">
        <f>VLOOKUP(TablaObra5[[#This Row],[Obra]],Catalogos!$B$3:$C$10,2,FALSE)</f>
        <v/>
      </c>
      <c r="K186" t="n">
        <v>26</v>
      </c>
    </row>
    <row r="187">
      <c r="A187" s="17625" t="n">
        <v>46194</v>
      </c>
      <c r="B187" t="inlineStr">
        <is>
          <t>Lerma - Tres Marías</t>
        </is>
      </c>
      <c r="C187" s="17625" t="n">
        <v>46198</v>
      </c>
      <c r="D187" t="inlineStr">
        <is>
          <t>DOBLE RODILLO RAD ROLLER FILY-325 PRO</t>
        </is>
      </c>
      <c r="E187">
        <f>VLOOKUP(TablaObra5[[#This Row],[Equipo]],Catalogos!$I$4:$J$64,2,FALSE)</f>
        <v/>
      </c>
      <c r="F187" s="17626" t="n">
        <v>40</v>
      </c>
      <c r="G187" s="4" t="n">
        <v>27</v>
      </c>
      <c r="H187" s="4">
        <f>IFERROR(F187*G187,0)</f>
        <v/>
      </c>
      <c r="I187">
        <f>VLOOKUP(TablaObra5[[#This Row],[Obra]],Catalogos!$B$3:$C$10,2,FALSE)</f>
        <v/>
      </c>
      <c r="K187" t="n">
        <v>26</v>
      </c>
    </row>
    <row r="188">
      <c r="A188" s="17625" t="n">
        <v>46194</v>
      </c>
      <c r="B188" t="inlineStr">
        <is>
          <t>Lerma - Tres Marías</t>
        </is>
      </c>
      <c r="C188" s="17625" t="n">
        <v>46198</v>
      </c>
      <c r="D188" t="inlineStr">
        <is>
          <t>NEUMATICO / COMPACTADOR DE NEUMATICOS DINAPAC CP271</t>
        </is>
      </c>
      <c r="E188">
        <f>VLOOKUP(TablaObra5[[#This Row],[Equipo]],Catalogos!$I$4:$J$64,2,FALSE)</f>
        <v/>
      </c>
      <c r="F188" s="17626" t="n">
        <v>24</v>
      </c>
      <c r="G188" s="4" t="n">
        <v>27</v>
      </c>
      <c r="H188" s="4">
        <f>IFERROR(F188*G188,0)</f>
        <v/>
      </c>
      <c r="I188">
        <f>VLOOKUP(TablaObra5[[#This Row],[Obra]],Catalogos!$B$3:$C$10,2,FALSE)</f>
        <v/>
      </c>
      <c r="K188" t="n">
        <v>26</v>
      </c>
    </row>
    <row r="189">
      <c r="A189" s="17625" t="n">
        <v>46194</v>
      </c>
      <c r="B189" t="inlineStr">
        <is>
          <t>Lerma - Tres Marías</t>
        </is>
      </c>
      <c r="C189" s="17625" t="n">
        <v>46198</v>
      </c>
      <c r="D189" t="inlineStr">
        <is>
          <t>IMPACTO FORD 4300</t>
        </is>
      </c>
      <c r="E189">
        <f>VLOOKUP(TablaObra5[[#This Row],[Equipo]],Catalogos!$I$4:$J$64,2,FALSE)</f>
        <v/>
      </c>
      <c r="F189" s="17626" t="n">
        <v>60</v>
      </c>
      <c r="G189" s="4" t="n">
        <v>27</v>
      </c>
      <c r="H189" s="4">
        <f>IFERROR(F189*G189,0)</f>
        <v/>
      </c>
      <c r="I189">
        <f>VLOOKUP(TablaObra5[[#This Row],[Obra]],Catalogos!$B$3:$C$10,2,FALSE)</f>
        <v/>
      </c>
      <c r="K189" t="n">
        <v>26</v>
      </c>
    </row>
    <row r="190">
      <c r="A190" s="17625" t="n">
        <v>46194</v>
      </c>
      <c r="B190" t="inlineStr">
        <is>
          <t>Lerma - Tres Marías</t>
        </is>
      </c>
      <c r="C190" s="17625" t="n">
        <v>46198</v>
      </c>
      <c r="D190" t="inlineStr">
        <is>
          <t>COMPRESOR SULLIVAN PALATEK D2010</t>
        </is>
      </c>
      <c r="E190">
        <f>VLOOKUP(TablaObra5[[#This Row],[Equipo]],Catalogos!$I$4:$J$64,2,FALSE)</f>
        <v/>
      </c>
      <c r="F190" s="17626" t="n">
        <v>24</v>
      </c>
      <c r="G190" s="4" t="n">
        <v>27</v>
      </c>
      <c r="H190" s="4">
        <f>IFERROR(F190*G190,0)</f>
        <v/>
      </c>
      <c r="I190">
        <f>VLOOKUP(TablaObra5[[#This Row],[Obra]],Catalogos!$B$3:$C$10,2,FALSE)</f>
        <v/>
      </c>
      <c r="K190" t="n">
        <v>26</v>
      </c>
    </row>
    <row r="191">
      <c r="A191" s="17625" t="n">
        <v>46194</v>
      </c>
      <c r="B191" t="inlineStr">
        <is>
          <t>Lerma - Tres Marías</t>
        </is>
      </c>
      <c r="C191" s="17625" t="n">
        <v>46198</v>
      </c>
      <c r="D191" t="inlineStr">
        <is>
          <t>PETROLIZADORA INTERNATIONAL</t>
        </is>
      </c>
      <c r="E191">
        <f>VLOOKUP(TablaObra5[[#This Row],[Equipo]],Catalogos!$I$4:$J$64,2,FALSE)</f>
        <v/>
      </c>
      <c r="F191" s="17626" t="n">
        <v>60</v>
      </c>
      <c r="G191" s="4" t="n">
        <v>27</v>
      </c>
      <c r="H191" s="4">
        <f>IFERROR(F191*G191,0)</f>
        <v/>
      </c>
      <c r="I191">
        <f>VLOOKUP(TablaObra5[[#This Row],[Obra]],Catalogos!$B$3:$C$10,2,FALSE)</f>
        <v/>
      </c>
      <c r="K191" t="n">
        <v>26</v>
      </c>
    </row>
    <row r="192">
      <c r="A192" s="17625" t="n">
        <v>46194</v>
      </c>
      <c r="B192" t="inlineStr">
        <is>
          <t>Lerma - Tres Marías</t>
        </is>
      </c>
      <c r="C192" s="17625" t="n">
        <v>46199</v>
      </c>
      <c r="D192" t="inlineStr">
        <is>
          <t>PERFILADORA RODATEC RX600E</t>
        </is>
      </c>
      <c r="E192">
        <f>VLOOKUP(TablaObra5[[#This Row],[Equipo]],Catalogos!$I$4:$J$64,2,FALSE)</f>
        <v/>
      </c>
      <c r="F192" s="17626" t="n">
        <v>240</v>
      </c>
      <c r="G192" s="4" t="n">
        <v>27</v>
      </c>
      <c r="H192" s="4">
        <f>IFERROR(F192*G192,0)</f>
        <v/>
      </c>
      <c r="I192">
        <f>VLOOKUP(TablaObra5[[#This Row],[Obra]],Catalogos!$B$3:$C$10,2,FALSE)</f>
        <v/>
      </c>
      <c r="K192" t="n">
        <v>26</v>
      </c>
    </row>
    <row r="193">
      <c r="A193" s="17625" t="n">
        <v>46194</v>
      </c>
      <c r="B193" t="inlineStr">
        <is>
          <t>Lerma - Tres Marías</t>
        </is>
      </c>
      <c r="C193" s="17625" t="n">
        <v>46199</v>
      </c>
      <c r="D193" t="inlineStr">
        <is>
          <t>BARREDORA LAYMOR SM400</t>
        </is>
      </c>
      <c r="E193">
        <f>VLOOKUP(TablaObra5[[#This Row],[Equipo]],Catalogos!$I$4:$J$64,2,FALSE)</f>
        <v/>
      </c>
      <c r="F193" s="17626" t="n">
        <v>20</v>
      </c>
      <c r="G193" s="4" t="n">
        <v>27</v>
      </c>
      <c r="H193" s="4">
        <f>IFERROR(F193*G193,0)</f>
        <v/>
      </c>
      <c r="I193">
        <f>VLOOKUP(TablaObra5[[#This Row],[Obra]],Catalogos!$B$3:$C$10,2,FALSE)</f>
        <v/>
      </c>
      <c r="K193" t="n">
        <v>26</v>
      </c>
    </row>
    <row r="194">
      <c r="A194" s="17625" t="n">
        <v>46194</v>
      </c>
      <c r="B194" t="inlineStr">
        <is>
          <t>Lerma - Tres Marías</t>
        </is>
      </c>
      <c r="C194" s="17625" t="n">
        <v>46199</v>
      </c>
      <c r="D194" t="inlineStr">
        <is>
          <t>RETROEXCAVADORA JHONDEREE 310 K</t>
        </is>
      </c>
      <c r="E194">
        <f>VLOOKUP(TablaObra5[[#This Row],[Equipo]],Catalogos!$I$4:$J$64,2,FALSE)</f>
        <v/>
      </c>
      <c r="F194" s="17626" t="n">
        <v>30</v>
      </c>
      <c r="G194" s="4" t="n">
        <v>27</v>
      </c>
      <c r="H194" s="4">
        <f>IFERROR(F194*G194,0)</f>
        <v/>
      </c>
      <c r="I194">
        <f>VLOOKUP(TablaObra5[[#This Row],[Obra]],Catalogos!$B$3:$C$10,2,FALSE)</f>
        <v/>
      </c>
      <c r="K194" t="n">
        <v>26</v>
      </c>
    </row>
    <row r="195">
      <c r="A195" s="17625" t="n">
        <v>46194</v>
      </c>
      <c r="B195" t="inlineStr">
        <is>
          <t>Lerma - Tres Marías</t>
        </is>
      </c>
      <c r="C195" s="17625" t="n">
        <v>46199</v>
      </c>
      <c r="D195" t="inlineStr">
        <is>
          <t>PAVIMENTADORA VOGELE 1800-3 I</t>
        </is>
      </c>
      <c r="E195">
        <f>VLOOKUP(TablaObra5[[#This Row],[Equipo]],Catalogos!$I$4:$J$64,2,FALSE)</f>
        <v/>
      </c>
      <c r="F195" s="17626" t="n">
        <v>80</v>
      </c>
      <c r="G195" s="4" t="n">
        <v>27</v>
      </c>
      <c r="H195" s="4">
        <f>IFERROR(F195*G195,0)</f>
        <v/>
      </c>
      <c r="I195">
        <f>VLOOKUP(TablaObra5[[#This Row],[Obra]],Catalogos!$B$3:$C$10,2,FALSE)</f>
        <v/>
      </c>
      <c r="K195" t="n">
        <v>26</v>
      </c>
    </row>
    <row r="196">
      <c r="A196" s="17625" t="n">
        <v>46194</v>
      </c>
      <c r="B196" t="inlineStr">
        <is>
          <t>Lerma - Tres Marías</t>
        </is>
      </c>
      <c r="C196" s="17625" t="n">
        <v>46199</v>
      </c>
      <c r="D196" t="inlineStr">
        <is>
          <t>DOBLE RODILLO RAD ROLLER FILY-325 PRO</t>
        </is>
      </c>
      <c r="E196">
        <f>VLOOKUP(TablaObra5[[#This Row],[Equipo]],Catalogos!$I$4:$J$64,2,FALSE)</f>
        <v/>
      </c>
      <c r="F196" s="17626" t="n">
        <v>40</v>
      </c>
      <c r="G196" s="4" t="n">
        <v>27</v>
      </c>
      <c r="H196" s="4">
        <f>IFERROR(F196*G196,0)</f>
        <v/>
      </c>
      <c r="I196">
        <f>VLOOKUP(TablaObra5[[#This Row],[Obra]],Catalogos!$B$3:$C$10,2,FALSE)</f>
        <v/>
      </c>
      <c r="K196" t="n">
        <v>26</v>
      </c>
    </row>
    <row r="197">
      <c r="A197" s="17625" t="n">
        <v>46194</v>
      </c>
      <c r="B197" t="inlineStr">
        <is>
          <t>Lerma - Tres Marías</t>
        </is>
      </c>
      <c r="C197" s="17625" t="n">
        <v>46199</v>
      </c>
      <c r="D197" t="inlineStr">
        <is>
          <t>NEUMATICO / COMPACTADOR DE NEUMATICOS DINAPAC CP271</t>
        </is>
      </c>
      <c r="E197">
        <f>VLOOKUP(TablaObra5[[#This Row],[Equipo]],Catalogos!$I$4:$J$64,2,FALSE)</f>
        <v/>
      </c>
      <c r="F197" s="17626" t="n">
        <v>24</v>
      </c>
      <c r="G197" s="4" t="n">
        <v>27</v>
      </c>
      <c r="H197" s="4">
        <f>IFERROR(F197*G197,0)</f>
        <v/>
      </c>
      <c r="I197">
        <f>VLOOKUP(TablaObra5[[#This Row],[Obra]],Catalogos!$B$3:$C$10,2,FALSE)</f>
        <v/>
      </c>
      <c r="K197" t="n">
        <v>26</v>
      </c>
    </row>
    <row r="198">
      <c r="A198" s="17625" t="n">
        <v>46194</v>
      </c>
      <c r="B198" t="inlineStr">
        <is>
          <t>Lerma - Tres Marías</t>
        </is>
      </c>
      <c r="C198" s="17625" t="n">
        <v>46199</v>
      </c>
      <c r="D198" t="inlineStr">
        <is>
          <t>IMPACTO FORD 4300</t>
        </is>
      </c>
      <c r="E198">
        <f>VLOOKUP(TablaObra5[[#This Row],[Equipo]],Catalogos!$I$4:$J$64,2,FALSE)</f>
        <v/>
      </c>
      <c r="F198" s="17626" t="n">
        <v>60</v>
      </c>
      <c r="G198" s="4" t="n">
        <v>27</v>
      </c>
      <c r="H198" s="4">
        <f>IFERROR(F198*G198,0)</f>
        <v/>
      </c>
      <c r="I198">
        <f>VLOOKUP(TablaObra5[[#This Row],[Obra]],Catalogos!$B$3:$C$10,2,FALSE)</f>
        <v/>
      </c>
      <c r="K198" t="n">
        <v>26</v>
      </c>
    </row>
    <row r="199">
      <c r="A199" s="17625" t="n">
        <v>46194</v>
      </c>
      <c r="B199" t="inlineStr">
        <is>
          <t>Lerma - Tres Marías</t>
        </is>
      </c>
      <c r="C199" s="17625" t="n">
        <v>46199</v>
      </c>
      <c r="D199" t="inlineStr">
        <is>
          <t>COMPRESOR SULLIVAN PALATEK D2010</t>
        </is>
      </c>
      <c r="E199">
        <f>VLOOKUP(TablaObra5[[#This Row],[Equipo]],Catalogos!$I$4:$J$64,2,FALSE)</f>
        <v/>
      </c>
      <c r="F199" s="17626" t="n">
        <v>24</v>
      </c>
      <c r="G199" s="4" t="n">
        <v>27</v>
      </c>
      <c r="H199" s="4">
        <f>IFERROR(F199*G199,0)</f>
        <v/>
      </c>
      <c r="I199">
        <f>VLOOKUP(TablaObra5[[#This Row],[Obra]],Catalogos!$B$3:$C$10,2,FALSE)</f>
        <v/>
      </c>
      <c r="K199" t="n">
        <v>26</v>
      </c>
    </row>
    <row r="200">
      <c r="A200" s="17625" t="n">
        <v>46194</v>
      </c>
      <c r="B200" t="inlineStr">
        <is>
          <t>Lerma - Tres Marías</t>
        </is>
      </c>
      <c r="C200" s="17625" t="n">
        <v>46199</v>
      </c>
      <c r="D200" t="inlineStr">
        <is>
          <t>PETROLIZADORA INTERNATIONAL</t>
        </is>
      </c>
      <c r="E200">
        <f>VLOOKUP(TablaObra5[[#This Row],[Equipo]],Catalogos!$I$4:$J$64,2,FALSE)</f>
        <v/>
      </c>
      <c r="F200" s="17626" t="n">
        <v>60</v>
      </c>
      <c r="G200" s="4" t="n">
        <v>27</v>
      </c>
      <c r="H200" s="4">
        <f>IFERROR(F200*G200,0)</f>
        <v/>
      </c>
      <c r="I200">
        <f>VLOOKUP(TablaObra5[[#This Row],[Obra]],Catalogos!$B$3:$C$10,2,FALSE)</f>
        <v/>
      </c>
      <c r="K200" t="n">
        <v>26</v>
      </c>
    </row>
    <row r="201">
      <c r="A201" s="17625" t="n">
        <v>46194</v>
      </c>
      <c r="B201" t="inlineStr">
        <is>
          <t>Planta Asflato Huixquilucan</t>
        </is>
      </c>
      <c r="C201" s="17625" t="n">
        <v>46195</v>
      </c>
      <c r="D201" t="inlineStr">
        <is>
          <t>GENERADOR</t>
        </is>
      </c>
      <c r="E201">
        <f>VLOOKUP(TablaObra5[[#This Row],[Equipo]],Catalogos!$I$4:$J$64,2,FALSE)</f>
        <v/>
      </c>
      <c r="F201" s="17626" t="n">
        <v>300</v>
      </c>
      <c r="G201" s="4" t="n">
        <v>27</v>
      </c>
      <c r="H201" s="4">
        <f>IFERROR(F201*G201,0)</f>
        <v/>
      </c>
      <c r="I201">
        <f>VLOOKUP(TablaObra5[[#This Row],[Obra]],Catalogos!$B$3:$C$10,2,FALSE)</f>
        <v/>
      </c>
      <c r="K201" t="n">
        <v>26</v>
      </c>
    </row>
    <row r="202">
      <c r="A202" s="17625" t="n">
        <v>46194</v>
      </c>
      <c r="B202" t="inlineStr">
        <is>
          <t>Planta Asflato Huixquilucan</t>
        </is>
      </c>
      <c r="C202" s="17625" t="n">
        <v>46195</v>
      </c>
      <c r="D202" t="inlineStr">
        <is>
          <t>RETROEXCAVADORA CASE 580 N</t>
        </is>
      </c>
      <c r="E202">
        <f>VLOOKUP(TablaObra5[[#This Row],[Equipo]],Catalogos!$I$4:$J$64,2,FALSE)</f>
        <v/>
      </c>
      <c r="F202" s="17626" t="n">
        <v>100</v>
      </c>
      <c r="G202" s="4" t="n">
        <v>27</v>
      </c>
      <c r="H202" s="4">
        <f>IFERROR(F202*G202,0)</f>
        <v/>
      </c>
      <c r="I202">
        <f>VLOOKUP(TablaObra5[[#This Row],[Obra]],Catalogos!$B$3:$C$10,2,FALSE)</f>
        <v/>
      </c>
      <c r="K202" t="n">
        <v>26</v>
      </c>
    </row>
    <row r="203">
      <c r="A203" s="17625" t="n">
        <v>46194</v>
      </c>
      <c r="B203" t="inlineStr">
        <is>
          <t>Planta Asflato Huixquilucan</t>
        </is>
      </c>
      <c r="C203" s="17625" t="n">
        <v>46195</v>
      </c>
      <c r="D203" t="inlineStr">
        <is>
          <t>MAXILIGHT</t>
        </is>
      </c>
      <c r="E203">
        <f>VLOOKUP(TablaObra5[[#This Row],[Equipo]],Catalogos!$I$4:$J$64,2,FALSE)</f>
        <v/>
      </c>
      <c r="F203" s="17626" t="n">
        <v>100</v>
      </c>
      <c r="G203" s="4" t="n">
        <v>27</v>
      </c>
      <c r="H203" s="4">
        <f>IFERROR(F203*G203,0)</f>
        <v/>
      </c>
      <c r="I203">
        <f>VLOOKUP(TablaObra5[[#This Row],[Obra]],Catalogos!$B$3:$C$10,2,FALSE)</f>
        <v/>
      </c>
      <c r="K203" t="n">
        <v>26</v>
      </c>
    </row>
    <row r="204">
      <c r="A204" s="17625" t="n">
        <v>46194</v>
      </c>
      <c r="B204" t="inlineStr">
        <is>
          <t>Planta Asflato Huixquilucan</t>
        </is>
      </c>
      <c r="C204" s="17625" t="n">
        <v>46195</v>
      </c>
      <c r="D204" t="inlineStr">
        <is>
          <t>CRIBA ROJA</t>
        </is>
      </c>
      <c r="E204">
        <f>VLOOKUP(TablaObra5[[#This Row],[Equipo]],Catalogos!$I$4:$J$64,2,FALSE)</f>
        <v/>
      </c>
      <c r="F204" s="17626" t="n">
        <v>100</v>
      </c>
      <c r="G204" s="4" t="n">
        <v>27</v>
      </c>
      <c r="H204" s="4">
        <f>IFERROR(F204*G204,0)</f>
        <v/>
      </c>
      <c r="I204">
        <f>VLOOKUP(TablaObra5[[#This Row],[Obra]],Catalogos!$B$3:$C$10,2,FALSE)</f>
        <v/>
      </c>
      <c r="K204" t="n">
        <v>26</v>
      </c>
    </row>
    <row r="205">
      <c r="A205" s="17625" t="n">
        <v>46194</v>
      </c>
      <c r="B205" t="inlineStr">
        <is>
          <t>Planta Asflato Huixquilucan</t>
        </is>
      </c>
      <c r="C205" s="17625" t="n">
        <v>46196</v>
      </c>
      <c r="D205" t="inlineStr">
        <is>
          <t>GENERADOR</t>
        </is>
      </c>
      <c r="E205">
        <f>VLOOKUP(TablaObra5[[#This Row],[Equipo]],Catalogos!$I$4:$J$64,2,FALSE)</f>
        <v/>
      </c>
      <c r="F205" s="17626" t="n">
        <v>300</v>
      </c>
      <c r="G205" s="4" t="n">
        <v>27</v>
      </c>
      <c r="H205" s="4">
        <f>IFERROR(F205*G205,0)</f>
        <v/>
      </c>
      <c r="I205">
        <f>VLOOKUP(TablaObra5[[#This Row],[Obra]],Catalogos!$B$3:$C$10,2,FALSE)</f>
        <v/>
      </c>
      <c r="K205" t="n">
        <v>26</v>
      </c>
    </row>
    <row r="206">
      <c r="A206" s="17625" t="n">
        <v>46194</v>
      </c>
      <c r="B206" t="inlineStr">
        <is>
          <t>Planta Asflato Huixquilucan</t>
        </is>
      </c>
      <c r="C206" s="17625" t="n">
        <v>46196</v>
      </c>
      <c r="D206" t="inlineStr">
        <is>
          <t>RETROEXCAVADORA CASE 580 N</t>
        </is>
      </c>
      <c r="E206">
        <f>VLOOKUP(TablaObra5[[#This Row],[Equipo]],Catalogos!$I$4:$J$64,2,FALSE)</f>
        <v/>
      </c>
      <c r="F206" s="17626" t="n">
        <v>100</v>
      </c>
      <c r="G206" s="4" t="n">
        <v>27</v>
      </c>
      <c r="H206" s="4">
        <f>IFERROR(F206*G206,0)</f>
        <v/>
      </c>
      <c r="I206">
        <f>VLOOKUP(TablaObra5[[#This Row],[Obra]],Catalogos!$B$3:$C$10,2,FALSE)</f>
        <v/>
      </c>
      <c r="K206" t="n">
        <v>26</v>
      </c>
    </row>
    <row r="207">
      <c r="A207" s="17625" t="n">
        <v>46194</v>
      </c>
      <c r="B207" t="inlineStr">
        <is>
          <t>Planta Asflato Huixquilucan</t>
        </is>
      </c>
      <c r="C207" s="17625" t="n">
        <v>46197</v>
      </c>
      <c r="D207" t="inlineStr">
        <is>
          <t>GENERADOR</t>
        </is>
      </c>
      <c r="E207">
        <f>VLOOKUP(TablaObra5[[#This Row],[Equipo]],Catalogos!$I$4:$J$64,2,FALSE)</f>
        <v/>
      </c>
      <c r="F207" s="17626" t="n">
        <v>300</v>
      </c>
      <c r="G207" s="4" t="n">
        <v>27</v>
      </c>
      <c r="H207" s="4">
        <f>IFERROR(F207*G207,0)</f>
        <v/>
      </c>
      <c r="I207">
        <f>VLOOKUP(TablaObra5[[#This Row],[Obra]],Catalogos!$B$3:$C$10,2,FALSE)</f>
        <v/>
      </c>
      <c r="K207" t="n">
        <v>26</v>
      </c>
    </row>
    <row r="208">
      <c r="A208" s="17625" t="n">
        <v>46194</v>
      </c>
      <c r="B208" t="inlineStr">
        <is>
          <t>Planta Asflato Huixquilucan</t>
        </is>
      </c>
      <c r="C208" s="17625" t="n">
        <v>46197</v>
      </c>
      <c r="D208" t="inlineStr">
        <is>
          <t>RETROEXCAVADORA CASE 580 N</t>
        </is>
      </c>
      <c r="E208">
        <f>VLOOKUP(TablaObra5[[#This Row],[Equipo]],Catalogos!$I$4:$J$64,2,FALSE)</f>
        <v/>
      </c>
      <c r="F208" s="17626" t="n">
        <v>100</v>
      </c>
      <c r="G208" s="4" t="n">
        <v>27</v>
      </c>
      <c r="H208" s="4">
        <f>IFERROR(F208*G208,0)</f>
        <v/>
      </c>
      <c r="I208">
        <f>VLOOKUP(TablaObra5[[#This Row],[Obra]],Catalogos!$B$3:$C$10,2,FALSE)</f>
        <v/>
      </c>
      <c r="K208" t="n">
        <v>26</v>
      </c>
    </row>
    <row r="209">
      <c r="A209" s="17625" t="n">
        <v>46194</v>
      </c>
      <c r="B209" t="inlineStr">
        <is>
          <t>Planta Asflato Huixquilucan</t>
        </is>
      </c>
      <c r="C209" s="17625" t="n">
        <v>46197</v>
      </c>
      <c r="D209" t="inlineStr">
        <is>
          <t>CRIBA ROJA</t>
        </is>
      </c>
      <c r="E209">
        <f>VLOOKUP(TablaObra5[[#This Row],[Equipo]],Catalogos!$I$4:$J$64,2,FALSE)</f>
        <v/>
      </c>
      <c r="F209" s="17626" t="n">
        <v>100</v>
      </c>
      <c r="G209" s="4" t="n">
        <v>27</v>
      </c>
      <c r="H209" s="4">
        <f>IFERROR(F209*G209,0)</f>
        <v/>
      </c>
      <c r="I209">
        <f>VLOOKUP(TablaObra5[[#This Row],[Obra]],Catalogos!$B$3:$C$10,2,FALSE)</f>
        <v/>
      </c>
      <c r="K209" t="n">
        <v>26</v>
      </c>
    </row>
    <row r="210">
      <c r="A210" s="17625" t="n">
        <v>46194</v>
      </c>
      <c r="B210" t="inlineStr">
        <is>
          <t>Planta Asflato Huixquilucan</t>
        </is>
      </c>
      <c r="C210" s="17625" t="n">
        <v>46198</v>
      </c>
      <c r="D210" t="inlineStr">
        <is>
          <t>GENERADOR</t>
        </is>
      </c>
      <c r="E210">
        <f>VLOOKUP(TablaObra5[[#This Row],[Equipo]],Catalogos!$I$4:$J$64,2,FALSE)</f>
        <v/>
      </c>
      <c r="F210" s="17626" t="n">
        <v>300</v>
      </c>
      <c r="G210" s="4" t="n">
        <v>27</v>
      </c>
      <c r="H210" s="4">
        <f>IFERROR(F210*G210,0)</f>
        <v/>
      </c>
      <c r="I210">
        <f>VLOOKUP(TablaObra5[[#This Row],[Obra]],Catalogos!$B$3:$C$10,2,FALSE)</f>
        <v/>
      </c>
      <c r="K210" t="n">
        <v>26</v>
      </c>
    </row>
    <row r="211">
      <c r="A211" s="17625" t="n">
        <v>46194</v>
      </c>
      <c r="B211" t="inlineStr">
        <is>
          <t>Planta Asflato Huixquilucan</t>
        </is>
      </c>
      <c r="C211" s="17625" t="n">
        <v>46198</v>
      </c>
      <c r="D211" t="inlineStr">
        <is>
          <t>RETROEXCAVADORA CASE 580 N</t>
        </is>
      </c>
      <c r="E211">
        <f>VLOOKUP(TablaObra5[[#This Row],[Equipo]],Catalogos!$I$4:$J$64,2,FALSE)</f>
        <v/>
      </c>
      <c r="F211" s="17626" t="n">
        <v>100</v>
      </c>
      <c r="G211" s="4" t="n">
        <v>27</v>
      </c>
      <c r="H211" s="4">
        <f>IFERROR(F211*G211,0)</f>
        <v/>
      </c>
      <c r="I211">
        <f>VLOOKUP(TablaObra5[[#This Row],[Obra]],Catalogos!$B$3:$C$10,2,FALSE)</f>
        <v/>
      </c>
      <c r="K211" t="n">
        <v>26</v>
      </c>
    </row>
    <row r="212">
      <c r="A212" s="17625" t="n">
        <v>46194</v>
      </c>
      <c r="B212" t="inlineStr">
        <is>
          <t>Planta Asflato Huixquilucan</t>
        </is>
      </c>
      <c r="C212" s="17625" t="n">
        <v>46198</v>
      </c>
      <c r="D212" t="inlineStr">
        <is>
          <t>MAXILIGHT</t>
        </is>
      </c>
      <c r="E212">
        <f>VLOOKUP(TablaObra5[[#This Row],[Equipo]],Catalogos!$I$4:$J$64,2,FALSE)</f>
        <v/>
      </c>
      <c r="F212" s="17626" t="n">
        <v>100</v>
      </c>
      <c r="G212" s="4" t="n">
        <v>27</v>
      </c>
      <c r="H212" s="4">
        <f>IFERROR(F212*G212,0)</f>
        <v/>
      </c>
      <c r="I212">
        <f>VLOOKUP(TablaObra5[[#This Row],[Obra]],Catalogos!$B$3:$C$10,2,FALSE)</f>
        <v/>
      </c>
      <c r="K212" t="n">
        <v>26</v>
      </c>
    </row>
    <row r="213">
      <c r="A213" s="17625" t="n">
        <v>46194</v>
      </c>
      <c r="B213" t="inlineStr">
        <is>
          <t>Planta Asflato Huixquilucan</t>
        </is>
      </c>
      <c r="C213" s="17625" t="n">
        <v>46199</v>
      </c>
      <c r="D213" t="inlineStr">
        <is>
          <t>GENERADOR</t>
        </is>
      </c>
      <c r="E213">
        <f>VLOOKUP(TablaObra5[[#This Row],[Equipo]],Catalogos!$I$4:$J$64,2,FALSE)</f>
        <v/>
      </c>
      <c r="F213" s="17626" t="n">
        <v>300</v>
      </c>
      <c r="G213" s="4" t="n">
        <v>27</v>
      </c>
      <c r="H213" s="4">
        <f>IFERROR(F213*G213,0)</f>
        <v/>
      </c>
      <c r="I213">
        <f>VLOOKUP(TablaObra5[[#This Row],[Obra]],Catalogos!$B$3:$C$10,2,FALSE)</f>
        <v/>
      </c>
      <c r="K213" t="n">
        <v>26</v>
      </c>
    </row>
    <row r="214">
      <c r="A214" s="17625" t="n">
        <v>46194</v>
      </c>
      <c r="B214" t="inlineStr">
        <is>
          <t>Planta Asflato Huixquilucan</t>
        </is>
      </c>
      <c r="C214" s="17625" t="n">
        <v>46199</v>
      </c>
      <c r="D214" t="inlineStr">
        <is>
          <t>RETROEXCAVADORA CASE 580 N</t>
        </is>
      </c>
      <c r="E214">
        <f>VLOOKUP(TablaObra5[[#This Row],[Equipo]],Catalogos!$I$4:$J$64,2,FALSE)</f>
        <v/>
      </c>
      <c r="F214" s="17626" t="n">
        <v>100</v>
      </c>
      <c r="G214" s="4" t="n">
        <v>27</v>
      </c>
      <c r="H214" s="4">
        <f>IFERROR(F214*G214,0)</f>
        <v/>
      </c>
      <c r="I214">
        <f>VLOOKUP(TablaObra5[[#This Row],[Obra]],Catalogos!$B$3:$C$10,2,FALSE)</f>
        <v/>
      </c>
      <c r="K214" t="n">
        <v>26</v>
      </c>
    </row>
    <row r="215">
      <c r="A215" s="17625" t="n">
        <v>46194</v>
      </c>
      <c r="B215" t="inlineStr">
        <is>
          <t>Planta Asflato Huixquilucan</t>
        </is>
      </c>
      <c r="C215" s="17625" t="n">
        <v>46199</v>
      </c>
      <c r="D215" t="inlineStr">
        <is>
          <t>CRIBA ROJA</t>
        </is>
      </c>
      <c r="E215">
        <f>VLOOKUP(TablaObra5[[#This Row],[Equipo]],Catalogos!$I$4:$J$64,2,FALSE)</f>
        <v/>
      </c>
      <c r="F215" s="17626" t="n">
        <v>100</v>
      </c>
      <c r="G215" s="4" t="n">
        <v>27</v>
      </c>
      <c r="H215" s="4">
        <f>IFERROR(F215*G215,0)</f>
        <v/>
      </c>
      <c r="I215">
        <f>VLOOKUP(TablaObra5[[#This Row],[Obra]],Catalogos!$B$3:$C$10,2,FALSE)</f>
        <v/>
      </c>
      <c r="K215" t="n">
        <v>26</v>
      </c>
    </row>
    <row r="216">
      <c r="A216" s="17625" t="n">
        <v>46194</v>
      </c>
      <c r="B216" t="inlineStr">
        <is>
          <t>Planta Asflato Huixquilucan</t>
        </is>
      </c>
      <c r="C216" s="17625" t="n">
        <v>46200</v>
      </c>
      <c r="D216" t="inlineStr">
        <is>
          <t>RETROEXCAVADORA CASE 580 N</t>
        </is>
      </c>
      <c r="E216">
        <f>VLOOKUP(TablaObra5[[#This Row],[Equipo]],Catalogos!$I$4:$J$64,2,FALSE)</f>
        <v/>
      </c>
      <c r="F216" s="17626" t="n">
        <v>100</v>
      </c>
      <c r="G216" s="4" t="n">
        <v>27</v>
      </c>
      <c r="H216" s="4">
        <f>IFERROR(F216*G216,0)</f>
        <v/>
      </c>
      <c r="I216">
        <f>VLOOKUP(TablaObra5[[#This Row],[Obra]],Catalogos!$B$3:$C$10,2,FALSE)</f>
        <v/>
      </c>
      <c r="K216" t="n">
        <v>26</v>
      </c>
    </row>
    <row r="217">
      <c r="A217" s="17625" t="n">
        <v>46194</v>
      </c>
      <c r="B217" t="inlineStr">
        <is>
          <t>México-Toluca</t>
        </is>
      </c>
      <c r="C217" s="17625" t="n">
        <v>46195</v>
      </c>
      <c r="D217" t="inlineStr">
        <is>
          <t>PERFILADORA RODATEC RX600E</t>
        </is>
      </c>
      <c r="E217">
        <f>VLOOKUP(TablaObra5[[#This Row],[Equipo]],Catalogos!$I$4:$J$64,2,FALSE)</f>
        <v/>
      </c>
      <c r="F217" s="17626" t="n">
        <v>250</v>
      </c>
      <c r="G217" s="4" t="n">
        <v>27</v>
      </c>
      <c r="H217" s="4">
        <f>IFERROR(F217*G217,0)</f>
        <v/>
      </c>
      <c r="I217">
        <f>VLOOKUP(TablaObra5[[#This Row],[Obra]],Catalogos!$B$3:$C$10,2,FALSE)</f>
        <v/>
      </c>
      <c r="K217" t="n">
        <v>26</v>
      </c>
    </row>
    <row r="218">
      <c r="A218" s="17625" t="n">
        <v>46194</v>
      </c>
      <c r="B218" t="inlineStr">
        <is>
          <t>México-Toluca</t>
        </is>
      </c>
      <c r="C218" s="17625" t="n">
        <v>46195</v>
      </c>
      <c r="D218" t="inlineStr">
        <is>
          <t>PAVIMENTADORA VOGELE 1800-3 I</t>
        </is>
      </c>
      <c r="E218">
        <f>VLOOKUP(TablaObra5[[#This Row],[Equipo]],Catalogos!$I$4:$J$64,2,FALSE)</f>
        <v/>
      </c>
      <c r="F218" s="17626" t="n">
        <v>120</v>
      </c>
      <c r="G218" s="4" t="n">
        <v>27</v>
      </c>
      <c r="H218" s="4">
        <f>IFERROR(F218*G218,0)</f>
        <v/>
      </c>
      <c r="I218">
        <f>VLOOKUP(TablaObra5[[#This Row],[Obra]],Catalogos!$B$3:$C$10,2,FALSE)</f>
        <v/>
      </c>
      <c r="K218" t="n">
        <v>26</v>
      </c>
    </row>
    <row r="219">
      <c r="A219" s="17625" t="n">
        <v>46194</v>
      </c>
      <c r="B219" t="inlineStr">
        <is>
          <t>México-Toluca</t>
        </is>
      </c>
      <c r="C219" s="17625" t="n">
        <v>46195</v>
      </c>
      <c r="D219" t="inlineStr">
        <is>
          <t>TANDEM DOBLE RODILLO / VIBROCOMPACTOR RODILLO CAT CB54</t>
        </is>
      </c>
      <c r="E219">
        <f>VLOOKUP(TablaObra5[[#This Row],[Equipo]],Catalogos!$I$4:$J$64,2,FALSE)</f>
        <v/>
      </c>
      <c r="F219" s="17626" t="n">
        <v>50</v>
      </c>
      <c r="G219" s="4" t="n">
        <v>27</v>
      </c>
      <c r="H219" s="4">
        <f>IFERROR(F219*G219,0)</f>
        <v/>
      </c>
      <c r="I219">
        <f>VLOOKUP(TablaObra5[[#This Row],[Obra]],Catalogos!$B$3:$C$10,2,FALSE)</f>
        <v/>
      </c>
      <c r="K219" t="n">
        <v>26</v>
      </c>
    </row>
    <row r="220">
      <c r="A220" s="17625" t="n">
        <v>46194</v>
      </c>
      <c r="B220" t="inlineStr">
        <is>
          <t>México-Toluca</t>
        </is>
      </c>
      <c r="C220" s="17625" t="n">
        <v>46195</v>
      </c>
      <c r="D220" t="inlineStr">
        <is>
          <t>TANDEM DOBLE RODILLO / VIBROCOMPACTOR RODILLO CAT CB54</t>
        </is>
      </c>
      <c r="E220">
        <f>VLOOKUP(TablaObra5[[#This Row],[Equipo]],Catalogos!$I$4:$J$64,2,FALSE)</f>
        <v/>
      </c>
      <c r="F220" s="17626" t="n">
        <v>50</v>
      </c>
      <c r="G220" s="4" t="n">
        <v>27</v>
      </c>
      <c r="H220" s="4">
        <f>IFERROR(F220*G220,0)</f>
        <v/>
      </c>
      <c r="I220">
        <f>VLOOKUP(TablaObra5[[#This Row],[Obra]],Catalogos!$B$3:$C$10,2,FALSE)</f>
        <v/>
      </c>
      <c r="K220" t="n">
        <v>26</v>
      </c>
    </row>
    <row r="221">
      <c r="A221" s="17625" t="n">
        <v>46194</v>
      </c>
      <c r="B221" t="inlineStr">
        <is>
          <t>México-Toluca</t>
        </is>
      </c>
      <c r="C221" s="17625" t="n">
        <v>46195</v>
      </c>
      <c r="D221" t="inlineStr">
        <is>
          <t>NEUMATICO VOLVO PT-240R</t>
        </is>
      </c>
      <c r="E221">
        <f>VLOOKUP(TablaObra5[[#This Row],[Equipo]],Catalogos!$I$4:$J$64,2,FALSE)</f>
        <v/>
      </c>
      <c r="F221" s="17626" t="n">
        <v>50</v>
      </c>
      <c r="G221" s="4" t="n">
        <v>27</v>
      </c>
      <c r="H221" s="4">
        <f>IFERROR(F221*G221,0)</f>
        <v/>
      </c>
      <c r="I221">
        <f>VLOOKUP(TablaObra5[[#This Row],[Obra]],Catalogos!$B$3:$C$10,2,FALSE)</f>
        <v/>
      </c>
      <c r="K221" t="n">
        <v>26</v>
      </c>
    </row>
    <row r="222">
      <c r="A222" s="17625" t="n">
        <v>46194</v>
      </c>
      <c r="B222" t="inlineStr">
        <is>
          <t>México-Toluca</t>
        </is>
      </c>
      <c r="C222" s="17625" t="n">
        <v>46195</v>
      </c>
      <c r="D222" t="inlineStr">
        <is>
          <t>BARREDORA BROCE BROOM KR350</t>
        </is>
      </c>
      <c r="E222">
        <f>VLOOKUP(TablaObra5[[#This Row],[Equipo]],Catalogos!$I$4:$J$64,2,FALSE)</f>
        <v/>
      </c>
      <c r="F222" s="17626" t="n">
        <v>30</v>
      </c>
      <c r="G222" s="4" t="n">
        <v>27</v>
      </c>
      <c r="H222" s="4">
        <f>IFERROR(F222*G222,0)</f>
        <v/>
      </c>
      <c r="I222">
        <f>VLOOKUP(TablaObra5[[#This Row],[Obra]],Catalogos!$B$3:$C$10,2,FALSE)</f>
        <v/>
      </c>
      <c r="K222" t="n">
        <v>26</v>
      </c>
    </row>
    <row r="223">
      <c r="A223" s="17625" t="n">
        <v>46194</v>
      </c>
      <c r="B223" t="inlineStr">
        <is>
          <t>México-Toluca</t>
        </is>
      </c>
      <c r="C223" s="17625" t="n">
        <v>46195</v>
      </c>
      <c r="D223" t="inlineStr">
        <is>
          <t>RETROEXCAVADORA JHONDEREE 310 K</t>
        </is>
      </c>
      <c r="E223">
        <f>VLOOKUP(TablaObra5[[#This Row],[Equipo]],Catalogos!$I$4:$J$64,2,FALSE)</f>
        <v/>
      </c>
      <c r="F223" s="17626" t="n">
        <v>60</v>
      </c>
      <c r="G223" s="4" t="n">
        <v>27</v>
      </c>
      <c r="H223" s="4">
        <f>IFERROR(F223*G223,0)</f>
        <v/>
      </c>
      <c r="I223">
        <f>VLOOKUP(TablaObra5[[#This Row],[Obra]],Catalogos!$B$3:$C$10,2,FALSE)</f>
        <v/>
      </c>
      <c r="K223" t="n">
        <v>26</v>
      </c>
    </row>
    <row r="224">
      <c r="A224" s="17625" t="n">
        <v>46194</v>
      </c>
      <c r="B224" t="inlineStr">
        <is>
          <t>México-Toluca</t>
        </is>
      </c>
      <c r="C224" s="17625" t="n">
        <v>46195</v>
      </c>
      <c r="D224" t="inlineStr">
        <is>
          <t>PETROLIZADORA INTERNATIONAL</t>
        </is>
      </c>
      <c r="E224">
        <f>VLOOKUP(TablaObra5[[#This Row],[Equipo]],Catalogos!$I$4:$J$64,2,FALSE)</f>
        <v/>
      </c>
      <c r="F224" s="17626" t="n">
        <v>50</v>
      </c>
      <c r="G224" s="4" t="n">
        <v>27</v>
      </c>
      <c r="H224" s="4">
        <f>IFERROR(F224*G224,0)</f>
        <v/>
      </c>
      <c r="I224">
        <f>VLOOKUP(TablaObra5[[#This Row],[Obra]],Catalogos!$B$3:$C$10,2,FALSE)</f>
        <v/>
      </c>
      <c r="K224" t="n">
        <v>26</v>
      </c>
    </row>
    <row r="225">
      <c r="A225" s="17625" t="n">
        <v>46194</v>
      </c>
      <c r="B225" t="inlineStr">
        <is>
          <t>México-Toluca</t>
        </is>
      </c>
      <c r="C225" s="17625" t="n">
        <v>46196</v>
      </c>
      <c r="D225" t="inlineStr">
        <is>
          <t>PAVIMENTADORA VOGELE 1800-3 I</t>
        </is>
      </c>
      <c r="E225">
        <f>VLOOKUP(TablaObra5[[#This Row],[Equipo]],Catalogos!$I$4:$J$64,2,FALSE)</f>
        <v/>
      </c>
      <c r="F225" s="17626" t="n">
        <v>120</v>
      </c>
      <c r="G225" s="4" t="n">
        <v>27</v>
      </c>
      <c r="H225" s="4">
        <f>IFERROR(F225*G225,0)</f>
        <v/>
      </c>
      <c r="I225">
        <f>VLOOKUP(TablaObra5[[#This Row],[Obra]],Catalogos!$B$3:$C$10,2,FALSE)</f>
        <v/>
      </c>
      <c r="K225" t="n">
        <v>26</v>
      </c>
    </row>
    <row r="226">
      <c r="A226" s="17625" t="n">
        <v>46194</v>
      </c>
      <c r="B226" t="inlineStr">
        <is>
          <t>México-Toluca</t>
        </is>
      </c>
      <c r="C226" s="17625" t="n">
        <v>46196</v>
      </c>
      <c r="D226" t="inlineStr">
        <is>
          <t>TANDEM DOBLE RODILLO / VIBROCOMPACTOR RODILLO CAT CB54</t>
        </is>
      </c>
      <c r="E226">
        <f>VLOOKUP(TablaObra5[[#This Row],[Equipo]],Catalogos!$I$4:$J$64,2,FALSE)</f>
        <v/>
      </c>
      <c r="F226" s="17626" t="n">
        <v>40</v>
      </c>
      <c r="G226" s="4" t="n">
        <v>27</v>
      </c>
      <c r="H226" s="4">
        <f>IFERROR(F226*G226,0)</f>
        <v/>
      </c>
      <c r="I226">
        <f>VLOOKUP(TablaObra5[[#This Row],[Obra]],Catalogos!$B$3:$C$10,2,FALSE)</f>
        <v/>
      </c>
      <c r="K226" t="n">
        <v>26</v>
      </c>
    </row>
    <row r="227">
      <c r="A227" s="17625" t="n">
        <v>46194</v>
      </c>
      <c r="B227" t="inlineStr">
        <is>
          <t>México-Toluca</t>
        </is>
      </c>
      <c r="C227" s="17625" t="n">
        <v>46196</v>
      </c>
      <c r="D227" t="inlineStr">
        <is>
          <t>TANDEM DOBLE RODILLO / VIBROCOMPACTOR RODILLO CAT CB54</t>
        </is>
      </c>
      <c r="E227">
        <f>VLOOKUP(TablaObra5[[#This Row],[Equipo]],Catalogos!$I$4:$J$64,2,FALSE)</f>
        <v/>
      </c>
      <c r="F227" s="17626" t="n">
        <v>40</v>
      </c>
      <c r="G227" s="4" t="n">
        <v>27</v>
      </c>
      <c r="H227" s="4">
        <f>IFERROR(F227*G227,0)</f>
        <v/>
      </c>
      <c r="I227">
        <f>VLOOKUP(TablaObra5[[#This Row],[Obra]],Catalogos!$B$3:$C$10,2,FALSE)</f>
        <v/>
      </c>
      <c r="K227" t="n">
        <v>26</v>
      </c>
    </row>
    <row r="228">
      <c r="A228" s="17625" t="n">
        <v>46194</v>
      </c>
      <c r="B228" t="inlineStr">
        <is>
          <t>México-Toluca</t>
        </is>
      </c>
      <c r="C228" s="17625" t="n">
        <v>46196</v>
      </c>
      <c r="D228" t="inlineStr">
        <is>
          <t>NEUMATICO VOLVO PT-240R</t>
        </is>
      </c>
      <c r="E228">
        <f>VLOOKUP(TablaObra5[[#This Row],[Equipo]],Catalogos!$I$4:$J$64,2,FALSE)</f>
        <v/>
      </c>
      <c r="F228" s="17626" t="n">
        <v>50</v>
      </c>
      <c r="G228" s="4" t="n">
        <v>27</v>
      </c>
      <c r="H228" s="4">
        <f>IFERROR(F228*G228,0)</f>
        <v/>
      </c>
      <c r="I228">
        <f>VLOOKUP(TablaObra5[[#This Row],[Obra]],Catalogos!$B$3:$C$10,2,FALSE)</f>
        <v/>
      </c>
      <c r="K228" t="n">
        <v>26</v>
      </c>
    </row>
    <row r="229">
      <c r="A229" s="17625" t="n">
        <v>46194</v>
      </c>
      <c r="B229" t="inlineStr">
        <is>
          <t>México-Toluca</t>
        </is>
      </c>
      <c r="C229" s="17625" t="n">
        <v>46196</v>
      </c>
      <c r="D229" t="inlineStr">
        <is>
          <t>BARREDORA BROCE BROOM KR350</t>
        </is>
      </c>
      <c r="E229">
        <f>VLOOKUP(TablaObra5[[#This Row],[Equipo]],Catalogos!$I$4:$J$64,2,FALSE)</f>
        <v/>
      </c>
      <c r="F229" s="17626" t="n">
        <v>30</v>
      </c>
      <c r="G229" s="4" t="n">
        <v>27</v>
      </c>
      <c r="H229" s="4">
        <f>IFERROR(F229*G229,0)</f>
        <v/>
      </c>
      <c r="I229">
        <f>VLOOKUP(TablaObra5[[#This Row],[Obra]],Catalogos!$B$3:$C$10,2,FALSE)</f>
        <v/>
      </c>
      <c r="K229" t="n">
        <v>26</v>
      </c>
    </row>
    <row r="230">
      <c r="A230" s="17625" t="n">
        <v>46194</v>
      </c>
      <c r="B230" t="inlineStr">
        <is>
          <t>México-Toluca</t>
        </is>
      </c>
      <c r="C230" s="17625" t="n">
        <v>46196</v>
      </c>
      <c r="D230" t="inlineStr">
        <is>
          <t>RETROEXCAVADORA JHONDEREE 310 K</t>
        </is>
      </c>
      <c r="E230">
        <f>VLOOKUP(TablaObra5[[#This Row],[Equipo]],Catalogos!$I$4:$J$64,2,FALSE)</f>
        <v/>
      </c>
      <c r="F230" s="17626" t="n">
        <v>50</v>
      </c>
      <c r="G230" s="4" t="n">
        <v>27</v>
      </c>
      <c r="H230" s="4">
        <f>IFERROR(F230*G230,0)</f>
        <v/>
      </c>
      <c r="I230">
        <f>VLOOKUP(TablaObra5[[#This Row],[Obra]],Catalogos!$B$3:$C$10,2,FALSE)</f>
        <v/>
      </c>
      <c r="K230" t="n">
        <v>26</v>
      </c>
    </row>
    <row r="231">
      <c r="A231" s="17625" t="n">
        <v>46194</v>
      </c>
      <c r="B231" t="inlineStr">
        <is>
          <t>México-Toluca</t>
        </is>
      </c>
      <c r="C231" s="17625" t="n">
        <v>46196</v>
      </c>
      <c r="D231" t="inlineStr">
        <is>
          <t>PETROLIZADORA INTERNATIONAL</t>
        </is>
      </c>
      <c r="E231">
        <f>VLOOKUP(TablaObra5[[#This Row],[Equipo]],Catalogos!$I$4:$J$64,2,FALSE)</f>
        <v/>
      </c>
      <c r="F231" s="17626" t="n">
        <v>50</v>
      </c>
      <c r="G231" s="4" t="n">
        <v>27</v>
      </c>
      <c r="H231" s="4">
        <f>IFERROR(F231*G231,0)</f>
        <v/>
      </c>
      <c r="I231">
        <f>VLOOKUP(TablaObra5[[#This Row],[Obra]],Catalogos!$B$3:$C$10,2,FALSE)</f>
        <v/>
      </c>
      <c r="K231" t="n">
        <v>26</v>
      </c>
    </row>
    <row r="232">
      <c r="A232" s="17625" t="n">
        <v>46194</v>
      </c>
      <c r="B232" t="inlineStr">
        <is>
          <t>México-Toluca</t>
        </is>
      </c>
      <c r="C232" s="17625" t="n">
        <v>46197</v>
      </c>
      <c r="D232" t="inlineStr">
        <is>
          <t>PERFILADORA RODATEC RX600E</t>
        </is>
      </c>
      <c r="E232">
        <f>VLOOKUP(TablaObra5[[#This Row],[Equipo]],Catalogos!$I$4:$J$64,2,FALSE)</f>
        <v/>
      </c>
      <c r="F232" s="17626" t="n">
        <v>250</v>
      </c>
      <c r="G232" s="4" t="n">
        <v>27</v>
      </c>
      <c r="H232" s="4">
        <f>IFERROR(F232*G232,0)</f>
        <v/>
      </c>
      <c r="I232">
        <f>VLOOKUP(TablaObra5[[#This Row],[Obra]],Catalogos!$B$3:$C$10,2,FALSE)</f>
        <v/>
      </c>
      <c r="K232" t="n">
        <v>26</v>
      </c>
    </row>
    <row r="233">
      <c r="A233" s="17625" t="n">
        <v>46194</v>
      </c>
      <c r="B233" t="inlineStr">
        <is>
          <t>México-Toluca</t>
        </is>
      </c>
      <c r="C233" s="17625" t="n">
        <v>46197</v>
      </c>
      <c r="D233" t="inlineStr">
        <is>
          <t>PAVIMENTADORA VOGELE 1800-3 I</t>
        </is>
      </c>
      <c r="E233">
        <f>VLOOKUP(TablaObra5[[#This Row],[Equipo]],Catalogos!$I$4:$J$64,2,FALSE)</f>
        <v/>
      </c>
      <c r="F233" s="17626" t="n">
        <v>120</v>
      </c>
      <c r="G233" s="4" t="n">
        <v>27</v>
      </c>
      <c r="H233" s="4">
        <f>IFERROR(F233*G233,0)</f>
        <v/>
      </c>
      <c r="I233">
        <f>VLOOKUP(TablaObra5[[#This Row],[Obra]],Catalogos!$B$3:$C$10,2,FALSE)</f>
        <v/>
      </c>
      <c r="K233" t="n">
        <v>26</v>
      </c>
    </row>
    <row r="234">
      <c r="A234" s="17625" t="n">
        <v>46194</v>
      </c>
      <c r="B234" t="inlineStr">
        <is>
          <t>México-Toluca</t>
        </is>
      </c>
      <c r="C234" s="17625" t="n">
        <v>46197</v>
      </c>
      <c r="D234" t="inlineStr">
        <is>
          <t>TANDEM DOBLE RODILLO / VIBROCOMPACTOR RODILLO CAT CB54</t>
        </is>
      </c>
      <c r="E234">
        <f>VLOOKUP(TablaObra5[[#This Row],[Equipo]],Catalogos!$I$4:$J$64,2,FALSE)</f>
        <v/>
      </c>
      <c r="F234" s="17626" t="n">
        <v>40</v>
      </c>
      <c r="G234" s="4" t="n">
        <v>27</v>
      </c>
      <c r="H234" s="4">
        <f>IFERROR(F234*G234,0)</f>
        <v/>
      </c>
      <c r="I234">
        <f>VLOOKUP(TablaObra5[[#This Row],[Obra]],Catalogos!$B$3:$C$10,2,FALSE)</f>
        <v/>
      </c>
      <c r="K234" t="n">
        <v>26</v>
      </c>
    </row>
    <row r="235">
      <c r="A235" s="17625" t="n">
        <v>46194</v>
      </c>
      <c r="B235" t="inlineStr">
        <is>
          <t>México-Toluca</t>
        </is>
      </c>
      <c r="C235" s="17625" t="n">
        <v>46197</v>
      </c>
      <c r="D235" t="inlineStr">
        <is>
          <t>TANDEM DOBLE RODILLO / VIBROCOMPACTOR RODILLO CAT CB54</t>
        </is>
      </c>
      <c r="E235">
        <f>VLOOKUP(TablaObra5[[#This Row],[Equipo]],Catalogos!$I$4:$J$64,2,FALSE)</f>
        <v/>
      </c>
      <c r="F235" s="17626" t="n">
        <v>40</v>
      </c>
      <c r="G235" s="4" t="n">
        <v>27</v>
      </c>
      <c r="H235" s="4">
        <f>IFERROR(F235*G235,0)</f>
        <v/>
      </c>
      <c r="I235">
        <f>VLOOKUP(TablaObra5[[#This Row],[Obra]],Catalogos!$B$3:$C$10,2,FALSE)</f>
        <v/>
      </c>
      <c r="K235" t="n">
        <v>26</v>
      </c>
    </row>
    <row r="236">
      <c r="A236" s="17625" t="n">
        <v>46194</v>
      </c>
      <c r="B236" t="inlineStr">
        <is>
          <t>México-Toluca</t>
        </is>
      </c>
      <c r="C236" s="17625" t="n">
        <v>46197</v>
      </c>
      <c r="D236" t="inlineStr">
        <is>
          <t>NEUMATICO VOLVO PT-240R</t>
        </is>
      </c>
      <c r="E236">
        <f>VLOOKUP(TablaObra5[[#This Row],[Equipo]],Catalogos!$I$4:$J$64,2,FALSE)</f>
        <v/>
      </c>
      <c r="F236" s="17626" t="n">
        <v>50</v>
      </c>
      <c r="G236" s="4" t="n">
        <v>27</v>
      </c>
      <c r="H236" s="4">
        <f>IFERROR(F236*G236,0)</f>
        <v/>
      </c>
      <c r="I236">
        <f>VLOOKUP(TablaObra5[[#This Row],[Obra]],Catalogos!$B$3:$C$10,2,FALSE)</f>
        <v/>
      </c>
      <c r="K236" t="n">
        <v>26</v>
      </c>
    </row>
    <row r="237">
      <c r="A237" s="17625" t="n">
        <v>46194</v>
      </c>
      <c r="B237" t="inlineStr">
        <is>
          <t>México-Toluca</t>
        </is>
      </c>
      <c r="C237" s="17625" t="n">
        <v>46197</v>
      </c>
      <c r="D237" t="inlineStr">
        <is>
          <t>BARREDORA BROCE BROOM KR350</t>
        </is>
      </c>
      <c r="E237">
        <f>VLOOKUP(TablaObra5[[#This Row],[Equipo]],Catalogos!$I$4:$J$64,2,FALSE)</f>
        <v/>
      </c>
      <c r="F237" s="17626" t="n">
        <v>20</v>
      </c>
      <c r="G237" s="4" t="n">
        <v>27</v>
      </c>
      <c r="H237" s="4">
        <f>IFERROR(F237*G237,0)</f>
        <v/>
      </c>
      <c r="I237">
        <f>VLOOKUP(TablaObra5[[#This Row],[Obra]],Catalogos!$B$3:$C$10,2,FALSE)</f>
        <v/>
      </c>
      <c r="K237" t="n">
        <v>26</v>
      </c>
    </row>
    <row r="238">
      <c r="A238" s="17625" t="n">
        <v>46194</v>
      </c>
      <c r="B238" t="inlineStr">
        <is>
          <t>México-Toluca</t>
        </is>
      </c>
      <c r="C238" s="17625" t="n">
        <v>46197</v>
      </c>
      <c r="D238" t="inlineStr">
        <is>
          <t>RETROEXCAVADORA JHONDEREE 310 K</t>
        </is>
      </c>
      <c r="E238">
        <f>VLOOKUP(TablaObra5[[#This Row],[Equipo]],Catalogos!$I$4:$J$64,2,FALSE)</f>
        <v/>
      </c>
      <c r="F238" s="17626" t="n">
        <v>50</v>
      </c>
      <c r="G238" s="4" t="n">
        <v>27</v>
      </c>
      <c r="H238" s="4">
        <f>IFERROR(F238*G238,0)</f>
        <v/>
      </c>
      <c r="I238">
        <f>VLOOKUP(TablaObra5[[#This Row],[Obra]],Catalogos!$B$3:$C$10,2,FALSE)</f>
        <v/>
      </c>
      <c r="K238" t="n">
        <v>26</v>
      </c>
    </row>
    <row r="239">
      <c r="A239" s="17625" t="n">
        <v>46194</v>
      </c>
      <c r="B239" t="inlineStr">
        <is>
          <t>México-Toluca</t>
        </is>
      </c>
      <c r="C239" s="17625" t="n">
        <v>46197</v>
      </c>
      <c r="D239" t="inlineStr">
        <is>
          <t>PETROLIZADORA INTERNATIONAL</t>
        </is>
      </c>
      <c r="E239">
        <f>VLOOKUP(TablaObra5[[#This Row],[Equipo]],Catalogos!$I$4:$J$64,2,FALSE)</f>
        <v/>
      </c>
      <c r="F239" s="17626" t="n">
        <v>50</v>
      </c>
      <c r="G239" s="4" t="n">
        <v>27</v>
      </c>
      <c r="H239" s="4">
        <f>IFERROR(F239*G239,0)</f>
        <v/>
      </c>
      <c r="I239">
        <f>VLOOKUP(TablaObra5[[#This Row],[Obra]],Catalogos!$B$3:$C$10,2,FALSE)</f>
        <v/>
      </c>
      <c r="K239" t="n">
        <v>26</v>
      </c>
    </row>
    <row r="240">
      <c r="A240" s="17625" t="n">
        <v>46194</v>
      </c>
      <c r="B240" t="inlineStr">
        <is>
          <t>México-Toluca</t>
        </is>
      </c>
      <c r="C240" s="17625" t="n">
        <v>46198</v>
      </c>
      <c r="D240" t="inlineStr">
        <is>
          <t>PERFILADORA RODATEC RX600E</t>
        </is>
      </c>
      <c r="E240">
        <f>VLOOKUP(TablaObra5[[#This Row],[Equipo]],Catalogos!$I$4:$J$64,2,FALSE)</f>
        <v/>
      </c>
      <c r="F240" s="17626" t="n">
        <v>250</v>
      </c>
      <c r="G240" s="4" t="n">
        <v>27</v>
      </c>
      <c r="H240" s="4">
        <f>IFERROR(F240*G240,0)</f>
        <v/>
      </c>
      <c r="I240">
        <f>VLOOKUP(TablaObra5[[#This Row],[Obra]],Catalogos!$B$3:$C$10,2,FALSE)</f>
        <v/>
      </c>
      <c r="K240" t="n">
        <v>26</v>
      </c>
    </row>
    <row r="241">
      <c r="A241" s="17625" t="n">
        <v>46194</v>
      </c>
      <c r="B241" t="inlineStr">
        <is>
          <t>México-Toluca</t>
        </is>
      </c>
      <c r="C241" s="17625" t="n">
        <v>46198</v>
      </c>
      <c r="D241" t="inlineStr">
        <is>
          <t>PAVIMENTADORA VOGELE 1800-3 I</t>
        </is>
      </c>
      <c r="E241">
        <f>VLOOKUP(TablaObra5[[#This Row],[Equipo]],Catalogos!$I$4:$J$64,2,FALSE)</f>
        <v/>
      </c>
      <c r="F241" s="17626" t="n">
        <v>120</v>
      </c>
      <c r="G241" s="4" t="n">
        <v>27</v>
      </c>
      <c r="H241" s="4">
        <f>IFERROR(F241*G241,0)</f>
        <v/>
      </c>
      <c r="I241">
        <f>VLOOKUP(TablaObra5[[#This Row],[Obra]],Catalogos!$B$3:$C$10,2,FALSE)</f>
        <v/>
      </c>
      <c r="K241" t="n">
        <v>26</v>
      </c>
    </row>
    <row r="242">
      <c r="A242" s="17625" t="n">
        <v>46194</v>
      </c>
      <c r="B242" t="inlineStr">
        <is>
          <t>México-Toluca</t>
        </is>
      </c>
      <c r="C242" s="17625" t="n">
        <v>46198</v>
      </c>
      <c r="D242" t="inlineStr">
        <is>
          <t>TANDEM DOBLE RODILLO / VIBROCOMPACTOR RODILLO CAT CB54</t>
        </is>
      </c>
      <c r="E242">
        <f>VLOOKUP(TablaObra5[[#This Row],[Equipo]],Catalogos!$I$4:$J$64,2,FALSE)</f>
        <v/>
      </c>
      <c r="F242" s="17626" t="n">
        <v>40</v>
      </c>
      <c r="G242" s="4" t="n">
        <v>27</v>
      </c>
      <c r="H242" s="4">
        <f>IFERROR(F242*G242,0)</f>
        <v/>
      </c>
      <c r="I242">
        <f>VLOOKUP(TablaObra5[[#This Row],[Obra]],Catalogos!$B$3:$C$10,2,FALSE)</f>
        <v/>
      </c>
      <c r="K242" t="n">
        <v>26</v>
      </c>
    </row>
    <row r="243">
      <c r="A243" s="17625" t="n">
        <v>46194</v>
      </c>
      <c r="B243" t="inlineStr">
        <is>
          <t>México-Toluca</t>
        </is>
      </c>
      <c r="C243" s="17625" t="n">
        <v>46198</v>
      </c>
      <c r="D243" t="inlineStr">
        <is>
          <t>TANDEM DOBLE RODILLO / VIBROCOMPACTOR RODILLO CAT CB54</t>
        </is>
      </c>
      <c r="E243">
        <f>VLOOKUP(TablaObra5[[#This Row],[Equipo]],Catalogos!$I$4:$J$64,2,FALSE)</f>
        <v/>
      </c>
      <c r="F243" s="17626" t="n">
        <v>40</v>
      </c>
      <c r="G243" s="4" t="n">
        <v>27</v>
      </c>
      <c r="H243" s="4">
        <f>IFERROR(F243*G243,0)</f>
        <v/>
      </c>
      <c r="I243">
        <f>VLOOKUP(TablaObra5[[#This Row],[Obra]],Catalogos!$B$3:$C$10,2,FALSE)</f>
        <v/>
      </c>
      <c r="K243" t="n">
        <v>26</v>
      </c>
    </row>
    <row r="244">
      <c r="A244" s="17625" t="n">
        <v>46194</v>
      </c>
      <c r="B244" t="inlineStr">
        <is>
          <t>México-Toluca</t>
        </is>
      </c>
      <c r="C244" s="17625" t="n">
        <v>46198</v>
      </c>
      <c r="D244" t="inlineStr">
        <is>
          <t>NEUMATICO VOLVO PT-240R</t>
        </is>
      </c>
      <c r="E244">
        <f>VLOOKUP(TablaObra5[[#This Row],[Equipo]],Catalogos!$I$4:$J$64,2,FALSE)</f>
        <v/>
      </c>
      <c r="F244" s="17626" t="n">
        <v>50</v>
      </c>
      <c r="G244" s="4" t="n">
        <v>27</v>
      </c>
      <c r="H244" s="4">
        <f>IFERROR(F244*G244,0)</f>
        <v/>
      </c>
      <c r="I244">
        <f>VLOOKUP(TablaObra5[[#This Row],[Obra]],Catalogos!$B$3:$C$10,2,FALSE)</f>
        <v/>
      </c>
      <c r="K244" t="n">
        <v>26</v>
      </c>
    </row>
    <row r="245">
      <c r="A245" s="17625" t="n">
        <v>46194</v>
      </c>
      <c r="B245" t="inlineStr">
        <is>
          <t>México-Toluca</t>
        </is>
      </c>
      <c r="C245" s="17625" t="n">
        <v>46198</v>
      </c>
      <c r="D245" t="inlineStr">
        <is>
          <t>BARREDORA BROCE BROOM KR350</t>
        </is>
      </c>
      <c r="E245">
        <f>VLOOKUP(TablaObra5[[#This Row],[Equipo]],Catalogos!$I$4:$J$64,2,FALSE)</f>
        <v/>
      </c>
      <c r="F245" s="17626" t="n">
        <v>20</v>
      </c>
      <c r="G245" s="4" t="n">
        <v>27</v>
      </c>
      <c r="H245" s="4">
        <f>IFERROR(F245*G245,0)</f>
        <v/>
      </c>
      <c r="I245">
        <f>VLOOKUP(TablaObra5[[#This Row],[Obra]],Catalogos!$B$3:$C$10,2,FALSE)</f>
        <v/>
      </c>
      <c r="K245" t="n">
        <v>26</v>
      </c>
    </row>
    <row r="246">
      <c r="A246" s="17625" t="n">
        <v>46194</v>
      </c>
      <c r="B246" t="inlineStr">
        <is>
          <t>México-Toluca</t>
        </is>
      </c>
      <c r="C246" s="17625" t="n">
        <v>46198</v>
      </c>
      <c r="D246" t="inlineStr">
        <is>
          <t>RETROEXCAVADORA JHONDEREE 310 K</t>
        </is>
      </c>
      <c r="E246">
        <f>VLOOKUP(TablaObra5[[#This Row],[Equipo]],Catalogos!$I$4:$J$64,2,FALSE)</f>
        <v/>
      </c>
      <c r="F246" s="17626" t="n">
        <v>50</v>
      </c>
      <c r="G246" s="4" t="n">
        <v>27</v>
      </c>
      <c r="H246" s="4">
        <f>IFERROR(F246*G246,0)</f>
        <v/>
      </c>
      <c r="I246">
        <f>VLOOKUP(TablaObra5[[#This Row],[Obra]],Catalogos!$B$3:$C$10,2,FALSE)</f>
        <v/>
      </c>
      <c r="K246" t="n">
        <v>26</v>
      </c>
    </row>
    <row r="247">
      <c r="A247" s="17625" t="n">
        <v>46194</v>
      </c>
      <c r="B247" t="inlineStr">
        <is>
          <t>México-Toluca</t>
        </is>
      </c>
      <c r="C247" s="17625" t="n">
        <v>46198</v>
      </c>
      <c r="D247" t="inlineStr">
        <is>
          <t>PETROLIZADORA INTERNATIONAL</t>
        </is>
      </c>
      <c r="E247">
        <f>VLOOKUP(TablaObra5[[#This Row],[Equipo]],Catalogos!$I$4:$J$64,2,FALSE)</f>
        <v/>
      </c>
      <c r="F247" s="17626" t="n">
        <v>50</v>
      </c>
      <c r="G247" s="4" t="n">
        <v>27</v>
      </c>
      <c r="H247" s="4">
        <f>IFERROR(F247*G247,0)</f>
        <v/>
      </c>
      <c r="I247">
        <f>VLOOKUP(TablaObra5[[#This Row],[Obra]],Catalogos!$B$3:$C$10,2,FALSE)</f>
        <v/>
      </c>
      <c r="K247" t="n">
        <v>26</v>
      </c>
    </row>
    <row r="248">
      <c r="A248" s="17625" t="n">
        <v>46194</v>
      </c>
      <c r="B248" t="inlineStr">
        <is>
          <t>México-Toluca</t>
        </is>
      </c>
      <c r="C248" s="17625" t="n">
        <v>46199</v>
      </c>
      <c r="D248" t="inlineStr">
        <is>
          <t>PERFILADORA RODATEC RX600E</t>
        </is>
      </c>
      <c r="E248">
        <f>VLOOKUP(TablaObra5[[#This Row],[Equipo]],Catalogos!$I$4:$J$64,2,FALSE)</f>
        <v/>
      </c>
      <c r="F248" s="17626" t="n">
        <v>250</v>
      </c>
      <c r="G248" s="4" t="n">
        <v>27</v>
      </c>
      <c r="H248" s="4">
        <f>IFERROR(F248*G248,0)</f>
        <v/>
      </c>
      <c r="I248">
        <f>VLOOKUP(TablaObra5[[#This Row],[Obra]],Catalogos!$B$3:$C$10,2,FALSE)</f>
        <v/>
      </c>
      <c r="K248" t="n">
        <v>26</v>
      </c>
    </row>
    <row r="249">
      <c r="A249" s="17625" t="n">
        <v>46194</v>
      </c>
      <c r="B249" t="inlineStr">
        <is>
          <t>México-Toluca</t>
        </is>
      </c>
      <c r="C249" s="17625" t="n">
        <v>46199</v>
      </c>
      <c r="D249" t="inlineStr">
        <is>
          <t>PAVIMENTADORA VOGELE 1800-3 I</t>
        </is>
      </c>
      <c r="E249">
        <f>VLOOKUP(TablaObra5[[#This Row],[Equipo]],Catalogos!$I$4:$J$64,2,FALSE)</f>
        <v/>
      </c>
      <c r="F249" s="17626" t="n">
        <v>120</v>
      </c>
      <c r="G249" s="4" t="n">
        <v>27</v>
      </c>
      <c r="H249" s="4">
        <f>IFERROR(F249*G249,0)</f>
        <v/>
      </c>
      <c r="I249">
        <f>VLOOKUP(TablaObra5[[#This Row],[Obra]],Catalogos!$B$3:$C$10,2,FALSE)</f>
        <v/>
      </c>
      <c r="K249" t="n">
        <v>26</v>
      </c>
    </row>
    <row r="250">
      <c r="A250" s="17625" t="n">
        <v>46194</v>
      </c>
      <c r="B250" t="inlineStr">
        <is>
          <t>México-Toluca</t>
        </is>
      </c>
      <c r="C250" s="17625" t="n">
        <v>46199</v>
      </c>
      <c r="D250" t="inlineStr">
        <is>
          <t>TANDEM DOBLE RODILLO / VIBROCOMPACTOR RODILLO CAT CB54</t>
        </is>
      </c>
      <c r="E250">
        <f>VLOOKUP(TablaObra5[[#This Row],[Equipo]],Catalogos!$I$4:$J$64,2,FALSE)</f>
        <v/>
      </c>
      <c r="F250" s="17626" t="n">
        <v>40</v>
      </c>
      <c r="G250" s="4" t="n">
        <v>27</v>
      </c>
      <c r="H250" s="4">
        <f>IFERROR(F250*G250,0)</f>
        <v/>
      </c>
      <c r="I250">
        <f>VLOOKUP(TablaObra5[[#This Row],[Obra]],Catalogos!$B$3:$C$10,2,FALSE)</f>
        <v/>
      </c>
      <c r="K250" t="n">
        <v>26</v>
      </c>
    </row>
    <row r="251">
      <c r="A251" s="17625" t="n">
        <v>46194</v>
      </c>
      <c r="B251" t="inlineStr">
        <is>
          <t>México-Toluca</t>
        </is>
      </c>
      <c r="C251" s="17625" t="n">
        <v>46199</v>
      </c>
      <c r="D251" t="inlineStr">
        <is>
          <t>TANDEM DOBLE RODILLO / VIBROCOMPACTOR RODILLO CAT CB54</t>
        </is>
      </c>
      <c r="E251">
        <f>VLOOKUP(TablaObra5[[#This Row],[Equipo]],Catalogos!$I$4:$J$64,2,FALSE)</f>
        <v/>
      </c>
      <c r="F251" s="17626" t="n">
        <v>40</v>
      </c>
      <c r="G251" s="4" t="n">
        <v>27</v>
      </c>
      <c r="H251" s="4">
        <f>IFERROR(F251*G251,0)</f>
        <v/>
      </c>
      <c r="I251">
        <f>VLOOKUP(TablaObra5[[#This Row],[Obra]],Catalogos!$B$3:$C$10,2,FALSE)</f>
        <v/>
      </c>
      <c r="K251" t="n">
        <v>26</v>
      </c>
    </row>
    <row r="252">
      <c r="A252" s="17625" t="n">
        <v>46194</v>
      </c>
      <c r="B252" t="inlineStr">
        <is>
          <t>México-Toluca</t>
        </is>
      </c>
      <c r="C252" s="17625" t="n">
        <v>46199</v>
      </c>
      <c r="D252" t="inlineStr">
        <is>
          <t>NEUMATICO VOLVO PT-240R</t>
        </is>
      </c>
      <c r="E252">
        <f>VLOOKUP(TablaObra5[[#This Row],[Equipo]],Catalogos!$I$4:$J$64,2,FALSE)</f>
        <v/>
      </c>
      <c r="F252" s="17626" t="n">
        <v>50</v>
      </c>
      <c r="G252" s="4" t="n">
        <v>27</v>
      </c>
      <c r="H252" s="4">
        <f>IFERROR(F252*G252,0)</f>
        <v/>
      </c>
      <c r="I252">
        <f>VLOOKUP(TablaObra5[[#This Row],[Obra]],Catalogos!$B$3:$C$10,2,FALSE)</f>
        <v/>
      </c>
      <c r="K252" t="n">
        <v>26</v>
      </c>
    </row>
    <row r="253">
      <c r="A253" s="17625" t="n">
        <v>46194</v>
      </c>
      <c r="B253" t="inlineStr">
        <is>
          <t>México-Toluca</t>
        </is>
      </c>
      <c r="C253" s="17625" t="n">
        <v>46199</v>
      </c>
      <c r="D253" t="inlineStr">
        <is>
          <t>BARREDORA BROCE BROOM KR350</t>
        </is>
      </c>
      <c r="E253">
        <f>VLOOKUP(TablaObra5[[#This Row],[Equipo]],Catalogos!$I$4:$J$64,2,FALSE)</f>
        <v/>
      </c>
      <c r="F253" s="17626" t="n">
        <v>20</v>
      </c>
      <c r="G253" s="4" t="n">
        <v>27</v>
      </c>
      <c r="H253" s="4">
        <f>IFERROR(F253*G253,0)</f>
        <v/>
      </c>
      <c r="I253">
        <f>VLOOKUP(TablaObra5[[#This Row],[Obra]],Catalogos!$B$3:$C$10,2,FALSE)</f>
        <v/>
      </c>
      <c r="K253" t="n">
        <v>26</v>
      </c>
    </row>
    <row r="254">
      <c r="A254" s="17625" t="n">
        <v>46194</v>
      </c>
      <c r="B254" t="inlineStr">
        <is>
          <t>México-Toluca</t>
        </is>
      </c>
      <c r="C254" s="17625" t="n">
        <v>46199</v>
      </c>
      <c r="D254" t="inlineStr">
        <is>
          <t>RETROEXCAVADORA JHONDEREE 310 K</t>
        </is>
      </c>
      <c r="E254">
        <f>VLOOKUP(TablaObra5[[#This Row],[Equipo]],Catalogos!$I$4:$J$64,2,FALSE)</f>
        <v/>
      </c>
      <c r="F254" s="17626" t="n">
        <v>50</v>
      </c>
      <c r="G254" s="4" t="n">
        <v>27</v>
      </c>
      <c r="H254" s="4">
        <f>IFERROR(F254*G254,0)</f>
        <v/>
      </c>
      <c r="I254">
        <f>VLOOKUP(TablaObra5[[#This Row],[Obra]],Catalogos!$B$3:$C$10,2,FALSE)</f>
        <v/>
      </c>
      <c r="K254" t="n">
        <v>26</v>
      </c>
    </row>
    <row r="255">
      <c r="A255" s="17625" t="n">
        <v>46194</v>
      </c>
      <c r="B255" t="inlineStr">
        <is>
          <t>México-Toluca</t>
        </is>
      </c>
      <c r="C255" s="17625" t="n">
        <v>46199</v>
      </c>
      <c r="D255" t="inlineStr">
        <is>
          <t>PETROLIZADORA INTERNATIONAL</t>
        </is>
      </c>
      <c r="E255">
        <f>VLOOKUP(TablaObra5[[#This Row],[Equipo]],Catalogos!$I$4:$J$64,2,FALSE)</f>
        <v/>
      </c>
      <c r="F255" s="17626" t="n">
        <v>50</v>
      </c>
      <c r="G255" s="4" t="n">
        <v>27</v>
      </c>
      <c r="H255" s="4">
        <f>IFERROR(F255*G255,0)</f>
        <v/>
      </c>
      <c r="I255">
        <f>VLOOKUP(TablaObra5[[#This Row],[Obra]],Catalogos!$B$3:$C$10,2,FALSE)</f>
        <v/>
      </c>
      <c r="K255" t="n">
        <v>26</v>
      </c>
    </row>
    <row r="256">
      <c r="A256" s="17625" t="n">
        <v>46194</v>
      </c>
      <c r="B256" t="inlineStr">
        <is>
          <t>Bacheo Toluca</t>
        </is>
      </c>
      <c r="C256" s="17625" t="n">
        <v>46195</v>
      </c>
      <c r="D256" t="inlineStr">
        <is>
          <t>RETROEXCAVADORA CASE 580 N</t>
        </is>
      </c>
      <c r="E256">
        <f>VLOOKUP(TablaObra5[[#This Row],[Equipo]],Catalogos!$I$4:$J$64,2,FALSE)</f>
        <v/>
      </c>
      <c r="F256" s="17626" t="n">
        <v>50</v>
      </c>
      <c r="G256" s="4" t="n">
        <v>27</v>
      </c>
      <c r="H256" s="4">
        <f>IFERROR(F256*G256,0)</f>
        <v/>
      </c>
      <c r="I256">
        <f>VLOOKUP(TablaObra5[[#This Row],[Obra]],Catalogos!$B$3:$C$10,2,FALSE)</f>
        <v/>
      </c>
      <c r="K256" t="n">
        <v>26</v>
      </c>
    </row>
    <row r="257">
      <c r="A257" s="17625" t="n">
        <v>46194</v>
      </c>
      <c r="B257" t="inlineStr">
        <is>
          <t>Bacheo Toluca</t>
        </is>
      </c>
      <c r="C257" s="17625" t="n">
        <v>46195</v>
      </c>
      <c r="D257" t="inlineStr">
        <is>
          <t>RETROEXCAVADORA CASE 580 N</t>
        </is>
      </c>
      <c r="E257">
        <f>VLOOKUP(TablaObra5[[#This Row],[Equipo]],Catalogos!$I$4:$J$64,2,FALSE)</f>
        <v/>
      </c>
      <c r="F257" s="17626" t="n">
        <v>50</v>
      </c>
      <c r="G257" s="4" t="n">
        <v>27</v>
      </c>
      <c r="H257" s="4">
        <f>IFERROR(F257*G257,0)</f>
        <v/>
      </c>
      <c r="I257">
        <f>VLOOKUP(TablaObra5[[#This Row],[Obra]],Catalogos!$B$3:$C$10,2,FALSE)</f>
        <v/>
      </c>
      <c r="K257" t="n">
        <v>26</v>
      </c>
    </row>
    <row r="258">
      <c r="A258" s="17625" t="n">
        <v>46194</v>
      </c>
      <c r="B258" t="inlineStr">
        <is>
          <t>Bacheo Toluca</t>
        </is>
      </c>
      <c r="C258" s="17625" t="n">
        <v>46195</v>
      </c>
      <c r="D258" t="inlineStr">
        <is>
          <t>HOMBRE A BORDO</t>
        </is>
      </c>
      <c r="E258">
        <f>VLOOKUP(TablaObra5[[#This Row],[Equipo]],Catalogos!$I$4:$J$64,2,FALSE)</f>
        <v/>
      </c>
      <c r="F258" s="17626" t="n">
        <v>10</v>
      </c>
      <c r="G258" s="4" t="n">
        <v>27</v>
      </c>
      <c r="H258" s="4">
        <f>IFERROR(F258*G258,0)</f>
        <v/>
      </c>
      <c r="I258">
        <f>VLOOKUP(TablaObra5[[#This Row],[Obra]],Catalogos!$B$3:$C$10,2,FALSE)</f>
        <v/>
      </c>
      <c r="K258" t="n">
        <v>26</v>
      </c>
    </row>
    <row r="259">
      <c r="A259" s="17625" t="n">
        <v>46194</v>
      </c>
      <c r="B259" t="inlineStr">
        <is>
          <t>Bacheo Toluca</t>
        </is>
      </c>
      <c r="C259" s="17625" t="n">
        <v>46195</v>
      </c>
      <c r="D259" t="inlineStr">
        <is>
          <t>LIMPIEZA</t>
        </is>
      </c>
      <c r="E259">
        <f>VLOOKUP(TablaObra5[[#This Row],[Equipo]],Catalogos!$I$4:$J$64,2,FALSE)</f>
        <v/>
      </c>
      <c r="F259" s="17626" t="n">
        <v>8</v>
      </c>
      <c r="G259" s="4" t="n">
        <v>27</v>
      </c>
      <c r="H259" s="4">
        <f>IFERROR(F259*G259,0)</f>
        <v/>
      </c>
      <c r="I259">
        <f>VLOOKUP(TablaObra5[[#This Row],[Obra]],Catalogos!$B$3:$C$10,2,FALSE)</f>
        <v/>
      </c>
      <c r="K259" t="n">
        <v>26</v>
      </c>
    </row>
    <row r="260">
      <c r="A260" s="17625" t="n">
        <v>46194</v>
      </c>
      <c r="B260" t="inlineStr">
        <is>
          <t>Bacheo Toluca</t>
        </is>
      </c>
      <c r="C260" s="17625" t="n">
        <v>46196</v>
      </c>
      <c r="D260" t="inlineStr">
        <is>
          <t>RETROEXCAVADORA CASE 580 N</t>
        </is>
      </c>
      <c r="E260">
        <f>VLOOKUP(TablaObra5[[#This Row],[Equipo]],Catalogos!$I$4:$J$64,2,FALSE)</f>
        <v/>
      </c>
      <c r="F260" s="17626" t="n">
        <v>50</v>
      </c>
      <c r="G260" s="4" t="n">
        <v>27</v>
      </c>
      <c r="H260" s="4">
        <f>IFERROR(F260*G260,0)</f>
        <v/>
      </c>
      <c r="I260">
        <f>VLOOKUP(TablaObra5[[#This Row],[Obra]],Catalogos!$B$3:$C$10,2,FALSE)</f>
        <v/>
      </c>
      <c r="K260" t="n">
        <v>26</v>
      </c>
    </row>
    <row r="261">
      <c r="A261" s="17625" t="n">
        <v>46194</v>
      </c>
      <c r="B261" t="inlineStr">
        <is>
          <t>Bacheo Toluca</t>
        </is>
      </c>
      <c r="C261" s="17625" t="n">
        <v>46196</v>
      </c>
      <c r="D261" t="inlineStr">
        <is>
          <t>RETROEXCAVADORA CASE 580 N</t>
        </is>
      </c>
      <c r="E261">
        <f>VLOOKUP(TablaObra5[[#This Row],[Equipo]],Catalogos!$I$4:$J$64,2,FALSE)</f>
        <v/>
      </c>
      <c r="F261" s="17626" t="n">
        <v>40</v>
      </c>
      <c r="G261" s="4" t="n">
        <v>27</v>
      </c>
      <c r="H261" s="4">
        <f>IFERROR(F261*G261,0)</f>
        <v/>
      </c>
      <c r="I261">
        <f>VLOOKUP(TablaObra5[[#This Row],[Obra]],Catalogos!$B$3:$C$10,2,FALSE)</f>
        <v/>
      </c>
      <c r="K261" t="n">
        <v>26</v>
      </c>
    </row>
    <row r="262">
      <c r="A262" s="17625" t="n">
        <v>46194</v>
      </c>
      <c r="B262" t="inlineStr">
        <is>
          <t>Bacheo Toluca</t>
        </is>
      </c>
      <c r="C262" s="17625" t="n">
        <v>46196</v>
      </c>
      <c r="D262" t="inlineStr">
        <is>
          <t>HOMBRE A BORDO</t>
        </is>
      </c>
      <c r="E262">
        <f>VLOOKUP(TablaObra5[[#This Row],[Equipo]],Catalogos!$I$4:$J$64,2,FALSE)</f>
        <v/>
      </c>
      <c r="F262" s="17626" t="n">
        <v>10</v>
      </c>
      <c r="G262" s="4" t="n">
        <v>27</v>
      </c>
      <c r="H262" s="4">
        <f>IFERROR(F262*G262,0)</f>
        <v/>
      </c>
      <c r="I262">
        <f>VLOOKUP(TablaObra5[[#This Row],[Obra]],Catalogos!$B$3:$C$10,2,FALSE)</f>
        <v/>
      </c>
      <c r="K262" t="n">
        <v>26</v>
      </c>
    </row>
    <row r="263">
      <c r="A263" s="17625" t="n">
        <v>46194</v>
      </c>
      <c r="B263" t="inlineStr">
        <is>
          <t>Bacheo Toluca</t>
        </is>
      </c>
      <c r="C263" s="17625" t="n">
        <v>46196</v>
      </c>
      <c r="D263" t="inlineStr">
        <is>
          <t>LIMPIEZA</t>
        </is>
      </c>
      <c r="E263">
        <f>VLOOKUP(TablaObra5[[#This Row],[Equipo]],Catalogos!$I$4:$J$64,2,FALSE)</f>
        <v/>
      </c>
      <c r="F263" s="17626" t="n">
        <v>5</v>
      </c>
      <c r="G263" s="4" t="n">
        <v>27</v>
      </c>
      <c r="H263" s="4">
        <f>IFERROR(F263*G263,0)</f>
        <v/>
      </c>
      <c r="I263">
        <f>VLOOKUP(TablaObra5[[#This Row],[Obra]],Catalogos!$B$3:$C$10,2,FALSE)</f>
        <v/>
      </c>
      <c r="K263" t="n">
        <v>26</v>
      </c>
    </row>
    <row r="264">
      <c r="A264" s="17625" t="n">
        <v>46194</v>
      </c>
      <c r="B264" t="inlineStr">
        <is>
          <t>Bacheo Toluca</t>
        </is>
      </c>
      <c r="C264" s="17625" t="n">
        <v>46197</v>
      </c>
      <c r="D264" t="inlineStr">
        <is>
          <t>RETROEXCAVADORA CASE 580 N</t>
        </is>
      </c>
      <c r="E264">
        <f>VLOOKUP(TablaObra5[[#This Row],[Equipo]],Catalogos!$I$4:$J$64,2,FALSE)</f>
        <v/>
      </c>
      <c r="F264" s="17626" t="n">
        <v>50</v>
      </c>
      <c r="G264" s="4" t="n">
        <v>27</v>
      </c>
      <c r="H264" s="4">
        <f>IFERROR(F264*G264,0)</f>
        <v/>
      </c>
      <c r="I264">
        <f>VLOOKUP(TablaObra5[[#This Row],[Obra]],Catalogos!$B$3:$C$10,2,FALSE)</f>
        <v/>
      </c>
      <c r="K264" t="n">
        <v>26</v>
      </c>
    </row>
    <row r="265">
      <c r="A265" s="17625" t="n">
        <v>46194</v>
      </c>
      <c r="B265" t="inlineStr">
        <is>
          <t>Bacheo Toluca</t>
        </is>
      </c>
      <c r="C265" s="17625" t="n">
        <v>46197</v>
      </c>
      <c r="D265" t="inlineStr">
        <is>
          <t>RETROEXCAVADORA CASE 580 N</t>
        </is>
      </c>
      <c r="E265">
        <f>VLOOKUP(TablaObra5[[#This Row],[Equipo]],Catalogos!$I$4:$J$64,2,FALSE)</f>
        <v/>
      </c>
      <c r="F265" s="17626" t="n">
        <v>40</v>
      </c>
      <c r="G265" s="4" t="n">
        <v>27</v>
      </c>
      <c r="H265" s="4">
        <f>IFERROR(F265*G265,0)</f>
        <v/>
      </c>
      <c r="I265">
        <f>VLOOKUP(TablaObra5[[#This Row],[Obra]],Catalogos!$B$3:$C$10,2,FALSE)</f>
        <v/>
      </c>
      <c r="K265" t="n">
        <v>26</v>
      </c>
    </row>
    <row r="266">
      <c r="A266" s="17625" t="n">
        <v>46194</v>
      </c>
      <c r="B266" t="inlineStr">
        <is>
          <t>Bacheo Toluca</t>
        </is>
      </c>
      <c r="C266" s="17625" t="n">
        <v>46197</v>
      </c>
      <c r="D266" t="inlineStr">
        <is>
          <t>HOMBRE A BORDO</t>
        </is>
      </c>
      <c r="E266">
        <f>VLOOKUP(TablaObra5[[#This Row],[Equipo]],Catalogos!$I$4:$J$64,2,FALSE)</f>
        <v/>
      </c>
      <c r="F266" s="17626" t="n">
        <v>10</v>
      </c>
      <c r="G266" s="4" t="n">
        <v>27</v>
      </c>
      <c r="H266" s="4">
        <f>IFERROR(F266*G266,0)</f>
        <v/>
      </c>
      <c r="I266">
        <f>VLOOKUP(TablaObra5[[#This Row],[Obra]],Catalogos!$B$3:$C$10,2,FALSE)</f>
        <v/>
      </c>
      <c r="K266" t="n">
        <v>26</v>
      </c>
    </row>
    <row r="267">
      <c r="A267" s="17625" t="n">
        <v>46194</v>
      </c>
      <c r="B267" t="inlineStr">
        <is>
          <t>Bacheo Toluca</t>
        </is>
      </c>
      <c r="C267" s="17625" t="n">
        <v>46197</v>
      </c>
      <c r="D267" t="inlineStr">
        <is>
          <t>LIMPIEZA</t>
        </is>
      </c>
      <c r="E267">
        <f>VLOOKUP(TablaObra5[[#This Row],[Equipo]],Catalogos!$I$4:$J$64,2,FALSE)</f>
        <v/>
      </c>
      <c r="F267" s="17626" t="n">
        <v>8</v>
      </c>
      <c r="G267" s="4" t="n">
        <v>27</v>
      </c>
      <c r="H267" s="4">
        <f>IFERROR(F267*G267,0)</f>
        <v/>
      </c>
      <c r="I267">
        <f>VLOOKUP(TablaObra5[[#This Row],[Obra]],Catalogos!$B$3:$C$10,2,FALSE)</f>
        <v/>
      </c>
      <c r="K267" t="n">
        <v>26</v>
      </c>
    </row>
    <row r="268">
      <c r="A268" s="17625" t="n">
        <v>46194</v>
      </c>
      <c r="B268" t="inlineStr">
        <is>
          <t>Bacheo Toluca</t>
        </is>
      </c>
      <c r="C268" s="17625" t="n">
        <v>46198</v>
      </c>
      <c r="D268" t="inlineStr">
        <is>
          <t>RETROEXCAVADORA CASE 580 N</t>
        </is>
      </c>
      <c r="E268">
        <f>VLOOKUP(TablaObra5[[#This Row],[Equipo]],Catalogos!$I$4:$J$64,2,FALSE)</f>
        <v/>
      </c>
      <c r="F268" s="17626" t="n">
        <v>60</v>
      </c>
      <c r="G268" s="4" t="n">
        <v>27</v>
      </c>
      <c r="H268" s="4">
        <f>IFERROR(F268*G268,0)</f>
        <v/>
      </c>
      <c r="I268">
        <f>VLOOKUP(TablaObra5[[#This Row],[Obra]],Catalogos!$B$3:$C$10,2,FALSE)</f>
        <v/>
      </c>
      <c r="K268" t="n">
        <v>26</v>
      </c>
    </row>
    <row r="269">
      <c r="A269" s="17625" t="n">
        <v>46194</v>
      </c>
      <c r="B269" t="inlineStr">
        <is>
          <t>Bacheo Toluca</t>
        </is>
      </c>
      <c r="C269" s="17625" t="n">
        <v>46198</v>
      </c>
      <c r="D269" t="inlineStr">
        <is>
          <t>RETROEXCAVADORA CASE 580 N</t>
        </is>
      </c>
      <c r="E269">
        <f>VLOOKUP(TablaObra5[[#This Row],[Equipo]],Catalogos!$I$4:$J$64,2,FALSE)</f>
        <v/>
      </c>
      <c r="F269" s="17626" t="n">
        <v>60</v>
      </c>
      <c r="G269" s="4" t="n">
        <v>27</v>
      </c>
      <c r="H269" s="4">
        <f>IFERROR(F269*G269,0)</f>
        <v/>
      </c>
      <c r="I269">
        <f>VLOOKUP(TablaObra5[[#This Row],[Obra]],Catalogos!$B$3:$C$10,2,FALSE)</f>
        <v/>
      </c>
      <c r="K269" t="n">
        <v>26</v>
      </c>
    </row>
    <row r="270">
      <c r="A270" s="17625" t="n">
        <v>46194</v>
      </c>
      <c r="B270" t="inlineStr">
        <is>
          <t>Bacheo Toluca</t>
        </is>
      </c>
      <c r="C270" s="17625" t="n">
        <v>46198</v>
      </c>
      <c r="D270" t="inlineStr">
        <is>
          <t>LIMPIEZA</t>
        </is>
      </c>
      <c r="E270">
        <f>VLOOKUP(TablaObra5[[#This Row],[Equipo]],Catalogos!$I$4:$J$64,2,FALSE)</f>
        <v/>
      </c>
      <c r="F270" s="17626" t="n">
        <v>5</v>
      </c>
      <c r="G270" s="4" t="n">
        <v>27</v>
      </c>
      <c r="H270" s="4">
        <f>IFERROR(F270*G270,0)</f>
        <v/>
      </c>
      <c r="I270">
        <f>VLOOKUP(TablaObra5[[#This Row],[Obra]],Catalogos!$B$3:$C$10,2,FALSE)</f>
        <v/>
      </c>
      <c r="K270" t="n">
        <v>26</v>
      </c>
    </row>
    <row r="271">
      <c r="A271" s="17625" t="n">
        <v>46194</v>
      </c>
      <c r="B271" t="inlineStr">
        <is>
          <t>Bacheo Toluca</t>
        </is>
      </c>
      <c r="C271" s="17625" t="n">
        <v>46199</v>
      </c>
      <c r="D271" t="inlineStr">
        <is>
          <t>RETROEXCAVADORA CASE 580 N</t>
        </is>
      </c>
      <c r="E271">
        <f>VLOOKUP(TablaObra5[[#This Row],[Equipo]],Catalogos!$I$4:$J$64,2,FALSE)</f>
        <v/>
      </c>
      <c r="F271" s="17626" t="n">
        <v>50</v>
      </c>
      <c r="G271" s="4" t="n">
        <v>27</v>
      </c>
      <c r="H271" s="4">
        <f>IFERROR(F271*G271,0)</f>
        <v/>
      </c>
      <c r="I271">
        <f>VLOOKUP(TablaObra5[[#This Row],[Obra]],Catalogos!$B$3:$C$10,2,FALSE)</f>
        <v/>
      </c>
      <c r="K271" t="n">
        <v>26</v>
      </c>
    </row>
    <row r="272">
      <c r="A272" s="17625" t="n">
        <v>46194</v>
      </c>
      <c r="B272" t="inlineStr">
        <is>
          <t>Bacheo Toluca</t>
        </is>
      </c>
      <c r="C272" s="17625" t="n">
        <v>46199</v>
      </c>
      <c r="D272" t="inlineStr">
        <is>
          <t>RETROEXCAVADORA CASE 580 N</t>
        </is>
      </c>
      <c r="E272">
        <f>VLOOKUP(TablaObra5[[#This Row],[Equipo]],Catalogos!$I$4:$J$64,2,FALSE)</f>
        <v/>
      </c>
      <c r="F272" s="17626" t="n">
        <v>50</v>
      </c>
      <c r="G272" s="4" t="n">
        <v>27</v>
      </c>
      <c r="H272" s="4">
        <f>IFERROR(F272*G272,0)</f>
        <v/>
      </c>
      <c r="I272">
        <f>VLOOKUP(TablaObra5[[#This Row],[Obra]],Catalogos!$B$3:$C$10,2,FALSE)</f>
        <v/>
      </c>
      <c r="K272" t="n">
        <v>26</v>
      </c>
    </row>
    <row r="273">
      <c r="A273" s="17625" t="n">
        <v>46194</v>
      </c>
      <c r="B273" t="inlineStr">
        <is>
          <t>Bacheo Toluca</t>
        </is>
      </c>
      <c r="C273" s="17625" t="n">
        <v>46199</v>
      </c>
      <c r="D273" t="inlineStr">
        <is>
          <t>HOMBRE A BORDO</t>
        </is>
      </c>
      <c r="E273">
        <f>VLOOKUP(TablaObra5[[#This Row],[Equipo]],Catalogos!$I$4:$J$64,2,FALSE)</f>
        <v/>
      </c>
      <c r="F273" s="17626" t="n">
        <v>10</v>
      </c>
      <c r="G273" s="4" t="n">
        <v>27</v>
      </c>
      <c r="H273" s="4">
        <f>IFERROR(F273*G273,0)</f>
        <v/>
      </c>
      <c r="I273">
        <f>VLOOKUP(TablaObra5[[#This Row],[Obra]],Catalogos!$B$3:$C$10,2,FALSE)</f>
        <v/>
      </c>
      <c r="K273" t="n">
        <v>26</v>
      </c>
    </row>
    <row r="274">
      <c r="A274" s="17625" t="n">
        <v>46194</v>
      </c>
      <c r="B274" t="inlineStr">
        <is>
          <t>Bacheo Toluca</t>
        </is>
      </c>
      <c r="C274" s="17625" t="n">
        <v>46199</v>
      </c>
      <c r="D274" t="inlineStr">
        <is>
          <t>LIMPIEZA</t>
        </is>
      </c>
      <c r="E274">
        <f>VLOOKUP(TablaObra5[[#This Row],[Equipo]],Catalogos!$I$4:$J$64,2,FALSE)</f>
        <v/>
      </c>
      <c r="F274" s="17626" t="n">
        <v>8</v>
      </c>
      <c r="G274" s="4" t="n">
        <v>27</v>
      </c>
      <c r="H274" s="4">
        <f>IFERROR(F274*G274,0)</f>
        <v/>
      </c>
      <c r="I274">
        <f>VLOOKUP(TablaObra5[[#This Row],[Obra]],Catalogos!$B$3:$C$10,2,FALSE)</f>
        <v/>
      </c>
      <c r="K274" t="n">
        <v>26</v>
      </c>
    </row>
    <row r="275">
      <c r="A275" s="17625" t="n">
        <v>46194</v>
      </c>
      <c r="B275" t="inlineStr">
        <is>
          <t>Planta Asfalto Pegaso</t>
        </is>
      </c>
      <c r="C275" s="17625" t="n">
        <v>46196</v>
      </c>
      <c r="D275" t="inlineStr">
        <is>
          <t>PAYLODER</t>
        </is>
      </c>
      <c r="E275">
        <f>VLOOKUP(TablaObra5[[#This Row],[Equipo]],Catalogos!$I$4:$J$64,2,FALSE)</f>
        <v/>
      </c>
      <c r="F275" s="17626" t="n">
        <v>300</v>
      </c>
      <c r="G275" s="4" t="n">
        <v>27</v>
      </c>
      <c r="H275" s="4">
        <f>IFERROR(F275*G275,0)</f>
        <v/>
      </c>
      <c r="I275">
        <f>VLOOKUP(TablaObra5[[#This Row],[Obra]],Catalogos!$B$3:$C$10,2,FALSE)</f>
        <v/>
      </c>
      <c r="K275" t="n">
        <v>26</v>
      </c>
    </row>
    <row r="276">
      <c r="A276" s="17625" t="n">
        <v>46194</v>
      </c>
      <c r="B276" t="inlineStr">
        <is>
          <t>Planta Asfalto Pegaso</t>
        </is>
      </c>
      <c r="C276" s="17625" t="n">
        <v>46197</v>
      </c>
      <c r="D276" t="inlineStr">
        <is>
          <t>CALDERA TECNO</t>
        </is>
      </c>
      <c r="E276">
        <f>VLOOKUP(TablaObra5[[#This Row],[Equipo]],Catalogos!$I$4:$J$64,2,FALSE)</f>
        <v/>
      </c>
      <c r="F276" s="17626" t="n">
        <v>600</v>
      </c>
      <c r="G276" s="4" t="n">
        <v>27</v>
      </c>
      <c r="H276" s="4">
        <f>IFERROR(F276*G276,0)</f>
        <v/>
      </c>
      <c r="I276">
        <f>VLOOKUP(TablaObra5[[#This Row],[Obra]],Catalogos!$B$3:$C$10,2,FALSE)</f>
        <v/>
      </c>
      <c r="K276" t="n">
        <v>26</v>
      </c>
    </row>
    <row r="277">
      <c r="A277" s="17625" t="n">
        <v>46194</v>
      </c>
      <c r="B277" t="inlineStr">
        <is>
          <t>Planta Asfalto Pegaso</t>
        </is>
      </c>
      <c r="C277" s="17625" t="n">
        <v>46197</v>
      </c>
      <c r="D277" t="inlineStr">
        <is>
          <t>CALDERA TRIASO</t>
        </is>
      </c>
      <c r="E277">
        <f>VLOOKUP(TablaObra5[[#This Row],[Equipo]],Catalogos!$I$4:$J$64,2,FALSE)</f>
        <v/>
      </c>
      <c r="F277" s="17626" t="n">
        <v>400</v>
      </c>
      <c r="G277" s="4" t="n">
        <v>27</v>
      </c>
      <c r="H277" s="4">
        <f>IFERROR(F277*G277,0)</f>
        <v/>
      </c>
      <c r="I277">
        <f>VLOOKUP(TablaObra5[[#This Row],[Obra]],Catalogos!$B$3:$C$10,2,FALSE)</f>
        <v/>
      </c>
      <c r="K277" t="n">
        <v>26</v>
      </c>
    </row>
    <row r="278">
      <c r="A278" s="17625" t="n">
        <v>46194</v>
      </c>
      <c r="B278" t="inlineStr">
        <is>
          <t>Planta Asfalto Pegaso</t>
        </is>
      </c>
      <c r="C278" s="17625" t="n">
        <v>46198</v>
      </c>
      <c r="D278" t="inlineStr">
        <is>
          <t>PAYLODER</t>
        </is>
      </c>
      <c r="E278">
        <f>VLOOKUP(TablaObra5[[#This Row],[Equipo]],Catalogos!$I$4:$J$64,2,FALSE)</f>
        <v/>
      </c>
      <c r="F278" s="17626" t="n">
        <v>300</v>
      </c>
      <c r="G278" s="4" t="n">
        <v>27</v>
      </c>
      <c r="H278" s="4">
        <f>IFERROR(F278*G278,0)</f>
        <v/>
      </c>
      <c r="I278">
        <f>VLOOKUP(TablaObra5[[#This Row],[Obra]],Catalogos!$B$3:$C$10,2,FALSE)</f>
        <v/>
      </c>
      <c r="K278" t="n">
        <v>26</v>
      </c>
    </row>
    <row r="279">
      <c r="A279" s="17625" t="n">
        <v>46194</v>
      </c>
      <c r="B279" t="inlineStr">
        <is>
          <t>Lerma - Tres Marías</t>
        </is>
      </c>
      <c r="C279" s="17625" t="n">
        <v>46195</v>
      </c>
      <c r="D279" t="inlineStr">
        <is>
          <t>PIPA DE AGUA (IMPACTO 01) FORD</t>
        </is>
      </c>
      <c r="E279">
        <f>VLOOKUP(TablaObra5[[#This Row],[Equipo]],Catalogos!$I$4:$J$64,2,FALSE)</f>
        <v/>
      </c>
      <c r="F279" s="17626" t="n">
        <v>30</v>
      </c>
      <c r="G279" s="4" t="n">
        <v>27</v>
      </c>
      <c r="H279" s="4">
        <f>IFERROR(F279*G279,0)</f>
        <v/>
      </c>
      <c r="I279">
        <f>VLOOKUP(TablaObra5[[#This Row],[Obra]],Catalogos!$B$3:$C$10,2,FALSE)</f>
        <v/>
      </c>
      <c r="K279" t="n">
        <v>26</v>
      </c>
    </row>
    <row r="280">
      <c r="A280" s="17625" t="n">
        <v>46194</v>
      </c>
      <c r="B280" t="inlineStr">
        <is>
          <t>Lerma - Tres Marías</t>
        </is>
      </c>
      <c r="C280" s="17625" t="n">
        <v>46196</v>
      </c>
      <c r="D280" t="inlineStr">
        <is>
          <t>PIPA DE AGUA (IMPACTO 01) FORD</t>
        </is>
      </c>
      <c r="E280">
        <f>VLOOKUP(TablaObra5[[#This Row],[Equipo]],Catalogos!$I$4:$J$64,2,FALSE)</f>
        <v/>
      </c>
      <c r="F280" s="17626" t="n">
        <v>30</v>
      </c>
      <c r="G280" s="4" t="n">
        <v>27</v>
      </c>
      <c r="H280" s="4">
        <f>IFERROR(F280*G280,0)</f>
        <v/>
      </c>
      <c r="I280">
        <f>VLOOKUP(TablaObra5[[#This Row],[Obra]],Catalogos!$B$3:$C$10,2,FALSE)</f>
        <v/>
      </c>
      <c r="K280" t="n">
        <v>26</v>
      </c>
    </row>
    <row r="281">
      <c r="A281" s="17625" t="n">
        <v>46194</v>
      </c>
      <c r="B281" t="inlineStr">
        <is>
          <t>Lerma - Tres Marías</t>
        </is>
      </c>
      <c r="C281" s="17625" t="n">
        <v>46197</v>
      </c>
      <c r="D281" t="inlineStr">
        <is>
          <t>PIPA DE AGUA (IMPACTO 01) FORD</t>
        </is>
      </c>
      <c r="E281">
        <f>VLOOKUP(TablaObra5[[#This Row],[Equipo]],Catalogos!$I$4:$J$64,2,FALSE)</f>
        <v/>
      </c>
      <c r="F281" s="17626" t="n">
        <v>30</v>
      </c>
      <c r="G281" s="4" t="n">
        <v>27</v>
      </c>
      <c r="H281" s="4">
        <f>IFERROR(F281*G281,0)</f>
        <v/>
      </c>
      <c r="I281">
        <f>VLOOKUP(TablaObra5[[#This Row],[Obra]],Catalogos!$B$3:$C$10,2,FALSE)</f>
        <v/>
      </c>
      <c r="K281" t="n">
        <v>26</v>
      </c>
    </row>
    <row r="282">
      <c r="A282" s="17625" t="n">
        <v>46194</v>
      </c>
      <c r="B282" t="inlineStr">
        <is>
          <t>Lerma - Tres Marías</t>
        </is>
      </c>
      <c r="C282" s="17625" t="n">
        <v>46198</v>
      </c>
      <c r="D282" t="inlineStr">
        <is>
          <t>PIPA DE AGUA (IMPACTO 01) FORD</t>
        </is>
      </c>
      <c r="E282">
        <f>VLOOKUP(TablaObra5[[#This Row],[Equipo]],Catalogos!$I$4:$J$64,2,FALSE)</f>
        <v/>
      </c>
      <c r="F282" s="17626" t="n">
        <v>30</v>
      </c>
      <c r="G282" s="4" t="n">
        <v>27</v>
      </c>
      <c r="H282" s="4">
        <f>IFERROR(F282*G282,0)</f>
        <v/>
      </c>
      <c r="I282">
        <f>VLOOKUP(TablaObra5[[#This Row],[Obra]],Catalogos!$B$3:$C$10,2,FALSE)</f>
        <v/>
      </c>
      <c r="K282" t="n">
        <v>26</v>
      </c>
    </row>
    <row r="283">
      <c r="A283" s="17625" t="n">
        <v>46194</v>
      </c>
      <c r="B283" t="inlineStr">
        <is>
          <t>Lerma - Tres Marías</t>
        </is>
      </c>
      <c r="C283" s="17625" t="n">
        <v>46199</v>
      </c>
      <c r="D283" t="inlineStr">
        <is>
          <t>PIPA DE AGUA (IMPACTO 01) FORD</t>
        </is>
      </c>
      <c r="E283">
        <f>VLOOKUP(TablaObra5[[#This Row],[Equipo]],Catalogos!$I$4:$J$64,2,FALSE)</f>
        <v/>
      </c>
      <c r="F283" s="17626" t="n">
        <v>30</v>
      </c>
      <c r="G283" s="4" t="n">
        <v>27</v>
      </c>
      <c r="H283" s="4">
        <f>IFERROR(F283*G283,0)</f>
        <v/>
      </c>
      <c r="I283">
        <f>VLOOKUP(TablaObra5[[#This Row],[Obra]],Catalogos!$B$3:$C$10,2,FALSE)</f>
        <v/>
      </c>
      <c r="K283" t="n">
        <v>26</v>
      </c>
    </row>
    <row r="284">
      <c r="A284" s="17625" t="n">
        <v>46202</v>
      </c>
      <c r="B284" t="inlineStr">
        <is>
          <t>Planta Asfalto Huixquilucan</t>
        </is>
      </c>
      <c r="C284" s="17625" t="n">
        <v>46202</v>
      </c>
      <c r="D284" t="inlineStr">
        <is>
          <t>GENERADOR PLANTA AMMANN</t>
        </is>
      </c>
      <c r="E284">
        <f>VLOOKUP(D284,Catalogos!$I$4:$J$64,2,FALSE)</f>
        <v/>
      </c>
      <c r="F284" s="17626" t="n">
        <v>300</v>
      </c>
      <c r="G284" s="4" t="n">
        <v>23.95</v>
      </c>
      <c r="H284" s="4">
        <f>F284*G284</f>
        <v/>
      </c>
      <c r="K284" t="n">
        <v>27</v>
      </c>
    </row>
    <row r="285">
      <c r="A285" s="17625" t="n">
        <v>46202</v>
      </c>
      <c r="B285" t="inlineStr">
        <is>
          <t>Planta Asfalto Huixquilucan</t>
        </is>
      </c>
      <c r="C285" s="17625" t="n">
        <v>46202</v>
      </c>
      <c r="D285" t="inlineStr">
        <is>
          <t>TORRE DE LUZ MAXILIGHT</t>
        </is>
      </c>
      <c r="E285">
        <f>VLOOKUP(D285,Catalogos!$I$4:$J$64,2,FALSE)</f>
        <v/>
      </c>
      <c r="F285" s="17626" t="n">
        <v>100</v>
      </c>
      <c r="G285" s="4" t="n">
        <v>23.95</v>
      </c>
      <c r="H285" s="4">
        <f>F285*G285</f>
        <v/>
      </c>
      <c r="I285" t="inlineStr">
        <is>
          <t>ING. DIEGO CARREOLA MONROY</t>
        </is>
      </c>
      <c r="K285" t="n">
        <v>27</v>
      </c>
    </row>
    <row r="286">
      <c r="A286" s="17625" t="n">
        <v>46202</v>
      </c>
      <c r="B286" t="inlineStr">
        <is>
          <t>Planta Asfalto Huixquilucan</t>
        </is>
      </c>
      <c r="C286" s="17625" t="n">
        <v>46202</v>
      </c>
      <c r="D286" t="inlineStr">
        <is>
          <t>CALDERA</t>
        </is>
      </c>
      <c r="E286">
        <f>VLOOKUP(D286,Catalogos!$I$4:$J$64,2,FALSE)</f>
        <v/>
      </c>
      <c r="F286" s="17626" t="n">
        <v>100</v>
      </c>
      <c r="G286" s="4" t="n">
        <v>23.95</v>
      </c>
      <c r="H286" s="4">
        <f>F286*G286</f>
        <v/>
      </c>
      <c r="I286" t="inlineStr">
        <is>
          <t>ING. DIEGO CARREOLA MONROY</t>
        </is>
      </c>
      <c r="K286" t="n">
        <v>27</v>
      </c>
    </row>
    <row r="287">
      <c r="A287" s="17625" t="n">
        <v>46202</v>
      </c>
      <c r="B287" t="inlineStr">
        <is>
          <t>Planta Asfalto Huixquilucan</t>
        </is>
      </c>
      <c r="C287" s="17625" t="n">
        <v>46202</v>
      </c>
      <c r="D287" t="inlineStr">
        <is>
          <t>CARGADOR CASE 821 F</t>
        </is>
      </c>
      <c r="E287">
        <f>VLOOKUP(D287,Catalogos!$I$4:$J$64,2,FALSE)</f>
        <v/>
      </c>
      <c r="F287" s="17626" t="n">
        <v>100</v>
      </c>
      <c r="G287" s="4" t="n">
        <v>23.95</v>
      </c>
      <c r="H287" s="4">
        <f>F287*G287</f>
        <v/>
      </c>
      <c r="I287" t="inlineStr">
        <is>
          <t>ING. DIEGO CARREOLA MONROY</t>
        </is>
      </c>
      <c r="K287" t="n">
        <v>27</v>
      </c>
    </row>
    <row r="288">
      <c r="A288" s="17625" t="n">
        <v>46202</v>
      </c>
      <c r="B288" t="inlineStr">
        <is>
          <t>Planta Asfalto Huixquilucan</t>
        </is>
      </c>
      <c r="C288" s="17625" t="n">
        <v>46203</v>
      </c>
      <c r="D288" t="inlineStr">
        <is>
          <t>GENERADOR PLANTA AMMANN</t>
        </is>
      </c>
      <c r="E288">
        <f>VLOOKUP(D288,Catalogos!$I$4:$J$64,2,FALSE)</f>
        <v/>
      </c>
      <c r="F288" s="17626" t="n">
        <v>300</v>
      </c>
      <c r="G288" s="4" t="n">
        <v>23.95</v>
      </c>
      <c r="H288" s="4">
        <f>F288*G288</f>
        <v/>
      </c>
      <c r="I288" t="inlineStr">
        <is>
          <t>ING. DIEGO CARREOLA MONROY</t>
        </is>
      </c>
      <c r="K288" t="n">
        <v>27</v>
      </c>
    </row>
    <row r="289">
      <c r="A289" s="17625" t="n">
        <v>46202</v>
      </c>
      <c r="B289" t="inlineStr">
        <is>
          <t>Planta Asfalto Huixquilucan</t>
        </is>
      </c>
      <c r="C289" s="17625" t="n">
        <v>46203</v>
      </c>
      <c r="D289" t="inlineStr">
        <is>
          <t>CRIBA RAP</t>
        </is>
      </c>
      <c r="E289">
        <f>VLOOKUP(D289,Catalogos!$I$4:$J$64,2,FALSE)</f>
        <v/>
      </c>
      <c r="F289" s="17626" t="n">
        <v>50</v>
      </c>
      <c r="G289" s="4" t="n">
        <v>23.95</v>
      </c>
      <c r="H289" s="4">
        <f>F289*G289</f>
        <v/>
      </c>
      <c r="I289" t="inlineStr">
        <is>
          <t>ING. DIEGO CARREOLA MONROY</t>
        </is>
      </c>
      <c r="K289" t="n">
        <v>27</v>
      </c>
    </row>
    <row r="290">
      <c r="A290" s="17625" t="n">
        <v>46202</v>
      </c>
      <c r="B290" t="inlineStr">
        <is>
          <t>Planta Asfalto Huixquilucan</t>
        </is>
      </c>
      <c r="C290" s="17625" t="n">
        <v>46203</v>
      </c>
      <c r="D290" t="inlineStr">
        <is>
          <t>CALDERA</t>
        </is>
      </c>
      <c r="E290">
        <f>VLOOKUP(D290,Catalogos!$I$4:$J$64,2,FALSE)</f>
        <v/>
      </c>
      <c r="F290" s="17626" t="n">
        <v>100</v>
      </c>
      <c r="G290" s="4" t="n">
        <v>23.95</v>
      </c>
      <c r="H290" s="4">
        <f>F290*G290</f>
        <v/>
      </c>
      <c r="I290" t="inlineStr">
        <is>
          <t>ING. DIEGO CARREOLA MONROY</t>
        </is>
      </c>
      <c r="K290" t="n">
        <v>27</v>
      </c>
    </row>
    <row r="291">
      <c r="A291" s="17625" t="n">
        <v>46202</v>
      </c>
      <c r="B291" t="inlineStr">
        <is>
          <t>Planta Asfalto Huixquilucan</t>
        </is>
      </c>
      <c r="C291" s="17625" t="n">
        <v>46203</v>
      </c>
      <c r="D291" t="inlineStr">
        <is>
          <t>CARGADOR CASE 821 F</t>
        </is>
      </c>
      <c r="E291">
        <f>VLOOKUP(D291,Catalogos!$I$4:$J$64,2,FALSE)</f>
        <v/>
      </c>
      <c r="F291" s="17626" t="n">
        <v>100</v>
      </c>
      <c r="G291" s="4" t="n">
        <v>23.95</v>
      </c>
      <c r="H291" s="4">
        <f>F291*G291</f>
        <v/>
      </c>
      <c r="I291" t="inlineStr">
        <is>
          <t>ING. DIEGO CARREOLA MONROY</t>
        </is>
      </c>
      <c r="K291" t="n">
        <v>27</v>
      </c>
    </row>
    <row r="292">
      <c r="A292" s="17625" t="n">
        <v>46202</v>
      </c>
      <c r="B292" t="inlineStr">
        <is>
          <t>Planta Asfalto Huixquilucan</t>
        </is>
      </c>
      <c r="C292" s="17625" t="n">
        <v>46204</v>
      </c>
      <c r="D292" t="inlineStr">
        <is>
          <t>GENERADOR PLANTA AMMANN</t>
        </is>
      </c>
      <c r="E292">
        <f>VLOOKUP(D292,Catalogos!$I$4:$J$64,2,FALSE)</f>
        <v/>
      </c>
      <c r="F292" s="17626" t="n">
        <v>300</v>
      </c>
      <c r="G292" s="4" t="n">
        <v>23.95</v>
      </c>
      <c r="H292" s="4">
        <f>F292*G292</f>
        <v/>
      </c>
      <c r="I292" t="inlineStr">
        <is>
          <t>ING. DIEGO CARREOLA MONROY</t>
        </is>
      </c>
      <c r="K292" t="n">
        <v>27</v>
      </c>
    </row>
    <row r="293">
      <c r="A293" s="17625" t="n">
        <v>46202</v>
      </c>
      <c r="B293" t="inlineStr">
        <is>
          <t>Planta Asfalto Huixquilucan</t>
        </is>
      </c>
      <c r="C293" s="17625" t="n">
        <v>46204</v>
      </c>
      <c r="D293" t="inlineStr">
        <is>
          <t>CALDERA</t>
        </is>
      </c>
      <c r="E293">
        <f>VLOOKUP(D293,Catalogos!$I$4:$J$64,2,FALSE)</f>
        <v/>
      </c>
      <c r="F293" s="17626" t="n">
        <v>100</v>
      </c>
      <c r="G293" s="4" t="n">
        <v>23.95</v>
      </c>
      <c r="H293" s="4">
        <f>F293*G293</f>
        <v/>
      </c>
      <c r="I293" t="inlineStr">
        <is>
          <t>ING. DIEGO CARREOLA MONROY</t>
        </is>
      </c>
      <c r="J293" t="inlineStr">
        <is>
          <t>SE CONSIDERA OPCIONAL ESTA CARGA, DEPENDEMOS DE INDICACIONES DE DIRECCION PARA TRABAJOS EL DIA DOMINGO 5 DE JULIO 2026</t>
        </is>
      </c>
      <c r="K293" t="n">
        <v>27</v>
      </c>
    </row>
    <row r="294">
      <c r="A294" s="17625" t="n">
        <v>46202</v>
      </c>
      <c r="B294" t="inlineStr">
        <is>
          <t>Planta Asfalto Huixquilucan</t>
        </is>
      </c>
      <c r="C294" s="17625" t="n">
        <v>46204</v>
      </c>
      <c r="D294" t="inlineStr">
        <is>
          <t>CARGADOR CASE 821 F</t>
        </is>
      </c>
      <c r="E294">
        <f>VLOOKUP(D294,Catalogos!$I$4:$J$64,2,FALSE)</f>
        <v/>
      </c>
      <c r="F294" s="17626" t="n">
        <v>100</v>
      </c>
      <c r="G294" s="4" t="n">
        <v>23.95</v>
      </c>
      <c r="H294" s="4">
        <f>F294*G294</f>
        <v/>
      </c>
      <c r="I294" t="inlineStr">
        <is>
          <t>ING. DIEGO CARREOLA MONROY</t>
        </is>
      </c>
      <c r="K294" t="n">
        <v>27</v>
      </c>
    </row>
    <row r="295">
      <c r="A295" s="17625" t="n">
        <v>46202</v>
      </c>
      <c r="B295" t="inlineStr">
        <is>
          <t>Planta Asfalto Huixquilucan</t>
        </is>
      </c>
      <c r="C295" s="17625" t="n">
        <v>46205</v>
      </c>
      <c r="D295" t="inlineStr">
        <is>
          <t>GENERADOR PLANTA AMMANN</t>
        </is>
      </c>
      <c r="E295">
        <f>VLOOKUP(D295,Catalogos!$I$4:$J$64,2,FALSE)</f>
        <v/>
      </c>
      <c r="F295" s="17626" t="n">
        <v>300</v>
      </c>
      <c r="G295" s="4" t="n">
        <v>23.95</v>
      </c>
      <c r="H295" s="4">
        <f>F295*G295</f>
        <v/>
      </c>
      <c r="I295" t="inlineStr">
        <is>
          <t>ING. DIEGO CARREOLA MONROY</t>
        </is>
      </c>
      <c r="K295" t="n">
        <v>27</v>
      </c>
    </row>
    <row r="296">
      <c r="A296" s="17625" t="n">
        <v>46202</v>
      </c>
      <c r="B296" t="inlineStr">
        <is>
          <t>Planta Asfalto Huixquilucan</t>
        </is>
      </c>
      <c r="C296" s="17625" t="n">
        <v>46205</v>
      </c>
      <c r="D296" t="inlineStr">
        <is>
          <t>CRIBA RAP</t>
        </is>
      </c>
      <c r="E296">
        <f>VLOOKUP(D296,Catalogos!$I$4:$J$64,2,FALSE)</f>
        <v/>
      </c>
      <c r="F296" s="17626" t="n">
        <v>50</v>
      </c>
      <c r="G296" s="4" t="n">
        <v>23.95</v>
      </c>
      <c r="H296" s="4">
        <f>F296*G296</f>
        <v/>
      </c>
      <c r="I296" t="inlineStr">
        <is>
          <t>ING. DIEGO CARREOLA MONROY</t>
        </is>
      </c>
      <c r="K296" t="n">
        <v>27</v>
      </c>
    </row>
    <row r="297">
      <c r="A297" s="17625" t="n">
        <v>46202</v>
      </c>
      <c r="B297" t="inlineStr">
        <is>
          <t>Planta Asfalto Huixquilucan</t>
        </is>
      </c>
      <c r="C297" s="17625" t="n">
        <v>46205</v>
      </c>
      <c r="D297" t="inlineStr">
        <is>
          <t>TORRE DE LUZ MAXILIGHT</t>
        </is>
      </c>
      <c r="E297">
        <f>VLOOKUP(D297,Catalogos!$I$4:$J$64,2,FALSE)</f>
        <v/>
      </c>
      <c r="F297" s="17626" t="n">
        <v>100</v>
      </c>
      <c r="G297" s="4" t="n">
        <v>23.95</v>
      </c>
      <c r="H297" s="4">
        <f>F297*G297</f>
        <v/>
      </c>
      <c r="I297" t="inlineStr">
        <is>
          <t>ING. DIEGO CARREOLA MONROY</t>
        </is>
      </c>
      <c r="K297" t="n">
        <v>27</v>
      </c>
    </row>
    <row r="298">
      <c r="A298" s="17625" t="n">
        <v>46202</v>
      </c>
      <c r="B298" t="inlineStr">
        <is>
          <t>Planta Asfalto Huixquilucan</t>
        </is>
      </c>
      <c r="C298" s="17625" t="n">
        <v>46205</v>
      </c>
      <c r="D298" t="inlineStr">
        <is>
          <t>CALDERA</t>
        </is>
      </c>
      <c r="E298">
        <f>VLOOKUP(D298,Catalogos!$I$4:$J$64,2,FALSE)</f>
        <v/>
      </c>
      <c r="F298" s="17626" t="n">
        <v>100</v>
      </c>
      <c r="G298" s="4" t="n">
        <v>23.95</v>
      </c>
      <c r="H298" s="4">
        <f>F298*G298</f>
        <v/>
      </c>
      <c r="I298" t="inlineStr">
        <is>
          <t>ING. DIEGO CARREOLA MONROY</t>
        </is>
      </c>
      <c r="K298" t="n">
        <v>27</v>
      </c>
    </row>
    <row r="299">
      <c r="A299" s="17625" t="n">
        <v>46202</v>
      </c>
      <c r="B299" t="inlineStr">
        <is>
          <t>Planta Asfalto Huixquilucan</t>
        </is>
      </c>
      <c r="C299" s="17625" t="n">
        <v>46205</v>
      </c>
      <c r="D299" t="inlineStr">
        <is>
          <t>CARGADOR CASE 821 F</t>
        </is>
      </c>
      <c r="E299">
        <f>VLOOKUP(D299,Catalogos!$I$4:$J$64,2,FALSE)</f>
        <v/>
      </c>
      <c r="F299" s="17626" t="n">
        <v>100</v>
      </c>
      <c r="G299" s="4" t="n">
        <v>23.95</v>
      </c>
      <c r="H299" s="4">
        <f>F299*G299</f>
        <v/>
      </c>
      <c r="I299" t="inlineStr">
        <is>
          <t>ING. DIEGO CARREOLA MONROY</t>
        </is>
      </c>
      <c r="K299" t="n">
        <v>27</v>
      </c>
    </row>
    <row r="300">
      <c r="A300" s="17625" t="n">
        <v>46202</v>
      </c>
      <c r="B300" t="inlineStr">
        <is>
          <t>Planta Asfalto Huixquilucan</t>
        </is>
      </c>
      <c r="C300" s="17625" t="n">
        <v>46206</v>
      </c>
      <c r="D300" t="inlineStr">
        <is>
          <t>GENERADOR PLANTA AMMANN</t>
        </is>
      </c>
      <c r="E300">
        <f>VLOOKUP(D300,Catalogos!$I$4:$J$64,2,FALSE)</f>
        <v/>
      </c>
      <c r="F300" s="17626" t="n">
        <v>300</v>
      </c>
      <c r="G300" s="4" t="n">
        <v>23.95</v>
      </c>
      <c r="H300" s="4">
        <f>F300*G300</f>
        <v/>
      </c>
      <c r="I300" t="inlineStr">
        <is>
          <t>ING. DIEGO CARREOLA MONROY</t>
        </is>
      </c>
      <c r="K300" t="n">
        <v>27</v>
      </c>
    </row>
    <row r="301">
      <c r="A301" s="17625" t="n">
        <v>46202</v>
      </c>
      <c r="B301" t="inlineStr">
        <is>
          <t>Planta Asfalto Huixquilucan</t>
        </is>
      </c>
      <c r="C301" s="17625" t="n">
        <v>46206</v>
      </c>
      <c r="D301" t="inlineStr">
        <is>
          <t>CALDERA</t>
        </is>
      </c>
      <c r="E301">
        <f>VLOOKUP(D301,Catalogos!$I$4:$J$64,2,FALSE)</f>
        <v/>
      </c>
      <c r="F301" s="17626" t="n">
        <v>100</v>
      </c>
      <c r="G301" s="4" t="n">
        <v>23.95</v>
      </c>
      <c r="H301" s="4">
        <f>F301*G301</f>
        <v/>
      </c>
      <c r="I301" t="inlineStr">
        <is>
          <t>ING. DIEGO CARREOLA MONROY</t>
        </is>
      </c>
      <c r="K301" t="n">
        <v>27</v>
      </c>
    </row>
    <row r="302">
      <c r="A302" s="17625" t="n">
        <v>46202</v>
      </c>
      <c r="B302" t="inlineStr">
        <is>
          <t>Planta Asfalto Huixquilucan</t>
        </is>
      </c>
      <c r="C302" s="17625" t="n">
        <v>46206</v>
      </c>
      <c r="D302" t="inlineStr">
        <is>
          <t>CARGADOR CASE 821 F</t>
        </is>
      </c>
      <c r="E302">
        <f>VLOOKUP(D302,Catalogos!$I$4:$J$64,2,FALSE)</f>
        <v/>
      </c>
      <c r="F302" s="17626" t="n">
        <v>100</v>
      </c>
      <c r="G302" s="4" t="n">
        <v>23.95</v>
      </c>
      <c r="H302" s="4">
        <f>F302*G302</f>
        <v/>
      </c>
      <c r="I302" t="inlineStr">
        <is>
          <t>ING. DIEGO CARREOLA MONROY</t>
        </is>
      </c>
      <c r="K302" t="n">
        <v>27</v>
      </c>
    </row>
    <row r="303">
      <c r="A303" s="17625" t="n">
        <v>46202</v>
      </c>
      <c r="B303" t="inlineStr">
        <is>
          <t>Planta Asfalto Huixquilucan</t>
        </is>
      </c>
      <c r="C303" s="17625" t="n">
        <v>46207</v>
      </c>
      <c r="D303" t="inlineStr">
        <is>
          <t>GENERADOR PLANTA AMMANN</t>
        </is>
      </c>
      <c r="E303">
        <f>VLOOKUP(D303,Catalogos!$I$4:$J$64,2,FALSE)</f>
        <v/>
      </c>
      <c r="F303" s="17626" t="n">
        <v>100</v>
      </c>
      <c r="G303" s="4" t="n">
        <v>23.95</v>
      </c>
      <c r="H303" s="4">
        <f>F303*G303</f>
        <v/>
      </c>
      <c r="I303" t="inlineStr">
        <is>
          <t>ING. DIEGO CARREOLA MONROY</t>
        </is>
      </c>
      <c r="K303" t="n">
        <v>27</v>
      </c>
    </row>
    <row r="304">
      <c r="A304" s="17625" t="n">
        <v>46202</v>
      </c>
      <c r="B304" t="inlineStr">
        <is>
          <t>Planta Asfalto Huixquilucan</t>
        </is>
      </c>
      <c r="C304" s="17625" t="n">
        <v>46207</v>
      </c>
      <c r="D304" t="inlineStr">
        <is>
          <t>CRIBA RAP</t>
        </is>
      </c>
      <c r="E304">
        <f>VLOOKUP(D304,Catalogos!$I$4:$J$64,2,FALSE)</f>
        <v/>
      </c>
      <c r="F304" s="17626" t="n">
        <v>50</v>
      </c>
      <c r="G304" s="4" t="n">
        <v>23.95</v>
      </c>
      <c r="H304" s="4">
        <f>F304*G304</f>
        <v/>
      </c>
      <c r="I304" t="inlineStr">
        <is>
          <t>ING. DIEGO CARREOLA MONROY</t>
        </is>
      </c>
      <c r="K304" t="n">
        <v>27</v>
      </c>
    </row>
    <row r="305">
      <c r="A305" s="17625" t="n">
        <v>46202</v>
      </c>
      <c r="B305" t="inlineStr">
        <is>
          <t>Planta Asfalto Huixquilucan</t>
        </is>
      </c>
      <c r="C305" s="17625" t="n">
        <v>46207</v>
      </c>
      <c r="D305" t="inlineStr">
        <is>
          <t>CALDERA</t>
        </is>
      </c>
      <c r="E305">
        <f>VLOOKUP(D305,Catalogos!$I$4:$J$64,2,FALSE)</f>
        <v/>
      </c>
      <c r="F305" s="17626" t="n">
        <v>100</v>
      </c>
      <c r="G305" s="4" t="n">
        <v>23.95</v>
      </c>
      <c r="H305" s="4">
        <f>F305*G305</f>
        <v/>
      </c>
      <c r="I305" t="inlineStr">
        <is>
          <t>ING. DIEGO CARREOLA MONROY</t>
        </is>
      </c>
      <c r="K305" t="n">
        <v>27</v>
      </c>
    </row>
    <row r="306">
      <c r="A306" s="17625" t="n">
        <v>46202</v>
      </c>
      <c r="B306" t="inlineStr">
        <is>
          <t>Planta Asfalto Huixquilucan</t>
        </is>
      </c>
      <c r="C306" s="17625" t="n">
        <v>46207</v>
      </c>
      <c r="D306" t="inlineStr">
        <is>
          <t>CARGADOR CASE 821 F</t>
        </is>
      </c>
      <c r="E306">
        <f>VLOOKUP(D306,Catalogos!$I$4:$J$64,2,FALSE)</f>
        <v/>
      </c>
      <c r="F306" s="17626" t="n">
        <v>100</v>
      </c>
      <c r="G306" s="4" t="n">
        <v>23.95</v>
      </c>
      <c r="H306" s="4">
        <f>F306*G306</f>
        <v/>
      </c>
      <c r="I306" t="inlineStr">
        <is>
          <t>ING. DIEGO CARREOLA MONROY</t>
        </is>
      </c>
      <c r="K306" t="n">
        <v>27</v>
      </c>
    </row>
    <row r="307">
      <c r="A307" s="17625" t="n">
        <v>46202</v>
      </c>
      <c r="B307" t="inlineStr">
        <is>
          <t>Planta Asfalto Huixquilucan</t>
        </is>
      </c>
      <c r="C307" s="17625" t="n">
        <v>46208</v>
      </c>
      <c r="D307" t="inlineStr">
        <is>
          <t>GENERADOR PLANTA AMMANN</t>
        </is>
      </c>
      <c r="E307">
        <f>VLOOKUP(D307,Catalogos!$I$4:$J$64,2,FALSE)</f>
        <v/>
      </c>
      <c r="F307" s="17626" t="n">
        <v>100</v>
      </c>
      <c r="G307" t="n">
        <v>23.95</v>
      </c>
      <c r="H307">
        <f>F307*G307</f>
        <v/>
      </c>
      <c r="I307" t="inlineStr">
        <is>
          <t>ING. DIEGO CARREOLA MONROY</t>
        </is>
      </c>
      <c r="J307" t="inlineStr">
        <is>
          <t>SE CONSIDERA OPCIONAL ESTA CARGA, DEPENDEMOS DE INDICACIONES DE DIRECCION PARA TRABAJOS EL DIA DOMINGO 5 DE JULIO 2026</t>
        </is>
      </c>
      <c r="K307" t="n">
        <v>27</v>
      </c>
    </row>
    <row r="308">
      <c r="A308" s="17625" t="n">
        <v>46202</v>
      </c>
      <c r="B308" t="inlineStr">
        <is>
          <t>Planta Asfalto Huixquilucan</t>
        </is>
      </c>
      <c r="C308" s="17625" t="n">
        <v>46208</v>
      </c>
      <c r="D308" t="inlineStr">
        <is>
          <t>CALDERA</t>
        </is>
      </c>
      <c r="E308">
        <f>VLOOKUP(D308,Catalogos!$I$4:$J$64,2,FALSE)</f>
        <v/>
      </c>
      <c r="F308" s="17626" t="n">
        <v>100</v>
      </c>
      <c r="G308" t="n">
        <v>23.95</v>
      </c>
      <c r="H308">
        <f>F308*G308</f>
        <v/>
      </c>
      <c r="I308" t="inlineStr">
        <is>
          <t>ING. DIEGO CARREOLA MONROY</t>
        </is>
      </c>
      <c r="K308" t="n">
        <v>27</v>
      </c>
    </row>
    <row r="309">
      <c r="A309" s="17625" t="n">
        <v>46202</v>
      </c>
      <c r="B309" t="inlineStr">
        <is>
          <t>México-Toluca</t>
        </is>
      </c>
      <c r="C309" s="17625" t="n">
        <v>46202</v>
      </c>
      <c r="D309" t="inlineStr">
        <is>
          <t>PERFILADORA RODATEC RX600E</t>
        </is>
      </c>
      <c r="E309">
        <f>VLOOKUP(D309,Catalogos!$I$4:$J$64,2,FALSE)</f>
        <v/>
      </c>
      <c r="F309" s="17626" t="n">
        <v>250</v>
      </c>
      <c r="G309" t="n">
        <v>23.95</v>
      </c>
      <c r="H309">
        <f>F309*G309</f>
        <v/>
      </c>
      <c r="I309" t="inlineStr">
        <is>
          <t>ING. FCO. JAVIER PEREZ DIAZ</t>
        </is>
      </c>
      <c r="K309" t="n">
        <v>27</v>
      </c>
    </row>
    <row r="310">
      <c r="A310" s="17625" t="n">
        <v>46202</v>
      </c>
      <c r="B310" t="inlineStr">
        <is>
          <t>México-Toluca</t>
        </is>
      </c>
      <c r="C310" s="17625" t="n">
        <v>46203</v>
      </c>
      <c r="D310" t="inlineStr">
        <is>
          <t>PERFILADORA RODATEC RX600E</t>
        </is>
      </c>
      <c r="E310">
        <f>VLOOKUP(D310,Catalogos!$I$4:$J$64,2,FALSE)</f>
        <v/>
      </c>
      <c r="F310" s="17626" t="n">
        <v>200</v>
      </c>
      <c r="G310" t="n">
        <v>23.95</v>
      </c>
      <c r="H310">
        <f>F310*G310</f>
        <v/>
      </c>
      <c r="I310" t="inlineStr">
        <is>
          <t>ING. FCO. JAVIER PEREZ DIAZ</t>
        </is>
      </c>
      <c r="K310" t="n">
        <v>27</v>
      </c>
    </row>
    <row r="311">
      <c r="A311" s="17625" t="n">
        <v>46202</v>
      </c>
      <c r="B311" t="inlineStr">
        <is>
          <t>México-Toluca</t>
        </is>
      </c>
      <c r="C311" s="17625" t="n">
        <v>46204</v>
      </c>
      <c r="D311" t="inlineStr">
        <is>
          <t>PERFILADORA RODATEC RX600E</t>
        </is>
      </c>
      <c r="E311">
        <f>VLOOKUP(D311,Catalogos!$I$4:$J$64,2,FALSE)</f>
        <v/>
      </c>
      <c r="F311" s="17626" t="n">
        <v>250</v>
      </c>
      <c r="G311" t="n">
        <v>23.95</v>
      </c>
      <c r="H311">
        <f>F311*G311</f>
        <v/>
      </c>
      <c r="I311" t="inlineStr">
        <is>
          <t>ING. FCO. JAVIER PEREZ DIAZ</t>
        </is>
      </c>
      <c r="K311" t="n">
        <v>27</v>
      </c>
    </row>
    <row r="312">
      <c r="A312" s="17625" t="n">
        <v>46202</v>
      </c>
      <c r="B312" t="inlineStr">
        <is>
          <t>México-Toluca</t>
        </is>
      </c>
      <c r="C312" s="17625" t="n">
        <v>46205</v>
      </c>
      <c r="D312" t="inlineStr">
        <is>
          <t>PERFILADORA RODATEC RX600E</t>
        </is>
      </c>
      <c r="E312">
        <f>VLOOKUP(D312,Catalogos!$I$4:$J$64,2,FALSE)</f>
        <v/>
      </c>
      <c r="F312" s="17626" t="n">
        <v>200</v>
      </c>
      <c r="G312" t="n">
        <v>23.95</v>
      </c>
      <c r="H312">
        <f>F312*G312</f>
        <v/>
      </c>
      <c r="I312" t="inlineStr">
        <is>
          <t>ING. FCO. JAVIER PEREZ DIAZ</t>
        </is>
      </c>
      <c r="K312" t="n">
        <v>27</v>
      </c>
    </row>
    <row r="313">
      <c r="A313" s="17625" t="n">
        <v>46202</v>
      </c>
      <c r="B313" t="inlineStr">
        <is>
          <t>México-Toluca</t>
        </is>
      </c>
      <c r="C313" s="17625" t="n">
        <v>46206</v>
      </c>
      <c r="D313" t="inlineStr">
        <is>
          <t>PERFILADORA RODATEC RX600E</t>
        </is>
      </c>
      <c r="E313">
        <f>VLOOKUP(D313,Catalogos!$I$4:$J$64,2,FALSE)</f>
        <v/>
      </c>
      <c r="F313" s="17626" t="n">
        <v>250</v>
      </c>
      <c r="G313" t="n">
        <v>23.95</v>
      </c>
      <c r="H313">
        <f>F313*G313</f>
        <v/>
      </c>
      <c r="I313" t="inlineStr">
        <is>
          <t>ING. FCO. JAVIER PEREZ DIAZ</t>
        </is>
      </c>
      <c r="K313" t="n">
        <v>27</v>
      </c>
    </row>
    <row r="314">
      <c r="A314" s="17625" t="n">
        <v>46202</v>
      </c>
      <c r="B314" t="inlineStr">
        <is>
          <t>México-Toluca</t>
        </is>
      </c>
      <c r="C314" s="17625" t="n">
        <v>46207</v>
      </c>
      <c r="D314" t="inlineStr">
        <is>
          <t>PERFILADORA RODATEC RX600E</t>
        </is>
      </c>
      <c r="E314">
        <f>VLOOKUP(D314,Catalogos!$I$4:$J$64,2,FALSE)</f>
        <v/>
      </c>
      <c r="F314" s="17626" t="n">
        <v>150</v>
      </c>
      <c r="G314" t="n">
        <v>23.95</v>
      </c>
      <c r="H314">
        <f>F314*G314</f>
        <v/>
      </c>
      <c r="I314" t="inlineStr">
        <is>
          <t>ING. FCO. JAVIER PEREZ DIAZ</t>
        </is>
      </c>
      <c r="K314" t="n">
        <v>27</v>
      </c>
    </row>
    <row r="315">
      <c r="A315" s="17625" t="n">
        <v>46202</v>
      </c>
      <c r="B315" t="inlineStr">
        <is>
          <t>México-Toluca</t>
        </is>
      </c>
      <c r="C315" s="17625" t="n">
        <v>46202</v>
      </c>
      <c r="D315" t="inlineStr">
        <is>
          <t>PAVIMENTADORA VOGELE 1800-3 I</t>
        </is>
      </c>
      <c r="E315">
        <f>VLOOKUP(D315,Catalogos!$I$4:$J$64,2,FALSE)</f>
        <v/>
      </c>
      <c r="F315" s="17626" t="n">
        <v>120</v>
      </c>
      <c r="G315" t="n">
        <v>23.95</v>
      </c>
      <c r="H315">
        <f>F315*G315</f>
        <v/>
      </c>
      <c r="I315" t="inlineStr">
        <is>
          <t>ING. FCO. JAVIER PEREZ DIAZ</t>
        </is>
      </c>
      <c r="J315" t="inlineStr">
        <is>
          <t>100 LITROS PARA LIMPIEZA TREN DE RIEGO</t>
        </is>
      </c>
      <c r="K315" t="n">
        <v>27</v>
      </c>
    </row>
    <row r="316">
      <c r="A316" s="17625" t="n">
        <v>46202</v>
      </c>
      <c r="B316" t="inlineStr">
        <is>
          <t>México-Toluca</t>
        </is>
      </c>
      <c r="C316" s="17625" t="n">
        <v>46203</v>
      </c>
      <c r="D316" t="inlineStr">
        <is>
          <t>PAVIMENTADORA VOGELE 1800-3 I</t>
        </is>
      </c>
      <c r="E316">
        <f>VLOOKUP(D316,Catalogos!$I$4:$J$64,2,FALSE)</f>
        <v/>
      </c>
      <c r="F316" s="17626" t="n">
        <v>120</v>
      </c>
      <c r="G316" t="n">
        <v>23.95</v>
      </c>
      <c r="H316">
        <f>F316*G316</f>
        <v/>
      </c>
      <c r="I316" t="inlineStr">
        <is>
          <t>ING. FCO. JAVIER PEREZ DIAZ</t>
        </is>
      </c>
      <c r="J316" t="inlineStr">
        <is>
          <t>100 LITROS PARA LIMPIEZA TREN DE RIEGO</t>
        </is>
      </c>
      <c r="K316" t="n">
        <v>27</v>
      </c>
    </row>
    <row r="317">
      <c r="A317" s="17625" t="n">
        <v>46202</v>
      </c>
      <c r="B317" t="inlineStr">
        <is>
          <t>México-Toluca</t>
        </is>
      </c>
      <c r="C317" s="17625" t="n">
        <v>46204</v>
      </c>
      <c r="D317" t="inlineStr">
        <is>
          <t>PAVIMENTADORA VOGELE 1800-3 I</t>
        </is>
      </c>
      <c r="E317">
        <f>VLOOKUP(D317,Catalogos!$I$4:$J$64,2,FALSE)</f>
        <v/>
      </c>
      <c r="F317" s="17626" t="n">
        <v>120</v>
      </c>
      <c r="G317" t="n">
        <v>23.95</v>
      </c>
      <c r="H317">
        <f>F317*G317</f>
        <v/>
      </c>
      <c r="I317" t="inlineStr">
        <is>
          <t>ING. FCO. JAVIER PEREZ DIAZ</t>
        </is>
      </c>
      <c r="J317" t="inlineStr">
        <is>
          <t>100 LITROS PARA LIMPIEZA TREN DE RIEGO</t>
        </is>
      </c>
      <c r="K317" t="n">
        <v>27</v>
      </c>
    </row>
    <row r="318">
      <c r="A318" s="17625" t="n">
        <v>46202</v>
      </c>
      <c r="B318" t="inlineStr">
        <is>
          <t>México-Toluca</t>
        </is>
      </c>
      <c r="C318" s="17625" t="n">
        <v>46205</v>
      </c>
      <c r="D318" t="inlineStr">
        <is>
          <t>PAVIMENTADORA VOGELE 1800-3 I</t>
        </is>
      </c>
      <c r="E318">
        <f>VLOOKUP(D318,Catalogos!$I$4:$J$64,2,FALSE)</f>
        <v/>
      </c>
      <c r="F318" s="17626" t="n">
        <v>120</v>
      </c>
      <c r="G318" t="n">
        <v>23.95</v>
      </c>
      <c r="H318">
        <f>F318*G318</f>
        <v/>
      </c>
      <c r="I318" t="inlineStr">
        <is>
          <t>ING. FCO. JAVIER PEREZ DIAZ</t>
        </is>
      </c>
      <c r="J318" t="inlineStr">
        <is>
          <t>100 LITROS PARA LIMPIEZA TREN DE RIEGO</t>
        </is>
      </c>
      <c r="K318" t="n">
        <v>27</v>
      </c>
    </row>
    <row r="319">
      <c r="A319" s="17625" t="n">
        <v>46202</v>
      </c>
      <c r="B319" t="inlineStr">
        <is>
          <t>México-Toluca</t>
        </is>
      </c>
      <c r="C319" s="17625" t="n">
        <v>46206</v>
      </c>
      <c r="D319" t="inlineStr">
        <is>
          <t>PAVIMENTADORA VOGELE 1800-3 I</t>
        </is>
      </c>
      <c r="E319">
        <f>VLOOKUP(D319,Catalogos!$I$4:$J$64,2,FALSE)</f>
        <v/>
      </c>
      <c r="F319" s="17626" t="n">
        <v>100</v>
      </c>
      <c r="G319" t="n">
        <v>23.95</v>
      </c>
      <c r="H319">
        <f>F319*G319</f>
        <v/>
      </c>
      <c r="I319" t="inlineStr">
        <is>
          <t>ING. FCO. JAVIER PEREZ DIAZ</t>
        </is>
      </c>
      <c r="J319" t="inlineStr">
        <is>
          <t>100 LITROS PARA LIMPIEZA TREN DE RIEGO</t>
        </is>
      </c>
      <c r="K319" t="n">
        <v>27</v>
      </c>
    </row>
    <row r="320">
      <c r="A320" s="17625" t="n">
        <v>46202</v>
      </c>
      <c r="B320" t="inlineStr">
        <is>
          <t>México-Toluca</t>
        </is>
      </c>
      <c r="C320" s="17625" t="n">
        <v>46207</v>
      </c>
      <c r="D320" t="inlineStr">
        <is>
          <t>PAVIMENTADORA VOGELE 1800-3 I</t>
        </is>
      </c>
      <c r="E320">
        <f>VLOOKUP(D320,Catalogos!$I$4:$J$64,2,FALSE)</f>
        <v/>
      </c>
      <c r="F320" s="17626" t="n">
        <v>80</v>
      </c>
      <c r="G320" t="n">
        <v>23.95</v>
      </c>
      <c r="H320">
        <f>F320*G320</f>
        <v/>
      </c>
      <c r="I320" t="inlineStr">
        <is>
          <t>ING. FCO. JAVIER PEREZ DIAZ</t>
        </is>
      </c>
      <c r="J320" t="inlineStr">
        <is>
          <t>100 LITROS PARA LIMPIEZA TREN DE RIEGO</t>
        </is>
      </c>
      <c r="K320" t="n">
        <v>27</v>
      </c>
    </row>
    <row r="321">
      <c r="A321" s="17625" t="n">
        <v>46202</v>
      </c>
      <c r="B321" t="inlineStr">
        <is>
          <t>México-Toluca</t>
        </is>
      </c>
      <c r="C321" s="17625" t="n">
        <v>46202</v>
      </c>
      <c r="D321" t="inlineStr">
        <is>
          <t>DOBLE RODILLO/VIBROCOMPACTADOR DE RODILLOS HAMM 120HD VV</t>
        </is>
      </c>
      <c r="E321">
        <f>VLOOKUP(D321,Catalogos!$I$4:$J$64,2,FALSE)</f>
        <v/>
      </c>
      <c r="F321" s="17626" t="n">
        <v>50</v>
      </c>
      <c r="G321" t="n">
        <v>23.95</v>
      </c>
      <c r="H321">
        <f>F321*G321</f>
        <v/>
      </c>
      <c r="I321" t="inlineStr">
        <is>
          <t>ING. FCO. JAVIER PEREZ DIAZ</t>
        </is>
      </c>
      <c r="K321" t="n">
        <v>27</v>
      </c>
    </row>
    <row r="322">
      <c r="A322" s="17625" t="n">
        <v>46202</v>
      </c>
      <c r="B322" t="inlineStr">
        <is>
          <t>México-Toluca</t>
        </is>
      </c>
      <c r="C322" s="17625" t="n">
        <v>46203</v>
      </c>
      <c r="D322" t="inlineStr">
        <is>
          <t>DOBLE RODILLO/VIBROCOMPACTADOR DE RODILLOS HAMM 120HD VV</t>
        </is>
      </c>
      <c r="E322">
        <f>VLOOKUP(D322,Catalogos!$I$4:$J$64,2,FALSE)</f>
        <v/>
      </c>
      <c r="F322" s="17626" t="n">
        <v>40</v>
      </c>
      <c r="G322" t="n">
        <v>23.95</v>
      </c>
      <c r="H322">
        <f>F322*G322</f>
        <v/>
      </c>
      <c r="I322" t="inlineStr">
        <is>
          <t>ING. FCO. JAVIER PEREZ DIAZ</t>
        </is>
      </c>
      <c r="K322" t="n">
        <v>27</v>
      </c>
    </row>
    <row r="323">
      <c r="A323" s="17625" t="n">
        <v>46202</v>
      </c>
      <c r="B323" t="inlineStr">
        <is>
          <t>México-Toluca</t>
        </is>
      </c>
      <c r="C323" s="17625" t="n">
        <v>46204</v>
      </c>
      <c r="D323" t="inlineStr">
        <is>
          <t>DOBLE RODILLO/VIBROCOMPACTADOR DE RODILLOS HAMM 120HD VV</t>
        </is>
      </c>
      <c r="E323">
        <f>VLOOKUP(D323,Catalogos!$I$4:$J$64,2,FALSE)</f>
        <v/>
      </c>
      <c r="F323" s="17626" t="n">
        <v>40</v>
      </c>
      <c r="G323" t="n">
        <v>23.95</v>
      </c>
      <c r="H323">
        <f>F323*G323</f>
        <v/>
      </c>
      <c r="I323" t="inlineStr">
        <is>
          <t>ING. FCO. JAVIER PEREZ DIAZ</t>
        </is>
      </c>
      <c r="K323" t="n">
        <v>27</v>
      </c>
    </row>
    <row r="324">
      <c r="A324" s="17625" t="n">
        <v>46202</v>
      </c>
      <c r="B324" t="inlineStr">
        <is>
          <t>México-Toluca</t>
        </is>
      </c>
      <c r="C324" s="17625" t="n">
        <v>46205</v>
      </c>
      <c r="D324" t="inlineStr">
        <is>
          <t>DOBLE RODILLO/VIBROCOMPACTADOR DE RODILLOS HAMM 120HD VV</t>
        </is>
      </c>
      <c r="E324">
        <f>VLOOKUP(D324,Catalogos!$I$4:$J$64,2,FALSE)</f>
        <v/>
      </c>
      <c r="F324" s="17626" t="n">
        <v>40</v>
      </c>
      <c r="G324" t="n">
        <v>23.95</v>
      </c>
      <c r="H324">
        <f>F324*G324</f>
        <v/>
      </c>
      <c r="I324" t="inlineStr">
        <is>
          <t>ING. FCO. JAVIER PEREZ DIAZ</t>
        </is>
      </c>
      <c r="K324" t="n">
        <v>27</v>
      </c>
    </row>
    <row r="325">
      <c r="A325" s="17625" t="n">
        <v>46202</v>
      </c>
      <c r="B325" t="inlineStr">
        <is>
          <t>México-Toluca</t>
        </is>
      </c>
      <c r="C325" s="17625" t="n">
        <v>46206</v>
      </c>
      <c r="D325" t="inlineStr">
        <is>
          <t>DOBLE RODILLO/VIBROCOMPACTADOR DE RODILLOS HAMM 120HD VV</t>
        </is>
      </c>
      <c r="E325">
        <f>VLOOKUP(D325,Catalogos!$I$4:$J$64,2,FALSE)</f>
        <v/>
      </c>
      <c r="F325" s="17626" t="n">
        <v>30</v>
      </c>
      <c r="G325" t="n">
        <v>23.95</v>
      </c>
      <c r="H325">
        <f>F325*G325</f>
        <v/>
      </c>
      <c r="I325" t="inlineStr">
        <is>
          <t>ING. FCO. JAVIER PEREZ DIAZ</t>
        </is>
      </c>
      <c r="K325" t="n">
        <v>27</v>
      </c>
    </row>
    <row r="326">
      <c r="A326" s="17625" t="n">
        <v>46202</v>
      </c>
      <c r="B326" t="inlineStr">
        <is>
          <t>México-Toluca</t>
        </is>
      </c>
      <c r="C326" s="17625" t="n">
        <v>46207</v>
      </c>
      <c r="D326" t="inlineStr">
        <is>
          <t>DOBLE RODILLO/VIBROCOMPACTADOR DE RODILLOS HAMM 120HD VV</t>
        </is>
      </c>
      <c r="E326">
        <f>VLOOKUP(D326,Catalogos!$I$4:$J$64,2,FALSE)</f>
        <v/>
      </c>
      <c r="F326" s="17626" t="n">
        <v>30</v>
      </c>
      <c r="G326" t="n">
        <v>23.95</v>
      </c>
      <c r="H326">
        <f>F326*G326</f>
        <v/>
      </c>
      <c r="I326" t="inlineStr">
        <is>
          <t>ING. FCO. JAVIER PEREZ DIAZ</t>
        </is>
      </c>
      <c r="K326" t="n">
        <v>27</v>
      </c>
    </row>
    <row r="327">
      <c r="A327" s="17625" t="n">
        <v>46202</v>
      </c>
      <c r="B327" t="inlineStr">
        <is>
          <t>México-Toluca</t>
        </is>
      </c>
      <c r="C327" s="17625" t="n">
        <v>46202</v>
      </c>
      <c r="D327" t="inlineStr">
        <is>
          <t>DOBLE RODILLO/VIBROCOMPACTADOR DE RODILLOS HAMM 120HD VV</t>
        </is>
      </c>
      <c r="E327">
        <f>VLOOKUP(D327,Catalogos!$I$4:$J$64,2,FALSE)</f>
        <v/>
      </c>
      <c r="F327" s="17626" t="n">
        <v>50</v>
      </c>
      <c r="G327" t="n">
        <v>23.95</v>
      </c>
      <c r="H327">
        <f>F327*G327</f>
        <v/>
      </c>
      <c r="I327" t="inlineStr">
        <is>
          <t>ING. FCO. JAVIER PEREZ DIAZ</t>
        </is>
      </c>
      <c r="K327" t="n">
        <v>27</v>
      </c>
    </row>
    <row r="328">
      <c r="A328" s="17625" t="n">
        <v>46202</v>
      </c>
      <c r="B328" t="inlineStr">
        <is>
          <t>México-Toluca</t>
        </is>
      </c>
      <c r="C328" s="17625" t="n">
        <v>46203</v>
      </c>
      <c r="D328" t="inlineStr">
        <is>
          <t>DOBLE RODILLO/VIBROCOMPACTADOR DE RODILLOS HAMM 120HD VV</t>
        </is>
      </c>
      <c r="E328">
        <f>VLOOKUP(D328,Catalogos!$I$4:$J$64,2,FALSE)</f>
        <v/>
      </c>
      <c r="F328" s="17626" t="n">
        <v>40</v>
      </c>
      <c r="G328" t="n">
        <v>23.95</v>
      </c>
      <c r="H328">
        <f>F328*G328</f>
        <v/>
      </c>
      <c r="I328" t="inlineStr">
        <is>
          <t>ING. FCO. JAVIER PEREZ DIAZ</t>
        </is>
      </c>
      <c r="K328" t="n">
        <v>27</v>
      </c>
    </row>
    <row r="329">
      <c r="A329" s="17625" t="n">
        <v>46202</v>
      </c>
      <c r="B329" t="inlineStr">
        <is>
          <t>México-Toluca</t>
        </is>
      </c>
      <c r="C329" s="17625" t="n">
        <v>46204</v>
      </c>
      <c r="D329" t="inlineStr">
        <is>
          <t>DOBLE RODILLO/VIBROCOMPACTADOR DE RODILLOS HAMM 120HD VV</t>
        </is>
      </c>
      <c r="E329">
        <f>VLOOKUP(D329,Catalogos!$I$4:$J$64,2,FALSE)</f>
        <v/>
      </c>
      <c r="F329" s="17626" t="n">
        <v>40</v>
      </c>
      <c r="G329" t="n">
        <v>23.95</v>
      </c>
      <c r="H329">
        <f>F329*G329</f>
        <v/>
      </c>
      <c r="I329" t="inlineStr">
        <is>
          <t>ING. FCO. JAVIER PEREZ DIAZ</t>
        </is>
      </c>
      <c r="K329" t="n">
        <v>27</v>
      </c>
    </row>
    <row r="330">
      <c r="A330" s="17625" t="n">
        <v>46202</v>
      </c>
      <c r="B330" t="inlineStr">
        <is>
          <t>México-Toluca</t>
        </is>
      </c>
      <c r="C330" s="17625" t="n">
        <v>46205</v>
      </c>
      <c r="D330" t="inlineStr">
        <is>
          <t>DOBLE RODILLO/VIBROCOMPACTADOR DE RODILLOS HAMM 120HD VV</t>
        </is>
      </c>
      <c r="E330">
        <f>VLOOKUP(D330,Catalogos!$I$4:$J$64,2,FALSE)</f>
        <v/>
      </c>
      <c r="F330" s="17626" t="n">
        <v>40</v>
      </c>
      <c r="G330" t="n">
        <v>23.95</v>
      </c>
      <c r="H330">
        <f>F330*G330</f>
        <v/>
      </c>
      <c r="I330" t="inlineStr">
        <is>
          <t>ING. FCO. JAVIER PEREZ DIAZ</t>
        </is>
      </c>
      <c r="K330" t="n">
        <v>27</v>
      </c>
    </row>
    <row r="331">
      <c r="A331" s="17625" t="n">
        <v>46202</v>
      </c>
      <c r="B331" t="inlineStr">
        <is>
          <t>México-Toluca</t>
        </is>
      </c>
      <c r="C331" s="17625" t="n">
        <v>46206</v>
      </c>
      <c r="D331" t="inlineStr">
        <is>
          <t>DOBLE RODILLO/VIBROCOMPACTADOR DE RODILLOS HAMM 120HD VV</t>
        </is>
      </c>
      <c r="E331">
        <f>VLOOKUP(D331,Catalogos!$I$4:$J$64,2,FALSE)</f>
        <v/>
      </c>
      <c r="F331" s="17626" t="n">
        <v>30</v>
      </c>
      <c r="G331" t="n">
        <v>23.95</v>
      </c>
      <c r="H331">
        <f>F331*G331</f>
        <v/>
      </c>
      <c r="I331" t="inlineStr">
        <is>
          <t>ING. FCO. JAVIER PEREZ DIAZ</t>
        </is>
      </c>
      <c r="K331" t="n">
        <v>27</v>
      </c>
    </row>
    <row r="332">
      <c r="A332" s="17625" t="n">
        <v>46202</v>
      </c>
      <c r="B332" t="inlineStr">
        <is>
          <t>México-Toluca</t>
        </is>
      </c>
      <c r="C332" s="17625" t="n">
        <v>46207</v>
      </c>
      <c r="D332" t="inlineStr">
        <is>
          <t>DOBLE RODILLO/VIBROCOMPACTADOR DE RODILLOS HAMM 120HD VV</t>
        </is>
      </c>
      <c r="E332">
        <f>VLOOKUP(D332,Catalogos!$I$4:$J$64,2,FALSE)</f>
        <v/>
      </c>
      <c r="F332" s="17626" t="n">
        <v>30</v>
      </c>
      <c r="G332" t="n">
        <v>23.95</v>
      </c>
      <c r="H332">
        <f>F332*G332</f>
        <v/>
      </c>
      <c r="I332" t="inlineStr">
        <is>
          <t>ING. FCO. JAVIER PEREZ DIAZ</t>
        </is>
      </c>
      <c r="K332" t="n">
        <v>27</v>
      </c>
    </row>
    <row r="333">
      <c r="A333" s="17625" t="n">
        <v>46202</v>
      </c>
      <c r="B333" t="inlineStr">
        <is>
          <t>México-Toluca</t>
        </is>
      </c>
      <c r="C333" s="17625" t="n">
        <v>46202</v>
      </c>
      <c r="D333" t="inlineStr">
        <is>
          <t>NEUMATICO / COMPACTADOR DE NEUMATICOS DINAPAC CP271</t>
        </is>
      </c>
      <c r="E333">
        <f>VLOOKUP(D333,Catalogos!$I$4:$J$64,2,FALSE)</f>
        <v/>
      </c>
      <c r="F333" s="17626" t="n">
        <v>50</v>
      </c>
      <c r="G333" t="n">
        <v>23.95</v>
      </c>
      <c r="H333">
        <f>F333*G333</f>
        <v/>
      </c>
      <c r="I333" t="inlineStr">
        <is>
          <t>ING. FCO. JAVIER PEREZ DIAZ</t>
        </is>
      </c>
      <c r="K333" t="n">
        <v>27</v>
      </c>
    </row>
    <row r="334">
      <c r="A334" s="17625" t="n">
        <v>46202</v>
      </c>
      <c r="B334" t="inlineStr">
        <is>
          <t>México-Toluca</t>
        </is>
      </c>
      <c r="C334" s="17625" t="n">
        <v>46203</v>
      </c>
      <c r="D334" t="inlineStr">
        <is>
          <t>NEUMATICO / COMPACTADOR DE NEUMATICOS DINAPAC CP271</t>
        </is>
      </c>
      <c r="E334">
        <f>VLOOKUP(D334,Catalogos!$I$4:$J$64,2,FALSE)</f>
        <v/>
      </c>
      <c r="F334" s="17626" t="n">
        <v>40</v>
      </c>
      <c r="G334" t="n">
        <v>23.95</v>
      </c>
      <c r="H334">
        <f>F334*G334</f>
        <v/>
      </c>
      <c r="I334" t="inlineStr">
        <is>
          <t>ING. FCO. JAVIER PEREZ DIAZ</t>
        </is>
      </c>
      <c r="K334" t="n">
        <v>27</v>
      </c>
    </row>
    <row r="335">
      <c r="A335" s="17625" t="n">
        <v>46202</v>
      </c>
      <c r="B335" t="inlineStr">
        <is>
          <t>México-Toluca</t>
        </is>
      </c>
      <c r="C335" s="17625" t="n">
        <v>46204</v>
      </c>
      <c r="D335" t="inlineStr">
        <is>
          <t>NEUMATICO / COMPACTADOR DE NEUMATICOS DINAPAC CP271</t>
        </is>
      </c>
      <c r="E335">
        <f>VLOOKUP(D335,Catalogos!$I$4:$J$64,2,FALSE)</f>
        <v/>
      </c>
      <c r="F335" s="17626" t="n">
        <v>40</v>
      </c>
      <c r="G335" t="n">
        <v>23.95</v>
      </c>
      <c r="H335">
        <f>F335*G335</f>
        <v/>
      </c>
      <c r="I335" t="inlineStr">
        <is>
          <t>ING. FCO. JAVIER PEREZ DIAZ</t>
        </is>
      </c>
      <c r="K335" t="n">
        <v>27</v>
      </c>
    </row>
    <row r="336">
      <c r="A336" s="17625" t="n">
        <v>46202</v>
      </c>
      <c r="B336" t="inlineStr">
        <is>
          <t>México-Toluca</t>
        </is>
      </c>
      <c r="C336" s="17625" t="n">
        <v>46205</v>
      </c>
      <c r="D336" t="inlineStr">
        <is>
          <t>NEUMATICO / COMPACTADOR DE NEUMATICOS DINAPAC CP271</t>
        </is>
      </c>
      <c r="E336">
        <f>VLOOKUP(D336,Catalogos!$I$4:$J$64,2,FALSE)</f>
        <v/>
      </c>
      <c r="F336" s="17626" t="n">
        <v>30</v>
      </c>
      <c r="G336" t="n">
        <v>23.95</v>
      </c>
      <c r="H336">
        <f>F336*G336</f>
        <v/>
      </c>
      <c r="I336" t="inlineStr">
        <is>
          <t>ING. FCO. JAVIER PEREZ DIAZ</t>
        </is>
      </c>
      <c r="K336" t="n">
        <v>27</v>
      </c>
    </row>
    <row r="337">
      <c r="A337" s="17625" t="n">
        <v>46202</v>
      </c>
      <c r="B337" t="inlineStr">
        <is>
          <t>México-Toluca</t>
        </is>
      </c>
      <c r="C337" s="17625" t="n">
        <v>46206</v>
      </c>
      <c r="D337" t="inlineStr">
        <is>
          <t>NEUMATICO / COMPACTADOR DE NEUMATICOS DINAPAC CP271</t>
        </is>
      </c>
      <c r="E337">
        <f>VLOOKUP(D337,Catalogos!$I$4:$J$64,2,FALSE)</f>
        <v/>
      </c>
      <c r="F337" s="17626" t="n">
        <v>30</v>
      </c>
      <c r="G337" t="n">
        <v>23.95</v>
      </c>
      <c r="H337">
        <f>F337*G337</f>
        <v/>
      </c>
      <c r="I337" t="inlineStr">
        <is>
          <t>ING. FCO. JAVIER PEREZ DIAZ</t>
        </is>
      </c>
      <c r="K337" t="n">
        <v>27</v>
      </c>
    </row>
    <row r="338">
      <c r="A338" s="17625" t="n">
        <v>46202</v>
      </c>
      <c r="B338" t="inlineStr">
        <is>
          <t>México-Toluca</t>
        </is>
      </c>
      <c r="C338" s="17625" t="n">
        <v>46207</v>
      </c>
      <c r="D338" t="inlineStr">
        <is>
          <t>NEUMATICO / COMPACTADOR DE NEUMATICOS DINAPAC CP271</t>
        </is>
      </c>
      <c r="E338">
        <f>VLOOKUP(D338,Catalogos!$I$4:$J$64,2,FALSE)</f>
        <v/>
      </c>
      <c r="F338" s="17626" t="n">
        <v>30</v>
      </c>
      <c r="G338" t="n">
        <v>23.95</v>
      </c>
      <c r="H338">
        <f>F338*G338</f>
        <v/>
      </c>
      <c r="I338" t="inlineStr">
        <is>
          <t>ING. FCO. JAVIER PEREZ DIAZ</t>
        </is>
      </c>
      <c r="K338" t="n">
        <v>27</v>
      </c>
    </row>
    <row r="339">
      <c r="A339" s="17625" t="n">
        <v>46202</v>
      </c>
      <c r="B339" t="inlineStr">
        <is>
          <t>México-Toluca</t>
        </is>
      </c>
      <c r="C339" s="17625" t="n">
        <v>46202</v>
      </c>
      <c r="D339" t="inlineStr">
        <is>
          <t>NEUMATICO VOLVO PT-240R</t>
        </is>
      </c>
      <c r="E339">
        <f>VLOOKUP(D339,Catalogos!$I$4:$J$64,2,FALSE)</f>
        <v/>
      </c>
      <c r="F339" s="17626" t="n">
        <v>50</v>
      </c>
      <c r="G339" t="n">
        <v>23.95</v>
      </c>
      <c r="H339">
        <f>F339*G339</f>
        <v/>
      </c>
      <c r="I339" t="inlineStr">
        <is>
          <t>ING. FCO. JAVIER PEREZ DIAZ</t>
        </is>
      </c>
      <c r="K339" t="n">
        <v>27</v>
      </c>
    </row>
    <row r="340">
      <c r="A340" s="17625" t="n">
        <v>46202</v>
      </c>
      <c r="B340" t="inlineStr">
        <is>
          <t>México-Toluca</t>
        </is>
      </c>
      <c r="C340" s="17625" t="n">
        <v>46203</v>
      </c>
      <c r="D340" t="inlineStr">
        <is>
          <t>NEUMATICO VOLVO PT-240R</t>
        </is>
      </c>
      <c r="E340">
        <f>VLOOKUP(D340,Catalogos!$I$4:$J$64,2,FALSE)</f>
        <v/>
      </c>
      <c r="F340" s="17626" t="n">
        <v>40</v>
      </c>
      <c r="G340" t="n">
        <v>23.95</v>
      </c>
      <c r="H340">
        <f>F340*G340</f>
        <v/>
      </c>
      <c r="I340" t="inlineStr">
        <is>
          <t>ING. FCO. JAVIER PEREZ DIAZ</t>
        </is>
      </c>
      <c r="K340" t="n">
        <v>27</v>
      </c>
    </row>
    <row r="341">
      <c r="A341" s="17625" t="n">
        <v>46202</v>
      </c>
      <c r="B341" t="inlineStr">
        <is>
          <t>México-Toluca</t>
        </is>
      </c>
      <c r="C341" s="17625" t="n">
        <v>46204</v>
      </c>
      <c r="D341" t="inlineStr">
        <is>
          <t>NEUMATICO VOLVO PT-240R</t>
        </is>
      </c>
      <c r="E341">
        <f>VLOOKUP(D341,Catalogos!$I$4:$J$64,2,FALSE)</f>
        <v/>
      </c>
      <c r="F341" s="17626" t="n">
        <v>40</v>
      </c>
      <c r="G341" t="n">
        <v>23.95</v>
      </c>
      <c r="H341">
        <f>F341*G341</f>
        <v/>
      </c>
      <c r="I341" t="inlineStr">
        <is>
          <t>ING. FCO. JAVIER PEREZ DIAZ</t>
        </is>
      </c>
      <c r="K341" t="n">
        <v>27</v>
      </c>
    </row>
    <row r="342">
      <c r="A342" s="17625" t="n">
        <v>46202</v>
      </c>
      <c r="B342" t="inlineStr">
        <is>
          <t>México-Toluca</t>
        </is>
      </c>
      <c r="C342" s="17625" t="n">
        <v>46205</v>
      </c>
      <c r="D342" t="inlineStr">
        <is>
          <t>NEUMATICO VOLVO PT-240R</t>
        </is>
      </c>
      <c r="E342">
        <f>VLOOKUP(D342,Catalogos!$I$4:$J$64,2,FALSE)</f>
        <v/>
      </c>
      <c r="F342" s="17626" t="n">
        <v>30</v>
      </c>
      <c r="G342" t="n">
        <v>23.95</v>
      </c>
      <c r="H342">
        <f>F342*G342</f>
        <v/>
      </c>
      <c r="I342" t="inlineStr">
        <is>
          <t>ING. FCO. JAVIER PEREZ DIAZ</t>
        </is>
      </c>
      <c r="K342" t="n">
        <v>27</v>
      </c>
    </row>
    <row r="343">
      <c r="A343" s="17625" t="n">
        <v>46202</v>
      </c>
      <c r="B343" t="inlineStr">
        <is>
          <t>México-Toluca</t>
        </is>
      </c>
      <c r="C343" s="17625" t="n">
        <v>46206</v>
      </c>
      <c r="D343" t="inlineStr">
        <is>
          <t>NEUMATICO VOLVO PT-240R</t>
        </is>
      </c>
      <c r="E343">
        <f>VLOOKUP(D343,Catalogos!$I$4:$J$64,2,FALSE)</f>
        <v/>
      </c>
      <c r="F343" s="17626" t="n">
        <v>30</v>
      </c>
      <c r="G343" t="n">
        <v>23.95</v>
      </c>
      <c r="H343">
        <f>F343*G343</f>
        <v/>
      </c>
      <c r="I343" t="inlineStr">
        <is>
          <t>ING. FCO. JAVIER PEREZ DIAZ</t>
        </is>
      </c>
      <c r="K343" t="n">
        <v>27</v>
      </c>
    </row>
    <row r="344">
      <c r="A344" s="17625" t="n">
        <v>46202</v>
      </c>
      <c r="B344" t="inlineStr">
        <is>
          <t>México-Toluca</t>
        </is>
      </c>
      <c r="C344" s="17625" t="n">
        <v>46207</v>
      </c>
      <c r="D344" t="inlineStr">
        <is>
          <t>NEUMATICO VOLVO PT-240R</t>
        </is>
      </c>
      <c r="E344">
        <f>VLOOKUP(D344,Catalogos!$I$4:$J$64,2,FALSE)</f>
        <v/>
      </c>
      <c r="F344" s="17626" t="n">
        <v>30</v>
      </c>
      <c r="G344" t="n">
        <v>23.95</v>
      </c>
      <c r="H344">
        <f>F344*G344</f>
        <v/>
      </c>
      <c r="I344" t="inlineStr">
        <is>
          <t>ING. FCO. JAVIER PEREZ DIAZ</t>
        </is>
      </c>
      <c r="K344" t="n">
        <v>27</v>
      </c>
    </row>
    <row r="345">
      <c r="A345" s="17625" t="n">
        <v>46202</v>
      </c>
      <c r="B345" t="inlineStr">
        <is>
          <t>México-Toluca</t>
        </is>
      </c>
      <c r="C345" s="17625" t="n">
        <v>46202</v>
      </c>
      <c r="D345" t="inlineStr">
        <is>
          <t>BARREDORA BROCE RJ350</t>
        </is>
      </c>
      <c r="E345">
        <f>VLOOKUP(D345,Catalogos!$I$4:$J$64,2,FALSE)</f>
        <v/>
      </c>
      <c r="F345" s="17626" t="n">
        <v>30</v>
      </c>
      <c r="G345" t="n">
        <v>23.95</v>
      </c>
      <c r="H345">
        <f>F345*G345</f>
        <v/>
      </c>
      <c r="I345" t="inlineStr">
        <is>
          <t>ING. FCO. JAVIER PEREZ DIAZ</t>
        </is>
      </c>
      <c r="K345" t="n">
        <v>27</v>
      </c>
    </row>
    <row r="346">
      <c r="A346" s="17625" t="n">
        <v>46202</v>
      </c>
      <c r="B346" t="inlineStr">
        <is>
          <t>México-Toluca</t>
        </is>
      </c>
      <c r="C346" s="17625" t="n">
        <v>46203</v>
      </c>
      <c r="D346" t="inlineStr">
        <is>
          <t>BARREDORA BROCE RJ350</t>
        </is>
      </c>
      <c r="E346">
        <f>VLOOKUP(D346,Catalogos!$I$4:$J$64,2,FALSE)</f>
        <v/>
      </c>
      <c r="F346" s="17626" t="n">
        <v>30</v>
      </c>
      <c r="G346" t="n">
        <v>23.95</v>
      </c>
      <c r="H346">
        <f>F346*G346</f>
        <v/>
      </c>
      <c r="I346" t="inlineStr">
        <is>
          <t>ING. FCO. JAVIER PEREZ DIAZ</t>
        </is>
      </c>
      <c r="K346" t="n">
        <v>27</v>
      </c>
    </row>
    <row r="347">
      <c r="A347" s="17625" t="n">
        <v>46202</v>
      </c>
      <c r="B347" t="inlineStr">
        <is>
          <t>México-Toluca</t>
        </is>
      </c>
      <c r="C347" s="17625" t="n">
        <v>46204</v>
      </c>
      <c r="D347" t="inlineStr">
        <is>
          <t>BARREDORA BROCE RJ350</t>
        </is>
      </c>
      <c r="E347">
        <f>VLOOKUP(D347,Catalogos!$I$4:$J$64,2,FALSE)</f>
        <v/>
      </c>
      <c r="F347" s="17626" t="n">
        <v>30</v>
      </c>
      <c r="G347" t="n">
        <v>23.95</v>
      </c>
      <c r="H347">
        <f>F347*G347</f>
        <v/>
      </c>
      <c r="I347" t="inlineStr">
        <is>
          <t>ING. FCO. JAVIER PEREZ DIAZ</t>
        </is>
      </c>
      <c r="K347" t="n">
        <v>27</v>
      </c>
    </row>
    <row r="348">
      <c r="A348" s="17625" t="n">
        <v>46202</v>
      </c>
      <c r="B348" t="inlineStr">
        <is>
          <t>México-Toluca</t>
        </is>
      </c>
      <c r="C348" s="17625" t="n">
        <v>46205</v>
      </c>
      <c r="D348" t="inlineStr">
        <is>
          <t>BARREDORA BROCE RJ350</t>
        </is>
      </c>
      <c r="E348">
        <f>VLOOKUP(D348,Catalogos!$I$4:$J$64,2,FALSE)</f>
        <v/>
      </c>
      <c r="F348" s="17626" t="n">
        <v>20</v>
      </c>
      <c r="G348" t="n">
        <v>23.95</v>
      </c>
      <c r="H348">
        <f>F348*G348</f>
        <v/>
      </c>
      <c r="I348" t="inlineStr">
        <is>
          <t>ING. FCO. JAVIER PEREZ DIAZ</t>
        </is>
      </c>
      <c r="K348" t="n">
        <v>27</v>
      </c>
    </row>
    <row r="349">
      <c r="A349" s="17625" t="n">
        <v>46202</v>
      </c>
      <c r="B349" t="inlineStr">
        <is>
          <t>México-Toluca</t>
        </is>
      </c>
      <c r="C349" s="17625" t="n">
        <v>46206</v>
      </c>
      <c r="D349" t="inlineStr">
        <is>
          <t>BARREDORA BROCE RJ350</t>
        </is>
      </c>
      <c r="E349">
        <f>VLOOKUP(D349,Catalogos!$I$4:$J$64,2,FALSE)</f>
        <v/>
      </c>
      <c r="F349" s="17626" t="n">
        <v>20</v>
      </c>
      <c r="G349" t="n">
        <v>23.95</v>
      </c>
      <c r="H349">
        <f>F349*G349</f>
        <v/>
      </c>
      <c r="I349" t="inlineStr">
        <is>
          <t>ING. FCO. JAVIER PEREZ DIAZ</t>
        </is>
      </c>
      <c r="K349" t="n">
        <v>27</v>
      </c>
    </row>
    <row r="350">
      <c r="A350" s="17625" t="n">
        <v>46202</v>
      </c>
      <c r="B350" t="inlineStr">
        <is>
          <t>México-Toluca</t>
        </is>
      </c>
      <c r="C350" s="17625" t="n">
        <v>46207</v>
      </c>
      <c r="D350" t="inlineStr">
        <is>
          <t>BARREDORA BROCE RJ350</t>
        </is>
      </c>
      <c r="E350">
        <f>VLOOKUP(D350,Catalogos!$I$4:$J$64,2,FALSE)</f>
        <v/>
      </c>
      <c r="F350" s="17626" t="n">
        <v>20</v>
      </c>
      <c r="G350" t="n">
        <v>23.95</v>
      </c>
      <c r="H350">
        <f>F350*G350</f>
        <v/>
      </c>
      <c r="I350" t="inlineStr">
        <is>
          <t>ING. FCO. JAVIER PEREZ DIAZ</t>
        </is>
      </c>
      <c r="K350" t="n">
        <v>27</v>
      </c>
    </row>
    <row r="351">
      <c r="A351" s="17625" t="n">
        <v>46202</v>
      </c>
      <c r="B351" t="inlineStr">
        <is>
          <t>México-Toluca</t>
        </is>
      </c>
      <c r="C351" s="17625" t="n">
        <v>46202</v>
      </c>
      <c r="D351" t="inlineStr">
        <is>
          <t>RETROEXCAVADORA JHONDEREE 310 K</t>
        </is>
      </c>
      <c r="E351">
        <f>VLOOKUP(D351,Catalogos!$I$4:$J$64,2,FALSE)</f>
        <v/>
      </c>
      <c r="F351" s="17626" t="n">
        <v>60</v>
      </c>
      <c r="G351" t="n">
        <v>23.95</v>
      </c>
      <c r="H351">
        <f>F351*G351</f>
        <v/>
      </c>
      <c r="I351" t="inlineStr">
        <is>
          <t>ING. FCO. JAVIER PEREZ DIAZ</t>
        </is>
      </c>
      <c r="K351" t="n">
        <v>27</v>
      </c>
    </row>
    <row r="352">
      <c r="A352" s="17625" t="n">
        <v>46202</v>
      </c>
      <c r="B352" t="inlineStr">
        <is>
          <t>México-Toluca</t>
        </is>
      </c>
      <c r="C352" s="17625" t="n">
        <v>46203</v>
      </c>
      <c r="D352" t="inlineStr">
        <is>
          <t>RETROEXCAVADORA JHONDEREE 310 K</t>
        </is>
      </c>
      <c r="E352">
        <f>VLOOKUP(D352,Catalogos!$I$4:$J$64,2,FALSE)</f>
        <v/>
      </c>
      <c r="F352" s="17626" t="n">
        <v>50</v>
      </c>
      <c r="G352" t="n">
        <v>23.95</v>
      </c>
      <c r="H352">
        <f>F352*G352</f>
        <v/>
      </c>
      <c r="I352" t="inlineStr">
        <is>
          <t>ING. FCO. JAVIER PEREZ DIAZ</t>
        </is>
      </c>
      <c r="K352" t="n">
        <v>27</v>
      </c>
    </row>
    <row r="353">
      <c r="A353" s="17625" t="n">
        <v>46202</v>
      </c>
      <c r="B353" t="inlineStr">
        <is>
          <t>México-Toluca</t>
        </is>
      </c>
      <c r="C353" s="17625" t="n">
        <v>46204</v>
      </c>
      <c r="D353" t="inlineStr">
        <is>
          <t>RETROEXCAVADORA JHONDEREE 310 K</t>
        </is>
      </c>
      <c r="E353">
        <f>VLOOKUP(D353,Catalogos!$I$4:$J$64,2,FALSE)</f>
        <v/>
      </c>
      <c r="F353" s="17626" t="n">
        <v>50</v>
      </c>
      <c r="G353" t="n">
        <v>23.95</v>
      </c>
      <c r="H353">
        <f>F353*G353</f>
        <v/>
      </c>
      <c r="I353" t="inlineStr">
        <is>
          <t>ING. FCO. JAVIER PEREZ DIAZ</t>
        </is>
      </c>
      <c r="K353" t="n">
        <v>27</v>
      </c>
    </row>
    <row r="354">
      <c r="A354" s="17625" t="n">
        <v>46202</v>
      </c>
      <c r="B354" t="inlineStr">
        <is>
          <t>México-Toluca</t>
        </is>
      </c>
      <c r="C354" s="17625" t="n">
        <v>46205</v>
      </c>
      <c r="D354" t="inlineStr">
        <is>
          <t>RETROEXCAVADORA JHONDEREE 310 K</t>
        </is>
      </c>
      <c r="E354">
        <f>VLOOKUP(D354,Catalogos!$I$4:$J$64,2,FALSE)</f>
        <v/>
      </c>
      <c r="F354" s="17626" t="n">
        <v>50</v>
      </c>
      <c r="G354" t="n">
        <v>23.95</v>
      </c>
      <c r="H354">
        <f>F354*G354</f>
        <v/>
      </c>
      <c r="I354" t="inlineStr">
        <is>
          <t>ING. FCO. JAVIER PEREZ DIAZ</t>
        </is>
      </c>
      <c r="K354" t="n">
        <v>27</v>
      </c>
    </row>
    <row r="355">
      <c r="A355" s="17625" t="n">
        <v>46202</v>
      </c>
      <c r="B355" t="inlineStr">
        <is>
          <t>México-Toluca</t>
        </is>
      </c>
      <c r="C355" s="17625" t="n">
        <v>46206</v>
      </c>
      <c r="D355" t="inlineStr">
        <is>
          <t>RETROEXCAVADORA JHONDEREE 310 K</t>
        </is>
      </c>
      <c r="E355">
        <f>VLOOKUP(D355,Catalogos!$I$4:$J$64,2,FALSE)</f>
        <v/>
      </c>
      <c r="F355" s="17626" t="n">
        <v>50</v>
      </c>
      <c r="G355" t="n">
        <v>23.95</v>
      </c>
      <c r="H355">
        <f>F355*G355</f>
        <v/>
      </c>
      <c r="I355" t="inlineStr">
        <is>
          <t>ING. FCO. JAVIER PEREZ DIAZ</t>
        </is>
      </c>
      <c r="K355" t="n">
        <v>27</v>
      </c>
    </row>
    <row r="356">
      <c r="A356" s="17625" t="n">
        <v>46202</v>
      </c>
      <c r="B356" t="inlineStr">
        <is>
          <t>México-Toluca</t>
        </is>
      </c>
      <c r="C356" s="17625" t="n">
        <v>46207</v>
      </c>
      <c r="D356" t="inlineStr">
        <is>
          <t>RETROEXCAVADORA JHONDEREE 310 K</t>
        </is>
      </c>
      <c r="E356">
        <f>VLOOKUP(D356,Catalogos!$I$4:$J$64,2,FALSE)</f>
        <v/>
      </c>
      <c r="F356" s="17626" t="n">
        <v>40</v>
      </c>
      <c r="G356" t="n">
        <v>23.95</v>
      </c>
      <c r="H356">
        <f>F356*G356</f>
        <v/>
      </c>
      <c r="I356" t="inlineStr">
        <is>
          <t>ING. FCO. JAVIER PEREZ DIAZ</t>
        </is>
      </c>
      <c r="K356" t="n">
        <v>27</v>
      </c>
    </row>
    <row r="357">
      <c r="A357" s="17625" t="n">
        <v>46202</v>
      </c>
      <c r="B357" t="inlineStr">
        <is>
          <t>México-Toluca</t>
        </is>
      </c>
      <c r="C357" s="17625" t="n">
        <v>46202</v>
      </c>
      <c r="D357" t="inlineStr">
        <is>
          <t>PETROLIZADORA INTERNATIONAL</t>
        </is>
      </c>
      <c r="E357">
        <f>VLOOKUP(D357,Catalogos!$I$4:$J$64,2,FALSE)</f>
        <v/>
      </c>
      <c r="F357" s="17626" t="n">
        <v>50</v>
      </c>
      <c r="G357" t="n">
        <v>23.95</v>
      </c>
      <c r="H357">
        <f>F357*G357</f>
        <v/>
      </c>
      <c r="I357" t="inlineStr">
        <is>
          <t>ING. FCO. JAVIER PEREZ DIAZ</t>
        </is>
      </c>
      <c r="K357" t="n">
        <v>27</v>
      </c>
    </row>
    <row r="358">
      <c r="A358" s="17625" t="n">
        <v>46202</v>
      </c>
      <c r="B358" t="inlineStr">
        <is>
          <t>México-Toluca</t>
        </is>
      </c>
      <c r="C358" s="17625" t="n">
        <v>46203</v>
      </c>
      <c r="D358" t="inlineStr">
        <is>
          <t>PETROLIZADORA INTERNATIONAL</t>
        </is>
      </c>
      <c r="E358">
        <f>VLOOKUP(D358,Catalogos!$I$4:$J$64,2,FALSE)</f>
        <v/>
      </c>
      <c r="F358" s="17626" t="n">
        <v>50</v>
      </c>
      <c r="G358" t="n">
        <v>23.95</v>
      </c>
      <c r="H358">
        <f>F358*G358</f>
        <v/>
      </c>
      <c r="I358" t="inlineStr">
        <is>
          <t>ING. FCO. JAVIER PEREZ DIAZ</t>
        </is>
      </c>
      <c r="K358" t="n">
        <v>27</v>
      </c>
    </row>
    <row r="359">
      <c r="A359" s="17625" t="n">
        <v>46202</v>
      </c>
      <c r="B359" t="inlineStr">
        <is>
          <t>México-Toluca</t>
        </is>
      </c>
      <c r="C359" s="17625" t="n">
        <v>46204</v>
      </c>
      <c r="D359" t="inlineStr">
        <is>
          <t>PETROLIZADORA INTERNATIONAL</t>
        </is>
      </c>
      <c r="E359">
        <f>VLOOKUP(D359,Catalogos!$I$4:$J$64,2,FALSE)</f>
        <v/>
      </c>
      <c r="F359" s="17626" t="n">
        <v>50</v>
      </c>
      <c r="G359" t="n">
        <v>23.95</v>
      </c>
      <c r="H359">
        <f>F359*G359</f>
        <v/>
      </c>
      <c r="I359" t="inlineStr">
        <is>
          <t>ING. FCO. JAVIER PEREZ DIAZ</t>
        </is>
      </c>
      <c r="K359" t="n">
        <v>27</v>
      </c>
    </row>
    <row r="360">
      <c r="A360" s="17625" t="n">
        <v>46202</v>
      </c>
      <c r="B360" t="inlineStr">
        <is>
          <t>México-Toluca</t>
        </is>
      </c>
      <c r="C360" s="17625" t="n">
        <v>46205</v>
      </c>
      <c r="D360" t="inlineStr">
        <is>
          <t>PETROLIZADORA INTERNATIONAL</t>
        </is>
      </c>
      <c r="E360">
        <f>VLOOKUP(D360,Catalogos!$I$4:$J$64,2,FALSE)</f>
        <v/>
      </c>
      <c r="F360" s="17626" t="n">
        <v>50</v>
      </c>
      <c r="G360" t="n">
        <v>23.95</v>
      </c>
      <c r="H360">
        <f>F360*G360</f>
        <v/>
      </c>
      <c r="I360" t="inlineStr">
        <is>
          <t>ING. FCO. JAVIER PEREZ DIAZ</t>
        </is>
      </c>
      <c r="K360" t="n">
        <v>27</v>
      </c>
    </row>
    <row r="361">
      <c r="A361" s="17625" t="n">
        <v>46202</v>
      </c>
      <c r="B361" t="inlineStr">
        <is>
          <t>México-Toluca</t>
        </is>
      </c>
      <c r="C361" s="17625" t="n">
        <v>46206</v>
      </c>
      <c r="D361" t="inlineStr">
        <is>
          <t>PETROLIZADORA INTERNATIONAL</t>
        </is>
      </c>
      <c r="E361">
        <f>VLOOKUP(D361,Catalogos!$I$4:$J$64,2,FALSE)</f>
        <v/>
      </c>
      <c r="F361" s="17626" t="n">
        <v>50</v>
      </c>
      <c r="G361" t="n">
        <v>23.95</v>
      </c>
      <c r="H361">
        <f>F361*G361</f>
        <v/>
      </c>
      <c r="I361" t="inlineStr">
        <is>
          <t>ING. FCO. JAVIER PEREZ DIAZ</t>
        </is>
      </c>
      <c r="K361" t="n">
        <v>27</v>
      </c>
    </row>
    <row r="362">
      <c r="A362" s="17625" t="n">
        <v>46202</v>
      </c>
      <c r="B362" t="inlineStr">
        <is>
          <t>Bacheo Toluca</t>
        </is>
      </c>
      <c r="C362" s="17625" t="n">
        <v>46202</v>
      </c>
      <c r="D362" t="inlineStr">
        <is>
          <t>RETROEXCAVADORA CASE 580 N</t>
        </is>
      </c>
      <c r="E362">
        <f>VLOOKUP(D362,Catalogos!$I$4:$J$64,2,FALSE)</f>
        <v/>
      </c>
      <c r="F362" s="17626" t="n">
        <v>100</v>
      </c>
      <c r="G362" t="n">
        <v>23.95</v>
      </c>
      <c r="H362">
        <f>F362*G362</f>
        <v/>
      </c>
      <c r="I362" t="inlineStr">
        <is>
          <t>ING. DIEGO CARREOLA MONROY</t>
        </is>
      </c>
      <c r="K362" t="n">
        <v>27</v>
      </c>
    </row>
    <row r="363">
      <c r="A363" s="17625" t="n">
        <v>46202</v>
      </c>
      <c r="B363" t="inlineStr">
        <is>
          <t>Bacheo Toluca</t>
        </is>
      </c>
      <c r="C363" s="17625" t="n">
        <v>46203</v>
      </c>
      <c r="D363" t="inlineStr">
        <is>
          <t>RETROEXCAVADORA CASE 580 N</t>
        </is>
      </c>
      <c r="E363">
        <f>VLOOKUP(D363,Catalogos!$I$4:$J$64,2,FALSE)</f>
        <v/>
      </c>
      <c r="F363" s="17626" t="n">
        <v>30</v>
      </c>
      <c r="G363" t="n">
        <v>23.95</v>
      </c>
      <c r="H363">
        <f>F363*G363</f>
        <v/>
      </c>
      <c r="I363" t="inlineStr">
        <is>
          <t>ING. DIEGO CARREOLA MONROY</t>
        </is>
      </c>
      <c r="K363" t="n">
        <v>27</v>
      </c>
    </row>
    <row r="364">
      <c r="A364" s="17625" t="n">
        <v>46202</v>
      </c>
      <c r="B364" t="inlineStr">
        <is>
          <t>Bacheo Toluca</t>
        </is>
      </c>
      <c r="C364" s="17625" t="n">
        <v>46204</v>
      </c>
      <c r="D364" t="inlineStr">
        <is>
          <t>RETROEXCAVADORA CASE 580 N</t>
        </is>
      </c>
      <c r="E364">
        <f>VLOOKUP(D364,Catalogos!$I$4:$J$64,2,FALSE)</f>
        <v/>
      </c>
      <c r="F364" s="17626" t="n">
        <v>30</v>
      </c>
      <c r="G364" t="n">
        <v>23.95</v>
      </c>
      <c r="H364">
        <f>F364*G364</f>
        <v/>
      </c>
      <c r="I364" t="inlineStr">
        <is>
          <t>ING. DIEGO CARREOLA MONROY</t>
        </is>
      </c>
      <c r="K364" t="n">
        <v>27</v>
      </c>
    </row>
    <row r="365">
      <c r="A365" s="17625" t="n">
        <v>46202</v>
      </c>
      <c r="B365" t="inlineStr">
        <is>
          <t>Bacheo Toluca</t>
        </is>
      </c>
      <c r="C365" s="17625" t="n">
        <v>46205</v>
      </c>
      <c r="D365" t="inlineStr">
        <is>
          <t>RETROEXCAVADORA CASE 580 N</t>
        </is>
      </c>
      <c r="E365">
        <f>VLOOKUP(D365,Catalogos!$I$4:$J$64,2,FALSE)</f>
        <v/>
      </c>
      <c r="F365" s="17626" t="n">
        <v>60</v>
      </c>
      <c r="G365" t="n">
        <v>23.95</v>
      </c>
      <c r="H365">
        <f>F365*G365</f>
        <v/>
      </c>
      <c r="I365" t="inlineStr">
        <is>
          <t>ING. DIEGO CARREOLA MONROY</t>
        </is>
      </c>
      <c r="K365" t="n">
        <v>27</v>
      </c>
    </row>
    <row r="366">
      <c r="A366" s="17625" t="n">
        <v>46202</v>
      </c>
      <c r="B366" t="inlineStr">
        <is>
          <t>Bacheo Toluca</t>
        </is>
      </c>
      <c r="C366" s="17625" t="n">
        <v>46206</v>
      </c>
      <c r="D366" t="inlineStr">
        <is>
          <t>RETROEXCAVADORA CASE 580 N</t>
        </is>
      </c>
      <c r="E366">
        <f>VLOOKUP(D366,Catalogos!$I$4:$J$64,2,FALSE)</f>
        <v/>
      </c>
      <c r="F366" s="17626" t="n">
        <v>50</v>
      </c>
      <c r="G366" t="n">
        <v>23.95</v>
      </c>
      <c r="H366">
        <f>F366*G366</f>
        <v/>
      </c>
      <c r="I366" t="inlineStr">
        <is>
          <t>ING. DIEGO CARREOLA MONROY</t>
        </is>
      </c>
      <c r="K366" t="n">
        <v>27</v>
      </c>
    </row>
    <row r="367">
      <c r="A367" s="17625" t="n">
        <v>46202</v>
      </c>
      <c r="B367" t="inlineStr">
        <is>
          <t>Bacheo Toluca</t>
        </is>
      </c>
      <c r="C367" s="17625" t="n">
        <v>46203</v>
      </c>
      <c r="D367" t="inlineStr">
        <is>
          <t>RETROEXCAVADORA CASE 580 N</t>
        </is>
      </c>
      <c r="E367">
        <f>VLOOKUP(D367,Catalogos!$I$4:$J$64,2,FALSE)</f>
        <v/>
      </c>
      <c r="F367" s="17626" t="n">
        <v>50</v>
      </c>
      <c r="G367" t="n">
        <v>23.95</v>
      </c>
      <c r="H367">
        <f>F367*G367</f>
        <v/>
      </c>
      <c r="I367" t="inlineStr">
        <is>
          <t>ING. DIEGO CARREOLA MONROY</t>
        </is>
      </c>
      <c r="K367" t="n">
        <v>27</v>
      </c>
    </row>
    <row r="368">
      <c r="A368" s="17625" t="n">
        <v>46202</v>
      </c>
      <c r="B368" t="inlineStr">
        <is>
          <t>Bacheo Toluca</t>
        </is>
      </c>
      <c r="C368" s="17625" t="n">
        <v>46204</v>
      </c>
      <c r="D368" t="inlineStr">
        <is>
          <t>RETROEXCAVADORA CASE 580 N</t>
        </is>
      </c>
      <c r="E368">
        <f>VLOOKUP(D368,Catalogos!$I$4:$J$64,2,FALSE)</f>
        <v/>
      </c>
      <c r="F368" s="17626" t="n">
        <v>50</v>
      </c>
      <c r="G368" t="n">
        <v>23.95</v>
      </c>
      <c r="H368">
        <f>F368*G368</f>
        <v/>
      </c>
      <c r="I368" t="inlineStr">
        <is>
          <t>ING. DIEGO CARREOLA MONROY</t>
        </is>
      </c>
      <c r="K368" t="n">
        <v>27</v>
      </c>
    </row>
    <row r="369">
      <c r="A369" s="17625" t="n">
        <v>46202</v>
      </c>
      <c r="B369" t="inlineStr">
        <is>
          <t>Bacheo Toluca</t>
        </is>
      </c>
      <c r="C369" s="17625" t="n">
        <v>46205</v>
      </c>
      <c r="D369" t="inlineStr">
        <is>
          <t>RETROEXCAVADORA CASE 580 N</t>
        </is>
      </c>
      <c r="E369">
        <f>VLOOKUP(D369,Catalogos!$I$4:$J$64,2,FALSE)</f>
        <v/>
      </c>
      <c r="F369" s="17626" t="n">
        <v>60</v>
      </c>
      <c r="G369" t="n">
        <v>23.95</v>
      </c>
      <c r="H369">
        <f>F369*G369</f>
        <v/>
      </c>
      <c r="I369" t="inlineStr">
        <is>
          <t>ING. DIEGO CARREOLA MONROY</t>
        </is>
      </c>
      <c r="K369" t="n">
        <v>27</v>
      </c>
    </row>
    <row r="370">
      <c r="A370" s="17625" t="n">
        <v>46202</v>
      </c>
      <c r="B370" t="inlineStr">
        <is>
          <t>Bacheo Toluca</t>
        </is>
      </c>
      <c r="C370" s="17625" t="n">
        <v>46206</v>
      </c>
      <c r="D370" t="inlineStr">
        <is>
          <t>RETROEXCAVADORA CASE 580 N</t>
        </is>
      </c>
      <c r="E370">
        <f>VLOOKUP(D370,Catalogos!$I$4:$J$64,2,FALSE)</f>
        <v/>
      </c>
      <c r="F370" s="17626" t="n">
        <v>50</v>
      </c>
      <c r="G370" t="n">
        <v>23.95</v>
      </c>
      <c r="H370">
        <f>F370*G370</f>
        <v/>
      </c>
      <c r="I370" t="inlineStr">
        <is>
          <t>ING. DIEGO CARREOLA MONROY</t>
        </is>
      </c>
      <c r="K370" t="n">
        <v>27</v>
      </c>
    </row>
    <row r="371">
      <c r="A371" s="17625" t="n">
        <v>46202</v>
      </c>
      <c r="B371" t="inlineStr">
        <is>
          <t>Bacheo Toluca</t>
        </is>
      </c>
      <c r="C371" s="17625" t="n">
        <v>46207</v>
      </c>
      <c r="D371" t="inlineStr">
        <is>
          <t>RETROEXCAVADORA CASE 580 N</t>
        </is>
      </c>
      <c r="E371">
        <f>VLOOKUP(D371,Catalogos!$I$4:$J$64,2,FALSE)</f>
        <v/>
      </c>
      <c r="F371" s="17626" t="n">
        <v>100</v>
      </c>
      <c r="G371" t="n">
        <v>23.95</v>
      </c>
      <c r="H371">
        <f>F371*G371</f>
        <v/>
      </c>
      <c r="I371" t="inlineStr">
        <is>
          <t>ING. DIEGO CARREOLA MONROY</t>
        </is>
      </c>
      <c r="J371" t="inlineStr">
        <is>
          <t>SE CONSIDERA OPCIONAL ESTA CARGA, DEPENDEMOS DE INDICACIONES DE DIRECCION PARA TRABAJOS EL DIA DOMINGO 5 DE JULIO 2026</t>
        </is>
      </c>
      <c r="K371" t="n">
        <v>27</v>
      </c>
    </row>
    <row r="372">
      <c r="A372" s="17625" t="n">
        <v>46202</v>
      </c>
      <c r="B372" t="inlineStr">
        <is>
          <t>Bacheo Toluca</t>
        </is>
      </c>
      <c r="C372" s="17625" t="n">
        <v>46203</v>
      </c>
      <c r="D372" t="inlineStr">
        <is>
          <t>HOMBRE A BORDO</t>
        </is>
      </c>
      <c r="E372">
        <f>VLOOKUP(D372,Catalogos!$I$4:$J$64,2,FALSE)</f>
        <v/>
      </c>
      <c r="F372" s="17626" t="n">
        <v>10</v>
      </c>
      <c r="G372" t="n">
        <v>23.95</v>
      </c>
      <c r="H372">
        <f>F372*G372</f>
        <v/>
      </c>
      <c r="I372" t="inlineStr">
        <is>
          <t>ING. DIEGO CARREOLA MONROY</t>
        </is>
      </c>
      <c r="K372" t="n">
        <v>27</v>
      </c>
    </row>
    <row r="373">
      <c r="A373" s="17625" t="n">
        <v>46202</v>
      </c>
      <c r="B373" t="inlineStr">
        <is>
          <t>Bacheo Toluca</t>
        </is>
      </c>
      <c r="C373" s="17625" t="n">
        <v>46204</v>
      </c>
      <c r="D373" t="inlineStr">
        <is>
          <t>HOMBRE A BORDO</t>
        </is>
      </c>
      <c r="E373">
        <f>VLOOKUP(D373,Catalogos!$I$4:$J$64,2,FALSE)</f>
        <v/>
      </c>
      <c r="F373" s="17626" t="n">
        <v>10</v>
      </c>
      <c r="G373" t="n">
        <v>23.95</v>
      </c>
      <c r="H373">
        <f>F373*G373</f>
        <v/>
      </c>
      <c r="I373" t="inlineStr">
        <is>
          <t>ING. DIEGO CARREOLA MONROY</t>
        </is>
      </c>
      <c r="K373" t="n">
        <v>27</v>
      </c>
    </row>
    <row r="374">
      <c r="A374" s="17625" t="n">
        <v>46202</v>
      </c>
      <c r="B374" t="inlineStr">
        <is>
          <t>Bacheo Toluca</t>
        </is>
      </c>
      <c r="C374" s="17625" t="n">
        <v>46205</v>
      </c>
      <c r="D374" t="inlineStr">
        <is>
          <t>HOMBRE A BORDO</t>
        </is>
      </c>
      <c r="E374">
        <f>VLOOKUP(D374,Catalogos!$I$4:$J$64,2,FALSE)</f>
        <v/>
      </c>
      <c r="F374" s="17626" t="n">
        <v>5</v>
      </c>
      <c r="G374" t="n">
        <v>23.95</v>
      </c>
      <c r="H374">
        <f>F374*G374</f>
        <v/>
      </c>
      <c r="I374" t="inlineStr">
        <is>
          <t>ING. DIEGO CARREOLA MONROY</t>
        </is>
      </c>
      <c r="K374" t="n">
        <v>27</v>
      </c>
    </row>
    <row r="375">
      <c r="A375" s="17625" t="n">
        <v>46202</v>
      </c>
      <c r="B375" t="inlineStr">
        <is>
          <t>Bacheo Toluca</t>
        </is>
      </c>
      <c r="C375" s="17625" t="n">
        <v>46206</v>
      </c>
      <c r="D375" t="inlineStr">
        <is>
          <t>HOMBRE A BORDO</t>
        </is>
      </c>
      <c r="E375">
        <f>VLOOKUP(D375,Catalogos!$I$4:$J$64,2,FALSE)</f>
        <v/>
      </c>
      <c r="F375" s="17626" t="n">
        <v>10</v>
      </c>
      <c r="G375" t="n">
        <v>23.95</v>
      </c>
      <c r="H375">
        <f>F375*G375</f>
        <v/>
      </c>
      <c r="I375" t="inlineStr">
        <is>
          <t>ING. DIEGO CARREOLA MONROY</t>
        </is>
      </c>
      <c r="K375" t="n">
        <v>27</v>
      </c>
    </row>
    <row r="376">
      <c r="A376" s="17625" t="n">
        <v>46202</v>
      </c>
      <c r="B376" t="inlineStr">
        <is>
          <t>Bacheo Toluca</t>
        </is>
      </c>
      <c r="C376" s="17625" t="n">
        <v>46202</v>
      </c>
      <c r="D376" t="inlineStr">
        <is>
          <t>BIDONES</t>
        </is>
      </c>
      <c r="E376">
        <f>VLOOKUP(D376,Catalogos!$I$4:$J$64,2,FALSE)</f>
        <v/>
      </c>
      <c r="F376" s="17626" t="n">
        <v>5</v>
      </c>
      <c r="G376" t="n">
        <v>23.95</v>
      </c>
      <c r="H376">
        <f>F376*G376</f>
        <v/>
      </c>
      <c r="I376" t="inlineStr">
        <is>
          <t>ING. DIEGO CARREOLA MONROY</t>
        </is>
      </c>
      <c r="K376" t="n">
        <v>27</v>
      </c>
    </row>
    <row r="377">
      <c r="A377" s="17625" t="n">
        <v>46202</v>
      </c>
      <c r="B377" t="inlineStr">
        <is>
          <t>Bacheo Toluca</t>
        </is>
      </c>
      <c r="C377" s="17625" t="n">
        <v>46203</v>
      </c>
      <c r="D377" t="inlineStr">
        <is>
          <t>BIDONES</t>
        </is>
      </c>
      <c r="E377">
        <f>VLOOKUP(D377,Catalogos!$I$4:$J$64,2,FALSE)</f>
        <v/>
      </c>
      <c r="F377" s="17626" t="n">
        <v>5</v>
      </c>
      <c r="G377" t="n">
        <v>23.95</v>
      </c>
      <c r="H377">
        <f>F377*G377</f>
        <v/>
      </c>
      <c r="I377" t="inlineStr">
        <is>
          <t>ING. DIEGO CARREOLA MONROY</t>
        </is>
      </c>
      <c r="K377" t="n">
        <v>27</v>
      </c>
    </row>
    <row r="378">
      <c r="A378" s="17625" t="n">
        <v>46202</v>
      </c>
      <c r="B378" t="inlineStr">
        <is>
          <t>Bacheo Toluca</t>
        </is>
      </c>
      <c r="C378" s="17625" t="n">
        <v>46204</v>
      </c>
      <c r="D378" t="inlineStr">
        <is>
          <t>BIDONES</t>
        </is>
      </c>
      <c r="E378">
        <f>VLOOKUP(D378,Catalogos!$I$4:$J$64,2,FALSE)</f>
        <v/>
      </c>
      <c r="F378" s="17626" t="n">
        <v>5</v>
      </c>
      <c r="G378" t="n">
        <v>23.95</v>
      </c>
      <c r="H378">
        <f>F378*G378</f>
        <v/>
      </c>
      <c r="I378" t="inlineStr">
        <is>
          <t>ING. DIEGO CARREOLA MONROY</t>
        </is>
      </c>
      <c r="K378" t="n">
        <v>27</v>
      </c>
    </row>
    <row r="379">
      <c r="A379" s="17625" t="n">
        <v>46202</v>
      </c>
      <c r="B379" t="inlineStr">
        <is>
          <t>Bacheo Toluca</t>
        </is>
      </c>
      <c r="C379" s="17625" t="n">
        <v>46205</v>
      </c>
      <c r="D379" t="inlineStr">
        <is>
          <t>BIDONES</t>
        </is>
      </c>
      <c r="E379">
        <f>VLOOKUP(D379,Catalogos!$I$4:$J$64,2,FALSE)</f>
        <v/>
      </c>
      <c r="F379" s="17626" t="n">
        <v>5</v>
      </c>
      <c r="G379" t="n">
        <v>23.95</v>
      </c>
      <c r="H379">
        <f>F379*G379</f>
        <v/>
      </c>
      <c r="I379" t="inlineStr">
        <is>
          <t>ING. DIEGO CARREOLA MONROY</t>
        </is>
      </c>
      <c r="K379" t="n">
        <v>27</v>
      </c>
    </row>
    <row r="380">
      <c r="A380" s="17625" t="n">
        <v>46202</v>
      </c>
      <c r="B380" t="inlineStr">
        <is>
          <t>Bacheo Toluca</t>
        </is>
      </c>
      <c r="C380" s="17625" t="n">
        <v>46206</v>
      </c>
      <c r="D380" t="inlineStr">
        <is>
          <t>BIDONES</t>
        </is>
      </c>
      <c r="E380">
        <f>VLOOKUP(D380,Catalogos!$I$4:$J$64,2,FALSE)</f>
        <v/>
      </c>
      <c r="F380" s="17626" t="n">
        <v>5</v>
      </c>
      <c r="G380" t="n">
        <v>23.95</v>
      </c>
      <c r="H380">
        <f>F380*G380</f>
        <v/>
      </c>
      <c r="I380" t="inlineStr">
        <is>
          <t>ING. DIEGO CARREOLA MONROY</t>
        </is>
      </c>
      <c r="K380" t="n">
        <v>27</v>
      </c>
    </row>
    <row r="381">
      <c r="A381" s="17625" t="n">
        <v>46202</v>
      </c>
      <c r="B381" t="inlineStr">
        <is>
          <t>Bacheo Toluca</t>
        </is>
      </c>
      <c r="C381" s="17625" t="n">
        <v>46203</v>
      </c>
      <c r="D381" t="inlineStr">
        <is>
          <t>MOTOCONFORMADORA CAT 120H</t>
        </is>
      </c>
      <c r="E381">
        <f>VLOOKUP(D381,Catalogos!$I$4:$J$64,2,FALSE)</f>
        <v/>
      </c>
      <c r="F381" s="17626" t="n">
        <v>100</v>
      </c>
      <c r="G381" t="n">
        <v>23.95</v>
      </c>
      <c r="H381">
        <f>F381*G381</f>
        <v/>
      </c>
      <c r="I381" t="inlineStr">
        <is>
          <t>ING. DIEGO CARREOLA MONROY</t>
        </is>
      </c>
      <c r="K381" t="n">
        <v>27</v>
      </c>
    </row>
    <row r="382">
      <c r="A382" s="17625" t="n">
        <v>46202</v>
      </c>
      <c r="B382" t="inlineStr">
        <is>
          <t>Bacheo Toluca</t>
        </is>
      </c>
      <c r="C382" s="17625" t="n">
        <v>46204</v>
      </c>
      <c r="D382" t="inlineStr">
        <is>
          <t>MOTOCONFORMADORA CAT 120H</t>
        </is>
      </c>
      <c r="E382">
        <f>VLOOKUP(D382,Catalogos!$I$4:$J$64,2,FALSE)</f>
        <v/>
      </c>
      <c r="F382" s="17626" t="n">
        <v>70</v>
      </c>
      <c r="G382" t="n">
        <v>23.95</v>
      </c>
      <c r="H382">
        <f>F382*G382</f>
        <v/>
      </c>
      <c r="I382" t="inlineStr">
        <is>
          <t>ING. DIEGO CARREOLA MONROY</t>
        </is>
      </c>
      <c r="K382" t="n">
        <v>27</v>
      </c>
    </row>
    <row r="383">
      <c r="A383" s="17625" t="n">
        <v>46202</v>
      </c>
      <c r="B383" t="inlineStr">
        <is>
          <t>Bacheo Toluca</t>
        </is>
      </c>
      <c r="C383" s="17625" t="n">
        <v>46205</v>
      </c>
      <c r="D383" t="inlineStr">
        <is>
          <t>MOTOCONFORMADORA CAT 120H</t>
        </is>
      </c>
      <c r="E383">
        <f>VLOOKUP(D383,Catalogos!$I$4:$J$64,2,FALSE)</f>
        <v/>
      </c>
      <c r="F383" s="17626" t="n">
        <v>100</v>
      </c>
      <c r="G383" t="n">
        <v>23.95</v>
      </c>
      <c r="H383">
        <f>F383*G383</f>
        <v/>
      </c>
      <c r="I383" t="inlineStr">
        <is>
          <t>ING. DIEGO CARREOLA MONROY</t>
        </is>
      </c>
      <c r="K383" t="n">
        <v>27</v>
      </c>
    </row>
    <row r="384">
      <c r="A384" s="17625" t="n">
        <v>46202</v>
      </c>
      <c r="B384" t="inlineStr">
        <is>
          <t>Bacheo Toluca</t>
        </is>
      </c>
      <c r="C384" s="17625" t="n">
        <v>46206</v>
      </c>
      <c r="D384" t="inlineStr">
        <is>
          <t>MOTOCONFORMADORA CAT 120H</t>
        </is>
      </c>
      <c r="E384">
        <f>VLOOKUP(D384,Catalogos!$I$4:$J$64,2,FALSE)</f>
        <v/>
      </c>
      <c r="F384" s="17626" t="n">
        <v>100</v>
      </c>
      <c r="G384" t="n">
        <v>23.95</v>
      </c>
      <c r="H384">
        <f>F384*G384</f>
        <v/>
      </c>
      <c r="I384" t="inlineStr">
        <is>
          <t>ING. DIEGO CARREOLA MONROY</t>
        </is>
      </c>
      <c r="K384" t="n">
        <v>27</v>
      </c>
    </row>
    <row r="385">
      <c r="A385" s="17625" t="n">
        <v>46202</v>
      </c>
      <c r="B385" t="inlineStr">
        <is>
          <t>Bacheo Toluca</t>
        </is>
      </c>
      <c r="C385" s="17625" t="n">
        <v>46207</v>
      </c>
      <c r="D385" t="inlineStr">
        <is>
          <t>MOTOCONFORMADORA CAT 120H</t>
        </is>
      </c>
      <c r="E385">
        <f>VLOOKUP(D385,Catalogos!$I$4:$J$64,2,FALSE)</f>
        <v/>
      </c>
      <c r="F385" s="17626" t="n">
        <v>100</v>
      </c>
      <c r="G385" t="n">
        <v>23.95</v>
      </c>
      <c r="H385">
        <f>F385*G385</f>
        <v/>
      </c>
      <c r="I385" t="inlineStr">
        <is>
          <t>ING. DIEGO CARREOLA MONROY</t>
        </is>
      </c>
      <c r="J385" t="inlineStr">
        <is>
          <t>SE CONSIDERA OPCIONAL ESTA CARGA, DEPENDEMOS DE INDICACIONES DE DIRECCION PARA TRABAJOS EL DIA DOMINGO 5 DE JULIO 2026</t>
        </is>
      </c>
      <c r="K385" t="n">
        <v>27</v>
      </c>
    </row>
    <row r="386">
      <c r="A386" s="17625" t="n">
        <v>46202</v>
      </c>
      <c r="B386" t="inlineStr">
        <is>
          <t>Bacheo Toluca</t>
        </is>
      </c>
      <c r="C386" s="17625" t="n">
        <v>46204</v>
      </c>
      <c r="D386" t="inlineStr">
        <is>
          <t>VIBROCOMPACTADOR CATERPILLAR CB66B</t>
        </is>
      </c>
      <c r="E386">
        <f>VLOOKUP(D386,Catalogos!$I$4:$J$64,2,FALSE)</f>
        <v/>
      </c>
      <c r="F386" s="17626" t="n">
        <v>70</v>
      </c>
      <c r="G386" t="n">
        <v>23.95</v>
      </c>
      <c r="H386">
        <f>F386*G386</f>
        <v/>
      </c>
      <c r="I386" t="inlineStr">
        <is>
          <t>ING. DIEGO CARREOLA MONROY</t>
        </is>
      </c>
      <c r="K386" t="n">
        <v>27</v>
      </c>
    </row>
    <row r="387">
      <c r="A387" s="17625" t="n">
        <v>46202</v>
      </c>
      <c r="B387" t="inlineStr">
        <is>
          <t>Bacheo Toluca</t>
        </is>
      </c>
      <c r="C387" s="17625" t="n">
        <v>46206</v>
      </c>
      <c r="D387" t="inlineStr">
        <is>
          <t>VIBROCOMPACTADOR CATERPILLAR CB66B</t>
        </is>
      </c>
      <c r="E387">
        <f>VLOOKUP(D387,Catalogos!$I$4:$J$64,2,FALSE)</f>
        <v/>
      </c>
      <c r="F387" s="17626" t="n">
        <v>70</v>
      </c>
      <c r="G387" t="n">
        <v>23.95</v>
      </c>
      <c r="H387">
        <f>F387*G387</f>
        <v/>
      </c>
      <c r="I387" t="inlineStr">
        <is>
          <t>ING. DIEGO CARREOLA MONROY</t>
        </is>
      </c>
      <c r="K387" t="n">
        <v>27</v>
      </c>
    </row>
    <row r="389">
      <c r="K389">
        <f>IF(A389="","", _xludf.WEEKNUM(A389, 2))</f>
        <v/>
      </c>
    </row>
    <row r="390">
      <c r="K390">
        <f>IF(A390="","", _xludf.WEEKNUM(A390, 2))</f>
        <v/>
      </c>
    </row>
    <row r="391">
      <c r="K391">
        <f>IF(A391="","", _xludf.WEEKNUM(A391, 2))</f>
        <v/>
      </c>
    </row>
    <row r="392">
      <c r="K392">
        <f>IF(A392="","", _xludf.WEEKNUM(A392, 2))</f>
        <v/>
      </c>
    </row>
    <row r="393">
      <c r="K393">
        <f>IF(A393="","", _xludf.WEEKNUM(A393, 2))</f>
        <v/>
      </c>
    </row>
    <row r="394">
      <c r="K394">
        <f>IF(A394="","", _xludf.WEEKNUM(A394, 2))</f>
        <v/>
      </c>
    </row>
    <row r="395">
      <c r="K395">
        <f>IF(A395="","", _xludf.WEEKNUM(A395, 2))</f>
        <v/>
      </c>
    </row>
    <row r="396">
      <c r="K396">
        <f>IF(A396="","", _xludf.WEEKNUM(A396, 2))</f>
        <v/>
      </c>
    </row>
    <row r="397">
      <c r="K397">
        <f>IF(A397="","", _xludf.WEEKNUM(A397, 2))</f>
        <v/>
      </c>
    </row>
    <row r="398">
      <c r="K398">
        <f>IF(A398="","", _xludf.WEEKNUM(A398, 2))</f>
        <v/>
      </c>
    </row>
    <row r="399">
      <c r="K399">
        <f>IF(A399="","", _xludf.WEEKNUM(A399, 2))</f>
        <v/>
      </c>
    </row>
    <row r="400">
      <c r="K400">
        <f>IF(A400="","", _xludf.WEEKNUM(A400, 2))</f>
        <v/>
      </c>
    </row>
    <row r="401">
      <c r="K401">
        <f>IF(A401="","", _xludf.WEEKNUM(A401, 2))</f>
        <v/>
      </c>
    </row>
    <row r="402">
      <c r="K402">
        <f>IF(A402="","", _xludf.WEEKNUM(A402, 2))</f>
        <v/>
      </c>
    </row>
    <row r="403">
      <c r="K403">
        <f>IF(A403="","", _xludf.WEEKNUM(A403, 2))</f>
        <v/>
      </c>
    </row>
    <row r="404">
      <c r="K404">
        <f>IF(A404="","", _xludf.WEEKNUM(A404, 2))</f>
        <v/>
      </c>
    </row>
    <row r="405">
      <c r="K405">
        <f>IF(A405="","", _xludf.WEEKNUM(A405, 2))</f>
        <v/>
      </c>
    </row>
    <row r="406">
      <c r="K406">
        <f>IF(A406="","", _xludf.WEEKNUM(A406, 2))</f>
        <v/>
      </c>
    </row>
    <row r="407">
      <c r="K407">
        <f>IF(A407="","", _xludf.WEEKNUM(A407, 2))</f>
        <v/>
      </c>
    </row>
    <row r="408">
      <c r="K408">
        <f>IF(A408="","", _xludf.WEEKNUM(A408, 2))</f>
        <v/>
      </c>
    </row>
    <row r="409">
      <c r="K409">
        <f>IF(A409="","", _xludf.WEEKNUM(A409, 2))</f>
        <v/>
      </c>
    </row>
    <row r="410">
      <c r="K410">
        <f>IF(A410="","", _xludf.WEEKNUM(A410, 2))</f>
        <v/>
      </c>
    </row>
    <row r="411">
      <c r="K411">
        <f>IF(A411="","", _xludf.WEEKNUM(A411, 2))</f>
        <v/>
      </c>
    </row>
    <row r="412">
      <c r="K412">
        <f>IF(A412="","", _xludf.WEEKNUM(A412, 2))</f>
        <v/>
      </c>
    </row>
    <row r="413">
      <c r="K413">
        <f>IF(A413="","", _xludf.WEEKNUM(A413, 2))</f>
        <v/>
      </c>
    </row>
    <row r="414">
      <c r="K414">
        <f>IF(A414="","", _xludf.WEEKNUM(A414, 2))</f>
        <v/>
      </c>
    </row>
    <row r="415">
      <c r="K415">
        <f>IF(A415="","", _xludf.WEEKNUM(A415, 2))</f>
        <v/>
      </c>
    </row>
    <row r="416">
      <c r="K416">
        <f>IF(A416="","", _xludf.WEEKNUM(A416, 2))</f>
        <v/>
      </c>
    </row>
    <row r="417">
      <c r="K417">
        <f>IF(A417="","", _xludf.WEEKNUM(A417, 2))</f>
        <v/>
      </c>
    </row>
    <row r="418">
      <c r="K418">
        <f>IF(A418="","", _xludf.WEEKNUM(A418, 2))</f>
        <v/>
      </c>
    </row>
    <row r="419">
      <c r="K419">
        <f>IF(A419="","", _xludf.WEEKNUM(A419, 2))</f>
        <v/>
      </c>
    </row>
    <row r="420">
      <c r="K420">
        <f>IF(A420="","", _xludf.WEEKNUM(A420, 2))</f>
        <v/>
      </c>
    </row>
    <row r="421">
      <c r="K421">
        <f>IF(A421="","", _xludf.WEEKNUM(A421, 2))</f>
        <v/>
      </c>
    </row>
    <row r="422">
      <c r="K422">
        <f>IF(A422="","", _xludf.WEEKNUM(A422, 2))</f>
        <v/>
      </c>
    </row>
    <row r="423">
      <c r="K423">
        <f>IF(A423="","", _xludf.WEEKNUM(A423, 2))</f>
        <v/>
      </c>
    </row>
    <row r="424">
      <c r="K424">
        <f>IF(A424="","", _xludf.WEEKNUM(A424, 2))</f>
        <v/>
      </c>
    </row>
    <row r="425">
      <c r="K425">
        <f>IF(A425="","", _xludf.WEEKNUM(A425, 2))</f>
        <v/>
      </c>
    </row>
    <row r="426">
      <c r="K426">
        <f>IF(A426="","", _xludf.WEEKNUM(A426, 2))</f>
        <v/>
      </c>
    </row>
    <row r="427">
      <c r="K427">
        <f>IF(A427="","", _xludf.WEEKNUM(A427, 2))</f>
        <v/>
      </c>
    </row>
    <row r="428">
      <c r="K428">
        <f>IF(A428="","", _xludf.WEEKNUM(A428, 2))</f>
        <v/>
      </c>
    </row>
    <row r="429">
      <c r="K429">
        <f>IF(A429="","", _xludf.WEEKNUM(A429, 2))</f>
        <v/>
      </c>
    </row>
    <row r="430">
      <c r="K430">
        <f>IF(A430="","", _xludf.WEEKNUM(A430, 2))</f>
        <v/>
      </c>
    </row>
    <row r="431">
      <c r="K431">
        <f>IF(A431="","", _xludf.WEEKNUM(A431, 2))</f>
        <v/>
      </c>
    </row>
    <row r="432">
      <c r="K432">
        <f>IF(A432="","", _xludf.WEEKNUM(A432, 2))</f>
        <v/>
      </c>
    </row>
    <row r="433">
      <c r="K433">
        <f>IF(A433="","", _xludf.WEEKNUM(A433, 2))</f>
        <v/>
      </c>
    </row>
    <row r="434">
      <c r="K434">
        <f>IF(A434="","", _xludf.WEEKNUM(A434, 2))</f>
        <v/>
      </c>
    </row>
    <row r="435">
      <c r="K435">
        <f>IF(A435="","", _xludf.WEEKNUM(A435, 2))</f>
        <v/>
      </c>
    </row>
    <row r="436">
      <c r="K436">
        <f>IF(A436="","", _xludf.WEEKNUM(A436, 2))</f>
        <v/>
      </c>
    </row>
    <row r="437">
      <c r="K437">
        <f>IF(A437="","", _xludf.WEEKNUM(A437, 2))</f>
        <v/>
      </c>
    </row>
    <row r="438">
      <c r="K438">
        <f>IF(A438="","", _xludf.WEEKNUM(A438, 2))</f>
        <v/>
      </c>
    </row>
    <row r="439">
      <c r="K439">
        <f>IF(A439="","", _xludf.WEEKNUM(A439, 2))</f>
        <v/>
      </c>
    </row>
    <row r="440">
      <c r="K440">
        <f>IF(A440="","", _xludf.WEEKNUM(A440, 2))</f>
        <v/>
      </c>
    </row>
    <row r="441">
      <c r="K441">
        <f>IF(A441="","", _xludf.WEEKNUM(A441, 2))</f>
        <v/>
      </c>
    </row>
    <row r="442">
      <c r="K442">
        <f>IF(A442="","", _xludf.WEEKNUM(A442, 2))</f>
        <v/>
      </c>
    </row>
    <row r="443">
      <c r="K443">
        <f>IF(A443="","", _xludf.WEEKNUM(A443, 2))</f>
        <v/>
      </c>
    </row>
    <row r="444">
      <c r="K444">
        <f>IF(A444="","", _xludf.WEEKNUM(A444, 2))</f>
        <v/>
      </c>
    </row>
    <row r="445">
      <c r="K445">
        <f>IF(A445="","", _xludf.WEEKNUM(A445, 2))</f>
        <v/>
      </c>
    </row>
    <row r="446">
      <c r="K446">
        <f>IF(A446="","", _xludf.WEEKNUM(A446, 2))</f>
        <v/>
      </c>
    </row>
    <row r="447">
      <c r="K447">
        <f>IF(A447="","", _xludf.WEEKNUM(A447, 2))</f>
        <v/>
      </c>
    </row>
    <row r="448">
      <c r="K448">
        <f>IF(A448="","", _xludf.WEEKNUM(A448, 2))</f>
        <v/>
      </c>
    </row>
    <row r="449">
      <c r="K449">
        <f>IF(A449="","", _xludf.WEEKNUM(A449, 2))</f>
        <v/>
      </c>
    </row>
    <row r="450">
      <c r="K450">
        <f>IF(A450="","", _xludf.WEEKNUM(A450, 2))</f>
        <v/>
      </c>
    </row>
    <row r="451">
      <c r="K451">
        <f>IF(A451="","", _xludf.WEEKNUM(A451, 2))</f>
        <v/>
      </c>
    </row>
    <row r="452">
      <c r="K452">
        <f>IF(A452="","", _xludf.WEEKNUM(A452, 2))</f>
        <v/>
      </c>
    </row>
    <row r="453">
      <c r="K453">
        <f>IF(A453="","", _xludf.WEEKNUM(A453, 2))</f>
        <v/>
      </c>
    </row>
    <row r="454">
      <c r="K454">
        <f>IF(A454="","", _xludf.WEEKNUM(A454, 2))</f>
        <v/>
      </c>
    </row>
    <row r="455">
      <c r="K455">
        <f>IF(A455="","", _xludf.WEEKNUM(A455, 2))</f>
        <v/>
      </c>
    </row>
    <row r="456">
      <c r="K456">
        <f>IF(A456="","", _xludf.WEEKNUM(A456, 2))</f>
        <v/>
      </c>
    </row>
    <row r="457">
      <c r="K457">
        <f>IF(A457="","", _xludf.WEEKNUM(A457, 2))</f>
        <v/>
      </c>
    </row>
    <row r="458">
      <c r="K458">
        <f>IF(A458="","", _xludf.WEEKNUM(A458, 2))</f>
        <v/>
      </c>
    </row>
    <row r="459">
      <c r="K459">
        <f>IF(A459="","", _xludf.WEEKNUM(A459, 2))</f>
        <v/>
      </c>
    </row>
    <row r="460">
      <c r="K460">
        <f>IF(A460="","", _xludf.WEEKNUM(A460, 2))</f>
        <v/>
      </c>
    </row>
    <row r="461">
      <c r="K461">
        <f>IF(A461="","", _xludf.WEEKNUM(A461, 2))</f>
        <v/>
      </c>
    </row>
    <row r="462">
      <c r="K462">
        <f>IF(A462="","", _xludf.WEEKNUM(A462, 2))</f>
        <v/>
      </c>
    </row>
    <row r="463">
      <c r="K463">
        <f>IF(A463="","", _xludf.WEEKNUM(A463, 2))</f>
        <v/>
      </c>
    </row>
    <row r="464">
      <c r="K464">
        <f>IF(A464="","", _xludf.WEEKNUM(A464, 2))</f>
        <v/>
      </c>
    </row>
    <row r="465">
      <c r="K465">
        <f>IF(A465="","", _xludf.WEEKNUM(A465, 2))</f>
        <v/>
      </c>
    </row>
    <row r="466">
      <c r="K466">
        <f>IF(A466="","", _xludf.WEEKNUM(A466, 2))</f>
        <v/>
      </c>
    </row>
    <row r="467">
      <c r="K467">
        <f>IF(A467="","", _xludf.WEEKNUM(A467, 2))</f>
        <v/>
      </c>
    </row>
    <row r="468">
      <c r="K468">
        <f>IF(A468="","", _xludf.WEEKNUM(A468, 2))</f>
        <v/>
      </c>
    </row>
    <row r="469">
      <c r="K469">
        <f>IF(A469="","", _xludf.WEEKNUM(A469, 2))</f>
        <v/>
      </c>
    </row>
    <row r="470">
      <c r="K470">
        <f>IF(A470="","", _xludf.WEEKNUM(A470, 2))</f>
        <v/>
      </c>
    </row>
    <row r="471">
      <c r="K471">
        <f>IF(A471="","", _xludf.WEEKNUM(A471, 2))</f>
        <v/>
      </c>
    </row>
    <row r="472">
      <c r="K472">
        <f>IF(A472="","", _xludf.WEEKNUM(A472, 2))</f>
        <v/>
      </c>
    </row>
    <row r="473">
      <c r="K473">
        <f>IF(A473="","", _xludf.WEEKNUM(A473, 2))</f>
        <v/>
      </c>
    </row>
    <row r="474">
      <c r="K474">
        <f>IF(A474="","", _xludf.WEEKNUM(A474, 2))</f>
        <v/>
      </c>
    </row>
    <row r="475">
      <c r="K475">
        <f>IF(A475="","", _xludf.WEEKNUM(A475, 2))</f>
        <v/>
      </c>
    </row>
    <row r="476">
      <c r="K476">
        <f>IF(A476="","", _xludf.WEEKNUM(A476, 2))</f>
        <v/>
      </c>
    </row>
    <row r="477">
      <c r="K477">
        <f>IF(A477="","", _xludf.WEEKNUM(A477, 2))</f>
        <v/>
      </c>
    </row>
    <row r="478">
      <c r="K478">
        <f>IF(A478="","", _xludf.WEEKNUM(A478, 2))</f>
        <v/>
      </c>
    </row>
    <row r="479">
      <c r="K479">
        <f>IF(A479="","", _xludf.WEEKNUM(A479, 2))</f>
        <v/>
      </c>
    </row>
    <row r="480">
      <c r="K480">
        <f>IF(A480="","", _xludf.WEEKNUM(A480, 2))</f>
        <v/>
      </c>
    </row>
    <row r="481">
      <c r="K481">
        <f>IF(A481="","", _xludf.WEEKNUM(A481, 2))</f>
        <v/>
      </c>
    </row>
    <row r="482">
      <c r="K482">
        <f>IF(A482="","", _xludf.WEEKNUM(A482, 2))</f>
        <v/>
      </c>
    </row>
    <row r="483">
      <c r="K483">
        <f>IF(A483="","", _xludf.WEEKNUM(A483, 2))</f>
        <v/>
      </c>
    </row>
    <row r="484">
      <c r="K484">
        <f>IF(A484="","", _xludf.WEEKNUM(A484, 2))</f>
        <v/>
      </c>
    </row>
    <row r="485">
      <c r="K485">
        <f>IF(A485="","", _xludf.WEEKNUM(A485, 2))</f>
        <v/>
      </c>
    </row>
    <row r="486">
      <c r="K486">
        <f>IF(A486="","", _xludf.WEEKNUM(A486, 2))</f>
        <v/>
      </c>
    </row>
    <row r="487">
      <c r="K487">
        <f>IF(A487="","", _xludf.WEEKNUM(A487, 2))</f>
        <v/>
      </c>
    </row>
    <row r="488">
      <c r="K488">
        <f>IF(A488="","", _xludf.WEEKNUM(A488, 2))</f>
        <v/>
      </c>
    </row>
    <row r="489">
      <c r="K489">
        <f>IF(A489="","", _xludf.WEEKNUM(A489, 2))</f>
        <v/>
      </c>
    </row>
    <row r="490">
      <c r="K490">
        <f>IF(A490="","", _xludf.WEEKNUM(A490, 2))</f>
        <v/>
      </c>
    </row>
    <row r="491">
      <c r="K491">
        <f>IF(A491="","", _xludf.WEEKNUM(A491, 2))</f>
        <v/>
      </c>
    </row>
    <row r="492">
      <c r="K492">
        <f>IF(A492="","", _xludf.WEEKNUM(A492, 2))</f>
        <v/>
      </c>
    </row>
    <row r="493">
      <c r="K493">
        <f>IF(A493="","", _xludf.WEEKNUM(A493, 2))</f>
        <v/>
      </c>
    </row>
    <row r="494">
      <c r="K494">
        <f>IF(A494="","", _xludf.WEEKNUM(A494, 2))</f>
        <v/>
      </c>
    </row>
    <row r="495">
      <c r="K495">
        <f>IF(A495="","", _xludf.WEEKNUM(A495, 2))</f>
        <v/>
      </c>
    </row>
    <row r="496">
      <c r="K496">
        <f>IF(A496="","", _xludf.WEEKNUM(A496, 2))</f>
        <v/>
      </c>
    </row>
    <row r="497">
      <c r="K497">
        <f>IF(A497="","", _xludf.WEEKNUM(A497, 2))</f>
        <v/>
      </c>
    </row>
    <row r="498">
      <c r="K498">
        <f>IF(A498="","", _xludf.WEEKNUM(A498, 2))</f>
        <v/>
      </c>
    </row>
    <row r="499">
      <c r="K499">
        <f>IF(A499="","", _xludf.WEEKNUM(A499, 2))</f>
        <v/>
      </c>
    </row>
    <row r="500">
      <c r="K500">
        <f>IF(A500="","", _xludf.WEEKNUM(A500, 2))</f>
        <v/>
      </c>
    </row>
    <row r="501">
      <c r="K501">
        <f>IF(A501="","", _xludf.WEEKNUM(A501, 2))</f>
        <v/>
      </c>
    </row>
    <row r="502">
      <c r="K502">
        <f>IF(A502="","", _xludf.WEEKNUM(A502, 2))</f>
        <v/>
      </c>
    </row>
    <row r="503">
      <c r="K503">
        <f>IF(A503="","", _xludf.WEEKNUM(A503, 2))</f>
        <v/>
      </c>
    </row>
    <row r="504">
      <c r="K504">
        <f>IF(A504="","", _xludf.WEEKNUM(A504, 2))</f>
        <v/>
      </c>
    </row>
    <row r="505">
      <c r="K505">
        <f>IF(A505="","", _xludf.WEEKNUM(A505, 2))</f>
        <v/>
      </c>
    </row>
    <row r="506">
      <c r="K506">
        <f>IF(A506="","", _xludf.WEEKNUM(A506, 2))</f>
        <v/>
      </c>
    </row>
    <row r="507">
      <c r="K507">
        <f>IF(A507="","", _xludf.WEEKNUM(A507, 2))</f>
        <v/>
      </c>
    </row>
    <row r="508">
      <c r="K508">
        <f>IF(A508="","", _xludf.WEEKNUM(A508, 2))</f>
        <v/>
      </c>
    </row>
    <row r="509">
      <c r="K509">
        <f>IF(A509="","", _xludf.WEEKNUM(A509, 2))</f>
        <v/>
      </c>
    </row>
    <row r="510">
      <c r="K510">
        <f>IF(A510="","", _xludf.WEEKNUM(A510, 2))</f>
        <v/>
      </c>
    </row>
    <row r="511">
      <c r="K511">
        <f>IF(A511="","", _xludf.WEEKNUM(A511, 2))</f>
        <v/>
      </c>
    </row>
    <row r="512">
      <c r="K512">
        <f>IF(A512="","", _xludf.WEEKNUM(A512, 2))</f>
        <v/>
      </c>
    </row>
    <row r="513">
      <c r="K513">
        <f>IF(A513="","", _xludf.WEEKNUM(A513, 2))</f>
        <v/>
      </c>
    </row>
    <row r="514">
      <c r="K514">
        <f>IF(A514="","", _xludf.WEEKNUM(A514, 2))</f>
        <v/>
      </c>
    </row>
    <row r="515">
      <c r="K515">
        <f>IF(A515="","", _xludf.WEEKNUM(A515, 2))</f>
        <v/>
      </c>
    </row>
    <row r="516">
      <c r="K516">
        <f>IF(A516="","", _xludf.WEEKNUM(A516, 2))</f>
        <v/>
      </c>
    </row>
    <row r="517">
      <c r="K517">
        <f>IF(A517="","", _xludf.WEEKNUM(A517, 2))</f>
        <v/>
      </c>
    </row>
    <row r="518">
      <c r="K518">
        <f>IF(A518="","", _xludf.WEEKNUM(A518, 2))</f>
        <v/>
      </c>
    </row>
    <row r="519">
      <c r="K519">
        <f>IF(A519="","", _xludf.WEEKNUM(A519, 2))</f>
        <v/>
      </c>
    </row>
    <row r="520">
      <c r="K520">
        <f>IF(A520="","", _xludf.WEEKNUM(A520, 2))</f>
        <v/>
      </c>
    </row>
    <row r="521">
      <c r="K521">
        <f>IF(A521="","", _xludf.WEEKNUM(A521, 2))</f>
        <v/>
      </c>
    </row>
    <row r="522">
      <c r="K522">
        <f>IF(A522="","", _xludf.WEEKNUM(A522, 2))</f>
        <v/>
      </c>
    </row>
    <row r="523">
      <c r="K523">
        <f>IF(A523="","", _xludf.WEEKNUM(A523, 2))</f>
        <v/>
      </c>
    </row>
    <row r="524">
      <c r="K524">
        <f>IF(A524="","", _xludf.WEEKNUM(A524, 2))</f>
        <v/>
      </c>
    </row>
    <row r="525">
      <c r="K525">
        <f>IF(A525="","", _xludf.WEEKNUM(A525, 2))</f>
        <v/>
      </c>
    </row>
    <row r="526">
      <c r="K526">
        <f>IF(A526="","", _xludf.WEEKNUM(A526, 2))</f>
        <v/>
      </c>
    </row>
    <row r="527">
      <c r="K527">
        <f>IF(A527="","", _xludf.WEEKNUM(A527, 2))</f>
        <v/>
      </c>
    </row>
    <row r="528">
      <c r="K528">
        <f>IF(A528="","", _xludf.WEEKNUM(A528, 2))</f>
        <v/>
      </c>
    </row>
    <row r="529">
      <c r="K529">
        <f>IF(A529="","", _xludf.WEEKNUM(A529, 2))</f>
        <v/>
      </c>
    </row>
    <row r="530">
      <c r="K530">
        <f>IF(A530="","", _xludf.WEEKNUM(A530, 2))</f>
        <v/>
      </c>
    </row>
    <row r="531">
      <c r="K531">
        <f>IF(A531="","", _xludf.WEEKNUM(A531, 2))</f>
        <v/>
      </c>
    </row>
    <row r="532">
      <c r="K532">
        <f>IF(A532="","", _xludf.WEEKNUM(A532, 2))</f>
        <v/>
      </c>
    </row>
    <row r="533">
      <c r="K533">
        <f>IF(A533="","", _xludf.WEEKNUM(A533, 2))</f>
        <v/>
      </c>
    </row>
    <row r="534">
      <c r="K534">
        <f>IF(A534="","", _xludf.WEEKNUM(A534, 2))</f>
        <v/>
      </c>
    </row>
    <row r="535">
      <c r="K535">
        <f>IF(A535="","", _xludf.WEEKNUM(A535, 2))</f>
        <v/>
      </c>
    </row>
    <row r="536">
      <c r="K536">
        <f>IF(A536="","", _xludf.WEEKNUM(A536, 2))</f>
        <v/>
      </c>
    </row>
    <row r="537">
      <c r="K537">
        <f>IF(A537="","", _xludf.WEEKNUM(A537, 2))</f>
        <v/>
      </c>
    </row>
    <row r="538">
      <c r="K538">
        <f>IF(A538="","", _xludf.WEEKNUM(A538, 2))</f>
        <v/>
      </c>
    </row>
    <row r="539">
      <c r="K539">
        <f>IF(A539="","", _xludf.WEEKNUM(A539, 2))</f>
        <v/>
      </c>
    </row>
    <row r="540">
      <c r="K540">
        <f>IF(A540="","", _xludf.WEEKNUM(A540, 2))</f>
        <v/>
      </c>
    </row>
    <row r="541">
      <c r="K541">
        <f>IF(A541="","", _xludf.WEEKNUM(A541, 2))</f>
        <v/>
      </c>
    </row>
    <row r="542">
      <c r="K542">
        <f>IF(A542="","", _xludf.WEEKNUM(A542, 2))</f>
        <v/>
      </c>
    </row>
    <row r="543">
      <c r="K543">
        <f>IF(A543="","", _xludf.WEEKNUM(A543, 2))</f>
        <v/>
      </c>
    </row>
    <row r="544">
      <c r="K544">
        <f>IF(A544="","", _xludf.WEEKNUM(A544, 2))</f>
        <v/>
      </c>
    </row>
    <row r="545">
      <c r="K545">
        <f>IF(A545="","", _xludf.WEEKNUM(A545, 2))</f>
        <v/>
      </c>
    </row>
    <row r="546">
      <c r="K546">
        <f>IF(A546="","", _xludf.WEEKNUM(A546, 2))</f>
        <v/>
      </c>
    </row>
    <row r="547">
      <c r="K547">
        <f>IF(A547="","", _xludf.WEEKNUM(A547, 2))</f>
        <v/>
      </c>
    </row>
    <row r="548">
      <c r="K548">
        <f>IF(A548="","", _xludf.WEEKNUM(A548, 2))</f>
        <v/>
      </c>
    </row>
    <row r="549">
      <c r="K549">
        <f>IF(A549="","", _xludf.WEEKNUM(A549, 2))</f>
        <v/>
      </c>
    </row>
    <row r="550">
      <c r="K550">
        <f>IF(A550="","", _xludf.WEEKNUM(A550, 2))</f>
        <v/>
      </c>
    </row>
    <row r="551">
      <c r="K551">
        <f>IF(A551="","", _xludf.WEEKNUM(A551, 2))</f>
        <v/>
      </c>
    </row>
    <row r="552">
      <c r="K552">
        <f>IF(A552="","", _xludf.WEEKNUM(A552, 2))</f>
        <v/>
      </c>
    </row>
    <row r="553">
      <c r="K553">
        <f>IF(A553="","", _xludf.WEEKNUM(A553, 2))</f>
        <v/>
      </c>
    </row>
    <row r="554">
      <c r="K554">
        <f>IF(A554="","", _xludf.WEEKNUM(A554, 2))</f>
        <v/>
      </c>
    </row>
    <row r="555">
      <c r="K555">
        <f>IF(A555="","", _xludf.WEEKNUM(A555, 2))</f>
        <v/>
      </c>
    </row>
    <row r="556">
      <c r="K556">
        <f>IF(A556="","", _xludf.WEEKNUM(A556, 2))</f>
        <v/>
      </c>
    </row>
    <row r="557">
      <c r="K557">
        <f>IF(A557="","", _xludf.WEEKNUM(A557, 2))</f>
        <v/>
      </c>
    </row>
    <row r="558">
      <c r="K558">
        <f>IF(A558="","", _xludf.WEEKNUM(A558, 2))</f>
        <v/>
      </c>
    </row>
    <row r="559">
      <c r="K559">
        <f>IF(A559="","", _xludf.WEEKNUM(A559, 2))</f>
        <v/>
      </c>
    </row>
    <row r="560">
      <c r="K560">
        <f>IF(A560="","", _xludf.WEEKNUM(A560, 2))</f>
        <v/>
      </c>
    </row>
    <row r="561">
      <c r="K561">
        <f>IF(A561="","", _xludf.WEEKNUM(A561, 2))</f>
        <v/>
      </c>
    </row>
    <row r="562">
      <c r="K562">
        <f>IF(A562="","", _xludf.WEEKNUM(A562, 2))</f>
        <v/>
      </c>
    </row>
    <row r="563">
      <c r="K563">
        <f>IF(A563="","", _xludf.WEEKNUM(A563, 2))</f>
        <v/>
      </c>
    </row>
    <row r="564">
      <c r="K564">
        <f>IF(A564="","", _xludf.WEEKNUM(A564, 2))</f>
        <v/>
      </c>
    </row>
    <row r="565">
      <c r="K565">
        <f>IF(A565="","", _xludf.WEEKNUM(A565, 2))</f>
        <v/>
      </c>
    </row>
    <row r="566">
      <c r="K566">
        <f>IF(A566="","", _xludf.WEEKNUM(A566, 2))</f>
        <v/>
      </c>
    </row>
    <row r="567">
      <c r="K567">
        <f>IF(A567="","", _xludf.WEEKNUM(A567, 2))</f>
        <v/>
      </c>
    </row>
    <row r="568">
      <c r="K568">
        <f>IF(A568="","", _xludf.WEEKNUM(A568, 2))</f>
        <v/>
      </c>
    </row>
    <row r="569">
      <c r="K569">
        <f>IF(A569="","", _xludf.WEEKNUM(A569, 2))</f>
        <v/>
      </c>
    </row>
    <row r="570">
      <c r="K570">
        <f>IF(A570="","", _xludf.WEEKNUM(A570, 2))</f>
        <v/>
      </c>
    </row>
    <row r="571">
      <c r="K571">
        <f>IF(A571="","", _xludf.WEEKNUM(A571, 2))</f>
        <v/>
      </c>
    </row>
    <row r="572">
      <c r="K572">
        <f>IF(A572="","", _xludf.WEEKNUM(A572, 2))</f>
        <v/>
      </c>
    </row>
    <row r="573">
      <c r="K573">
        <f>IF(A573="","", _xludf.WEEKNUM(A573, 2))</f>
        <v/>
      </c>
    </row>
    <row r="574">
      <c r="K574">
        <f>IF(A574="","", _xludf.WEEKNUM(A574, 2))</f>
        <v/>
      </c>
    </row>
    <row r="575">
      <c r="K575">
        <f>IF(A575="","", _xludf.WEEKNUM(A575, 2))</f>
        <v/>
      </c>
    </row>
    <row r="576">
      <c r="K576">
        <f>IF(A576="","", _xludf.WEEKNUM(A576, 2))</f>
        <v/>
      </c>
    </row>
    <row r="577">
      <c r="K577">
        <f>IF(A577="","", _xludf.WEEKNUM(A577, 2))</f>
        <v/>
      </c>
    </row>
    <row r="578">
      <c r="K578">
        <f>IF(A578="","", _xludf.WEEKNUM(A578, 2))</f>
        <v/>
      </c>
    </row>
    <row r="579">
      <c r="K579">
        <f>IF(A579="","", _xludf.WEEKNUM(A579, 2))</f>
        <v/>
      </c>
    </row>
    <row r="580">
      <c r="K580">
        <f>IF(A580="","", _xludf.WEEKNUM(A580, 2))</f>
        <v/>
      </c>
    </row>
    <row r="581">
      <c r="K581">
        <f>IF(A581="","", _xludf.WEEKNUM(A581, 2))</f>
        <v/>
      </c>
    </row>
    <row r="582">
      <c r="K582">
        <f>IF(A582="","", _xludf.WEEKNUM(A582, 2))</f>
        <v/>
      </c>
    </row>
    <row r="583">
      <c r="K583">
        <f>IF(A583="","", _xludf.WEEKNUM(A583, 2))</f>
        <v/>
      </c>
    </row>
    <row r="584">
      <c r="K584">
        <f>IF(A584="","", _xludf.WEEKNUM(A584, 2))</f>
        <v/>
      </c>
    </row>
    <row r="585">
      <c r="K585">
        <f>IF(A585="","", _xludf.WEEKNUM(A585, 2))</f>
        <v/>
      </c>
    </row>
    <row r="586">
      <c r="K586">
        <f>IF(A586="","", _xludf.WEEKNUM(A586, 2))</f>
        <v/>
      </c>
    </row>
    <row r="587">
      <c r="K587">
        <f>IF(A587="","", _xludf.WEEKNUM(A587, 2))</f>
        <v/>
      </c>
    </row>
    <row r="588">
      <c r="K588">
        <f>IF(A588="","", _xludf.WEEKNUM(A588, 2))</f>
        <v/>
      </c>
    </row>
    <row r="589">
      <c r="K589">
        <f>IF(A589="","", _xludf.WEEKNUM(A589, 2))</f>
        <v/>
      </c>
    </row>
    <row r="590">
      <c r="K590">
        <f>IF(A590="","", _xludf.WEEKNUM(A590, 2))</f>
        <v/>
      </c>
    </row>
    <row r="591">
      <c r="K591">
        <f>IF(A591="","", _xludf.WEEKNUM(A591, 2))</f>
        <v/>
      </c>
    </row>
    <row r="592">
      <c r="K592">
        <f>IF(A592="","", _xludf.WEEKNUM(A592, 2))</f>
        <v/>
      </c>
    </row>
    <row r="593">
      <c r="K593">
        <f>IF(A593="","", _xludf.WEEKNUM(A593, 2))</f>
        <v/>
      </c>
    </row>
    <row r="594">
      <c r="K594">
        <f>IF(A594="","", _xludf.WEEKNUM(A594, 2))</f>
        <v/>
      </c>
    </row>
    <row r="595">
      <c r="K595">
        <f>IF(A595="","", _xludf.WEEKNUM(A595, 2))</f>
        <v/>
      </c>
    </row>
    <row r="596">
      <c r="K596">
        <f>IF(A596="","", _xludf.WEEKNUM(A596, 2))</f>
        <v/>
      </c>
    </row>
    <row r="597">
      <c r="K597">
        <f>IF(A597="","", _xludf.WEEKNUM(A597, 2))</f>
        <v/>
      </c>
    </row>
    <row r="598">
      <c r="K598">
        <f>IF(A598="","", _xludf.WEEKNUM(A598, 2))</f>
        <v/>
      </c>
    </row>
    <row r="599">
      <c r="K599">
        <f>IF(A599="","", _xludf.WEEKNUM(A599, 2))</f>
        <v/>
      </c>
    </row>
    <row r="600">
      <c r="K600">
        <f>IF(A600="","", _xludf.WEEKNUM(A600, 2))</f>
        <v/>
      </c>
    </row>
    <row r="601">
      <c r="K601">
        <f>IF(A601="","", _xludf.WEEKNUM(A601, 2))</f>
        <v/>
      </c>
    </row>
    <row r="602">
      <c r="K602">
        <f>IF(A602="","", _xludf.WEEKNUM(A602, 2))</f>
        <v/>
      </c>
    </row>
    <row r="603">
      <c r="K603">
        <f>IF(A603="","", _xludf.WEEKNUM(A603, 2))</f>
        <v/>
      </c>
    </row>
    <row r="604">
      <c r="K604">
        <f>IF(A604="","", _xludf.WEEKNUM(A604, 2))</f>
        <v/>
      </c>
    </row>
    <row r="605">
      <c r="K605">
        <f>IF(A605="","", _xludf.WEEKNUM(A605, 2))</f>
        <v/>
      </c>
    </row>
    <row r="606">
      <c r="K606">
        <f>IF(A606="","", _xludf.WEEKNUM(A606, 2))</f>
        <v/>
      </c>
    </row>
    <row r="607">
      <c r="K607">
        <f>IF(A607="","", _xludf.WEEKNUM(A607, 2))</f>
        <v/>
      </c>
    </row>
    <row r="608">
      <c r="K608">
        <f>IF(A608="","", _xludf.WEEKNUM(A608, 2))</f>
        <v/>
      </c>
    </row>
    <row r="609">
      <c r="K609">
        <f>IF(A609="","", _xludf.WEEKNUM(A609, 2))</f>
        <v/>
      </c>
    </row>
    <row r="610">
      <c r="K610">
        <f>IF(A610="","", _xludf.WEEKNUM(A610, 2))</f>
        <v/>
      </c>
    </row>
    <row r="611">
      <c r="K611">
        <f>IF(A611="","", _xludf.WEEKNUM(A611, 2))</f>
        <v/>
      </c>
    </row>
    <row r="612">
      <c r="K612">
        <f>IF(A612="","", _xludf.WEEKNUM(A612, 2))</f>
        <v/>
      </c>
    </row>
    <row r="613">
      <c r="K613">
        <f>IF(A613="","", _xludf.WEEKNUM(A613, 2))</f>
        <v/>
      </c>
    </row>
    <row r="614">
      <c r="K614">
        <f>IF(A614="","", _xludf.WEEKNUM(A614, 2))</f>
        <v/>
      </c>
    </row>
    <row r="615">
      <c r="K615">
        <f>IF(A615="","", _xludf.WEEKNUM(A615, 2))</f>
        <v/>
      </c>
    </row>
    <row r="616">
      <c r="K616">
        <f>IF(A616="","", _xludf.WEEKNUM(A616, 2))</f>
        <v/>
      </c>
    </row>
    <row r="617">
      <c r="K617">
        <f>IF(A617="","", _xludf.WEEKNUM(A617, 2))</f>
        <v/>
      </c>
    </row>
    <row r="618">
      <c r="K618">
        <f>IF(A618="","", _xludf.WEEKNUM(A618, 2))</f>
        <v/>
      </c>
    </row>
    <row r="619">
      <c r="K619">
        <f>IF(A619="","", _xludf.WEEKNUM(A619, 2))</f>
        <v/>
      </c>
    </row>
    <row r="620">
      <c r="K620">
        <f>IF(A620="","", _xludf.WEEKNUM(A620, 2))</f>
        <v/>
      </c>
    </row>
    <row r="621">
      <c r="K621">
        <f>IF(A621="","", _xludf.WEEKNUM(A621, 2))</f>
        <v/>
      </c>
    </row>
    <row r="622">
      <c r="K622">
        <f>IF(A622="","", _xludf.WEEKNUM(A622, 2))</f>
        <v/>
      </c>
    </row>
    <row r="623">
      <c r="K623">
        <f>IF(A623="","", _xludf.WEEKNUM(A623, 2))</f>
        <v/>
      </c>
    </row>
    <row r="624">
      <c r="K624">
        <f>IF(A624="","", _xludf.WEEKNUM(A624, 2))</f>
        <v/>
      </c>
    </row>
    <row r="625">
      <c r="K625">
        <f>IF(A625="","", _xludf.WEEKNUM(A625, 2))</f>
        <v/>
      </c>
    </row>
    <row r="626">
      <c r="K626">
        <f>IF(A626="","", _xludf.WEEKNUM(A626, 2))</f>
        <v/>
      </c>
    </row>
    <row r="627">
      <c r="K627">
        <f>IF(A627="","", _xludf.WEEKNUM(A627, 2))</f>
        <v/>
      </c>
    </row>
    <row r="628">
      <c r="K628">
        <f>IF(A628="","", _xludf.WEEKNUM(A628, 2))</f>
        <v/>
      </c>
    </row>
    <row r="629">
      <c r="K629">
        <f>IF(A629="","", _xludf.WEEKNUM(A629, 2))</f>
        <v/>
      </c>
    </row>
    <row r="630">
      <c r="K630">
        <f>IF(A630="","", _xludf.WEEKNUM(A630, 2))</f>
        <v/>
      </c>
    </row>
    <row r="631">
      <c r="K631">
        <f>IF(A631="","", _xludf.WEEKNUM(A631, 2))</f>
        <v/>
      </c>
    </row>
    <row r="632">
      <c r="K632">
        <f>IF(A632="","", _xludf.WEEKNUM(A632, 2))</f>
        <v/>
      </c>
    </row>
    <row r="633">
      <c r="K633">
        <f>IF(A633="","", _xludf.WEEKNUM(A633, 2))</f>
        <v/>
      </c>
    </row>
    <row r="634">
      <c r="K634">
        <f>IF(A634="","", _xludf.WEEKNUM(A634, 2))</f>
        <v/>
      </c>
    </row>
    <row r="635">
      <c r="K635">
        <f>IF(A635="","", _xludf.WEEKNUM(A635, 2))</f>
        <v/>
      </c>
    </row>
    <row r="636">
      <c r="K636">
        <f>IF(A636="","", _xludf.WEEKNUM(A636, 2))</f>
        <v/>
      </c>
    </row>
    <row r="637">
      <c r="K637">
        <f>IF(A637="","", _xludf.WEEKNUM(A637, 2))</f>
        <v/>
      </c>
    </row>
    <row r="638">
      <c r="K638">
        <f>IF(A638="","", _xludf.WEEKNUM(A638, 2))</f>
        <v/>
      </c>
    </row>
    <row r="639">
      <c r="K639">
        <f>IF(A639="","", _xludf.WEEKNUM(A639, 2))</f>
        <v/>
      </c>
    </row>
    <row r="640">
      <c r="K640">
        <f>IF(A640="","", _xludf.WEEKNUM(A640, 2))</f>
        <v/>
      </c>
    </row>
    <row r="641">
      <c r="K641">
        <f>IF(A641="","", _xludf.WEEKNUM(A641, 2))</f>
        <v/>
      </c>
    </row>
    <row r="642">
      <c r="K642">
        <f>IF(A642="","", _xludf.WEEKNUM(A642, 2))</f>
        <v/>
      </c>
    </row>
    <row r="643">
      <c r="K643">
        <f>IF(A643="","", _xludf.WEEKNUM(A643, 2))</f>
        <v/>
      </c>
    </row>
    <row r="644">
      <c r="K644">
        <f>IF(A644="","", _xludf.WEEKNUM(A644, 2))</f>
        <v/>
      </c>
    </row>
    <row r="645">
      <c r="K645">
        <f>IF(A645="","", _xludf.WEEKNUM(A645, 2))</f>
        <v/>
      </c>
    </row>
    <row r="646">
      <c r="K646">
        <f>IF(A646="","", _xludf.WEEKNUM(A646, 2))</f>
        <v/>
      </c>
    </row>
    <row r="647">
      <c r="K647">
        <f>IF(A647="","", _xludf.WEEKNUM(A647, 2))</f>
        <v/>
      </c>
    </row>
    <row r="648">
      <c r="K648">
        <f>IF(A648="","", _xludf.WEEKNUM(A648, 2))</f>
        <v/>
      </c>
    </row>
    <row r="649">
      <c r="K649">
        <f>IF(A649="","", _xludf.WEEKNUM(A649, 2))</f>
        <v/>
      </c>
    </row>
    <row r="650">
      <c r="K650">
        <f>IF(A650="","", _xludf.WEEKNUM(A650, 2))</f>
        <v/>
      </c>
    </row>
    <row r="651">
      <c r="K651">
        <f>IF(A651="","", _xludf.WEEKNUM(A651, 2))</f>
        <v/>
      </c>
    </row>
    <row r="652">
      <c r="K652">
        <f>IF(A652="","", _xludf.WEEKNUM(A652, 2))</f>
        <v/>
      </c>
    </row>
    <row r="653">
      <c r="K653">
        <f>IF(A653="","", _xludf.WEEKNUM(A653, 2))</f>
        <v/>
      </c>
    </row>
    <row r="654">
      <c r="K654">
        <f>IF(A654="","", _xludf.WEEKNUM(A654, 2))</f>
        <v/>
      </c>
    </row>
    <row r="655">
      <c r="K655">
        <f>IF(A655="","", _xludf.WEEKNUM(A655, 2))</f>
        <v/>
      </c>
    </row>
    <row r="656">
      <c r="K656">
        <f>IF(A656="","", _xludf.WEEKNUM(A656, 2))</f>
        <v/>
      </c>
    </row>
    <row r="657">
      <c r="K657">
        <f>IF(A657="","", _xludf.WEEKNUM(A657, 2))</f>
        <v/>
      </c>
    </row>
    <row r="658">
      <c r="K658">
        <f>IF(A658="","", _xludf.WEEKNUM(A658, 2))</f>
        <v/>
      </c>
    </row>
    <row r="659">
      <c r="K659">
        <f>IF(A659="","", _xludf.WEEKNUM(A659, 2))</f>
        <v/>
      </c>
    </row>
    <row r="660">
      <c r="K660">
        <f>IF(A660="","", _xludf.WEEKNUM(A660, 2))</f>
        <v/>
      </c>
    </row>
    <row r="661">
      <c r="K661">
        <f>IF(A661="","", _xludf.WEEKNUM(A661, 2))</f>
        <v/>
      </c>
    </row>
    <row r="662">
      <c r="K662">
        <f>IF(A662="","", _xludf.WEEKNUM(A662, 2))</f>
        <v/>
      </c>
    </row>
    <row r="663">
      <c r="K663">
        <f>IF(A663="","", _xludf.WEEKNUM(A663, 2))</f>
        <v/>
      </c>
    </row>
    <row r="664">
      <c r="K664">
        <f>IF(A664="","", _xludf.WEEKNUM(A664, 2))</f>
        <v/>
      </c>
    </row>
    <row r="665">
      <c r="K665">
        <f>IF(A665="","", _xludf.WEEKNUM(A665, 2))</f>
        <v/>
      </c>
    </row>
    <row r="666">
      <c r="K666">
        <f>IF(A666="","", _xludf.WEEKNUM(A666, 2))</f>
        <v/>
      </c>
    </row>
    <row r="667">
      <c r="K667">
        <f>IF(A667="","", _xludf.WEEKNUM(A667, 2))</f>
        <v/>
      </c>
    </row>
    <row r="668">
      <c r="K668">
        <f>IF(A668="","", _xludf.WEEKNUM(A668, 2))</f>
        <v/>
      </c>
    </row>
    <row r="669">
      <c r="K669">
        <f>IF(A669="","", _xludf.WEEKNUM(A669, 2))</f>
        <v/>
      </c>
    </row>
    <row r="670">
      <c r="K670">
        <f>IF(A670="","", _xludf.WEEKNUM(A670, 2))</f>
        <v/>
      </c>
    </row>
    <row r="671">
      <c r="K671">
        <f>IF(A671="","", _xludf.WEEKNUM(A671, 2))</f>
        <v/>
      </c>
    </row>
    <row r="672">
      <c r="K672">
        <f>IF(A672="","", _xludf.WEEKNUM(A672, 2))</f>
        <v/>
      </c>
    </row>
    <row r="673">
      <c r="K673">
        <f>IF(A673="","", _xludf.WEEKNUM(A673, 2))</f>
        <v/>
      </c>
    </row>
    <row r="674">
      <c r="K674">
        <f>IF(A674="","", _xludf.WEEKNUM(A674, 2))</f>
        <v/>
      </c>
    </row>
    <row r="675">
      <c r="K675">
        <f>IF(A675="","", _xludf.WEEKNUM(A675, 2))</f>
        <v/>
      </c>
    </row>
    <row r="676">
      <c r="K676">
        <f>IF(A676="","", _xludf.WEEKNUM(A676, 2))</f>
        <v/>
      </c>
    </row>
    <row r="677">
      <c r="K677">
        <f>IF(A677="","", _xludf.WEEKNUM(A677, 2))</f>
        <v/>
      </c>
    </row>
    <row r="678">
      <c r="K678">
        <f>IF(A678="","", _xludf.WEEKNUM(A678, 2))</f>
        <v/>
      </c>
    </row>
    <row r="679">
      <c r="K679">
        <f>IF(A679="","", _xludf.WEEKNUM(A679, 2))</f>
        <v/>
      </c>
    </row>
    <row r="680">
      <c r="K680">
        <f>IF(A680="","", _xludf.WEEKNUM(A680, 2))</f>
        <v/>
      </c>
    </row>
    <row r="681">
      <c r="K681">
        <f>IF(A681="","", _xludf.WEEKNUM(A681, 2))</f>
        <v/>
      </c>
    </row>
    <row r="682">
      <c r="K682">
        <f>IF(A682="","", _xludf.WEEKNUM(A682, 2))</f>
        <v/>
      </c>
    </row>
    <row r="683">
      <c r="K683">
        <f>IF(A683="","", _xludf.WEEKNUM(A683, 2))</f>
        <v/>
      </c>
    </row>
    <row r="684">
      <c r="K684">
        <f>IF(A684="","", _xludf.WEEKNUM(A684, 2))</f>
        <v/>
      </c>
    </row>
    <row r="685">
      <c r="K685">
        <f>IF(A685="","", _xludf.WEEKNUM(A685, 2))</f>
        <v/>
      </c>
    </row>
    <row r="686">
      <c r="K686">
        <f>IF(A686="","", _xludf.WEEKNUM(A686, 2))</f>
        <v/>
      </c>
    </row>
    <row r="687">
      <c r="K687">
        <f>IF(A687="","", _xludf.WEEKNUM(A687, 2))</f>
        <v/>
      </c>
    </row>
    <row r="688">
      <c r="K688">
        <f>IF(A688="","", _xludf.WEEKNUM(A688, 2))</f>
        <v/>
      </c>
    </row>
    <row r="689">
      <c r="K689">
        <f>IF(A689="","", _xludf.WEEKNUM(A689, 2))</f>
        <v/>
      </c>
    </row>
    <row r="690">
      <c r="K690">
        <f>IF(A690="","", _xludf.WEEKNUM(A690, 2))</f>
        <v/>
      </c>
    </row>
    <row r="691">
      <c r="K691">
        <f>IF(A691="","", _xludf.WEEKNUM(A691, 2))</f>
        <v/>
      </c>
    </row>
    <row r="692">
      <c r="K692">
        <f>IF(A692="","", _xludf.WEEKNUM(A692, 2))</f>
        <v/>
      </c>
    </row>
    <row r="693">
      <c r="K693">
        <f>IF(A693="","", _xludf.WEEKNUM(A693, 2))</f>
        <v/>
      </c>
    </row>
    <row r="694">
      <c r="K694">
        <f>IF(A694="","", _xludf.WEEKNUM(A694, 2))</f>
        <v/>
      </c>
    </row>
    <row r="695">
      <c r="K695">
        <f>IF(A695="","", _xludf.WEEKNUM(A695, 2))</f>
        <v/>
      </c>
    </row>
    <row r="696">
      <c r="K696">
        <f>IF(A696="","", _xludf.WEEKNUM(A696, 2))</f>
        <v/>
      </c>
    </row>
    <row r="697">
      <c r="K697">
        <f>IF(A697="","", _xludf.WEEKNUM(A697, 2))</f>
        <v/>
      </c>
    </row>
    <row r="698">
      <c r="K698">
        <f>IF(A698="","", _xludf.WEEKNUM(A698, 2))</f>
        <v/>
      </c>
    </row>
    <row r="699">
      <c r="K699">
        <f>IF(A699="","", _xludf.WEEKNUM(A699, 2))</f>
        <v/>
      </c>
    </row>
    <row r="700">
      <c r="K700">
        <f>IF(A700="","", _xludf.WEEKNUM(A700, 2))</f>
        <v/>
      </c>
    </row>
    <row r="701">
      <c r="K701">
        <f>IF(A701="","", _xludf.WEEKNUM(A701, 2))</f>
        <v/>
      </c>
    </row>
    <row r="702">
      <c r="K702">
        <f>IF(A702="","", _xludf.WEEKNUM(A702, 2))</f>
        <v/>
      </c>
    </row>
    <row r="703">
      <c r="K703">
        <f>IF(A703="","", _xludf.WEEKNUM(A703, 2))</f>
        <v/>
      </c>
    </row>
    <row r="704">
      <c r="K704">
        <f>IF(A704="","", _xludf.WEEKNUM(A704, 2))</f>
        <v/>
      </c>
    </row>
    <row r="705">
      <c r="K705">
        <f>IF(A705="","", _xludf.WEEKNUM(A705, 2))</f>
        <v/>
      </c>
    </row>
    <row r="706">
      <c r="K706">
        <f>IF(A706="","", _xludf.WEEKNUM(A706, 2))</f>
        <v/>
      </c>
    </row>
    <row r="707">
      <c r="K707">
        <f>IF(A707="","", _xludf.WEEKNUM(A707, 2))</f>
        <v/>
      </c>
    </row>
    <row r="708">
      <c r="K708">
        <f>IF(A708="","", _xludf.WEEKNUM(A708, 2))</f>
        <v/>
      </c>
    </row>
    <row r="709">
      <c r="K709">
        <f>IF(A709="","", _xludf.WEEKNUM(A709, 2))</f>
        <v/>
      </c>
    </row>
    <row r="710">
      <c r="K710">
        <f>IF(A710="","", _xludf.WEEKNUM(A710, 2))</f>
        <v/>
      </c>
    </row>
    <row r="711">
      <c r="K711">
        <f>IF(A711="","", _xludf.WEEKNUM(A711, 2))</f>
        <v/>
      </c>
    </row>
    <row r="712">
      <c r="K712">
        <f>IF(A712="","", _xludf.WEEKNUM(A712, 2))</f>
        <v/>
      </c>
    </row>
    <row r="713">
      <c r="K713">
        <f>IF(A713="","", _xludf.WEEKNUM(A713, 2))</f>
        <v/>
      </c>
    </row>
    <row r="714">
      <c r="K714">
        <f>IF(A714="","", _xludf.WEEKNUM(A714, 2))</f>
        <v/>
      </c>
    </row>
    <row r="715">
      <c r="K715">
        <f>IF(A715="","", _xludf.WEEKNUM(A715, 2))</f>
        <v/>
      </c>
    </row>
    <row r="716">
      <c r="K716">
        <f>IF(A716="","", _xludf.WEEKNUM(A716, 2))</f>
        <v/>
      </c>
    </row>
    <row r="717">
      <c r="K717">
        <f>IF(A717="","", _xludf.WEEKNUM(A717, 2))</f>
        <v/>
      </c>
    </row>
    <row r="718">
      <c r="K718">
        <f>IF(A718="","", _xludf.WEEKNUM(A718, 2))</f>
        <v/>
      </c>
    </row>
    <row r="719">
      <c r="K719">
        <f>IF(A719="","", _xludf.WEEKNUM(A719, 2))</f>
        <v/>
      </c>
    </row>
    <row r="720">
      <c r="K720">
        <f>IF(A720="","", _xludf.WEEKNUM(A720, 2))</f>
        <v/>
      </c>
    </row>
    <row r="721">
      <c r="K721">
        <f>IF(A721="","", _xludf.WEEKNUM(A721, 2))</f>
        <v/>
      </c>
    </row>
    <row r="722">
      <c r="K722">
        <f>IF(A722="","", _xludf.WEEKNUM(A722, 2))</f>
        <v/>
      </c>
    </row>
    <row r="723">
      <c r="K723">
        <f>IF(A723="","", _xludf.WEEKNUM(A723, 2))</f>
        <v/>
      </c>
    </row>
    <row r="724">
      <c r="K724">
        <f>IF(A724="","", _xludf.WEEKNUM(A724, 2))</f>
        <v/>
      </c>
    </row>
    <row r="725">
      <c r="K725">
        <f>IF(A725="","", _xludf.WEEKNUM(A725, 2))</f>
        <v/>
      </c>
    </row>
    <row r="726">
      <c r="K726">
        <f>IF(A726="","", _xludf.WEEKNUM(A726, 2))</f>
        <v/>
      </c>
    </row>
    <row r="727">
      <c r="K727">
        <f>IF(A727="","", _xludf.WEEKNUM(A727, 2))</f>
        <v/>
      </c>
    </row>
    <row r="728">
      <c r="K728">
        <f>IF(A728="","", _xludf.WEEKNUM(A728, 2))</f>
        <v/>
      </c>
    </row>
    <row r="729">
      <c r="K729">
        <f>IF(A729="","", _xludf.WEEKNUM(A729, 2))</f>
        <v/>
      </c>
    </row>
    <row r="730">
      <c r="K730">
        <f>IF(A730="","", _xludf.WEEKNUM(A730, 2))</f>
        <v/>
      </c>
    </row>
    <row r="731">
      <c r="K731">
        <f>IF(A731="","", _xludf.WEEKNUM(A731, 2))</f>
        <v/>
      </c>
    </row>
    <row r="732">
      <c r="K732">
        <f>IF(A732="","", _xludf.WEEKNUM(A732, 2))</f>
        <v/>
      </c>
    </row>
    <row r="733">
      <c r="K733">
        <f>IF(A733="","", _xludf.WEEKNUM(A733, 2))</f>
        <v/>
      </c>
    </row>
    <row r="734">
      <c r="K734">
        <f>IF(A734="","", _xludf.WEEKNUM(A734, 2))</f>
        <v/>
      </c>
    </row>
    <row r="735">
      <c r="K735">
        <f>IF(A735="","", _xludf.WEEKNUM(A735, 2))</f>
        <v/>
      </c>
    </row>
    <row r="736">
      <c r="K736">
        <f>IF(A736="","", _xludf.WEEKNUM(A736, 2))</f>
        <v/>
      </c>
    </row>
    <row r="737">
      <c r="K737">
        <f>IF(A737="","", _xludf.WEEKNUM(A737, 2))</f>
        <v/>
      </c>
    </row>
    <row r="738">
      <c r="K738">
        <f>IF(A738="","", _xludf.WEEKNUM(A738, 2))</f>
        <v/>
      </c>
    </row>
    <row r="739">
      <c r="K739">
        <f>IF(A739="","", _xludf.WEEKNUM(A739, 2))</f>
        <v/>
      </c>
    </row>
    <row r="740">
      <c r="K740">
        <f>IF(A740="","", _xludf.WEEKNUM(A740, 2))</f>
        <v/>
      </c>
    </row>
    <row r="741">
      <c r="K741">
        <f>IF(A741="","", _xludf.WEEKNUM(A741, 2))</f>
        <v/>
      </c>
    </row>
    <row r="742">
      <c r="K742">
        <f>IF(A742="","", _xludf.WEEKNUM(A742, 2))</f>
        <v/>
      </c>
    </row>
    <row r="743">
      <c r="K743">
        <f>IF(A743="","", _xludf.WEEKNUM(A743, 2))</f>
        <v/>
      </c>
    </row>
    <row r="744">
      <c r="K744">
        <f>IF(A744="","", _xludf.WEEKNUM(A744, 2))</f>
        <v/>
      </c>
    </row>
    <row r="745">
      <c r="K745">
        <f>IF(A745="","", _xludf.WEEKNUM(A745, 2))</f>
        <v/>
      </c>
    </row>
    <row r="746">
      <c r="K746">
        <f>IF(A746="","", _xludf.WEEKNUM(A746, 2))</f>
        <v/>
      </c>
    </row>
    <row r="747">
      <c r="K747">
        <f>IF(A747="","", _xludf.WEEKNUM(A747, 2))</f>
        <v/>
      </c>
    </row>
    <row r="748">
      <c r="K748">
        <f>IF(A748="","", _xludf.WEEKNUM(A748, 2))</f>
        <v/>
      </c>
    </row>
    <row r="749">
      <c r="K749">
        <f>IF(A749="","", _xludf.WEEKNUM(A749, 2))</f>
        <v/>
      </c>
    </row>
    <row r="750">
      <c r="K750">
        <f>IF(A750="","", _xludf.WEEKNUM(A750, 2))</f>
        <v/>
      </c>
    </row>
    <row r="751">
      <c r="K751">
        <f>IF(A751="","", _xludf.WEEKNUM(A751, 2))</f>
        <v/>
      </c>
    </row>
    <row r="752">
      <c r="K752">
        <f>IF(A752="","", _xludf.WEEKNUM(A752, 2))</f>
        <v/>
      </c>
    </row>
    <row r="753">
      <c r="K753">
        <f>IF(A753="","", _xludf.WEEKNUM(A753, 2))</f>
        <v/>
      </c>
    </row>
    <row r="754">
      <c r="K754">
        <f>IF(A754="","", _xludf.WEEKNUM(A754, 2))</f>
        <v/>
      </c>
    </row>
    <row r="755">
      <c r="K755">
        <f>IF(A755="","", _xludf.WEEKNUM(A755, 2))</f>
        <v/>
      </c>
    </row>
    <row r="756">
      <c r="K756">
        <f>IF(A756="","", _xludf.WEEKNUM(A756, 2))</f>
        <v/>
      </c>
    </row>
    <row r="757">
      <c r="K757">
        <f>IF(A757="","", _xludf.WEEKNUM(A757, 2))</f>
        <v/>
      </c>
    </row>
    <row r="758">
      <c r="K758">
        <f>IF(A758="","", _xludf.WEEKNUM(A758, 2))</f>
        <v/>
      </c>
    </row>
    <row r="759">
      <c r="K759">
        <f>IF(A759="","", _xludf.WEEKNUM(A759, 2))</f>
        <v/>
      </c>
    </row>
    <row r="760">
      <c r="K760">
        <f>IF(A760="","", _xludf.WEEKNUM(A760, 2))</f>
        <v/>
      </c>
    </row>
    <row r="761">
      <c r="K761">
        <f>IF(A761="","", _xludf.WEEKNUM(A761, 2))</f>
        <v/>
      </c>
    </row>
    <row r="762">
      <c r="K762">
        <f>IF(A762="","", _xludf.WEEKNUM(A762, 2))</f>
        <v/>
      </c>
    </row>
    <row r="763">
      <c r="K763">
        <f>IF(A763="","", _xludf.WEEKNUM(A763, 2))</f>
        <v/>
      </c>
    </row>
    <row r="764">
      <c r="K764">
        <f>IF(A764="","", _xludf.WEEKNUM(A764, 2))</f>
        <v/>
      </c>
    </row>
    <row r="765">
      <c r="K765">
        <f>IF(A765="","", _xludf.WEEKNUM(A765, 2))</f>
        <v/>
      </c>
    </row>
    <row r="766">
      <c r="K766">
        <f>IF(A766="","", _xludf.WEEKNUM(A766, 2))</f>
        <v/>
      </c>
    </row>
    <row r="767">
      <c r="K767">
        <f>IF(A767="","", _xludf.WEEKNUM(A767, 2))</f>
        <v/>
      </c>
    </row>
    <row r="768">
      <c r="K768">
        <f>IF(A768="","", _xludf.WEEKNUM(A768, 2))</f>
        <v/>
      </c>
    </row>
    <row r="769">
      <c r="K769">
        <f>IF(A769="","", _xludf.WEEKNUM(A769, 2))</f>
        <v/>
      </c>
    </row>
    <row r="770">
      <c r="K770">
        <f>IF(A770="","", _xludf.WEEKNUM(A770, 2))</f>
        <v/>
      </c>
    </row>
    <row r="771">
      <c r="K771">
        <f>IF(A771="","", _xludf.WEEKNUM(A771, 2))</f>
        <v/>
      </c>
    </row>
    <row r="772">
      <c r="K772">
        <f>IF(A772="","", _xludf.WEEKNUM(A772, 2))</f>
        <v/>
      </c>
    </row>
    <row r="773">
      <c r="K773">
        <f>IF(A773="","", _xludf.WEEKNUM(A773, 2))</f>
        <v/>
      </c>
    </row>
    <row r="774">
      <c r="K774">
        <f>IF(A774="","", _xludf.WEEKNUM(A774, 2))</f>
        <v/>
      </c>
    </row>
    <row r="775">
      <c r="K775">
        <f>IF(A775="","", _xludf.WEEKNUM(A775, 2))</f>
        <v/>
      </c>
    </row>
    <row r="776">
      <c r="K776">
        <f>IF(A776="","", _xludf.WEEKNUM(A776, 2))</f>
        <v/>
      </c>
    </row>
    <row r="777">
      <c r="K777">
        <f>IF(A777="","", _xludf.WEEKNUM(A777, 2))</f>
        <v/>
      </c>
    </row>
    <row r="778">
      <c r="K778">
        <f>IF(A778="","", _xludf.WEEKNUM(A778, 2))</f>
        <v/>
      </c>
    </row>
    <row r="779">
      <c r="K779">
        <f>IF(A779="","", _xludf.WEEKNUM(A779, 2))</f>
        <v/>
      </c>
    </row>
    <row r="780">
      <c r="K780">
        <f>IF(A780="","", _xludf.WEEKNUM(A780, 2))</f>
        <v/>
      </c>
    </row>
    <row r="781">
      <c r="K781">
        <f>IF(A781="","", _xludf.WEEKNUM(A781, 2))</f>
        <v/>
      </c>
    </row>
    <row r="782">
      <c r="K782">
        <f>IF(A782="","", _xludf.WEEKNUM(A782, 2))</f>
        <v/>
      </c>
    </row>
    <row r="783">
      <c r="K783">
        <f>IF(A783="","", _xludf.WEEKNUM(A783, 2))</f>
        <v/>
      </c>
    </row>
    <row r="784">
      <c r="K784">
        <f>IF(A784="","", _xludf.WEEKNUM(A784, 2))</f>
        <v/>
      </c>
    </row>
    <row r="785">
      <c r="K785">
        <f>IF(A785="","", _xludf.WEEKNUM(A785, 2))</f>
        <v/>
      </c>
    </row>
    <row r="786">
      <c r="K786">
        <f>IF(A786="","", _xludf.WEEKNUM(A786, 2))</f>
        <v/>
      </c>
    </row>
    <row r="787">
      <c r="K787">
        <f>IF(A787="","", _xludf.WEEKNUM(A787, 2))</f>
        <v/>
      </c>
    </row>
    <row r="788">
      <c r="K788">
        <f>IF(A788="","", _xludf.WEEKNUM(A788, 2))</f>
        <v/>
      </c>
    </row>
    <row r="789">
      <c r="K789">
        <f>IF(A789="","", _xludf.WEEKNUM(A789, 2))</f>
        <v/>
      </c>
    </row>
    <row r="790">
      <c r="K790">
        <f>IF(A790="","", _xludf.WEEKNUM(A790, 2))</f>
        <v/>
      </c>
    </row>
    <row r="791">
      <c r="K791">
        <f>IF(A791="","", _xludf.WEEKNUM(A791, 2))</f>
        <v/>
      </c>
    </row>
    <row r="792">
      <c r="K792">
        <f>IF(A792="","", _xludf.WEEKNUM(A792, 2))</f>
        <v/>
      </c>
    </row>
    <row r="793">
      <c r="K793">
        <f>IF(A793="","", _xludf.WEEKNUM(A793, 2))</f>
        <v/>
      </c>
    </row>
    <row r="794">
      <c r="K794">
        <f>IF(A794="","", _xludf.WEEKNUM(A794, 2))</f>
        <v/>
      </c>
    </row>
    <row r="795">
      <c r="K795">
        <f>IF(A795="","", _xludf.WEEKNUM(A795, 2))</f>
        <v/>
      </c>
    </row>
    <row r="796">
      <c r="K796">
        <f>IF(A796="","", _xludf.WEEKNUM(A796, 2))</f>
        <v/>
      </c>
    </row>
    <row r="797">
      <c r="K797">
        <f>IF(A797="","", _xludf.WEEKNUM(A797, 2))</f>
        <v/>
      </c>
    </row>
    <row r="798">
      <c r="K798">
        <f>IF(A798="","", _xludf.WEEKNUM(A798, 2))</f>
        <v/>
      </c>
    </row>
    <row r="799">
      <c r="K799">
        <f>IF(A799="","", _xludf.WEEKNUM(A799, 2))</f>
        <v/>
      </c>
    </row>
    <row r="800">
      <c r="K800">
        <f>IF(A800="","", _xludf.WEEKNUM(A800, 2))</f>
        <v/>
      </c>
    </row>
    <row r="801">
      <c r="K801">
        <f>IF(A801="","", _xludf.WEEKNUM(A801, 2))</f>
        <v/>
      </c>
    </row>
    <row r="802">
      <c r="K802">
        <f>IF(A802="","", _xludf.WEEKNUM(A802, 2))</f>
        <v/>
      </c>
    </row>
    <row r="803">
      <c r="K803">
        <f>IF(A803="","", _xludf.WEEKNUM(A803, 2))</f>
        <v/>
      </c>
    </row>
    <row r="804">
      <c r="K804">
        <f>IF(A804="","", _xludf.WEEKNUM(A804, 2))</f>
        <v/>
      </c>
    </row>
    <row r="805">
      <c r="K805">
        <f>IF(A805="","", _xludf.WEEKNUM(A805, 2))</f>
        <v/>
      </c>
    </row>
    <row r="806">
      <c r="K806">
        <f>IF(A806="","", _xludf.WEEKNUM(A806, 2))</f>
        <v/>
      </c>
    </row>
    <row r="807">
      <c r="K807">
        <f>IF(A807="","", _xludf.WEEKNUM(A807, 2))</f>
        <v/>
      </c>
    </row>
    <row r="808">
      <c r="K808">
        <f>IF(A808="","", _xludf.WEEKNUM(A808, 2))</f>
        <v/>
      </c>
    </row>
    <row r="809">
      <c r="K809">
        <f>IF(A809="","", _xludf.WEEKNUM(A809, 2))</f>
        <v/>
      </c>
    </row>
    <row r="810">
      <c r="K810">
        <f>IF(A810="","", _xludf.WEEKNUM(A810, 2))</f>
        <v/>
      </c>
    </row>
    <row r="811">
      <c r="K811">
        <f>IF(A811="","", _xludf.WEEKNUM(A811, 2))</f>
        <v/>
      </c>
    </row>
    <row r="812">
      <c r="K812">
        <f>IF(A812="","", _xludf.WEEKNUM(A812, 2))</f>
        <v/>
      </c>
    </row>
    <row r="813">
      <c r="K813">
        <f>IF(A813="","", _xludf.WEEKNUM(A813, 2))</f>
        <v/>
      </c>
    </row>
    <row r="814">
      <c r="K814">
        <f>IF(A814="","", _xludf.WEEKNUM(A814, 2))</f>
        <v/>
      </c>
    </row>
    <row r="815">
      <c r="K815">
        <f>IF(A815="","", _xludf.WEEKNUM(A815, 2))</f>
        <v/>
      </c>
    </row>
    <row r="816">
      <c r="K816">
        <f>IF(A816="","", _xludf.WEEKNUM(A816, 2))</f>
        <v/>
      </c>
    </row>
    <row r="817">
      <c r="K817">
        <f>IF(A817="","", _xludf.WEEKNUM(A817, 2))</f>
        <v/>
      </c>
    </row>
    <row r="818">
      <c r="K818">
        <f>IF(A818="","", _xludf.WEEKNUM(A818, 2))</f>
        <v/>
      </c>
    </row>
    <row r="819">
      <c r="K819">
        <f>IF(A819="","", _xludf.WEEKNUM(A819, 2))</f>
        <v/>
      </c>
    </row>
    <row r="820">
      <c r="K820">
        <f>IF(A820="","", _xludf.WEEKNUM(A820, 2))</f>
        <v/>
      </c>
    </row>
    <row r="821">
      <c r="K821">
        <f>IF(A821="","", _xludf.WEEKNUM(A821, 2))</f>
        <v/>
      </c>
    </row>
    <row r="822">
      <c r="K822">
        <f>IF(A822="","", _xludf.WEEKNUM(A822, 2))</f>
        <v/>
      </c>
    </row>
    <row r="823">
      <c r="K823">
        <f>IF(A823="","", _xludf.WEEKNUM(A823, 2))</f>
        <v/>
      </c>
    </row>
    <row r="824">
      <c r="K824">
        <f>IF(A824="","", _xludf.WEEKNUM(A824, 2))</f>
        <v/>
      </c>
    </row>
    <row r="825">
      <c r="K825">
        <f>IF(A825="","", _xludf.WEEKNUM(A825, 2))</f>
        <v/>
      </c>
    </row>
    <row r="826">
      <c r="K826">
        <f>IF(A826="","", _xludf.WEEKNUM(A826, 2))</f>
        <v/>
      </c>
    </row>
    <row r="827">
      <c r="K827">
        <f>IF(A827="","", _xludf.WEEKNUM(A827, 2))</f>
        <v/>
      </c>
    </row>
    <row r="828">
      <c r="K828">
        <f>IF(A828="","", _xludf.WEEKNUM(A828, 2))</f>
        <v/>
      </c>
    </row>
    <row r="829">
      <c r="K829">
        <f>IF(A829="","", _xludf.WEEKNUM(A829, 2))</f>
        <v/>
      </c>
    </row>
    <row r="830">
      <c r="K830">
        <f>IF(A830="","", _xludf.WEEKNUM(A830, 2))</f>
        <v/>
      </c>
    </row>
    <row r="831">
      <c r="K831">
        <f>IF(A831="","", _xludf.WEEKNUM(A831, 2))</f>
        <v/>
      </c>
    </row>
    <row r="832">
      <c r="K832">
        <f>IF(A832="","", _xludf.WEEKNUM(A832, 2))</f>
        <v/>
      </c>
    </row>
    <row r="833">
      <c r="K833">
        <f>IF(A833="","", _xludf.WEEKNUM(A833, 2))</f>
        <v/>
      </c>
    </row>
    <row r="834">
      <c r="K834">
        <f>IF(A834="","", _xludf.WEEKNUM(A834, 2))</f>
        <v/>
      </c>
    </row>
    <row r="835">
      <c r="K835">
        <f>IF(A835="","", _xludf.WEEKNUM(A835, 2))</f>
        <v/>
      </c>
    </row>
    <row r="836">
      <c r="K836">
        <f>IF(A836="","", _xludf.WEEKNUM(A836, 2))</f>
        <v/>
      </c>
    </row>
    <row r="837">
      <c r="K837">
        <f>IF(A837="","", _xludf.WEEKNUM(A837, 2))</f>
        <v/>
      </c>
    </row>
    <row r="838">
      <c r="K838">
        <f>IF(A838="","", _xludf.WEEKNUM(A838, 2))</f>
        <v/>
      </c>
    </row>
    <row r="839">
      <c r="K839">
        <f>IF(A839="","", _xludf.WEEKNUM(A839, 2))</f>
        <v/>
      </c>
    </row>
    <row r="840">
      <c r="K840">
        <f>IF(A840="","", _xludf.WEEKNUM(A840, 2))</f>
        <v/>
      </c>
    </row>
    <row r="841">
      <c r="K841">
        <f>IF(A841="","", _xludf.WEEKNUM(A841, 2))</f>
        <v/>
      </c>
    </row>
    <row r="842">
      <c r="K842">
        <f>IF(A842="","", _xludf.WEEKNUM(A842, 2))</f>
        <v/>
      </c>
    </row>
    <row r="843">
      <c r="K843">
        <f>IF(A843="","", _xludf.WEEKNUM(A843, 2))</f>
        <v/>
      </c>
    </row>
    <row r="844">
      <c r="K844">
        <f>IF(A844="","", _xludf.WEEKNUM(A844, 2))</f>
        <v/>
      </c>
    </row>
    <row r="845">
      <c r="K845">
        <f>IF(A845="","", _xludf.WEEKNUM(A845, 2))</f>
        <v/>
      </c>
    </row>
    <row r="846">
      <c r="K846">
        <f>IF(A846="","", _xludf.WEEKNUM(A846, 2))</f>
        <v/>
      </c>
    </row>
    <row r="847">
      <c r="K847">
        <f>IF(A847="","", _xludf.WEEKNUM(A847, 2))</f>
        <v/>
      </c>
    </row>
    <row r="848">
      <c r="K848">
        <f>IF(A848="","", _xludf.WEEKNUM(A848, 2))</f>
        <v/>
      </c>
    </row>
    <row r="849">
      <c r="K849">
        <f>IF(A849="","", _xludf.WEEKNUM(A849, 2))</f>
        <v/>
      </c>
    </row>
    <row r="850">
      <c r="K850">
        <f>IF(A850="","", _xludf.WEEKNUM(A850, 2))</f>
        <v/>
      </c>
    </row>
    <row r="851">
      <c r="K851">
        <f>IF(A851="","", _xludf.WEEKNUM(A851, 2))</f>
        <v/>
      </c>
    </row>
    <row r="852">
      <c r="K852">
        <f>IF(A852="","", _xludf.WEEKNUM(A852, 2))</f>
        <v/>
      </c>
    </row>
    <row r="853">
      <c r="K853">
        <f>IF(A853="","", _xludf.WEEKNUM(A853, 2))</f>
        <v/>
      </c>
    </row>
    <row r="854">
      <c r="K854">
        <f>IF(A854="","", _xludf.WEEKNUM(A854, 2))</f>
        <v/>
      </c>
    </row>
    <row r="855">
      <c r="K855">
        <f>IF(A855="","", _xludf.WEEKNUM(A855, 2))</f>
        <v/>
      </c>
    </row>
    <row r="856">
      <c r="K856">
        <f>IF(A856="","", _xludf.WEEKNUM(A856, 2))</f>
        <v/>
      </c>
    </row>
    <row r="857">
      <c r="K857">
        <f>IF(A857="","", _xludf.WEEKNUM(A857, 2))</f>
        <v/>
      </c>
    </row>
    <row r="858">
      <c r="K858">
        <f>IF(A858="","", _xludf.WEEKNUM(A858, 2))</f>
        <v/>
      </c>
    </row>
    <row r="859">
      <c r="K859">
        <f>IF(A859="","", _xludf.WEEKNUM(A859, 2))</f>
        <v/>
      </c>
    </row>
    <row r="860">
      <c r="K860">
        <f>IF(A860="","", _xludf.WEEKNUM(A860, 2))</f>
        <v/>
      </c>
    </row>
    <row r="861">
      <c r="K861">
        <f>IF(A861="","", _xludf.WEEKNUM(A861, 2))</f>
        <v/>
      </c>
    </row>
    <row r="862">
      <c r="K862">
        <f>IF(A862="","", _xludf.WEEKNUM(A862, 2))</f>
        <v/>
      </c>
    </row>
    <row r="863">
      <c r="K863">
        <f>IF(A863="","", _xludf.WEEKNUM(A863, 2))</f>
        <v/>
      </c>
    </row>
    <row r="864">
      <c r="K864">
        <f>IF(A864="","", _xludf.WEEKNUM(A864, 2))</f>
        <v/>
      </c>
    </row>
    <row r="865">
      <c r="K865">
        <f>IF(A865="","", _xludf.WEEKNUM(A865, 2))</f>
        <v/>
      </c>
    </row>
    <row r="866">
      <c r="K866">
        <f>IF(A866="","", _xludf.WEEKNUM(A866, 2))</f>
        <v/>
      </c>
    </row>
    <row r="867">
      <c r="K867">
        <f>IF(A867="","", _xludf.WEEKNUM(A867, 2))</f>
        <v/>
      </c>
    </row>
    <row r="868">
      <c r="K868">
        <f>IF(A868="","", _xludf.WEEKNUM(A868, 2))</f>
        <v/>
      </c>
    </row>
    <row r="869">
      <c r="K869">
        <f>IF(A869="","", _xludf.WEEKNUM(A869, 2))</f>
        <v/>
      </c>
    </row>
    <row r="870">
      <c r="K870">
        <f>IF(A870="","", _xludf.WEEKNUM(A870, 2))</f>
        <v/>
      </c>
    </row>
    <row r="871">
      <c r="K871">
        <f>IF(A871="","", _xludf.WEEKNUM(A871, 2))</f>
        <v/>
      </c>
    </row>
    <row r="872">
      <c r="K872">
        <f>IF(A872="","", _xludf.WEEKNUM(A872, 2))</f>
        <v/>
      </c>
    </row>
    <row r="873">
      <c r="K873">
        <f>IF(A873="","", _xludf.WEEKNUM(A873, 2))</f>
        <v/>
      </c>
    </row>
    <row r="874">
      <c r="K874">
        <f>IF(A874="","", _xludf.WEEKNUM(A874, 2))</f>
        <v/>
      </c>
    </row>
    <row r="875">
      <c r="K875">
        <f>IF(A875="","", _xludf.WEEKNUM(A875, 2))</f>
        <v/>
      </c>
    </row>
    <row r="876">
      <c r="K876">
        <f>IF(A876="","", _xludf.WEEKNUM(A876, 2))</f>
        <v/>
      </c>
    </row>
    <row r="877">
      <c r="K877">
        <f>IF(A877="","", _xludf.WEEKNUM(A877, 2))</f>
        <v/>
      </c>
    </row>
    <row r="878">
      <c r="K878">
        <f>IF(A878="","", _xludf.WEEKNUM(A878, 2))</f>
        <v/>
      </c>
    </row>
    <row r="879">
      <c r="K879">
        <f>IF(A879="","", _xludf.WEEKNUM(A879, 2))</f>
        <v/>
      </c>
    </row>
    <row r="880">
      <c r="K880">
        <f>IF(A880="","", _xludf.WEEKNUM(A880, 2))</f>
        <v/>
      </c>
    </row>
    <row r="881">
      <c r="K881">
        <f>IF(A881="","", _xludf.WEEKNUM(A881, 2))</f>
        <v/>
      </c>
    </row>
    <row r="882">
      <c r="K882">
        <f>IF(A882="","", _xludf.WEEKNUM(A882, 2))</f>
        <v/>
      </c>
    </row>
    <row r="883">
      <c r="K883">
        <f>IF(A883="","", _xludf.WEEKNUM(A883, 2))</f>
        <v/>
      </c>
    </row>
    <row r="884">
      <c r="K884">
        <f>IF(A884="","", _xludf.WEEKNUM(A884, 2))</f>
        <v/>
      </c>
    </row>
    <row r="885">
      <c r="K885">
        <f>IF(A885="","", _xludf.WEEKNUM(A885, 2))</f>
        <v/>
      </c>
    </row>
    <row r="886">
      <c r="K886">
        <f>IF(A886="","", _xludf.WEEKNUM(A886, 2))</f>
        <v/>
      </c>
    </row>
    <row r="887">
      <c r="K887">
        <f>IF(A887="","", _xludf.WEEKNUM(A887, 2))</f>
        <v/>
      </c>
    </row>
    <row r="888">
      <c r="K888">
        <f>IF(A888="","", _xludf.WEEKNUM(A888, 2))</f>
        <v/>
      </c>
    </row>
    <row r="889">
      <c r="K889">
        <f>IF(A889="","", _xludf.WEEKNUM(A889, 2))</f>
        <v/>
      </c>
    </row>
    <row r="890">
      <c r="K890">
        <f>IF(A890="","", _xludf.WEEKNUM(A890, 2))</f>
        <v/>
      </c>
    </row>
    <row r="891">
      <c r="K891">
        <f>IF(A891="","", _xludf.WEEKNUM(A891, 2))</f>
        <v/>
      </c>
    </row>
    <row r="892">
      <c r="K892">
        <f>IF(A892="","", _xludf.WEEKNUM(A892, 2))</f>
        <v/>
      </c>
    </row>
    <row r="893">
      <c r="K893">
        <f>IF(A893="","", _xludf.WEEKNUM(A893, 2))</f>
        <v/>
      </c>
    </row>
    <row r="894">
      <c r="K894">
        <f>IF(A894="","", _xludf.WEEKNUM(A894, 2))</f>
        <v/>
      </c>
    </row>
    <row r="895">
      <c r="K895">
        <f>IF(A895="","", _xludf.WEEKNUM(A895, 2))</f>
        <v/>
      </c>
    </row>
    <row r="896">
      <c r="K896">
        <f>IF(A896="","", _xludf.WEEKNUM(A896, 2))</f>
        <v/>
      </c>
    </row>
    <row r="897">
      <c r="K897">
        <f>IF(A897="","", _xludf.WEEKNUM(A897, 2))</f>
        <v/>
      </c>
    </row>
    <row r="898">
      <c r="K898">
        <f>IF(A898="","", _xludf.WEEKNUM(A898, 2))</f>
        <v/>
      </c>
    </row>
    <row r="899">
      <c r="K899">
        <f>IF(A899="","", _xludf.WEEKNUM(A899, 2))</f>
        <v/>
      </c>
    </row>
    <row r="900">
      <c r="K900">
        <f>IF(A900="","", _xludf.WEEKNUM(A900, 2))</f>
        <v/>
      </c>
    </row>
    <row r="901">
      <c r="K901">
        <f>IF(A901="","", _xludf.WEEKNUM(A901, 2))</f>
        <v/>
      </c>
    </row>
    <row r="902">
      <c r="K902">
        <f>IF(A902="","", _xludf.WEEKNUM(A902, 2))</f>
        <v/>
      </c>
    </row>
    <row r="903">
      <c r="K903">
        <f>IF(A903="","", _xludf.WEEKNUM(A903, 2))</f>
        <v/>
      </c>
    </row>
    <row r="904">
      <c r="K904">
        <f>IF(A904="","", _xludf.WEEKNUM(A904, 2))</f>
        <v/>
      </c>
    </row>
    <row r="905">
      <c r="K905">
        <f>IF(A905="","", _xludf.WEEKNUM(A905, 2))</f>
        <v/>
      </c>
    </row>
    <row r="906">
      <c r="K906">
        <f>IF(A906="","", _xludf.WEEKNUM(A906, 2))</f>
        <v/>
      </c>
    </row>
    <row r="907">
      <c r="K907">
        <f>IF(A907="","", _xludf.WEEKNUM(A907, 2))</f>
        <v/>
      </c>
    </row>
    <row r="908">
      <c r="K908">
        <f>IF(A908="","", _xludf.WEEKNUM(A908, 2))</f>
        <v/>
      </c>
    </row>
    <row r="909">
      <c r="K909">
        <f>IF(A909="","", _xludf.WEEKNUM(A909, 2))</f>
        <v/>
      </c>
    </row>
    <row r="910">
      <c r="K910">
        <f>IF(A910="","", _xludf.WEEKNUM(A910, 2))</f>
        <v/>
      </c>
    </row>
    <row r="911">
      <c r="K911">
        <f>IF(A911="","", _xludf.WEEKNUM(A911, 2))</f>
        <v/>
      </c>
    </row>
    <row r="912">
      <c r="K912">
        <f>IF(A912="","", _xludf.WEEKNUM(A912, 2))</f>
        <v/>
      </c>
    </row>
    <row r="913">
      <c r="K913">
        <f>IF(A913="","", _xludf.WEEKNUM(A913, 2))</f>
        <v/>
      </c>
    </row>
    <row r="914">
      <c r="K914">
        <f>IF(A914="","", _xludf.WEEKNUM(A914, 2))</f>
        <v/>
      </c>
    </row>
    <row r="915">
      <c r="K915">
        <f>IF(A915="","", _xludf.WEEKNUM(A915, 2))</f>
        <v/>
      </c>
    </row>
    <row r="916">
      <c r="K916">
        <f>IF(A916="","", _xludf.WEEKNUM(A916, 2))</f>
        <v/>
      </c>
    </row>
    <row r="917">
      <c r="K917">
        <f>IF(A917="","", _xludf.WEEKNUM(A917, 2))</f>
        <v/>
      </c>
    </row>
    <row r="918">
      <c r="K918">
        <f>IF(A918="","", _xludf.WEEKNUM(A918, 2))</f>
        <v/>
      </c>
    </row>
    <row r="919">
      <c r="K919">
        <f>IF(A919="","", _xludf.WEEKNUM(A919, 2))</f>
        <v/>
      </c>
    </row>
    <row r="920">
      <c r="K920">
        <f>IF(A920="","", _xludf.WEEKNUM(A920, 2))</f>
        <v/>
      </c>
    </row>
    <row r="921">
      <c r="K921">
        <f>IF(A921="","", _xludf.WEEKNUM(A921, 2))</f>
        <v/>
      </c>
    </row>
    <row r="922">
      <c r="K922">
        <f>IF(A922="","", _xludf.WEEKNUM(A922, 2))</f>
        <v/>
      </c>
    </row>
    <row r="923">
      <c r="K923">
        <f>IF(A923="","", _xludf.WEEKNUM(A923, 2))</f>
        <v/>
      </c>
    </row>
    <row r="924">
      <c r="K924">
        <f>IF(A924="","", _xludf.WEEKNUM(A924, 2))</f>
        <v/>
      </c>
    </row>
    <row r="925">
      <c r="K925">
        <f>IF(A925="","", _xludf.WEEKNUM(A925, 2))</f>
        <v/>
      </c>
    </row>
    <row r="926">
      <c r="K926">
        <f>IF(A926="","", _xludf.WEEKNUM(A926, 2))</f>
        <v/>
      </c>
    </row>
    <row r="927">
      <c r="K927">
        <f>IF(A927="","", _xludf.WEEKNUM(A927, 2))</f>
        <v/>
      </c>
    </row>
    <row r="928">
      <c r="K928">
        <f>IF(A928="","", _xludf.WEEKNUM(A928, 2))</f>
        <v/>
      </c>
    </row>
    <row r="929">
      <c r="K929">
        <f>IF(A929="","", _xludf.WEEKNUM(A929, 2))</f>
        <v/>
      </c>
    </row>
    <row r="930">
      <c r="K930">
        <f>IF(A930="","", _xludf.WEEKNUM(A930, 2))</f>
        <v/>
      </c>
    </row>
    <row r="931">
      <c r="K931">
        <f>IF(A931="","", _xludf.WEEKNUM(A931, 2))</f>
        <v/>
      </c>
    </row>
    <row r="932">
      <c r="K932">
        <f>IF(A932="","", _xludf.WEEKNUM(A932, 2))</f>
        <v/>
      </c>
    </row>
    <row r="933">
      <c r="K933">
        <f>IF(A933="","", _xludf.WEEKNUM(A933, 2))</f>
        <v/>
      </c>
    </row>
    <row r="934">
      <c r="K934">
        <f>IF(A934="","", _xludf.WEEKNUM(A934, 2))</f>
        <v/>
      </c>
    </row>
    <row r="935">
      <c r="K935">
        <f>IF(A935="","", _xludf.WEEKNUM(A935, 2))</f>
        <v/>
      </c>
    </row>
    <row r="936">
      <c r="K936">
        <f>IF(A936="","", _xludf.WEEKNUM(A936, 2))</f>
        <v/>
      </c>
    </row>
    <row r="937">
      <c r="K937">
        <f>IF(A937="","", _xludf.WEEKNUM(A937, 2))</f>
        <v/>
      </c>
    </row>
    <row r="938">
      <c r="K938">
        <f>IF(A938="","", _xludf.WEEKNUM(A938, 2))</f>
        <v/>
      </c>
    </row>
    <row r="939">
      <c r="K939">
        <f>IF(A939="","", _xludf.WEEKNUM(A939, 2))</f>
        <v/>
      </c>
    </row>
    <row r="940">
      <c r="K940">
        <f>IF(A940="","", _xludf.WEEKNUM(A940, 2))</f>
        <v/>
      </c>
    </row>
    <row r="941">
      <c r="K941">
        <f>IF(A941="","", _xludf.WEEKNUM(A941, 2))</f>
        <v/>
      </c>
    </row>
    <row r="942">
      <c r="K942">
        <f>IF(A942="","", _xludf.WEEKNUM(A942, 2))</f>
        <v/>
      </c>
    </row>
    <row r="943">
      <c r="K943">
        <f>IF(A943="","", _xludf.WEEKNUM(A943, 2))</f>
        <v/>
      </c>
    </row>
    <row r="944">
      <c r="K944">
        <f>IF(A944="","", _xludf.WEEKNUM(A944, 2))</f>
        <v/>
      </c>
    </row>
    <row r="945">
      <c r="K945">
        <f>IF(A945="","", _xludf.WEEKNUM(A945, 2))</f>
        <v/>
      </c>
    </row>
    <row r="946">
      <c r="K946">
        <f>IF(A946="","", _xludf.WEEKNUM(A946, 2))</f>
        <v/>
      </c>
    </row>
    <row r="947">
      <c r="K947">
        <f>IF(A947="","", _xludf.WEEKNUM(A947, 2))</f>
        <v/>
      </c>
    </row>
    <row r="948">
      <c r="K948">
        <f>IF(A948="","", _xludf.WEEKNUM(A948, 2))</f>
        <v/>
      </c>
    </row>
    <row r="949">
      <c r="K949">
        <f>IF(A949="","", _xludf.WEEKNUM(A949, 2))</f>
        <v/>
      </c>
    </row>
    <row r="950">
      <c r="K950">
        <f>IF(A950="","", _xludf.WEEKNUM(A950, 2))</f>
        <v/>
      </c>
    </row>
    <row r="951">
      <c r="K951">
        <f>IF(A951="","", _xludf.WEEKNUM(A951, 2))</f>
        <v/>
      </c>
    </row>
    <row r="952">
      <c r="K952">
        <f>IF(A952="","", _xludf.WEEKNUM(A952, 2))</f>
        <v/>
      </c>
    </row>
    <row r="953">
      <c r="K953">
        <f>IF(A953="","", _xludf.WEEKNUM(A953, 2))</f>
        <v/>
      </c>
    </row>
    <row r="954">
      <c r="K954">
        <f>IF(A954="","", _xludf.WEEKNUM(A954, 2))</f>
        <v/>
      </c>
    </row>
    <row r="955">
      <c r="K955">
        <f>IF(A955="","", _xludf.WEEKNUM(A955, 2))</f>
        <v/>
      </c>
    </row>
    <row r="956">
      <c r="K956">
        <f>IF(A956="","", _xludf.WEEKNUM(A956, 2))</f>
        <v/>
      </c>
    </row>
    <row r="957">
      <c r="K957">
        <f>IF(A957="","", _xludf.WEEKNUM(A957, 2))</f>
        <v/>
      </c>
    </row>
    <row r="958">
      <c r="K958">
        <f>IF(A958="","", _xludf.WEEKNUM(A958, 2))</f>
        <v/>
      </c>
    </row>
    <row r="959">
      <c r="K959">
        <f>IF(A959="","", _xludf.WEEKNUM(A959, 2))</f>
        <v/>
      </c>
    </row>
    <row r="960">
      <c r="K960">
        <f>IF(A960="","", _xludf.WEEKNUM(A960, 2))</f>
        <v/>
      </c>
    </row>
    <row r="961">
      <c r="K961">
        <f>IF(A961="","", _xludf.WEEKNUM(A961, 2))</f>
        <v/>
      </c>
    </row>
    <row r="962">
      <c r="K962">
        <f>IF(A962="","", _xludf.WEEKNUM(A962, 2))</f>
        <v/>
      </c>
    </row>
    <row r="963">
      <c r="K963">
        <f>IF(A963="","", _xludf.WEEKNUM(A963, 2))</f>
        <v/>
      </c>
    </row>
    <row r="964">
      <c r="K964">
        <f>IF(A964="","", _xludf.WEEKNUM(A964, 2))</f>
        <v/>
      </c>
    </row>
    <row r="965">
      <c r="K965">
        <f>IF(A965="","", _xludf.WEEKNUM(A965, 2))</f>
        <v/>
      </c>
    </row>
    <row r="966">
      <c r="K966">
        <f>IF(A966="","", _xludf.WEEKNUM(A966, 2))</f>
        <v/>
      </c>
    </row>
    <row r="967">
      <c r="K967">
        <f>IF(A967="","", _xludf.WEEKNUM(A967, 2))</f>
        <v/>
      </c>
    </row>
    <row r="968">
      <c r="K968">
        <f>IF(A968="","", _xludf.WEEKNUM(A968, 2))</f>
        <v/>
      </c>
    </row>
    <row r="969">
      <c r="K969">
        <f>IF(A969="","", _xludf.WEEKNUM(A969, 2))</f>
        <v/>
      </c>
    </row>
    <row r="970">
      <c r="K970">
        <f>IF(A970="","", _xludf.WEEKNUM(A970, 2))</f>
        <v/>
      </c>
    </row>
    <row r="971">
      <c r="K971">
        <f>IF(A971="","", _xludf.WEEKNUM(A971, 2))</f>
        <v/>
      </c>
    </row>
    <row r="972">
      <c r="K972">
        <f>IF(A972="","", _xludf.WEEKNUM(A972, 2))</f>
        <v/>
      </c>
    </row>
    <row r="973">
      <c r="K973">
        <f>IF(A973="","", _xludf.WEEKNUM(A973, 2))</f>
        <v/>
      </c>
    </row>
    <row r="974">
      <c r="K974">
        <f>IF(A974="","", _xludf.WEEKNUM(A974, 2))</f>
        <v/>
      </c>
    </row>
    <row r="975">
      <c r="K975">
        <f>IF(A975="","", _xludf.WEEKNUM(A975, 2))</f>
        <v/>
      </c>
    </row>
    <row r="976">
      <c r="K976">
        <f>IF(A976="","", _xludf.WEEKNUM(A976, 2))</f>
        <v/>
      </c>
    </row>
    <row r="977">
      <c r="K977">
        <f>IF(A977="","", _xludf.WEEKNUM(A977, 2))</f>
        <v/>
      </c>
    </row>
    <row r="978">
      <c r="K978">
        <f>IF(A978="","", _xludf.WEEKNUM(A978, 2))</f>
        <v/>
      </c>
    </row>
    <row r="979">
      <c r="K979">
        <f>IF(A979="","", _xludf.WEEKNUM(A979, 2))</f>
        <v/>
      </c>
    </row>
    <row r="980">
      <c r="K980">
        <f>IF(A980="","", _xludf.WEEKNUM(A980, 2))</f>
        <v/>
      </c>
    </row>
    <row r="981">
      <c r="K981">
        <f>IF(A981="","", _xludf.WEEKNUM(A981, 2))</f>
        <v/>
      </c>
    </row>
    <row r="982">
      <c r="K982">
        <f>IF(A982="","", _xludf.WEEKNUM(A982, 2))</f>
        <v/>
      </c>
    </row>
    <row r="983">
      <c r="K983">
        <f>IF(A983="","", _xludf.WEEKNUM(A983, 2))</f>
        <v/>
      </c>
    </row>
    <row r="984">
      <c r="K984">
        <f>IF(A984="","", _xludf.WEEKNUM(A984, 2))</f>
        <v/>
      </c>
    </row>
    <row r="985">
      <c r="K985">
        <f>IF(A985="","", _xludf.WEEKNUM(A985, 2))</f>
        <v/>
      </c>
    </row>
    <row r="986">
      <c r="K986">
        <f>IF(A986="","", _xludf.WEEKNUM(A986, 2))</f>
        <v/>
      </c>
    </row>
    <row r="987">
      <c r="K987">
        <f>IF(A987="","", _xludf.WEEKNUM(A987, 2))</f>
        <v/>
      </c>
    </row>
    <row r="988">
      <c r="K988">
        <f>IF(A988="","", _xludf.WEEKNUM(A988, 2))</f>
        <v/>
      </c>
    </row>
    <row r="989">
      <c r="K989">
        <f>IF(A989="","", _xludf.WEEKNUM(A989, 2))</f>
        <v/>
      </c>
    </row>
    <row r="990">
      <c r="K990">
        <f>IF(A990="","", _xludf.WEEKNUM(A990, 2))</f>
        <v/>
      </c>
    </row>
    <row r="991">
      <c r="K991">
        <f>IF(A991="","", _xludf.WEEKNUM(A991, 2))</f>
        <v/>
      </c>
    </row>
    <row r="992">
      <c r="K992">
        <f>IF(A992="","", _xludf.WEEKNUM(A992, 2))</f>
        <v/>
      </c>
    </row>
    <row r="993">
      <c r="K993">
        <f>IF(A993="","", _xludf.WEEKNUM(A993, 2))</f>
        <v/>
      </c>
    </row>
    <row r="994">
      <c r="K994">
        <f>IF(A994="","", _xludf.WEEKNUM(A994, 2))</f>
        <v/>
      </c>
    </row>
    <row r="995">
      <c r="K995">
        <f>IF(A995="","", _xludf.WEEKNUM(A995, 2))</f>
        <v/>
      </c>
    </row>
    <row r="996">
      <c r="K996">
        <f>IF(A996="","", _xludf.WEEKNUM(A996, 2))</f>
        <v/>
      </c>
    </row>
    <row r="997">
      <c r="K997">
        <f>IF(A997="","", _xludf.WEEKNUM(A997, 2))</f>
        <v/>
      </c>
    </row>
    <row r="998">
      <c r="K998">
        <f>IF(A998="","", _xludf.WEEKNUM(A998, 2))</f>
        <v/>
      </c>
    </row>
    <row r="999">
      <c r="K999">
        <f>IF(A999="","", _xludf.WEEKNUM(A999, 2))</f>
        <v/>
      </c>
    </row>
    <row r="1000">
      <c r="K1000">
        <f>IF(A1000="","", _xludf.WEEKNUM(A1000, 2))</f>
        <v/>
      </c>
    </row>
    <row r="1001">
      <c r="K1001">
        <f>IF(A1001="","", _xludf.WEEKNUM(A1001, 2))</f>
        <v/>
      </c>
    </row>
    <row r="1002">
      <c r="K1002">
        <f>IF(A1002="","", _xludf.WEEKNUM(A1002, 2))</f>
        <v/>
      </c>
    </row>
    <row r="1003">
      <c r="K1003">
        <f>IF(A1003="","", _xludf.WEEKNUM(A1003, 2))</f>
        <v/>
      </c>
    </row>
    <row r="1004">
      <c r="K1004">
        <f>IF(A1004="","", _xludf.WEEKNUM(A1004, 2))</f>
        <v/>
      </c>
    </row>
    <row r="1005">
      <c r="K1005">
        <f>IF(A1005="","", _xludf.WEEKNUM(A1005, 2))</f>
        <v/>
      </c>
    </row>
    <row r="1006">
      <c r="K1006">
        <f>IF(A1006="","", _xludf.WEEKNUM(A1006, 2))</f>
        <v/>
      </c>
    </row>
    <row r="1007">
      <c r="K1007">
        <f>IF(A1007="","", _xludf.WEEKNUM(A1007, 2))</f>
        <v/>
      </c>
    </row>
    <row r="1008">
      <c r="K1008">
        <f>IF(A1008="","", _xludf.WEEKNUM(A1008, 2))</f>
        <v/>
      </c>
    </row>
    <row r="1009">
      <c r="K1009">
        <f>IF(A1009="","", _xludf.WEEKNUM(A1009, 2))</f>
        <v/>
      </c>
    </row>
    <row r="1010">
      <c r="K1010">
        <f>IF(A1010="","", _xludf.WEEKNUM(A1010, 2))</f>
        <v/>
      </c>
    </row>
    <row r="1011">
      <c r="K1011">
        <f>IF(A1011="","", _xludf.WEEKNUM(A1011, 2))</f>
        <v/>
      </c>
    </row>
    <row r="1012">
      <c r="K1012">
        <f>IF(A1012="","", _xludf.WEEKNUM(A1012, 2))</f>
        <v/>
      </c>
    </row>
    <row r="1013">
      <c r="K1013">
        <f>IF(A1013="","", _xludf.WEEKNUM(A1013, 2))</f>
        <v/>
      </c>
    </row>
    <row r="1014">
      <c r="K1014">
        <f>IF(A1014="","", _xludf.WEEKNUM(A1014, 2))</f>
        <v/>
      </c>
    </row>
    <row r="1015">
      <c r="K1015">
        <f>IF(A1015="","", _xludf.WEEKNUM(A1015, 2))</f>
        <v/>
      </c>
    </row>
    <row r="1016">
      <c r="K1016">
        <f>IF(A1016="","", _xludf.WEEKNUM(A1016, 2))</f>
        <v/>
      </c>
    </row>
    <row r="1017">
      <c r="K1017">
        <f>IF(A1017="","", _xludf.WEEKNUM(A1017, 2))</f>
        <v/>
      </c>
    </row>
    <row r="1018">
      <c r="K1018">
        <f>IF(A1018="","", _xludf.WEEKNUM(A1018, 2))</f>
        <v/>
      </c>
    </row>
    <row r="1019">
      <c r="K1019">
        <f>IF(A1019="","", _xludf.WEEKNUM(A1019, 2))</f>
        <v/>
      </c>
    </row>
    <row r="1020">
      <c r="K1020">
        <f>IF(A1020="","", _xludf.WEEKNUM(A1020, 2))</f>
        <v/>
      </c>
    </row>
    <row r="1021">
      <c r="K1021">
        <f>IF(A1021="","", _xludf.WEEKNUM(A1021, 2))</f>
        <v/>
      </c>
    </row>
    <row r="1022">
      <c r="K1022">
        <f>IF(A1022="","", _xludf.WEEKNUM(A1022, 2))</f>
        <v/>
      </c>
    </row>
    <row r="1023">
      <c r="K1023">
        <f>IF(A1023="","", _xludf.WEEKNUM(A1023, 2))</f>
        <v/>
      </c>
    </row>
    <row r="1024">
      <c r="K1024">
        <f>IF(A1024="","", _xludf.WEEKNUM(A1024, 2))</f>
        <v/>
      </c>
    </row>
    <row r="1025">
      <c r="K1025">
        <f>IF(A1025="","", _xludf.WEEKNUM(A1025, 2))</f>
        <v/>
      </c>
    </row>
    <row r="1026">
      <c r="K1026">
        <f>IF(A1026="","", _xludf.WEEKNUM(A1026, 2))</f>
        <v/>
      </c>
    </row>
    <row r="1027">
      <c r="K1027">
        <f>IF(A1027="","", _xludf.WEEKNUM(A1027, 2))</f>
        <v/>
      </c>
    </row>
    <row r="1028">
      <c r="K1028">
        <f>IF(A1028="","", _xludf.WEEKNUM(A1028, 2))</f>
        <v/>
      </c>
    </row>
    <row r="1029">
      <c r="K1029">
        <f>IF(A1029="","", _xludf.WEEKNUM(A1029, 2))</f>
        <v/>
      </c>
    </row>
    <row r="1030">
      <c r="K1030">
        <f>IF(A1030="","", _xludf.WEEKNUM(A1030, 2))</f>
        <v/>
      </c>
    </row>
    <row r="1031">
      <c r="K1031">
        <f>IF(A1031="","", _xludf.WEEKNUM(A1031, 2))</f>
        <v/>
      </c>
    </row>
    <row r="1032">
      <c r="K1032">
        <f>IF(A1032="","", _xludf.WEEKNUM(A1032, 2))</f>
        <v/>
      </c>
    </row>
    <row r="1033">
      <c r="K1033">
        <f>IF(A1033="","", _xludf.WEEKNUM(A1033, 2))</f>
        <v/>
      </c>
    </row>
    <row r="1034">
      <c r="K1034">
        <f>IF(A1034="","", _xludf.WEEKNUM(A1034, 2))</f>
        <v/>
      </c>
    </row>
    <row r="1035">
      <c r="K1035">
        <f>IF(A1035="","", _xludf.WEEKNUM(A1035, 2))</f>
        <v/>
      </c>
    </row>
    <row r="1036">
      <c r="K1036">
        <f>IF(A1036="","", _xludf.WEEKNUM(A1036, 2))</f>
        <v/>
      </c>
    </row>
    <row r="1037">
      <c r="K1037">
        <f>IF(A1037="","", _xludf.WEEKNUM(A1037, 2))</f>
        <v/>
      </c>
    </row>
    <row r="1038">
      <c r="K1038">
        <f>IF(A1038="","", _xludf.WEEKNUM(A1038, 2))</f>
        <v/>
      </c>
    </row>
    <row r="1039">
      <c r="K1039">
        <f>IF(A1039="","", _xludf.WEEKNUM(A1039, 2))</f>
        <v/>
      </c>
    </row>
    <row r="1040">
      <c r="K1040">
        <f>IF(A1040="","", _xludf.WEEKNUM(A1040, 2))</f>
        <v/>
      </c>
    </row>
    <row r="1041">
      <c r="K1041">
        <f>IF(A1041="","", _xludf.WEEKNUM(A1041, 2))</f>
        <v/>
      </c>
    </row>
    <row r="1042">
      <c r="K1042">
        <f>IF(A1042="","", _xludf.WEEKNUM(A1042, 2))</f>
        <v/>
      </c>
    </row>
    <row r="1043">
      <c r="K1043">
        <f>IF(A1043="","", _xludf.WEEKNUM(A1043, 2))</f>
        <v/>
      </c>
    </row>
    <row r="1044">
      <c r="K1044">
        <f>IF(A1044="","", _xludf.WEEKNUM(A1044, 2))</f>
        <v/>
      </c>
    </row>
    <row r="1045">
      <c r="K1045">
        <f>IF(A1045="","", _xludf.WEEKNUM(A1045, 2))</f>
        <v/>
      </c>
    </row>
    <row r="1046">
      <c r="K1046">
        <f>IF(A1046="","", _xludf.WEEKNUM(A1046, 2))</f>
        <v/>
      </c>
    </row>
    <row r="1047">
      <c r="K1047">
        <f>IF(A1047="","", _xludf.WEEKNUM(A1047, 2))</f>
        <v/>
      </c>
    </row>
    <row r="1048">
      <c r="K1048">
        <f>IF(A1048="","", _xludf.WEEKNUM(A1048, 2))</f>
        <v/>
      </c>
    </row>
    <row r="1049">
      <c r="K1049">
        <f>IF(A1049="","", _xludf.WEEKNUM(A1049, 2))</f>
        <v/>
      </c>
    </row>
    <row r="1050">
      <c r="K1050">
        <f>IF(A1050="","", _xludf.WEEKNUM(A1050, 2))</f>
        <v/>
      </c>
    </row>
    <row r="1051">
      <c r="K1051">
        <f>IF(A1051="","", _xludf.WEEKNUM(A1051, 2))</f>
        <v/>
      </c>
    </row>
    <row r="1052">
      <c r="K1052">
        <f>IF(A1052="","", _xludf.WEEKNUM(A1052, 2))</f>
        <v/>
      </c>
    </row>
    <row r="1053">
      <c r="K1053">
        <f>IF(A1053="","", _xludf.WEEKNUM(A1053, 2))</f>
        <v/>
      </c>
    </row>
    <row r="1054">
      <c r="K1054">
        <f>IF(A1054="","", _xludf.WEEKNUM(A1054, 2))</f>
        <v/>
      </c>
    </row>
    <row r="1055">
      <c r="K1055">
        <f>IF(A1055="","", _xludf.WEEKNUM(A1055, 2))</f>
        <v/>
      </c>
    </row>
    <row r="1056">
      <c r="K1056">
        <f>IF(A1056="","", _xludf.WEEKNUM(A1056, 2))</f>
        <v/>
      </c>
    </row>
    <row r="1057">
      <c r="K1057">
        <f>IF(A1057="","", _xludf.WEEKNUM(A1057, 2))</f>
        <v/>
      </c>
    </row>
    <row r="1058">
      <c r="K1058">
        <f>IF(A1058="","", _xludf.WEEKNUM(A1058, 2))</f>
        <v/>
      </c>
    </row>
    <row r="1059">
      <c r="K1059">
        <f>IF(A1059="","", _xludf.WEEKNUM(A1059, 2))</f>
        <v/>
      </c>
    </row>
    <row r="1060">
      <c r="K1060">
        <f>IF(A1060="","", _xludf.WEEKNUM(A1060, 2))</f>
        <v/>
      </c>
    </row>
    <row r="1061">
      <c r="K1061">
        <f>IF(A1061="","", _xludf.WEEKNUM(A1061, 2))</f>
        <v/>
      </c>
    </row>
    <row r="1062">
      <c r="K1062">
        <f>IF(A1062="","", _xludf.WEEKNUM(A1062, 2))</f>
        <v/>
      </c>
    </row>
    <row r="1063">
      <c r="K1063">
        <f>IF(A1063="","", _xludf.WEEKNUM(A1063, 2))</f>
        <v/>
      </c>
    </row>
    <row r="1064">
      <c r="K1064">
        <f>IF(A1064="","", _xludf.WEEKNUM(A1064, 2))</f>
        <v/>
      </c>
    </row>
    <row r="1065">
      <c r="K1065">
        <f>IF(A1065="","", _xludf.WEEKNUM(A1065, 2))</f>
        <v/>
      </c>
    </row>
    <row r="1066">
      <c r="K1066">
        <f>IF(A1066="","", _xludf.WEEKNUM(A1066, 2))</f>
        <v/>
      </c>
    </row>
    <row r="1067">
      <c r="K1067">
        <f>IF(A1067="","", _xludf.WEEKNUM(A1067, 2))</f>
        <v/>
      </c>
    </row>
    <row r="1068">
      <c r="K1068">
        <f>IF(A1068="","", _xludf.WEEKNUM(A1068, 2))</f>
        <v/>
      </c>
    </row>
    <row r="1069">
      <c r="K1069">
        <f>IF(A1069="","", _xludf.WEEKNUM(A1069, 2))</f>
        <v/>
      </c>
    </row>
    <row r="1070">
      <c r="K1070">
        <f>IF(A1070="","", _xludf.WEEKNUM(A1070, 2))</f>
        <v/>
      </c>
    </row>
    <row r="1071">
      <c r="K1071">
        <f>IF(A1071="","", _xludf.WEEKNUM(A1071, 2))</f>
        <v/>
      </c>
    </row>
    <row r="1072">
      <c r="K1072">
        <f>IF(A1072="","", _xludf.WEEKNUM(A1072, 2))</f>
        <v/>
      </c>
    </row>
    <row r="1073">
      <c r="K1073">
        <f>IF(A1073="","", _xludf.WEEKNUM(A1073, 2))</f>
        <v/>
      </c>
    </row>
    <row r="1074">
      <c r="K1074">
        <f>IF(A1074="","", _xludf.WEEKNUM(A1074, 2))</f>
        <v/>
      </c>
    </row>
    <row r="1075">
      <c r="K1075">
        <f>IF(A1075="","", _xludf.WEEKNUM(A1075, 2))</f>
        <v/>
      </c>
    </row>
    <row r="1076">
      <c r="K1076">
        <f>IF(A1076="","", _xludf.WEEKNUM(A1076, 2))</f>
        <v/>
      </c>
    </row>
    <row r="1077">
      <c r="K1077">
        <f>IF(A1077="","", _xludf.WEEKNUM(A1077, 2))</f>
        <v/>
      </c>
    </row>
    <row r="1078">
      <c r="K1078">
        <f>IF(A1078="","", _xludf.WEEKNUM(A1078, 2))</f>
        <v/>
      </c>
    </row>
    <row r="1079">
      <c r="K1079">
        <f>IF(A1079="","", _xludf.WEEKNUM(A1079, 2))</f>
        <v/>
      </c>
    </row>
    <row r="1080">
      <c r="K1080">
        <f>IF(A1080="","", _xludf.WEEKNUM(A1080, 2))</f>
        <v/>
      </c>
    </row>
    <row r="1081">
      <c r="K1081">
        <f>IF(A1081="","", _xludf.WEEKNUM(A1081, 2))</f>
        <v/>
      </c>
    </row>
    <row r="1082">
      <c r="K1082">
        <f>IF(A1082="","", _xludf.WEEKNUM(A1082, 2))</f>
        <v/>
      </c>
    </row>
    <row r="1083">
      <c r="K1083">
        <f>IF(A1083="","", _xludf.WEEKNUM(A1083, 2))</f>
        <v/>
      </c>
    </row>
    <row r="1084">
      <c r="K1084">
        <f>IF(A1084="","", _xludf.WEEKNUM(A1084, 2))</f>
        <v/>
      </c>
    </row>
    <row r="1085">
      <c r="K1085">
        <f>IF(A1085="","", _xludf.WEEKNUM(A1085, 2))</f>
        <v/>
      </c>
    </row>
    <row r="1086">
      <c r="K1086">
        <f>IF(A1086="","", _xludf.WEEKNUM(A1086, 2))</f>
        <v/>
      </c>
    </row>
    <row r="1087">
      <c r="K1087">
        <f>IF(A1087="","", _xludf.WEEKNUM(A1087, 2))</f>
        <v/>
      </c>
    </row>
    <row r="1088">
      <c r="K1088">
        <f>IF(A1088="","", _xludf.WEEKNUM(A1088, 2))</f>
        <v/>
      </c>
    </row>
    <row r="1089">
      <c r="K1089">
        <f>IF(A1089="","", _xludf.WEEKNUM(A1089, 2))</f>
        <v/>
      </c>
    </row>
    <row r="1090">
      <c r="K1090">
        <f>IF(A1090="","", _xludf.WEEKNUM(A1090, 2))</f>
        <v/>
      </c>
    </row>
    <row r="1091">
      <c r="K1091">
        <f>IF(A1091="","", _xludf.WEEKNUM(A1091, 2))</f>
        <v/>
      </c>
    </row>
    <row r="1092">
      <c r="K1092">
        <f>IF(A1092="","", _xludf.WEEKNUM(A1092, 2))</f>
        <v/>
      </c>
    </row>
    <row r="1093">
      <c r="K1093">
        <f>IF(A1093="","", _xludf.WEEKNUM(A1093, 2))</f>
        <v/>
      </c>
    </row>
    <row r="1094">
      <c r="K1094">
        <f>IF(A1094="","", _xludf.WEEKNUM(A1094, 2))</f>
        <v/>
      </c>
    </row>
    <row r="1095">
      <c r="K1095">
        <f>IF(A1095="","", _xludf.WEEKNUM(A1095, 2))</f>
        <v/>
      </c>
    </row>
    <row r="1096">
      <c r="K1096">
        <f>IF(A1096="","", _xludf.WEEKNUM(A1096, 2))</f>
        <v/>
      </c>
    </row>
    <row r="1097">
      <c r="K1097">
        <f>IF(A1097="","", _xludf.WEEKNUM(A1097, 2))</f>
        <v/>
      </c>
    </row>
    <row r="1098">
      <c r="K1098">
        <f>IF(A1098="","", _xludf.WEEKNUM(A1098, 2))</f>
        <v/>
      </c>
    </row>
    <row r="1099">
      <c r="K1099">
        <f>IF(A1099="","", _xludf.WEEKNUM(A1099, 2))</f>
        <v/>
      </c>
    </row>
    <row r="1100">
      <c r="K1100">
        <f>IF(A1100="","", _xludf.WEEKNUM(A1100, 2))</f>
        <v/>
      </c>
    </row>
    <row r="1101">
      <c r="K1101">
        <f>IF(A1101="","", _xludf.WEEKNUM(A1101, 2))</f>
        <v/>
      </c>
    </row>
    <row r="1102">
      <c r="K1102">
        <f>IF(A1102="","", _xludf.WEEKNUM(A1102, 2))</f>
        <v/>
      </c>
    </row>
    <row r="1103">
      <c r="K1103">
        <f>IF(A1103="","", _xludf.WEEKNUM(A1103, 2))</f>
        <v/>
      </c>
    </row>
    <row r="1104">
      <c r="K1104">
        <f>IF(A1104="","", _xludf.WEEKNUM(A1104, 2))</f>
        <v/>
      </c>
    </row>
    <row r="1105">
      <c r="K1105">
        <f>IF(A1105="","", _xludf.WEEKNUM(A1105, 2))</f>
        <v/>
      </c>
    </row>
    <row r="1106">
      <c r="K1106">
        <f>IF(A1106="","", _xludf.WEEKNUM(A1106, 2))</f>
        <v/>
      </c>
    </row>
    <row r="1107">
      <c r="K1107">
        <f>IF(A1107="","", _xludf.WEEKNUM(A1107, 2))</f>
        <v/>
      </c>
    </row>
    <row r="1108">
      <c r="K1108">
        <f>IF(A1108="","", _xludf.WEEKNUM(A1108, 2))</f>
        <v/>
      </c>
    </row>
    <row r="1109">
      <c r="K1109">
        <f>IF(A1109="","", _xludf.WEEKNUM(A1109, 2))</f>
        <v/>
      </c>
    </row>
    <row r="1110">
      <c r="K1110">
        <f>IF(A1110="","", _xludf.WEEKNUM(A1110, 2))</f>
        <v/>
      </c>
    </row>
    <row r="1111">
      <c r="K1111">
        <f>IF(A1111="","", _xludf.WEEKNUM(A1111, 2))</f>
        <v/>
      </c>
    </row>
    <row r="1112">
      <c r="K1112">
        <f>IF(A1112="","", _xludf.WEEKNUM(A1112, 2))</f>
        <v/>
      </c>
    </row>
    <row r="1113">
      <c r="K1113">
        <f>IF(A1113="","", _xludf.WEEKNUM(A1113, 2))</f>
        <v/>
      </c>
    </row>
    <row r="1114">
      <c r="K1114">
        <f>IF(A1114="","", _xludf.WEEKNUM(A1114, 2))</f>
        <v/>
      </c>
    </row>
    <row r="1115">
      <c r="K1115">
        <f>IF(A1115="","", _xludf.WEEKNUM(A1115, 2))</f>
        <v/>
      </c>
    </row>
    <row r="1116">
      <c r="K1116">
        <f>IF(A1116="","", _xludf.WEEKNUM(A1116, 2))</f>
        <v/>
      </c>
    </row>
    <row r="1117">
      <c r="K1117">
        <f>IF(A1117="","", _xludf.WEEKNUM(A1117, 2))</f>
        <v/>
      </c>
    </row>
    <row r="1118">
      <c r="K1118">
        <f>IF(A1118="","", _xludf.WEEKNUM(A1118, 2))</f>
        <v/>
      </c>
    </row>
    <row r="1119">
      <c r="K1119">
        <f>IF(A1119="","", _xludf.WEEKNUM(A1119, 2))</f>
        <v/>
      </c>
    </row>
    <row r="1120">
      <c r="K1120">
        <f>IF(A1120="","", _xludf.WEEKNUM(A1120, 2))</f>
        <v/>
      </c>
    </row>
    <row r="1121">
      <c r="K1121">
        <f>IF(A1121="","", _xludf.WEEKNUM(A1121, 2))</f>
        <v/>
      </c>
    </row>
    <row r="1122">
      <c r="K1122">
        <f>IF(A1122="","", _xludf.WEEKNUM(A1122, 2))</f>
        <v/>
      </c>
    </row>
    <row r="1123">
      <c r="K1123">
        <f>IF(A1123="","", _xludf.WEEKNUM(A1123, 2))</f>
        <v/>
      </c>
    </row>
    <row r="1124">
      <c r="K1124">
        <f>IF(A1124="","", _xludf.WEEKNUM(A1124, 2))</f>
        <v/>
      </c>
    </row>
    <row r="1125">
      <c r="K1125">
        <f>IF(A1125="","", _xludf.WEEKNUM(A1125, 2))</f>
        <v/>
      </c>
    </row>
    <row r="1126">
      <c r="K1126">
        <f>IF(A1126="","", _xludf.WEEKNUM(A1126, 2))</f>
        <v/>
      </c>
    </row>
    <row r="1127">
      <c r="K1127">
        <f>IF(A1127="","", _xludf.WEEKNUM(A1127, 2))</f>
        <v/>
      </c>
    </row>
    <row r="1128">
      <c r="K1128">
        <f>IF(A1128="","", _xludf.WEEKNUM(A1128, 2))</f>
        <v/>
      </c>
    </row>
    <row r="1129">
      <c r="K1129">
        <f>IF(A1129="","", _xludf.WEEKNUM(A1129, 2))</f>
        <v/>
      </c>
    </row>
    <row r="1130">
      <c r="K1130">
        <f>IF(A1130="","", _xludf.WEEKNUM(A1130, 2))</f>
        <v/>
      </c>
    </row>
    <row r="1131">
      <c r="K1131">
        <f>IF(A1131="","", _xludf.WEEKNUM(A1131, 2))</f>
        <v/>
      </c>
    </row>
    <row r="1132">
      <c r="K1132">
        <f>IF(A1132="","", _xludf.WEEKNUM(A1132, 2))</f>
        <v/>
      </c>
    </row>
    <row r="1133">
      <c r="K1133">
        <f>IF(A1133="","", _xludf.WEEKNUM(A1133, 2))</f>
        <v/>
      </c>
    </row>
    <row r="1134">
      <c r="K1134">
        <f>IF(A1134="","", _xludf.WEEKNUM(A1134, 2))</f>
        <v/>
      </c>
    </row>
    <row r="1135">
      <c r="K1135">
        <f>IF(A1135="","", _xludf.WEEKNUM(A1135, 2))</f>
        <v/>
      </c>
    </row>
    <row r="1136">
      <c r="K1136">
        <f>IF(A1136="","", _xludf.WEEKNUM(A1136, 2))</f>
        <v/>
      </c>
    </row>
    <row r="1137">
      <c r="K1137">
        <f>IF(A1137="","", _xludf.WEEKNUM(A1137, 2))</f>
        <v/>
      </c>
    </row>
    <row r="1138">
      <c r="K1138">
        <f>IF(A1138="","", _xludf.WEEKNUM(A1138, 2))</f>
        <v/>
      </c>
    </row>
    <row r="1139">
      <c r="K1139">
        <f>IF(A1139="","", _xludf.WEEKNUM(A1139, 2))</f>
        <v/>
      </c>
    </row>
    <row r="1140">
      <c r="K1140">
        <f>IF(A1140="","", _xludf.WEEKNUM(A1140, 2))</f>
        <v/>
      </c>
    </row>
    <row r="1141">
      <c r="K1141">
        <f>IF(A1141="","", _xludf.WEEKNUM(A1141, 2))</f>
        <v/>
      </c>
    </row>
    <row r="1142">
      <c r="K1142">
        <f>IF(A1142="","", _xludf.WEEKNUM(A1142, 2))</f>
        <v/>
      </c>
    </row>
    <row r="1143">
      <c r="K1143">
        <f>IF(A1143="","", _xludf.WEEKNUM(A1143, 2))</f>
        <v/>
      </c>
    </row>
    <row r="1144">
      <c r="K1144">
        <f>IF(A1144="","", _xludf.WEEKNUM(A1144, 2))</f>
        <v/>
      </c>
    </row>
    <row r="1145">
      <c r="K1145">
        <f>IF(A1145="","", _xludf.WEEKNUM(A1145, 2))</f>
        <v/>
      </c>
    </row>
    <row r="1146">
      <c r="K1146">
        <f>IF(A1146="","", _xludf.WEEKNUM(A1146, 2))</f>
        <v/>
      </c>
    </row>
    <row r="1147">
      <c r="K1147">
        <f>IF(A1147="","", _xludf.WEEKNUM(A1147, 2))</f>
        <v/>
      </c>
    </row>
    <row r="1148">
      <c r="K1148">
        <f>IF(A1148="","", _xludf.WEEKNUM(A1148, 2))</f>
        <v/>
      </c>
    </row>
    <row r="1149">
      <c r="K1149">
        <f>IF(A1149="","", _xludf.WEEKNUM(A1149, 2))</f>
        <v/>
      </c>
    </row>
    <row r="1150">
      <c r="K1150">
        <f>IF(A1150="","", _xludf.WEEKNUM(A1150, 2))</f>
        <v/>
      </c>
    </row>
    <row r="1151">
      <c r="K1151">
        <f>IF(A1151="","", _xludf.WEEKNUM(A1151, 2))</f>
        <v/>
      </c>
    </row>
    <row r="1152">
      <c r="K1152">
        <f>IF(A1152="","", _xludf.WEEKNUM(A1152, 2))</f>
        <v/>
      </c>
    </row>
    <row r="1153">
      <c r="K1153">
        <f>IF(A1153="","", _xludf.WEEKNUM(A1153, 2))</f>
        <v/>
      </c>
    </row>
    <row r="1154">
      <c r="K1154">
        <f>IF(A1154="","", _xludf.WEEKNUM(A1154, 2))</f>
        <v/>
      </c>
    </row>
    <row r="1155">
      <c r="K1155">
        <f>IF(A1155="","", _xludf.WEEKNUM(A1155, 2))</f>
        <v/>
      </c>
    </row>
    <row r="1156">
      <c r="K1156">
        <f>IF(A1156="","", _xludf.WEEKNUM(A1156, 2))</f>
        <v/>
      </c>
    </row>
    <row r="1157">
      <c r="K1157">
        <f>IF(A1157="","", _xludf.WEEKNUM(A1157, 2))</f>
        <v/>
      </c>
    </row>
    <row r="1158">
      <c r="K1158">
        <f>IF(A1158="","", _xludf.WEEKNUM(A1158, 2))</f>
        <v/>
      </c>
    </row>
    <row r="1159">
      <c r="K1159">
        <f>IF(A1159="","", _xludf.WEEKNUM(A1159, 2))</f>
        <v/>
      </c>
    </row>
    <row r="1160">
      <c r="K1160">
        <f>IF(A1160="","", _xludf.WEEKNUM(A1160, 2))</f>
        <v/>
      </c>
    </row>
    <row r="1161">
      <c r="K1161">
        <f>IF(A1161="","", _xludf.WEEKNUM(A1161, 2))</f>
        <v/>
      </c>
    </row>
    <row r="1162">
      <c r="K1162">
        <f>IF(A1162="","", _xludf.WEEKNUM(A1162, 2))</f>
        <v/>
      </c>
    </row>
    <row r="1163">
      <c r="K1163">
        <f>IF(A1163="","", _xludf.WEEKNUM(A1163, 2))</f>
        <v/>
      </c>
    </row>
    <row r="1164">
      <c r="K1164">
        <f>IF(A1164="","", _xludf.WEEKNUM(A1164, 2))</f>
        <v/>
      </c>
    </row>
    <row r="1165">
      <c r="K1165">
        <f>IF(A1165="","", _xludf.WEEKNUM(A1165, 2))</f>
        <v/>
      </c>
    </row>
    <row r="1166">
      <c r="K1166">
        <f>IF(A1166="","", _xludf.WEEKNUM(A1166, 2))</f>
        <v/>
      </c>
    </row>
    <row r="1167">
      <c r="K1167">
        <f>IF(A1167="","", _xludf.WEEKNUM(A1167, 2))</f>
        <v/>
      </c>
    </row>
    <row r="1168">
      <c r="K1168">
        <f>IF(A1168="","", _xludf.WEEKNUM(A1168, 2))</f>
        <v/>
      </c>
    </row>
    <row r="1169">
      <c r="K1169">
        <f>IF(A1169="","", _xludf.WEEKNUM(A1169, 2))</f>
        <v/>
      </c>
    </row>
    <row r="1170">
      <c r="K1170">
        <f>IF(A1170="","", _xludf.WEEKNUM(A1170, 2))</f>
        <v/>
      </c>
    </row>
    <row r="1171">
      <c r="K1171">
        <f>IF(A1171="","", _xludf.WEEKNUM(A1171, 2))</f>
        <v/>
      </c>
    </row>
    <row r="1172">
      <c r="K1172">
        <f>IF(A1172="","", _xludf.WEEKNUM(A1172, 2))</f>
        <v/>
      </c>
    </row>
    <row r="1173">
      <c r="K1173">
        <f>IF(A1173="","", _xludf.WEEKNUM(A1173, 2))</f>
        <v/>
      </c>
    </row>
    <row r="1174">
      <c r="K1174">
        <f>IF(A1174="","", _xludf.WEEKNUM(A1174, 2))</f>
        <v/>
      </c>
    </row>
    <row r="1175">
      <c r="K1175">
        <f>IF(A1175="","", _xludf.WEEKNUM(A1175, 2))</f>
        <v/>
      </c>
    </row>
    <row r="1176">
      <c r="K1176">
        <f>IF(A1176="","", _xludf.WEEKNUM(A1176, 2))</f>
        <v/>
      </c>
    </row>
    <row r="1177">
      <c r="K1177">
        <f>IF(A1177="","", _xludf.WEEKNUM(A1177, 2))</f>
        <v/>
      </c>
    </row>
    <row r="1178">
      <c r="K1178">
        <f>IF(A1178="","", _xludf.WEEKNUM(A1178, 2))</f>
        <v/>
      </c>
    </row>
    <row r="1179">
      <c r="K1179">
        <f>IF(A1179="","", _xludf.WEEKNUM(A1179, 2))</f>
        <v/>
      </c>
    </row>
    <row r="1180">
      <c r="K1180">
        <f>IF(A1180="","", _xludf.WEEKNUM(A1180, 2))</f>
        <v/>
      </c>
    </row>
    <row r="1181">
      <c r="K1181">
        <f>IF(A1181="","", _xludf.WEEKNUM(A1181, 2))</f>
        <v/>
      </c>
    </row>
    <row r="1182">
      <c r="K1182">
        <f>IF(A1182="","", _xludf.WEEKNUM(A1182, 2))</f>
        <v/>
      </c>
    </row>
    <row r="1183">
      <c r="K1183">
        <f>IF(A1183="","", _xludf.WEEKNUM(A1183, 2))</f>
        <v/>
      </c>
    </row>
    <row r="1184">
      <c r="K1184">
        <f>IF(A1184="","", _xludf.WEEKNUM(A1184, 2))</f>
        <v/>
      </c>
    </row>
    <row r="1185">
      <c r="K1185">
        <f>IF(A1185="","", _xludf.WEEKNUM(A1185, 2))</f>
        <v/>
      </c>
    </row>
    <row r="1186">
      <c r="K1186">
        <f>IF(A1186="","", _xludf.WEEKNUM(A1186, 2))</f>
        <v/>
      </c>
    </row>
    <row r="1187">
      <c r="K1187">
        <f>IF(A1187="","", _xludf.WEEKNUM(A1187, 2))</f>
        <v/>
      </c>
    </row>
    <row r="1188">
      <c r="K1188">
        <f>IF(A1188="","", _xludf.WEEKNUM(A1188, 2))</f>
        <v/>
      </c>
    </row>
    <row r="1189">
      <c r="K1189">
        <f>IF(A1189="","", _xludf.WEEKNUM(A1189, 2))</f>
        <v/>
      </c>
    </row>
    <row r="1190">
      <c r="K1190">
        <f>IF(A1190="","", _xludf.WEEKNUM(A1190, 2))</f>
        <v/>
      </c>
    </row>
    <row r="1191">
      <c r="K1191">
        <f>IF(A1191="","", _xludf.WEEKNUM(A1191, 2))</f>
        <v/>
      </c>
    </row>
    <row r="1192">
      <c r="K1192">
        <f>IF(A1192="","", _xludf.WEEKNUM(A1192, 2))</f>
        <v/>
      </c>
    </row>
    <row r="1193">
      <c r="K1193">
        <f>IF(A1193="","", _xludf.WEEKNUM(A1193, 2))</f>
        <v/>
      </c>
    </row>
    <row r="1194">
      <c r="K1194">
        <f>IF(A1194="","", _xludf.WEEKNUM(A1194, 2))</f>
        <v/>
      </c>
    </row>
    <row r="1195">
      <c r="K1195">
        <f>IF(A1195="","", _xludf.WEEKNUM(A1195, 2))</f>
        <v/>
      </c>
    </row>
    <row r="1196">
      <c r="K1196">
        <f>IF(A1196="","", _xludf.WEEKNUM(A1196, 2))</f>
        <v/>
      </c>
    </row>
    <row r="1197">
      <c r="K1197">
        <f>IF(A1197="","", _xludf.WEEKNUM(A1197, 2))</f>
        <v/>
      </c>
    </row>
    <row r="1198">
      <c r="K1198">
        <f>IF(A1198="","", _xludf.WEEKNUM(A1198, 2))</f>
        <v/>
      </c>
    </row>
    <row r="1199">
      <c r="K1199">
        <f>IF(A1199="","", _xludf.WEEKNUM(A1199, 2))</f>
        <v/>
      </c>
    </row>
    <row r="1200">
      <c r="K1200">
        <f>IF(A1200="","", _xludf.WEEKNUM(A1200, 2))</f>
        <v/>
      </c>
    </row>
    <row r="1201">
      <c r="K1201">
        <f>IF(A1201="","", _xludf.WEEKNUM(A1201, 2))</f>
        <v/>
      </c>
    </row>
    <row r="1202">
      <c r="K1202">
        <f>IF(A1202="","", _xludf.WEEKNUM(A1202, 2))</f>
        <v/>
      </c>
    </row>
    <row r="1203">
      <c r="K1203">
        <f>IF(A1203="","", _xludf.WEEKNUM(A1203, 2))</f>
        <v/>
      </c>
    </row>
    <row r="1204">
      <c r="K1204">
        <f>IF(A1204="","", _xludf.WEEKNUM(A1204, 2))</f>
        <v/>
      </c>
    </row>
    <row r="1205">
      <c r="K1205">
        <f>IF(A1205="","", _xludf.WEEKNUM(A1205, 2))</f>
        <v/>
      </c>
    </row>
    <row r="1206">
      <c r="K1206">
        <f>IF(A1206="","", _xludf.WEEKNUM(A1206, 2))</f>
        <v/>
      </c>
    </row>
    <row r="1207">
      <c r="K1207">
        <f>IF(A1207="","", _xludf.WEEKNUM(A1207, 2))</f>
        <v/>
      </c>
    </row>
    <row r="1208">
      <c r="K1208">
        <f>IF(A1208="","", _xludf.WEEKNUM(A1208, 2))</f>
        <v/>
      </c>
    </row>
    <row r="1209">
      <c r="K1209">
        <f>IF(A1209="","", _xludf.WEEKNUM(A1209, 2))</f>
        <v/>
      </c>
    </row>
    <row r="1210">
      <c r="K1210">
        <f>IF(A1210="","", _xludf.WEEKNUM(A1210, 2))</f>
        <v/>
      </c>
    </row>
    <row r="1211">
      <c r="K1211">
        <f>IF(A1211="","", _xludf.WEEKNUM(A1211, 2))</f>
        <v/>
      </c>
    </row>
    <row r="1212">
      <c r="K1212">
        <f>IF(A1212="","", _xludf.WEEKNUM(A1212, 2))</f>
        <v/>
      </c>
    </row>
    <row r="1213">
      <c r="K1213">
        <f>IF(A1213="","", _xludf.WEEKNUM(A1213, 2))</f>
        <v/>
      </c>
    </row>
    <row r="1214">
      <c r="K1214">
        <f>IF(A1214="","", _xludf.WEEKNUM(A1214, 2))</f>
        <v/>
      </c>
    </row>
    <row r="1215">
      <c r="K1215">
        <f>IF(A1215="","", _xludf.WEEKNUM(A1215, 2))</f>
        <v/>
      </c>
    </row>
    <row r="1216">
      <c r="K1216">
        <f>IF(A1216="","", _xludf.WEEKNUM(A1216, 2))</f>
        <v/>
      </c>
    </row>
    <row r="1217">
      <c r="K1217">
        <f>IF(A1217="","", _xludf.WEEKNUM(A1217, 2))</f>
        <v/>
      </c>
    </row>
    <row r="1218">
      <c r="K1218">
        <f>IF(A1218="","", _xludf.WEEKNUM(A1218, 2))</f>
        <v/>
      </c>
    </row>
    <row r="1219">
      <c r="K1219">
        <f>IF(A1219="","", _xludf.WEEKNUM(A1219, 2))</f>
        <v/>
      </c>
    </row>
    <row r="1220">
      <c r="K1220">
        <f>IF(A1220="","", _xludf.WEEKNUM(A1220, 2))</f>
        <v/>
      </c>
    </row>
    <row r="1221">
      <c r="K1221">
        <f>IF(A1221="","", _xludf.WEEKNUM(A1221, 2))</f>
        <v/>
      </c>
    </row>
    <row r="1222">
      <c r="K1222">
        <f>IF(A1222="","", _xludf.WEEKNUM(A1222, 2))</f>
        <v/>
      </c>
    </row>
    <row r="1223">
      <c r="K1223">
        <f>IF(A1223="","", _xludf.WEEKNUM(A1223, 2))</f>
        <v/>
      </c>
    </row>
    <row r="1224">
      <c r="K1224">
        <f>IF(A1224="","", _xludf.WEEKNUM(A1224, 2))</f>
        <v/>
      </c>
    </row>
    <row r="1225">
      <c r="K1225">
        <f>IF(A1225="","", _xludf.WEEKNUM(A1225, 2))</f>
        <v/>
      </c>
    </row>
    <row r="1226">
      <c r="K1226">
        <f>IF(A1226="","", _xludf.WEEKNUM(A1226, 2))</f>
        <v/>
      </c>
    </row>
    <row r="1227">
      <c r="K1227">
        <f>IF(A1227="","", _xludf.WEEKNUM(A1227, 2))</f>
        <v/>
      </c>
    </row>
    <row r="1228">
      <c r="K1228">
        <f>IF(A1228="","", _xludf.WEEKNUM(A1228, 2))</f>
        <v/>
      </c>
    </row>
    <row r="1229">
      <c r="K1229">
        <f>IF(A1229="","", _xludf.WEEKNUM(A1229, 2))</f>
        <v/>
      </c>
    </row>
    <row r="1230">
      <c r="K1230">
        <f>IF(A1230="","", _xludf.WEEKNUM(A1230, 2))</f>
        <v/>
      </c>
    </row>
    <row r="1231">
      <c r="K1231">
        <f>IF(A1231="","", _xludf.WEEKNUM(A1231, 2))</f>
        <v/>
      </c>
    </row>
    <row r="1232">
      <c r="K1232">
        <f>IF(A1232="","", _xludf.WEEKNUM(A1232, 2))</f>
        <v/>
      </c>
    </row>
    <row r="1233">
      <c r="K1233">
        <f>IF(A1233="","", _xludf.WEEKNUM(A1233, 2))</f>
        <v/>
      </c>
    </row>
    <row r="1234">
      <c r="K1234">
        <f>IF(A1234="","", _xludf.WEEKNUM(A1234, 2))</f>
        <v/>
      </c>
    </row>
    <row r="1235">
      <c r="K1235">
        <f>IF(A1235="","", _xludf.WEEKNUM(A1235, 2))</f>
        <v/>
      </c>
    </row>
    <row r="1236">
      <c r="K1236">
        <f>IF(A1236="","", _xludf.WEEKNUM(A1236, 2))</f>
        <v/>
      </c>
    </row>
    <row r="1237">
      <c r="K1237">
        <f>IF(A1237="","", _xludf.WEEKNUM(A1237, 2))</f>
        <v/>
      </c>
    </row>
    <row r="1238">
      <c r="K1238">
        <f>IF(A1238="","", _xludf.WEEKNUM(A1238, 2))</f>
        <v/>
      </c>
    </row>
    <row r="1239">
      <c r="K1239">
        <f>IF(A1239="","", _xludf.WEEKNUM(A1239, 2))</f>
        <v/>
      </c>
    </row>
    <row r="1240">
      <c r="K1240">
        <f>IF(A1240="","", _xludf.WEEKNUM(A1240, 2))</f>
        <v/>
      </c>
    </row>
    <row r="1241">
      <c r="K1241">
        <f>IF(A1241="","", _xludf.WEEKNUM(A1241, 2))</f>
        <v/>
      </c>
    </row>
    <row r="1242">
      <c r="K1242">
        <f>IF(A1242="","", _xludf.WEEKNUM(A1242, 2))</f>
        <v/>
      </c>
    </row>
    <row r="1243">
      <c r="K1243">
        <f>IF(A1243="","", _xludf.WEEKNUM(A1243, 2))</f>
        <v/>
      </c>
    </row>
    <row r="1244">
      <c r="K1244">
        <f>IF(A1244="","", _xludf.WEEKNUM(A1244, 2))</f>
        <v/>
      </c>
    </row>
    <row r="1245">
      <c r="K1245">
        <f>IF(A1245="","", _xludf.WEEKNUM(A1245, 2))</f>
        <v/>
      </c>
    </row>
    <row r="1246">
      <c r="K1246">
        <f>IF(A1246="","", _xludf.WEEKNUM(A1246, 2))</f>
        <v/>
      </c>
    </row>
    <row r="1247">
      <c r="K1247">
        <f>IF(A1247="","", _xludf.WEEKNUM(A1247, 2))</f>
        <v/>
      </c>
    </row>
    <row r="1248">
      <c r="K1248">
        <f>IF(A1248="","", _xludf.WEEKNUM(A1248, 2))</f>
        <v/>
      </c>
    </row>
    <row r="1249">
      <c r="K1249">
        <f>IF(A1249="","", _xludf.WEEKNUM(A1249, 2))</f>
        <v/>
      </c>
    </row>
    <row r="1250">
      <c r="K1250">
        <f>IF(A1250="","", _xludf.WEEKNUM(A1250, 2))</f>
        <v/>
      </c>
    </row>
    <row r="1251">
      <c r="K1251">
        <f>IF(A1251="","", _xludf.WEEKNUM(A1251, 2))</f>
        <v/>
      </c>
    </row>
    <row r="1252">
      <c r="K1252">
        <f>IF(A1252="","", _xludf.WEEKNUM(A1252, 2))</f>
        <v/>
      </c>
    </row>
    <row r="1253">
      <c r="K1253">
        <f>IF(A1253="","", _xludf.WEEKNUM(A1253, 2))</f>
        <v/>
      </c>
    </row>
    <row r="1254">
      <c r="K1254">
        <f>IF(A1254="","", _xludf.WEEKNUM(A1254, 2))</f>
        <v/>
      </c>
    </row>
    <row r="1255">
      <c r="K1255">
        <f>IF(A1255="","", _xludf.WEEKNUM(A1255, 2))</f>
        <v/>
      </c>
    </row>
    <row r="1256">
      <c r="K1256">
        <f>IF(A1256="","", _xludf.WEEKNUM(A1256, 2))</f>
        <v/>
      </c>
    </row>
    <row r="1257">
      <c r="K1257">
        <f>IF(A1257="","", _xludf.WEEKNUM(A1257, 2))</f>
        <v/>
      </c>
    </row>
    <row r="1258">
      <c r="K1258">
        <f>IF(A1258="","", _xludf.WEEKNUM(A1258, 2))</f>
        <v/>
      </c>
    </row>
    <row r="1259">
      <c r="K1259">
        <f>IF(A1259="","", _xludf.WEEKNUM(A1259, 2))</f>
        <v/>
      </c>
    </row>
    <row r="1260">
      <c r="K1260">
        <f>IF(A1260="","", _xludf.WEEKNUM(A1260, 2))</f>
        <v/>
      </c>
    </row>
    <row r="1261">
      <c r="K1261">
        <f>IF(A1261="","", _xludf.WEEKNUM(A1261, 2))</f>
        <v/>
      </c>
    </row>
    <row r="1262">
      <c r="K1262">
        <f>IF(A1262="","", _xludf.WEEKNUM(A1262, 2))</f>
        <v/>
      </c>
    </row>
    <row r="1263">
      <c r="K1263">
        <f>IF(A1263="","", _xludf.WEEKNUM(A1263, 2))</f>
        <v/>
      </c>
    </row>
    <row r="1264">
      <c r="K1264">
        <f>IF(A1264="","", _xludf.WEEKNUM(A1264, 2))</f>
        <v/>
      </c>
    </row>
    <row r="1265">
      <c r="K1265">
        <f>IF(A1265="","", _xludf.WEEKNUM(A1265, 2))</f>
        <v/>
      </c>
    </row>
    <row r="1266">
      <c r="K1266">
        <f>IF(A1266="","", _xludf.WEEKNUM(A1266, 2))</f>
        <v/>
      </c>
    </row>
    <row r="1267">
      <c r="K1267">
        <f>IF(A1267="","", _xludf.WEEKNUM(A1267, 2))</f>
        <v/>
      </c>
    </row>
    <row r="1268">
      <c r="K1268">
        <f>IF(A1268="","", _xludf.WEEKNUM(A1268, 2))</f>
        <v/>
      </c>
    </row>
    <row r="1269">
      <c r="K1269">
        <f>IF(A1269="","", _xludf.WEEKNUM(A1269, 2))</f>
        <v/>
      </c>
    </row>
    <row r="1270">
      <c r="K1270">
        <f>IF(A1270="","", _xludf.WEEKNUM(A1270, 2))</f>
        <v/>
      </c>
    </row>
    <row r="1271">
      <c r="K1271">
        <f>IF(A1271="","", _xludf.WEEKNUM(A1271, 2))</f>
        <v/>
      </c>
    </row>
    <row r="1272">
      <c r="K1272">
        <f>IF(A1272="","", _xludf.WEEKNUM(A1272, 2))</f>
        <v/>
      </c>
    </row>
    <row r="1273">
      <c r="K1273">
        <f>IF(A1273="","", _xludf.WEEKNUM(A1273, 2))</f>
        <v/>
      </c>
    </row>
    <row r="1274">
      <c r="K1274">
        <f>IF(A1274="","", _xludf.WEEKNUM(A1274, 2))</f>
        <v/>
      </c>
    </row>
    <row r="1275">
      <c r="K1275">
        <f>IF(A1275="","", _xludf.WEEKNUM(A1275, 2))</f>
        <v/>
      </c>
    </row>
    <row r="1276">
      <c r="K1276">
        <f>IF(A1276="","", _xludf.WEEKNUM(A1276, 2))</f>
        <v/>
      </c>
    </row>
    <row r="1277">
      <c r="K1277">
        <f>IF(A1277="","", _xludf.WEEKNUM(A1277, 2))</f>
        <v/>
      </c>
    </row>
    <row r="1278">
      <c r="K1278">
        <f>IF(A1278="","", _xludf.WEEKNUM(A1278, 2))</f>
        <v/>
      </c>
    </row>
    <row r="1279">
      <c r="K1279">
        <f>IF(A1279="","", _xludf.WEEKNUM(A1279, 2))</f>
        <v/>
      </c>
    </row>
    <row r="1280">
      <c r="K1280">
        <f>IF(A1280="","", _xludf.WEEKNUM(A1280, 2))</f>
        <v/>
      </c>
    </row>
    <row r="1281">
      <c r="K1281">
        <f>IF(A1281="","", _xludf.WEEKNUM(A1281, 2))</f>
        <v/>
      </c>
    </row>
    <row r="1282">
      <c r="K1282">
        <f>IF(A1282="","", _xludf.WEEKNUM(A1282, 2))</f>
        <v/>
      </c>
    </row>
    <row r="1283">
      <c r="K1283">
        <f>IF(A1283="","", _xludf.WEEKNUM(A1283, 2))</f>
        <v/>
      </c>
    </row>
    <row r="1284">
      <c r="K1284">
        <f>IF(A1284="","", _xludf.WEEKNUM(A1284, 2))</f>
        <v/>
      </c>
    </row>
    <row r="1285">
      <c r="K1285">
        <f>IF(A1285="","", _xludf.WEEKNUM(A1285, 2))</f>
        <v/>
      </c>
    </row>
    <row r="1286">
      <c r="K1286">
        <f>IF(A1286="","", _xludf.WEEKNUM(A1286, 2))</f>
        <v/>
      </c>
    </row>
    <row r="1287">
      <c r="K1287">
        <f>IF(A1287="","", _xludf.WEEKNUM(A1287, 2))</f>
        <v/>
      </c>
    </row>
    <row r="1288">
      <c r="K1288">
        <f>IF(A1288="","", _xludf.WEEKNUM(A1288, 2))</f>
        <v/>
      </c>
    </row>
    <row r="1289">
      <c r="K1289">
        <f>IF(A1289="","", _xludf.WEEKNUM(A1289, 2))</f>
        <v/>
      </c>
    </row>
    <row r="1290">
      <c r="K1290">
        <f>IF(A1290="","", _xludf.WEEKNUM(A1290, 2))</f>
        <v/>
      </c>
    </row>
    <row r="1291">
      <c r="K1291">
        <f>IF(A1291="","", _xludf.WEEKNUM(A1291, 2))</f>
        <v/>
      </c>
    </row>
    <row r="1292">
      <c r="K1292">
        <f>IF(A1292="","", _xludf.WEEKNUM(A1292, 2))</f>
        <v/>
      </c>
    </row>
    <row r="1293">
      <c r="K1293">
        <f>IF(A1293="","", _xludf.WEEKNUM(A1293, 2))</f>
        <v/>
      </c>
    </row>
    <row r="1294">
      <c r="K1294">
        <f>IF(A1294="","", _xludf.WEEKNUM(A1294, 2))</f>
        <v/>
      </c>
    </row>
    <row r="1295">
      <c r="K1295">
        <f>IF(A1295="","", _xludf.WEEKNUM(A1295, 2))</f>
        <v/>
      </c>
    </row>
    <row r="1296">
      <c r="K1296">
        <f>IF(A1296="","", _xludf.WEEKNUM(A1296, 2))</f>
        <v/>
      </c>
    </row>
    <row r="1297">
      <c r="K1297">
        <f>IF(A1297="","", _xludf.WEEKNUM(A1297, 2))</f>
        <v/>
      </c>
    </row>
    <row r="1298">
      <c r="K1298">
        <f>IF(A1298="","", _xludf.WEEKNUM(A1298, 2))</f>
        <v/>
      </c>
    </row>
    <row r="1299">
      <c r="K1299">
        <f>IF(A1299="","", _xludf.WEEKNUM(A1299, 2))</f>
        <v/>
      </c>
    </row>
    <row r="1300">
      <c r="K1300">
        <f>IF(A1300="","", _xludf.WEEKNUM(A1300, 2))</f>
        <v/>
      </c>
    </row>
    <row r="1301">
      <c r="K1301">
        <f>IF(A1301="","", _xludf.WEEKNUM(A1301, 2))</f>
        <v/>
      </c>
    </row>
    <row r="1302">
      <c r="K1302">
        <f>IF(A1302="","", _xludf.WEEKNUM(A1302, 2))</f>
        <v/>
      </c>
    </row>
    <row r="1303">
      <c r="K1303">
        <f>IF(A1303="","", _xludf.WEEKNUM(A1303, 2))</f>
        <v/>
      </c>
    </row>
    <row r="1304">
      <c r="K1304">
        <f>IF(A1304="","", _xludf.WEEKNUM(A1304, 2))</f>
        <v/>
      </c>
    </row>
    <row r="1305">
      <c r="K1305">
        <f>IF(A1305="","", _xludf.WEEKNUM(A1305, 2))</f>
        <v/>
      </c>
    </row>
    <row r="1306">
      <c r="K1306">
        <f>IF(A1306="","", _xludf.WEEKNUM(A1306, 2))</f>
        <v/>
      </c>
    </row>
    <row r="1307">
      <c r="K1307">
        <f>IF(A1307="","", _xludf.WEEKNUM(A1307, 2))</f>
        <v/>
      </c>
    </row>
    <row r="1308">
      <c r="K1308">
        <f>IF(A1308="","", _xludf.WEEKNUM(A1308, 2))</f>
        <v/>
      </c>
    </row>
    <row r="1309">
      <c r="K1309">
        <f>IF(A1309="","", _xludf.WEEKNUM(A1309, 2))</f>
        <v/>
      </c>
    </row>
    <row r="1310">
      <c r="K1310">
        <f>IF(A1310="","", _xludf.WEEKNUM(A1310, 2))</f>
        <v/>
      </c>
    </row>
    <row r="1311">
      <c r="K1311">
        <f>IF(A1311="","", _xludf.WEEKNUM(A1311, 2))</f>
        <v/>
      </c>
    </row>
    <row r="1312">
      <c r="K1312">
        <f>IF(A1312="","", _xludf.WEEKNUM(A1312, 2))</f>
        <v/>
      </c>
    </row>
    <row r="1313">
      <c r="K1313">
        <f>IF(A1313="","", _xludf.WEEKNUM(A1313, 2))</f>
        <v/>
      </c>
    </row>
    <row r="1314">
      <c r="K1314">
        <f>IF(A1314="","", _xludf.WEEKNUM(A1314, 2))</f>
        <v/>
      </c>
    </row>
    <row r="1315">
      <c r="K1315">
        <f>IF(A1315="","", _xludf.WEEKNUM(A1315, 2))</f>
        <v/>
      </c>
    </row>
    <row r="1316">
      <c r="K1316">
        <f>IF(A1316="","", _xludf.WEEKNUM(A1316, 2))</f>
        <v/>
      </c>
    </row>
    <row r="1317">
      <c r="K1317">
        <f>IF(A1317="","", _xludf.WEEKNUM(A1317, 2))</f>
        <v/>
      </c>
    </row>
    <row r="1318">
      <c r="K1318">
        <f>IF(A1318="","", _xludf.WEEKNUM(A1318, 2))</f>
        <v/>
      </c>
    </row>
    <row r="1319">
      <c r="K1319">
        <f>IF(A1319="","", _xludf.WEEKNUM(A1319, 2))</f>
        <v/>
      </c>
    </row>
    <row r="1320">
      <c r="K1320">
        <f>IF(A1320="","", _xludf.WEEKNUM(A1320, 2))</f>
        <v/>
      </c>
    </row>
    <row r="1321">
      <c r="K1321">
        <f>IF(A1321="","", _xludf.WEEKNUM(A1321, 2))</f>
        <v/>
      </c>
    </row>
    <row r="1322">
      <c r="K1322">
        <f>IF(A1322="","", _xludf.WEEKNUM(A1322, 2))</f>
        <v/>
      </c>
    </row>
    <row r="1323">
      <c r="K1323">
        <f>IF(A1323="","", _xludf.WEEKNUM(A1323, 2))</f>
        <v/>
      </c>
    </row>
    <row r="1324">
      <c r="K1324">
        <f>IF(A1324="","", _xludf.WEEKNUM(A1324, 2))</f>
        <v/>
      </c>
    </row>
    <row r="1325">
      <c r="K1325">
        <f>IF(A1325="","", _xludf.WEEKNUM(A1325, 2))</f>
        <v/>
      </c>
    </row>
    <row r="1326">
      <c r="K1326">
        <f>IF(A1326="","", _xludf.WEEKNUM(A1326, 2))</f>
        <v/>
      </c>
    </row>
    <row r="1327">
      <c r="K1327">
        <f>IF(A1327="","", _xludf.WEEKNUM(A1327, 2))</f>
        <v/>
      </c>
    </row>
    <row r="1328">
      <c r="K1328">
        <f>IF(A1328="","", _xludf.WEEKNUM(A1328, 2))</f>
        <v/>
      </c>
    </row>
    <row r="1329">
      <c r="K1329">
        <f>IF(A1329="","", _xludf.WEEKNUM(A1329, 2))</f>
        <v/>
      </c>
    </row>
    <row r="1330">
      <c r="K1330">
        <f>IF(A1330="","", _xludf.WEEKNUM(A1330, 2))</f>
        <v/>
      </c>
    </row>
    <row r="1331">
      <c r="K1331">
        <f>IF(A1331="","", _xludf.WEEKNUM(A1331, 2))</f>
        <v/>
      </c>
    </row>
    <row r="1332">
      <c r="K1332">
        <f>IF(A1332="","", _xludf.WEEKNUM(A1332, 2))</f>
        <v/>
      </c>
    </row>
    <row r="1333">
      <c r="K1333">
        <f>IF(A1333="","", _xludf.WEEKNUM(A1333, 2))</f>
        <v/>
      </c>
    </row>
    <row r="1334">
      <c r="K1334">
        <f>IF(A1334="","", _xludf.WEEKNUM(A1334, 2))</f>
        <v/>
      </c>
    </row>
    <row r="1335">
      <c r="K1335">
        <f>IF(A1335="","", _xludf.WEEKNUM(A1335, 2))</f>
        <v/>
      </c>
    </row>
    <row r="1336">
      <c r="K1336">
        <f>IF(A1336="","", _xludf.WEEKNUM(A1336, 2))</f>
        <v/>
      </c>
    </row>
    <row r="1337">
      <c r="K1337">
        <f>IF(A1337="","", _xludf.WEEKNUM(A1337, 2))</f>
        <v/>
      </c>
    </row>
    <row r="1338">
      <c r="K1338">
        <f>IF(A1338="","", _xludf.WEEKNUM(A1338, 2))</f>
        <v/>
      </c>
    </row>
    <row r="1339">
      <c r="K1339">
        <f>IF(A1339="","", _xludf.WEEKNUM(A1339, 2))</f>
        <v/>
      </c>
    </row>
    <row r="1340">
      <c r="K1340">
        <f>IF(A1340="","", _xludf.WEEKNUM(A1340, 2))</f>
        <v/>
      </c>
    </row>
    <row r="1341">
      <c r="K1341">
        <f>IF(A1341="","", _xludf.WEEKNUM(A1341, 2))</f>
        <v/>
      </c>
    </row>
    <row r="1342">
      <c r="K1342">
        <f>IF(A1342="","", _xludf.WEEKNUM(A1342, 2))</f>
        <v/>
      </c>
    </row>
    <row r="1343">
      <c r="K1343">
        <f>IF(A1343="","", _xludf.WEEKNUM(A1343, 2))</f>
        <v/>
      </c>
    </row>
    <row r="1344">
      <c r="K1344">
        <f>IF(A1344="","", _xludf.WEEKNUM(A1344, 2))</f>
        <v/>
      </c>
    </row>
    <row r="1345">
      <c r="K1345">
        <f>IF(A1345="","", _xludf.WEEKNUM(A1345, 2))</f>
        <v/>
      </c>
    </row>
    <row r="1346">
      <c r="K1346">
        <f>IF(A1346="","", _xludf.WEEKNUM(A1346, 2))</f>
        <v/>
      </c>
    </row>
    <row r="1347">
      <c r="K1347">
        <f>IF(A1347="","", _xludf.WEEKNUM(A1347, 2))</f>
        <v/>
      </c>
    </row>
    <row r="1348">
      <c r="K1348">
        <f>IF(A1348="","", _xludf.WEEKNUM(A1348, 2))</f>
        <v/>
      </c>
    </row>
    <row r="1349">
      <c r="K1349">
        <f>IF(A1349="","", _xludf.WEEKNUM(A1349, 2))</f>
        <v/>
      </c>
    </row>
    <row r="1350">
      <c r="K1350">
        <f>IF(A1350="","", _xludf.WEEKNUM(A1350, 2))</f>
        <v/>
      </c>
    </row>
    <row r="1351">
      <c r="K1351">
        <f>IF(A1351="","", _xludf.WEEKNUM(A1351, 2))</f>
        <v/>
      </c>
    </row>
    <row r="1352">
      <c r="K1352">
        <f>IF(A1352="","", _xludf.WEEKNUM(A1352, 2))</f>
        <v/>
      </c>
    </row>
    <row r="1353">
      <c r="K1353">
        <f>IF(A1353="","", _xludf.WEEKNUM(A1353, 2))</f>
        <v/>
      </c>
    </row>
    <row r="1354">
      <c r="K1354">
        <f>IF(A1354="","", _xludf.WEEKNUM(A1354, 2))</f>
        <v/>
      </c>
    </row>
    <row r="1355">
      <c r="K1355">
        <f>IF(A1355="","", _xludf.WEEKNUM(A1355, 2))</f>
        <v/>
      </c>
    </row>
    <row r="1356">
      <c r="K1356">
        <f>IF(A1356="","", _xludf.WEEKNUM(A1356, 2))</f>
        <v/>
      </c>
    </row>
    <row r="1357">
      <c r="K1357">
        <f>IF(A1357="","", _xludf.WEEKNUM(A1357, 2))</f>
        <v/>
      </c>
    </row>
    <row r="1358">
      <c r="K1358">
        <f>IF(A1358="","", _xludf.WEEKNUM(A1358, 2))</f>
        <v/>
      </c>
    </row>
    <row r="1359">
      <c r="K1359">
        <f>IF(A1359="","", _xludf.WEEKNUM(A1359, 2))</f>
        <v/>
      </c>
    </row>
    <row r="1360">
      <c r="K1360">
        <f>IF(A1360="","", _xludf.WEEKNUM(A1360, 2))</f>
        <v/>
      </c>
    </row>
    <row r="1361">
      <c r="K1361">
        <f>IF(A1361="","", _xludf.WEEKNUM(A1361, 2))</f>
        <v/>
      </c>
    </row>
    <row r="1362">
      <c r="K1362">
        <f>IF(A1362="","", _xludf.WEEKNUM(A1362, 2))</f>
        <v/>
      </c>
    </row>
    <row r="1363">
      <c r="K1363">
        <f>IF(A1363="","", _xludf.WEEKNUM(A1363, 2))</f>
        <v/>
      </c>
    </row>
    <row r="1364">
      <c r="K1364">
        <f>IF(A1364="","", _xludf.WEEKNUM(A1364, 2))</f>
        <v/>
      </c>
    </row>
    <row r="1365">
      <c r="K1365">
        <f>IF(A1365="","", _xludf.WEEKNUM(A1365, 2))</f>
        <v/>
      </c>
    </row>
    <row r="1366">
      <c r="K1366">
        <f>IF(A1366="","", _xludf.WEEKNUM(A1366, 2))</f>
        <v/>
      </c>
    </row>
    <row r="1367">
      <c r="K1367">
        <f>IF(A1367="","", _xludf.WEEKNUM(A1367, 2))</f>
        <v/>
      </c>
    </row>
    <row r="1368">
      <c r="K1368">
        <f>IF(A1368="","", _xludf.WEEKNUM(A1368, 2))</f>
        <v/>
      </c>
    </row>
    <row r="1369">
      <c r="K1369">
        <f>IF(A1369="","", _xludf.WEEKNUM(A1369, 2))</f>
        <v/>
      </c>
    </row>
    <row r="1370">
      <c r="K1370">
        <f>IF(A1370="","", _xludf.WEEKNUM(A1370, 2))</f>
        <v/>
      </c>
    </row>
    <row r="1371">
      <c r="K1371">
        <f>IF(A1371="","", _xludf.WEEKNUM(A1371, 2))</f>
        <v/>
      </c>
    </row>
    <row r="1372">
      <c r="K1372">
        <f>IF(A1372="","", _xludf.WEEKNUM(A1372, 2))</f>
        <v/>
      </c>
    </row>
    <row r="1373">
      <c r="K1373">
        <f>IF(A1373="","", _xludf.WEEKNUM(A1373, 2))</f>
        <v/>
      </c>
    </row>
    <row r="1374">
      <c r="K1374">
        <f>IF(A1374="","", _xludf.WEEKNUM(A1374, 2))</f>
        <v/>
      </c>
    </row>
    <row r="1375">
      <c r="K1375">
        <f>IF(A1375="","", _xludf.WEEKNUM(A1375, 2))</f>
        <v/>
      </c>
    </row>
    <row r="1376">
      <c r="K1376">
        <f>IF(A1376="","", _xludf.WEEKNUM(A1376, 2))</f>
        <v/>
      </c>
    </row>
    <row r="1377">
      <c r="K1377">
        <f>IF(A1377="","", _xludf.WEEKNUM(A1377, 2))</f>
        <v/>
      </c>
    </row>
    <row r="1378">
      <c r="K1378">
        <f>IF(A1378="","", _xludf.WEEKNUM(A1378, 2))</f>
        <v/>
      </c>
    </row>
    <row r="1379">
      <c r="K1379">
        <f>IF(A1379="","", _xludf.WEEKNUM(A1379, 2))</f>
        <v/>
      </c>
    </row>
    <row r="1380">
      <c r="K1380">
        <f>IF(A1380="","", _xludf.WEEKNUM(A1380, 2))</f>
        <v/>
      </c>
    </row>
    <row r="1381">
      <c r="K1381">
        <f>IF(A1381="","", _xludf.WEEKNUM(A1381, 2))</f>
        <v/>
      </c>
    </row>
    <row r="1382">
      <c r="K1382">
        <f>IF(A1382="","", _xludf.WEEKNUM(A1382, 2))</f>
        <v/>
      </c>
    </row>
    <row r="1383">
      <c r="K1383">
        <f>IF(A1383="","", _xludf.WEEKNUM(A1383, 2))</f>
        <v/>
      </c>
    </row>
    <row r="1384">
      <c r="K1384">
        <f>IF(A1384="","", _xludf.WEEKNUM(A1384, 2))</f>
        <v/>
      </c>
    </row>
    <row r="1385">
      <c r="K1385">
        <f>IF(A1385="","", _xludf.WEEKNUM(A1385, 2))</f>
        <v/>
      </c>
    </row>
    <row r="1386">
      <c r="K1386">
        <f>IF(A1386="","", _xludf.WEEKNUM(A1386, 2))</f>
        <v/>
      </c>
    </row>
    <row r="1387">
      <c r="K1387">
        <f>IF(A1387="","", _xludf.WEEKNUM(A1387, 2))</f>
        <v/>
      </c>
    </row>
    <row r="1388">
      <c r="K1388">
        <f>IF(A1388="","", _xludf.WEEKNUM(A1388, 2))</f>
        <v/>
      </c>
    </row>
    <row r="1389">
      <c r="K1389">
        <f>IF(A1389="","", _xludf.WEEKNUM(A1389, 2))</f>
        <v/>
      </c>
    </row>
    <row r="1390">
      <c r="K1390">
        <f>IF(A1390="","", _xludf.WEEKNUM(A1390, 2))</f>
        <v/>
      </c>
    </row>
    <row r="1391">
      <c r="K1391">
        <f>IF(A1391="","", _xludf.WEEKNUM(A1391, 2))</f>
        <v/>
      </c>
    </row>
    <row r="1392">
      <c r="K1392">
        <f>IF(A1392="","", _xludf.WEEKNUM(A1392, 2))</f>
        <v/>
      </c>
    </row>
    <row r="1393">
      <c r="K1393">
        <f>IF(A1393="","", _xludf.WEEKNUM(A1393, 2))</f>
        <v/>
      </c>
    </row>
    <row r="1394">
      <c r="K1394">
        <f>IF(A1394="","", _xludf.WEEKNUM(A1394, 2))</f>
        <v/>
      </c>
    </row>
    <row r="1395">
      <c r="K1395">
        <f>IF(A1395="","", _xludf.WEEKNUM(A1395, 2))</f>
        <v/>
      </c>
    </row>
    <row r="1396">
      <c r="K1396">
        <f>IF(A1396="","", _xludf.WEEKNUM(A1396, 2))</f>
        <v/>
      </c>
    </row>
    <row r="1397">
      <c r="K1397">
        <f>IF(A1397="","", _xludf.WEEKNUM(A1397, 2))</f>
        <v/>
      </c>
    </row>
    <row r="1398">
      <c r="K1398">
        <f>IF(A1398="","", _xludf.WEEKNUM(A1398, 2))</f>
        <v/>
      </c>
    </row>
    <row r="1399">
      <c r="K1399">
        <f>IF(A1399="","", _xludf.WEEKNUM(A1399, 2))</f>
        <v/>
      </c>
    </row>
    <row r="1400">
      <c r="K1400">
        <f>IF(A1400="","", _xludf.WEEKNUM(A1400, 2))</f>
        <v/>
      </c>
    </row>
    <row r="1401">
      <c r="K1401">
        <f>IF(A1401="","", _xludf.WEEKNUM(A1401, 2))</f>
        <v/>
      </c>
    </row>
    <row r="1402">
      <c r="K1402">
        <f>IF(A1402="","", _xludf.WEEKNUM(A1402, 2))</f>
        <v/>
      </c>
    </row>
    <row r="1403">
      <c r="K1403">
        <f>IF(A1403="","", _xludf.WEEKNUM(A1403, 2))</f>
        <v/>
      </c>
    </row>
    <row r="1404">
      <c r="K1404">
        <f>IF(A1404="","", _xludf.WEEKNUM(A1404, 2))</f>
        <v/>
      </c>
    </row>
    <row r="1405">
      <c r="K1405">
        <f>IF(A1405="","", _xludf.WEEKNUM(A1405, 2))</f>
        <v/>
      </c>
    </row>
    <row r="1406">
      <c r="K1406">
        <f>IF(A1406="","", _xludf.WEEKNUM(A1406, 2))</f>
        <v/>
      </c>
    </row>
    <row r="1407">
      <c r="K1407">
        <f>IF(A1407="","", _xludf.WEEKNUM(A1407, 2))</f>
        <v/>
      </c>
    </row>
    <row r="1408">
      <c r="K1408">
        <f>IF(A1408="","", _xludf.WEEKNUM(A1408, 2))</f>
        <v/>
      </c>
    </row>
    <row r="1409">
      <c r="K1409">
        <f>IF(A1409="","", _xludf.WEEKNUM(A1409, 2))</f>
        <v/>
      </c>
    </row>
    <row r="1410">
      <c r="K1410">
        <f>IF(A1410="","", _xludf.WEEKNUM(A1410, 2))</f>
        <v/>
      </c>
    </row>
    <row r="1411">
      <c r="K1411">
        <f>IF(A1411="","", _xludf.WEEKNUM(A1411, 2))</f>
        <v/>
      </c>
    </row>
    <row r="1412">
      <c r="K1412">
        <f>IF(A1412="","", _xludf.WEEKNUM(A1412, 2))</f>
        <v/>
      </c>
    </row>
    <row r="1413">
      <c r="K1413">
        <f>IF(A1413="","", _xludf.WEEKNUM(A1413, 2))</f>
        <v/>
      </c>
    </row>
    <row r="1414">
      <c r="K1414">
        <f>IF(A1414="","", _xludf.WEEKNUM(A1414, 2))</f>
        <v/>
      </c>
    </row>
    <row r="1415">
      <c r="K1415">
        <f>IF(A1415="","", _xludf.WEEKNUM(A1415, 2))</f>
        <v/>
      </c>
    </row>
    <row r="1416">
      <c r="K1416">
        <f>IF(A1416="","", _xludf.WEEKNUM(A1416, 2))</f>
        <v/>
      </c>
    </row>
    <row r="1417">
      <c r="K1417">
        <f>IF(A1417="","", _xludf.WEEKNUM(A1417, 2))</f>
        <v/>
      </c>
    </row>
    <row r="1418">
      <c r="K1418">
        <f>IF(A1418="","", _xludf.WEEKNUM(A1418, 2))</f>
        <v/>
      </c>
    </row>
    <row r="1419">
      <c r="K1419">
        <f>IF(A1419="","", _xludf.WEEKNUM(A1419, 2))</f>
        <v/>
      </c>
    </row>
    <row r="1420">
      <c r="K1420">
        <f>IF(A1420="","", _xludf.WEEKNUM(A1420, 2))</f>
        <v/>
      </c>
    </row>
    <row r="1421">
      <c r="K1421">
        <f>IF(A1421="","", _xludf.WEEKNUM(A1421, 2))</f>
        <v/>
      </c>
    </row>
    <row r="1422">
      <c r="K1422">
        <f>IF(A1422="","", _xludf.WEEKNUM(A1422, 2))</f>
        <v/>
      </c>
    </row>
    <row r="1423">
      <c r="K1423">
        <f>IF(A1423="","", _xludf.WEEKNUM(A1423, 2))</f>
        <v/>
      </c>
    </row>
    <row r="1424">
      <c r="K1424">
        <f>IF(A1424="","", _xludf.WEEKNUM(A1424, 2))</f>
        <v/>
      </c>
    </row>
    <row r="1425">
      <c r="K1425">
        <f>IF(A1425="","", _xludf.WEEKNUM(A1425, 2))</f>
        <v/>
      </c>
    </row>
    <row r="1426">
      <c r="K1426">
        <f>IF(A1426="","", _xludf.WEEKNUM(A1426, 2))</f>
        <v/>
      </c>
    </row>
    <row r="1427">
      <c r="K1427">
        <f>IF(A1427="","", _xludf.WEEKNUM(A1427, 2))</f>
        <v/>
      </c>
    </row>
    <row r="1428">
      <c r="K1428">
        <f>IF(A1428="","", _xludf.WEEKNUM(A1428, 2))</f>
        <v/>
      </c>
    </row>
    <row r="1429">
      <c r="K1429">
        <f>IF(A1429="","", _xludf.WEEKNUM(A1429, 2))</f>
        <v/>
      </c>
    </row>
    <row r="1430">
      <c r="K1430">
        <f>IF(A1430="","", _xludf.WEEKNUM(A1430, 2))</f>
        <v/>
      </c>
    </row>
    <row r="1431">
      <c r="K1431">
        <f>IF(A1431="","", _xludf.WEEKNUM(A1431, 2))</f>
        <v/>
      </c>
    </row>
    <row r="1432">
      <c r="K1432">
        <f>IF(A1432="","", _xludf.WEEKNUM(A1432, 2))</f>
        <v/>
      </c>
    </row>
    <row r="1433">
      <c r="K1433">
        <f>IF(A1433="","", _xludf.WEEKNUM(A1433, 2))</f>
        <v/>
      </c>
    </row>
    <row r="1434">
      <c r="K1434">
        <f>IF(A1434="","", _xludf.WEEKNUM(A1434, 2))</f>
        <v/>
      </c>
    </row>
    <row r="1435">
      <c r="K1435">
        <f>IF(A1435="","", _xludf.WEEKNUM(A1435, 2))</f>
        <v/>
      </c>
    </row>
    <row r="1436">
      <c r="K1436">
        <f>IF(A1436="","", _xludf.WEEKNUM(A1436, 2))</f>
        <v/>
      </c>
    </row>
    <row r="1437">
      <c r="K1437">
        <f>IF(A1437="","", _xludf.WEEKNUM(A1437, 2))</f>
        <v/>
      </c>
    </row>
    <row r="1438">
      <c r="K1438">
        <f>IF(A1438="","", _xludf.WEEKNUM(A1438, 2))</f>
        <v/>
      </c>
    </row>
    <row r="1439">
      <c r="K1439">
        <f>IF(A1439="","", _xludf.WEEKNUM(A1439, 2))</f>
        <v/>
      </c>
    </row>
    <row r="1440">
      <c r="K1440">
        <f>IF(A1440="","", _xludf.WEEKNUM(A1440, 2))</f>
        <v/>
      </c>
    </row>
    <row r="1441">
      <c r="K1441">
        <f>IF(A1441="","", _xludf.WEEKNUM(A1441, 2))</f>
        <v/>
      </c>
    </row>
    <row r="1442">
      <c r="K1442">
        <f>IF(A1442="","", _xludf.WEEKNUM(A1442, 2))</f>
        <v/>
      </c>
    </row>
    <row r="1443">
      <c r="K1443">
        <f>IF(A1443="","", _xludf.WEEKNUM(A1443, 2))</f>
        <v/>
      </c>
    </row>
    <row r="1444">
      <c r="K1444">
        <f>IF(A1444="","", _xludf.WEEKNUM(A1444, 2))</f>
        <v/>
      </c>
    </row>
    <row r="1445">
      <c r="K1445">
        <f>IF(A1445="","", _xludf.WEEKNUM(A1445, 2))</f>
        <v/>
      </c>
    </row>
    <row r="1446">
      <c r="K1446">
        <f>IF(A1446="","", _xludf.WEEKNUM(A1446, 2))</f>
        <v/>
      </c>
    </row>
    <row r="1447">
      <c r="K1447">
        <f>IF(A1447="","", _xludf.WEEKNUM(A1447, 2))</f>
        <v/>
      </c>
    </row>
    <row r="1448">
      <c r="K1448">
        <f>IF(A1448="","", _xludf.WEEKNUM(A1448, 2))</f>
        <v/>
      </c>
    </row>
    <row r="1449">
      <c r="K1449">
        <f>IF(A1449="","", _xludf.WEEKNUM(A1449, 2))</f>
        <v/>
      </c>
    </row>
    <row r="1450">
      <c r="K1450">
        <f>IF(A1450="","", _xludf.WEEKNUM(A1450, 2))</f>
        <v/>
      </c>
    </row>
    <row r="1451">
      <c r="K1451">
        <f>IF(A1451="","", _xludf.WEEKNUM(A1451, 2))</f>
        <v/>
      </c>
    </row>
    <row r="1452">
      <c r="K1452">
        <f>IF(A1452="","", _xludf.WEEKNUM(A1452, 2))</f>
        <v/>
      </c>
    </row>
    <row r="1453">
      <c r="K1453">
        <f>IF(A1453="","", _xludf.WEEKNUM(A1453, 2))</f>
        <v/>
      </c>
    </row>
    <row r="1454">
      <c r="K1454">
        <f>IF(A1454="","", _xludf.WEEKNUM(A1454, 2))</f>
        <v/>
      </c>
    </row>
    <row r="1455">
      <c r="K1455">
        <f>IF(A1455="","", _xludf.WEEKNUM(A1455, 2))</f>
        <v/>
      </c>
    </row>
    <row r="1456">
      <c r="K1456">
        <f>IF(A1456="","", _xludf.WEEKNUM(A1456, 2))</f>
        <v/>
      </c>
    </row>
    <row r="1457">
      <c r="K1457">
        <f>IF(A1457="","", _xludf.WEEKNUM(A1457, 2))</f>
        <v/>
      </c>
    </row>
    <row r="1458">
      <c r="K1458">
        <f>IF(A1458="","", _xludf.WEEKNUM(A1458, 2))</f>
        <v/>
      </c>
    </row>
    <row r="1459">
      <c r="K1459">
        <f>IF(A1459="","", _xludf.WEEKNUM(A1459, 2))</f>
        <v/>
      </c>
    </row>
    <row r="1460">
      <c r="K1460">
        <f>IF(A1460="","", _xludf.WEEKNUM(A1460, 2))</f>
        <v/>
      </c>
    </row>
    <row r="1461">
      <c r="K1461">
        <f>IF(A1461="","", _xludf.WEEKNUM(A1461, 2))</f>
        <v/>
      </c>
    </row>
    <row r="1462">
      <c r="K1462">
        <f>IF(A1462="","", _xludf.WEEKNUM(A1462, 2))</f>
        <v/>
      </c>
    </row>
    <row r="1463">
      <c r="K1463">
        <f>IF(A1463="","", _xludf.WEEKNUM(A1463, 2))</f>
        <v/>
      </c>
    </row>
    <row r="1464">
      <c r="K1464">
        <f>IF(A1464="","", _xludf.WEEKNUM(A1464, 2))</f>
        <v/>
      </c>
    </row>
    <row r="1465">
      <c r="K1465">
        <f>IF(A1465="","", _xludf.WEEKNUM(A1465, 2))</f>
        <v/>
      </c>
    </row>
    <row r="1466">
      <c r="K1466">
        <f>IF(A1466="","", _xludf.WEEKNUM(A1466, 2))</f>
        <v/>
      </c>
    </row>
    <row r="1467">
      <c r="K1467">
        <f>IF(A1467="","", _xludf.WEEKNUM(A1467, 2))</f>
        <v/>
      </c>
    </row>
    <row r="1468">
      <c r="K1468">
        <f>IF(A1468="","", _xludf.WEEKNUM(A1468, 2))</f>
        <v/>
      </c>
    </row>
    <row r="1469">
      <c r="K1469">
        <f>IF(A1469="","", _xludf.WEEKNUM(A1469, 2))</f>
        <v/>
      </c>
    </row>
    <row r="1470">
      <c r="K1470">
        <f>IF(A1470="","", _xludf.WEEKNUM(A1470, 2))</f>
        <v/>
      </c>
    </row>
    <row r="1471">
      <c r="K1471">
        <f>IF(A1471="","", _xludf.WEEKNUM(A1471, 2))</f>
        <v/>
      </c>
    </row>
    <row r="1472">
      <c r="K1472">
        <f>IF(A1472="","", _xludf.WEEKNUM(A1472, 2))</f>
        <v/>
      </c>
    </row>
    <row r="1473">
      <c r="K1473">
        <f>IF(A1473="","", _xludf.WEEKNUM(A1473, 2))</f>
        <v/>
      </c>
    </row>
    <row r="1474">
      <c r="K1474">
        <f>IF(A1474="","", _xludf.WEEKNUM(A1474, 2))</f>
        <v/>
      </c>
    </row>
    <row r="1475">
      <c r="K1475">
        <f>IF(A1475="","", _xludf.WEEKNUM(A1475, 2))</f>
        <v/>
      </c>
    </row>
    <row r="1476">
      <c r="K1476">
        <f>IF(A1476="","", _xludf.WEEKNUM(A1476, 2))</f>
        <v/>
      </c>
    </row>
    <row r="1477">
      <c r="K1477">
        <f>IF(A1477="","", _xludf.WEEKNUM(A1477, 2))</f>
        <v/>
      </c>
    </row>
    <row r="1478">
      <c r="K1478">
        <f>IF(A1478="","", _xludf.WEEKNUM(A1478, 2))</f>
        <v/>
      </c>
    </row>
    <row r="1479">
      <c r="K1479">
        <f>IF(A1479="","", _xludf.WEEKNUM(A1479, 2))</f>
        <v/>
      </c>
    </row>
    <row r="1480">
      <c r="K1480">
        <f>IF(A1480="","", _xludf.WEEKNUM(A1480, 2))</f>
        <v/>
      </c>
    </row>
    <row r="1481">
      <c r="K1481">
        <f>IF(A1481="","", _xludf.WEEKNUM(A1481, 2))</f>
        <v/>
      </c>
    </row>
    <row r="1482">
      <c r="K1482">
        <f>IF(A1482="","", _xludf.WEEKNUM(A1482, 2))</f>
        <v/>
      </c>
    </row>
    <row r="1483">
      <c r="K1483">
        <f>IF(A1483="","", _xludf.WEEKNUM(A1483, 2))</f>
        <v/>
      </c>
    </row>
    <row r="1484">
      <c r="K1484">
        <f>IF(A1484="","", _xludf.WEEKNUM(A1484, 2))</f>
        <v/>
      </c>
    </row>
    <row r="1485">
      <c r="K1485">
        <f>IF(A1485="","", _xludf.WEEKNUM(A1485, 2))</f>
        <v/>
      </c>
    </row>
    <row r="1486">
      <c r="K1486">
        <f>IF(A1486="","", _xludf.WEEKNUM(A1486, 2))</f>
        <v/>
      </c>
    </row>
    <row r="1487">
      <c r="K1487">
        <f>IF(A1487="","", _xludf.WEEKNUM(A1487, 2))</f>
        <v/>
      </c>
    </row>
    <row r="1488">
      <c r="K1488">
        <f>IF(A1488="","", _xludf.WEEKNUM(A1488, 2))</f>
        <v/>
      </c>
    </row>
    <row r="1489">
      <c r="K1489">
        <f>IF(A1489="","", _xludf.WEEKNUM(A1489, 2))</f>
        <v/>
      </c>
    </row>
    <row r="1490">
      <c r="K1490">
        <f>IF(A1490="","", _xludf.WEEKNUM(A1490, 2))</f>
        <v/>
      </c>
    </row>
    <row r="1491">
      <c r="K1491">
        <f>IF(A1491="","", _xludf.WEEKNUM(A1491, 2))</f>
        <v/>
      </c>
    </row>
    <row r="1492">
      <c r="K1492">
        <f>IF(A1492="","", _xludf.WEEKNUM(A1492, 2))</f>
        <v/>
      </c>
    </row>
    <row r="1493">
      <c r="K1493">
        <f>IF(A1493="","", _xludf.WEEKNUM(A1493, 2))</f>
        <v/>
      </c>
    </row>
    <row r="1494">
      <c r="K1494">
        <f>IF(A1494="","", _xludf.WEEKNUM(A1494, 2))</f>
        <v/>
      </c>
    </row>
    <row r="1495">
      <c r="K1495">
        <f>IF(A1495="","", _xludf.WEEKNUM(A1495, 2))</f>
        <v/>
      </c>
    </row>
    <row r="1496">
      <c r="K1496">
        <f>IF(A1496="","", _xludf.WEEKNUM(A1496, 2))</f>
        <v/>
      </c>
    </row>
    <row r="1497">
      <c r="K1497">
        <f>IF(A1497="","", _xludf.WEEKNUM(A1497, 2))</f>
        <v/>
      </c>
    </row>
    <row r="1498">
      <c r="K1498">
        <f>IF(A1498="","", _xludf.WEEKNUM(A1498, 2))</f>
        <v/>
      </c>
    </row>
    <row r="1499">
      <c r="K1499">
        <f>IF(A1499="","", _xludf.WEEKNUM(A1499, 2))</f>
        <v/>
      </c>
    </row>
    <row r="1500">
      <c r="K1500">
        <f>IF(A1500="","", _xludf.WEEKNUM(A1500, 2))</f>
        <v/>
      </c>
    </row>
    <row r="1501">
      <c r="K1501">
        <f>IF(A1501="","", _xludf.WEEKNUM(A1501, 2))</f>
        <v/>
      </c>
    </row>
    <row r="1502">
      <c r="K1502">
        <f>IF(A1502="","", _xludf.WEEKNUM(A1502, 2))</f>
        <v/>
      </c>
    </row>
    <row r="1503">
      <c r="K1503">
        <f>IF(A1503="","", _xludf.WEEKNUM(A1503, 2))</f>
        <v/>
      </c>
    </row>
    <row r="1504">
      <c r="K1504">
        <f>IF(A1504="","", _xludf.WEEKNUM(A1504, 2))</f>
        <v/>
      </c>
    </row>
    <row r="1505">
      <c r="K1505">
        <f>IF(A1505="","", _xludf.WEEKNUM(A1505, 2))</f>
        <v/>
      </c>
    </row>
    <row r="1506">
      <c r="K1506">
        <f>IF(A1506="","", _xludf.WEEKNUM(A1506, 2))</f>
        <v/>
      </c>
    </row>
    <row r="1507">
      <c r="K1507">
        <f>IF(A1507="","", _xludf.WEEKNUM(A1507, 2))</f>
        <v/>
      </c>
    </row>
    <row r="1508">
      <c r="K1508">
        <f>IF(A1508="","", _xludf.WEEKNUM(A1508, 2))</f>
        <v/>
      </c>
    </row>
    <row r="1509">
      <c r="K1509">
        <f>IF(A1509="","", _xludf.WEEKNUM(A1509, 2))</f>
        <v/>
      </c>
    </row>
    <row r="1510">
      <c r="K1510">
        <f>IF(A1510="","", _xludf.WEEKNUM(A1510, 2))</f>
        <v/>
      </c>
    </row>
    <row r="1511">
      <c r="K1511">
        <f>IF(A1511="","", _xludf.WEEKNUM(A1511, 2))</f>
        <v/>
      </c>
    </row>
    <row r="1512">
      <c r="K1512">
        <f>IF(A1512="","", _xludf.WEEKNUM(A1512, 2))</f>
        <v/>
      </c>
    </row>
    <row r="1513">
      <c r="K1513">
        <f>IF(A1513="","", _xludf.WEEKNUM(A1513, 2))</f>
        <v/>
      </c>
    </row>
    <row r="1514">
      <c r="K1514">
        <f>IF(A1514="","", _xludf.WEEKNUM(A1514, 2))</f>
        <v/>
      </c>
    </row>
    <row r="1515">
      <c r="K1515">
        <f>IF(A1515="","", _xludf.WEEKNUM(A1515, 2))</f>
        <v/>
      </c>
    </row>
    <row r="1516">
      <c r="K1516">
        <f>IF(A1516="","", _xludf.WEEKNUM(A1516, 2))</f>
        <v/>
      </c>
    </row>
    <row r="1517">
      <c r="K1517">
        <f>IF(A1517="","", _xludf.WEEKNUM(A1517, 2))</f>
        <v/>
      </c>
    </row>
    <row r="1518">
      <c r="K1518">
        <f>IF(A1518="","", _xludf.WEEKNUM(A1518, 2))</f>
        <v/>
      </c>
    </row>
    <row r="1519">
      <c r="K1519">
        <f>IF(A1519="","", _xludf.WEEKNUM(A1519, 2))</f>
        <v/>
      </c>
    </row>
    <row r="1520">
      <c r="K1520">
        <f>IF(A1520="","", _xludf.WEEKNUM(A1520, 2))</f>
        <v/>
      </c>
    </row>
    <row r="1521">
      <c r="K1521">
        <f>IF(A1521="","", _xludf.WEEKNUM(A1521, 2))</f>
        <v/>
      </c>
    </row>
    <row r="1522">
      <c r="K1522">
        <f>IF(A1522="","", _xludf.WEEKNUM(A1522, 2))</f>
        <v/>
      </c>
    </row>
    <row r="1523">
      <c r="K1523">
        <f>IF(A1523="","", _xludf.WEEKNUM(A1523, 2))</f>
        <v/>
      </c>
    </row>
    <row r="1524">
      <c r="K1524">
        <f>IF(A1524="","", _xludf.WEEKNUM(A1524, 2))</f>
        <v/>
      </c>
    </row>
    <row r="1525">
      <c r="K1525">
        <f>IF(A1525="","", _xludf.WEEKNUM(A1525, 2))</f>
        <v/>
      </c>
    </row>
    <row r="1526">
      <c r="K1526">
        <f>IF(A1526="","", _xludf.WEEKNUM(A1526, 2))</f>
        <v/>
      </c>
    </row>
    <row r="1527">
      <c r="K1527">
        <f>IF(A1527="","", _xludf.WEEKNUM(A1527, 2))</f>
        <v/>
      </c>
    </row>
    <row r="1528">
      <c r="K1528">
        <f>IF(A1528="","", _xludf.WEEKNUM(A1528, 2))</f>
        <v/>
      </c>
    </row>
    <row r="1529">
      <c r="K1529">
        <f>IF(A1529="","", _xludf.WEEKNUM(A1529, 2))</f>
        <v/>
      </c>
    </row>
    <row r="1530">
      <c r="K1530">
        <f>IF(A1530="","", _xludf.WEEKNUM(A1530, 2))</f>
        <v/>
      </c>
    </row>
    <row r="1531">
      <c r="K1531">
        <f>IF(A1531="","", _xludf.WEEKNUM(A1531, 2))</f>
        <v/>
      </c>
    </row>
    <row r="1532">
      <c r="K1532">
        <f>IF(A1532="","", _xludf.WEEKNUM(A1532, 2))</f>
        <v/>
      </c>
    </row>
    <row r="1533">
      <c r="K1533">
        <f>IF(A1533="","", _xludf.WEEKNUM(A1533, 2))</f>
        <v/>
      </c>
    </row>
    <row r="1534">
      <c r="K1534">
        <f>IF(A1534="","", _xludf.WEEKNUM(A1534, 2))</f>
        <v/>
      </c>
    </row>
    <row r="1535">
      <c r="K1535">
        <f>IF(A1535="","", _xludf.WEEKNUM(A1535, 2))</f>
        <v/>
      </c>
    </row>
    <row r="1536">
      <c r="K1536">
        <f>IF(A1536="","", _xludf.WEEKNUM(A1536, 2))</f>
        <v/>
      </c>
    </row>
    <row r="1537">
      <c r="K1537">
        <f>IF(A1537="","", _xludf.WEEKNUM(A1537, 2))</f>
        <v/>
      </c>
    </row>
    <row r="1538">
      <c r="K1538">
        <f>IF(A1538="","", _xludf.WEEKNUM(A1538, 2))</f>
        <v/>
      </c>
    </row>
    <row r="1539">
      <c r="K1539">
        <f>IF(A1539="","", _xludf.WEEKNUM(A1539, 2))</f>
        <v/>
      </c>
    </row>
    <row r="1540">
      <c r="K1540">
        <f>IF(A1540="","", _xludf.WEEKNUM(A1540, 2))</f>
        <v/>
      </c>
    </row>
    <row r="1541">
      <c r="K1541">
        <f>IF(A1541="","", _xludf.WEEKNUM(A1541, 2))</f>
        <v/>
      </c>
    </row>
    <row r="1542">
      <c r="K1542">
        <f>IF(A1542="","", _xludf.WEEKNUM(A1542, 2))</f>
        <v/>
      </c>
    </row>
    <row r="1543">
      <c r="K1543">
        <f>IF(A1543="","", _xludf.WEEKNUM(A1543, 2))</f>
        <v/>
      </c>
    </row>
    <row r="1544">
      <c r="K1544">
        <f>IF(A1544="","", _xludf.WEEKNUM(A1544, 2))</f>
        <v/>
      </c>
    </row>
    <row r="1545">
      <c r="K1545">
        <f>IF(A1545="","", _xludf.WEEKNUM(A1545, 2))</f>
        <v/>
      </c>
    </row>
    <row r="1546">
      <c r="K1546">
        <f>IF(A1546="","", _xludf.WEEKNUM(A1546, 2))</f>
        <v/>
      </c>
    </row>
    <row r="1547">
      <c r="K1547">
        <f>IF(A1547="","", _xludf.WEEKNUM(A1547, 2))</f>
        <v/>
      </c>
    </row>
    <row r="1548">
      <c r="K1548">
        <f>IF(A1548="","", _xludf.WEEKNUM(A1548, 2))</f>
        <v/>
      </c>
    </row>
    <row r="1549">
      <c r="K1549">
        <f>IF(A1549="","", _xludf.WEEKNUM(A1549, 2))</f>
        <v/>
      </c>
    </row>
    <row r="1550">
      <c r="K1550">
        <f>IF(A1550="","", _xludf.WEEKNUM(A1550, 2))</f>
        <v/>
      </c>
    </row>
    <row r="1551">
      <c r="K1551">
        <f>IF(A1551="","", _xludf.WEEKNUM(A1551, 2))</f>
        <v/>
      </c>
    </row>
    <row r="1552">
      <c r="K1552">
        <f>IF(A1552="","", _xludf.WEEKNUM(A1552, 2))</f>
        <v/>
      </c>
    </row>
    <row r="1553">
      <c r="K1553">
        <f>IF(A1553="","", _xludf.WEEKNUM(A1553, 2))</f>
        <v/>
      </c>
    </row>
    <row r="1554">
      <c r="K1554">
        <f>IF(A1554="","", _xludf.WEEKNUM(A1554, 2))</f>
        <v/>
      </c>
    </row>
    <row r="1555">
      <c r="K1555">
        <f>IF(A1555="","", _xludf.WEEKNUM(A1555, 2))</f>
        <v/>
      </c>
    </row>
    <row r="1556">
      <c r="K1556">
        <f>IF(A1556="","", _xludf.WEEKNUM(A1556, 2))</f>
        <v/>
      </c>
    </row>
    <row r="1557">
      <c r="K1557">
        <f>IF(A1557="","", _xludf.WEEKNUM(A1557, 2))</f>
        <v/>
      </c>
    </row>
    <row r="1558">
      <c r="K1558">
        <f>IF(A1558="","", _xludf.WEEKNUM(A1558, 2))</f>
        <v/>
      </c>
    </row>
    <row r="1559">
      <c r="K1559">
        <f>IF(A1559="","", _xludf.WEEKNUM(A1559, 2))</f>
        <v/>
      </c>
    </row>
    <row r="1560">
      <c r="K1560">
        <f>IF(A1560="","", _xludf.WEEKNUM(A1560, 2))</f>
        <v/>
      </c>
    </row>
    <row r="1561">
      <c r="K1561">
        <f>IF(A1561="","", _xludf.WEEKNUM(A1561, 2))</f>
        <v/>
      </c>
    </row>
    <row r="1562">
      <c r="K1562">
        <f>IF(A1562="","", _xludf.WEEKNUM(A1562, 2))</f>
        <v/>
      </c>
    </row>
    <row r="1563">
      <c r="K1563">
        <f>IF(A1563="","", _xludf.WEEKNUM(A1563, 2))</f>
        <v/>
      </c>
    </row>
    <row r="1564">
      <c r="K1564">
        <f>IF(A1564="","", _xludf.WEEKNUM(A1564, 2))</f>
        <v/>
      </c>
    </row>
    <row r="1565">
      <c r="K1565">
        <f>IF(A1565="","", _xludf.WEEKNUM(A1565, 2))</f>
        <v/>
      </c>
    </row>
    <row r="1566">
      <c r="K1566">
        <f>IF(A1566="","", _xludf.WEEKNUM(A1566, 2))</f>
        <v/>
      </c>
    </row>
    <row r="1567">
      <c r="K1567">
        <f>IF(A1567="","", _xludf.WEEKNUM(A1567, 2))</f>
        <v/>
      </c>
    </row>
    <row r="1568">
      <c r="K1568">
        <f>IF(A1568="","", _xludf.WEEKNUM(A1568, 2))</f>
        <v/>
      </c>
    </row>
    <row r="1569">
      <c r="K1569">
        <f>IF(A1569="","", _xludf.WEEKNUM(A1569, 2))</f>
        <v/>
      </c>
    </row>
    <row r="1570">
      <c r="K1570">
        <f>IF(A1570="","", _xludf.WEEKNUM(A1570, 2))</f>
        <v/>
      </c>
    </row>
    <row r="1571">
      <c r="K1571">
        <f>IF(A1571="","", _xludf.WEEKNUM(A1571, 2))</f>
        <v/>
      </c>
    </row>
    <row r="1572">
      <c r="K1572">
        <f>IF(A1572="","", _xludf.WEEKNUM(A1572, 2))</f>
        <v/>
      </c>
    </row>
    <row r="1573">
      <c r="K1573">
        <f>IF(A1573="","", _xludf.WEEKNUM(A1573, 2))</f>
        <v/>
      </c>
    </row>
    <row r="1574">
      <c r="K1574">
        <f>IF(A1574="","", _xludf.WEEKNUM(A1574, 2))</f>
        <v/>
      </c>
    </row>
    <row r="1575">
      <c r="K1575">
        <f>IF(A1575="","", _xludf.WEEKNUM(A1575, 2))</f>
        <v/>
      </c>
    </row>
    <row r="1576">
      <c r="K1576">
        <f>IF(A1576="","", _xludf.WEEKNUM(A1576, 2))</f>
        <v/>
      </c>
    </row>
    <row r="1577">
      <c r="K1577">
        <f>IF(A1577="","", _xludf.WEEKNUM(A1577, 2))</f>
        <v/>
      </c>
    </row>
    <row r="1578">
      <c r="K1578">
        <f>IF(A1578="","", _xludf.WEEKNUM(A1578, 2))</f>
        <v/>
      </c>
    </row>
    <row r="1579">
      <c r="K1579">
        <f>IF(A1579="","", _xludf.WEEKNUM(A1579, 2))</f>
        <v/>
      </c>
    </row>
    <row r="1580">
      <c r="K1580">
        <f>IF(A1580="","", _xludf.WEEKNUM(A1580, 2))</f>
        <v/>
      </c>
    </row>
    <row r="1581">
      <c r="K1581">
        <f>IF(A1581="","", _xludf.WEEKNUM(A1581, 2))</f>
        <v/>
      </c>
    </row>
    <row r="1582">
      <c r="K1582">
        <f>IF(A1582="","", _xludf.WEEKNUM(A1582, 2))</f>
        <v/>
      </c>
    </row>
    <row r="1583">
      <c r="K1583">
        <f>IF(A1583="","", _xludf.WEEKNUM(A1583, 2))</f>
        <v/>
      </c>
    </row>
    <row r="1584">
      <c r="K1584">
        <f>IF(A1584="","", _xludf.WEEKNUM(A1584, 2))</f>
        <v/>
      </c>
    </row>
    <row r="1585">
      <c r="K1585">
        <f>IF(A1585="","", _xludf.WEEKNUM(A1585, 2))</f>
        <v/>
      </c>
    </row>
    <row r="1586">
      <c r="K1586">
        <f>IF(A1586="","", _xludf.WEEKNUM(A1586, 2))</f>
        <v/>
      </c>
    </row>
    <row r="1587">
      <c r="K1587">
        <f>IF(A1587="","", _xludf.WEEKNUM(A1587, 2))</f>
        <v/>
      </c>
    </row>
    <row r="1588">
      <c r="K1588">
        <f>IF(A1588="","", _xludf.WEEKNUM(A1588, 2))</f>
        <v/>
      </c>
    </row>
    <row r="1589">
      <c r="K1589">
        <f>IF(A1589="","", _xludf.WEEKNUM(A1589, 2))</f>
        <v/>
      </c>
    </row>
    <row r="1590">
      <c r="K1590">
        <f>IF(A1590="","", _xludf.WEEKNUM(A1590, 2))</f>
        <v/>
      </c>
    </row>
    <row r="1591">
      <c r="K1591">
        <f>IF(A1591="","", _xludf.WEEKNUM(A1591, 2))</f>
        <v/>
      </c>
    </row>
    <row r="1592">
      <c r="K1592">
        <f>IF(A1592="","", _xludf.WEEKNUM(A1592, 2))</f>
        <v/>
      </c>
    </row>
    <row r="1593">
      <c r="K1593">
        <f>IF(A1593="","", _xludf.WEEKNUM(A1593, 2))</f>
        <v/>
      </c>
    </row>
    <row r="1594">
      <c r="K1594">
        <f>IF(A1594="","", _xludf.WEEKNUM(A1594, 2))</f>
        <v/>
      </c>
    </row>
    <row r="1595">
      <c r="K1595">
        <f>IF(A1595="","", _xludf.WEEKNUM(A1595, 2))</f>
        <v/>
      </c>
    </row>
    <row r="1596">
      <c r="K1596">
        <f>IF(A1596="","", _xludf.WEEKNUM(A1596, 2))</f>
        <v/>
      </c>
    </row>
    <row r="1597">
      <c r="K1597">
        <f>IF(A1597="","", _xludf.WEEKNUM(A1597, 2))</f>
        <v/>
      </c>
    </row>
    <row r="1598">
      <c r="K1598">
        <f>IF(A1598="","", _xludf.WEEKNUM(A1598, 2))</f>
        <v/>
      </c>
    </row>
    <row r="1599">
      <c r="K1599">
        <f>IF(A1599="","", _xludf.WEEKNUM(A1599, 2))</f>
        <v/>
      </c>
    </row>
    <row r="1600">
      <c r="K1600">
        <f>IF(A1600="","", _xludf.WEEKNUM(A1600, 2))</f>
        <v/>
      </c>
    </row>
    <row r="1601">
      <c r="K1601">
        <f>IF(A1601="","", _xludf.WEEKNUM(A1601, 2))</f>
        <v/>
      </c>
    </row>
    <row r="1602">
      <c r="K1602">
        <f>IF(A1602="","", _xludf.WEEKNUM(A1602, 2))</f>
        <v/>
      </c>
    </row>
    <row r="1603">
      <c r="K1603">
        <f>IF(A1603="","", _xludf.WEEKNUM(A1603, 2))</f>
        <v/>
      </c>
    </row>
    <row r="1604">
      <c r="K1604">
        <f>IF(A1604="","", _xludf.WEEKNUM(A1604, 2))</f>
        <v/>
      </c>
    </row>
    <row r="1605">
      <c r="K1605">
        <f>IF(A1605="","", _xludf.WEEKNUM(A1605, 2))</f>
        <v/>
      </c>
    </row>
    <row r="1606">
      <c r="K1606">
        <f>IF(A1606="","", _xludf.WEEKNUM(A1606, 2))</f>
        <v/>
      </c>
    </row>
    <row r="1607">
      <c r="K1607">
        <f>IF(A1607="","", _xludf.WEEKNUM(A1607, 2))</f>
        <v/>
      </c>
    </row>
    <row r="1608">
      <c r="K1608">
        <f>IF(A1608="","", _xludf.WEEKNUM(A1608, 2))</f>
        <v/>
      </c>
    </row>
    <row r="1609">
      <c r="K1609">
        <f>IF(A1609="","", _xludf.WEEKNUM(A1609, 2))</f>
        <v/>
      </c>
    </row>
    <row r="1610">
      <c r="K1610">
        <f>IF(A1610="","", _xludf.WEEKNUM(A1610, 2))</f>
        <v/>
      </c>
    </row>
    <row r="1611">
      <c r="K1611">
        <f>IF(A1611="","", _xludf.WEEKNUM(A1611, 2))</f>
        <v/>
      </c>
    </row>
    <row r="1612">
      <c r="K1612">
        <f>IF(A1612="","", _xludf.WEEKNUM(A1612, 2))</f>
        <v/>
      </c>
    </row>
    <row r="1613">
      <c r="K1613">
        <f>IF(A1613="","", _xludf.WEEKNUM(A1613, 2))</f>
        <v/>
      </c>
    </row>
    <row r="1614">
      <c r="K1614">
        <f>IF(A1614="","", _xludf.WEEKNUM(A1614, 2))</f>
        <v/>
      </c>
    </row>
    <row r="1615">
      <c r="K1615">
        <f>IF(A1615="","", _xludf.WEEKNUM(A1615, 2))</f>
        <v/>
      </c>
    </row>
    <row r="1616">
      <c r="K1616">
        <f>IF(A1616="","", _xludf.WEEKNUM(A1616, 2))</f>
        <v/>
      </c>
    </row>
    <row r="1617">
      <c r="K1617">
        <f>IF(A1617="","", _xludf.WEEKNUM(A1617, 2))</f>
        <v/>
      </c>
    </row>
    <row r="1618">
      <c r="K1618">
        <f>IF(A1618="","", _xludf.WEEKNUM(A1618, 2))</f>
        <v/>
      </c>
    </row>
    <row r="1619">
      <c r="K1619">
        <f>IF(A1619="","", _xludf.WEEKNUM(A1619, 2))</f>
        <v/>
      </c>
    </row>
    <row r="1620">
      <c r="K1620">
        <f>IF(A1620="","", _xludf.WEEKNUM(A1620, 2))</f>
        <v/>
      </c>
    </row>
    <row r="1621">
      <c r="K1621">
        <f>IF(A1621="","", _xludf.WEEKNUM(A1621, 2))</f>
        <v/>
      </c>
    </row>
    <row r="1622">
      <c r="K1622">
        <f>IF(A1622="","", _xludf.WEEKNUM(A1622, 2))</f>
        <v/>
      </c>
    </row>
    <row r="1623">
      <c r="K1623">
        <f>IF(A1623="","", _xludf.WEEKNUM(A1623, 2))</f>
        <v/>
      </c>
    </row>
    <row r="1624">
      <c r="K1624">
        <f>IF(A1624="","", _xludf.WEEKNUM(A1624, 2))</f>
        <v/>
      </c>
    </row>
    <row r="1625">
      <c r="K1625">
        <f>IF(A1625="","", _xludf.WEEKNUM(A1625, 2))</f>
        <v/>
      </c>
    </row>
    <row r="1626">
      <c r="K1626">
        <f>IF(A1626="","", _xludf.WEEKNUM(A1626, 2))</f>
        <v/>
      </c>
    </row>
    <row r="1627">
      <c r="K1627">
        <f>IF(A1627="","", _xludf.WEEKNUM(A1627, 2))</f>
        <v/>
      </c>
    </row>
    <row r="1628">
      <c r="K1628">
        <f>IF(A1628="","", _xludf.WEEKNUM(A1628, 2))</f>
        <v/>
      </c>
    </row>
    <row r="1629">
      <c r="K1629">
        <f>IF(A1629="","", _xludf.WEEKNUM(A1629, 2))</f>
        <v/>
      </c>
    </row>
    <row r="1630">
      <c r="K1630">
        <f>IF(A1630="","", _xludf.WEEKNUM(A1630, 2))</f>
        <v/>
      </c>
    </row>
    <row r="1631">
      <c r="K1631">
        <f>IF(A1631="","", _xludf.WEEKNUM(A1631, 2))</f>
        <v/>
      </c>
    </row>
    <row r="1632">
      <c r="K1632">
        <f>IF(A1632="","", _xludf.WEEKNUM(A1632, 2))</f>
        <v/>
      </c>
    </row>
    <row r="1633">
      <c r="K1633">
        <f>IF(A1633="","", _xludf.WEEKNUM(A1633, 2))</f>
        <v/>
      </c>
    </row>
    <row r="1634">
      <c r="K1634">
        <f>IF(A1634="","", _xludf.WEEKNUM(A1634, 2))</f>
        <v/>
      </c>
    </row>
    <row r="1635">
      <c r="K1635">
        <f>IF(A1635="","", _xludf.WEEKNUM(A1635, 2))</f>
        <v/>
      </c>
    </row>
    <row r="1636">
      <c r="K1636">
        <f>IF(A1636="","", _xludf.WEEKNUM(A1636, 2))</f>
        <v/>
      </c>
    </row>
    <row r="1637">
      <c r="K1637">
        <f>IF(A1637="","", _xludf.WEEKNUM(A1637, 2))</f>
        <v/>
      </c>
    </row>
    <row r="1638">
      <c r="K1638">
        <f>IF(A1638="","", _xludf.WEEKNUM(A1638, 2))</f>
        <v/>
      </c>
    </row>
    <row r="1639">
      <c r="K1639">
        <f>IF(A1639="","", _xludf.WEEKNUM(A1639, 2))</f>
        <v/>
      </c>
    </row>
    <row r="1640">
      <c r="K1640">
        <f>IF(A1640="","", _xludf.WEEKNUM(A1640, 2))</f>
        <v/>
      </c>
    </row>
    <row r="1641">
      <c r="K1641">
        <f>IF(A1641="","", _xludf.WEEKNUM(A1641, 2))</f>
        <v/>
      </c>
    </row>
    <row r="1642">
      <c r="K1642">
        <f>IF(A1642="","", _xludf.WEEKNUM(A1642, 2))</f>
        <v/>
      </c>
    </row>
    <row r="1643">
      <c r="K1643">
        <f>IF(A1643="","", _xludf.WEEKNUM(A1643, 2))</f>
        <v/>
      </c>
    </row>
    <row r="1644">
      <c r="K1644">
        <f>IF(A1644="","", _xludf.WEEKNUM(A1644, 2))</f>
        <v/>
      </c>
    </row>
    <row r="1645">
      <c r="K1645">
        <f>IF(A1645="","", _xludf.WEEKNUM(A1645, 2))</f>
        <v/>
      </c>
    </row>
    <row r="1646">
      <c r="K1646">
        <f>IF(A1646="","", _xludf.WEEKNUM(A1646, 2))</f>
        <v/>
      </c>
    </row>
    <row r="1647">
      <c r="K1647">
        <f>IF(A1647="","", _xludf.WEEKNUM(A1647, 2))</f>
        <v/>
      </c>
    </row>
    <row r="1648">
      <c r="K1648">
        <f>IF(A1648="","", _xludf.WEEKNUM(A1648, 2))</f>
        <v/>
      </c>
    </row>
    <row r="1649">
      <c r="K1649">
        <f>IF(A1649="","", _xludf.WEEKNUM(A1649, 2))</f>
        <v/>
      </c>
    </row>
    <row r="1650">
      <c r="K1650">
        <f>IF(A1650="","", _xludf.WEEKNUM(A1650, 2))</f>
        <v/>
      </c>
    </row>
    <row r="1651">
      <c r="K1651">
        <f>IF(A1651="","", _xludf.WEEKNUM(A1651, 2))</f>
        <v/>
      </c>
    </row>
    <row r="1652">
      <c r="K1652">
        <f>IF(A1652="","", _xludf.WEEKNUM(A1652, 2))</f>
        <v/>
      </c>
    </row>
    <row r="1653">
      <c r="K1653">
        <f>IF(A1653="","", _xludf.WEEKNUM(A1653, 2))</f>
        <v/>
      </c>
    </row>
    <row r="1654">
      <c r="K1654">
        <f>IF(A1654="","", _xludf.WEEKNUM(A1654, 2))</f>
        <v/>
      </c>
    </row>
    <row r="1655">
      <c r="K1655">
        <f>IF(A1655="","", _xludf.WEEKNUM(A1655, 2))</f>
        <v/>
      </c>
    </row>
    <row r="1656">
      <c r="K1656">
        <f>IF(A1656="","", _xludf.WEEKNUM(A1656, 2))</f>
        <v/>
      </c>
    </row>
    <row r="1657">
      <c r="K1657">
        <f>IF(A1657="","", _xludf.WEEKNUM(A1657, 2))</f>
        <v/>
      </c>
    </row>
    <row r="1658">
      <c r="K1658">
        <f>IF(A1658="","", _xludf.WEEKNUM(A1658, 2))</f>
        <v/>
      </c>
    </row>
    <row r="1659">
      <c r="K1659">
        <f>IF(A1659="","", _xludf.WEEKNUM(A1659, 2))</f>
        <v/>
      </c>
    </row>
    <row r="1660">
      <c r="K1660">
        <f>IF(A1660="","", _xludf.WEEKNUM(A1660, 2))</f>
        <v/>
      </c>
    </row>
    <row r="1661">
      <c r="K1661">
        <f>IF(A1661="","", _xludf.WEEKNUM(A1661, 2))</f>
        <v/>
      </c>
    </row>
    <row r="1662">
      <c r="K1662">
        <f>IF(A1662="","", _xludf.WEEKNUM(A1662, 2))</f>
        <v/>
      </c>
    </row>
    <row r="1663">
      <c r="K1663">
        <f>IF(A1663="","", _xludf.WEEKNUM(A1663, 2))</f>
        <v/>
      </c>
    </row>
    <row r="1664">
      <c r="K1664">
        <f>IF(A1664="","", _xludf.WEEKNUM(A1664, 2))</f>
        <v/>
      </c>
    </row>
    <row r="1665">
      <c r="K1665">
        <f>IF(A1665="","", _xludf.WEEKNUM(A1665, 2))</f>
        <v/>
      </c>
    </row>
    <row r="1666">
      <c r="K1666">
        <f>IF(A1666="","", _xludf.WEEKNUM(A1666, 2))</f>
        <v/>
      </c>
    </row>
    <row r="1667">
      <c r="K1667">
        <f>IF(A1667="","", _xludf.WEEKNUM(A1667, 2))</f>
        <v/>
      </c>
    </row>
    <row r="1668">
      <c r="K1668">
        <f>IF(A1668="","", _xludf.WEEKNUM(A1668, 2))</f>
        <v/>
      </c>
    </row>
    <row r="1669">
      <c r="K1669">
        <f>IF(A1669="","", _xludf.WEEKNUM(A1669, 2))</f>
        <v/>
      </c>
    </row>
    <row r="1670">
      <c r="K1670">
        <f>IF(A1670="","", _xludf.WEEKNUM(A1670, 2))</f>
        <v/>
      </c>
    </row>
    <row r="1671">
      <c r="K1671">
        <f>IF(A1671="","", _xludf.WEEKNUM(A1671, 2))</f>
        <v/>
      </c>
    </row>
    <row r="1672">
      <c r="K1672">
        <f>IF(A1672="","", _xludf.WEEKNUM(A1672, 2))</f>
        <v/>
      </c>
    </row>
    <row r="1673">
      <c r="K1673">
        <f>IF(A1673="","", _xludf.WEEKNUM(A1673, 2))</f>
        <v/>
      </c>
    </row>
    <row r="1674">
      <c r="K1674">
        <f>IF(A1674="","", _xludf.WEEKNUM(A1674, 2))</f>
        <v/>
      </c>
    </row>
    <row r="1675">
      <c r="K1675">
        <f>IF(A1675="","", _xludf.WEEKNUM(A1675, 2))</f>
        <v/>
      </c>
    </row>
    <row r="1676">
      <c r="K1676">
        <f>IF(A1676="","", _xludf.WEEKNUM(A1676, 2))</f>
        <v/>
      </c>
    </row>
    <row r="1677">
      <c r="K1677">
        <f>IF(A1677="","", _xludf.WEEKNUM(A1677, 2))</f>
        <v/>
      </c>
    </row>
    <row r="1678">
      <c r="K1678">
        <f>IF(A1678="","", _xludf.WEEKNUM(A1678, 2))</f>
        <v/>
      </c>
    </row>
    <row r="1679">
      <c r="K1679">
        <f>IF(A1679="","", _xludf.WEEKNUM(A1679, 2))</f>
        <v/>
      </c>
    </row>
    <row r="1680">
      <c r="K1680">
        <f>IF(A1680="","", _xludf.WEEKNUM(A1680, 2))</f>
        <v/>
      </c>
    </row>
    <row r="1681">
      <c r="K1681">
        <f>IF(A1681="","", _xludf.WEEKNUM(A1681, 2))</f>
        <v/>
      </c>
    </row>
    <row r="1682">
      <c r="K1682">
        <f>IF(A1682="","", _xludf.WEEKNUM(A1682, 2))</f>
        <v/>
      </c>
    </row>
    <row r="1683">
      <c r="K1683">
        <f>IF(A1683="","", _xludf.WEEKNUM(A1683, 2))</f>
        <v/>
      </c>
    </row>
    <row r="1684">
      <c r="K1684">
        <f>IF(A1684="","", _xludf.WEEKNUM(A1684, 2))</f>
        <v/>
      </c>
    </row>
    <row r="1685">
      <c r="K1685">
        <f>IF(A1685="","", _xludf.WEEKNUM(A1685, 2))</f>
        <v/>
      </c>
    </row>
    <row r="1686">
      <c r="K1686">
        <f>IF(A1686="","", _xludf.WEEKNUM(A1686, 2))</f>
        <v/>
      </c>
    </row>
    <row r="1687">
      <c r="K1687">
        <f>IF(A1687="","", _xludf.WEEKNUM(A1687, 2))</f>
        <v/>
      </c>
    </row>
    <row r="1688">
      <c r="K1688">
        <f>IF(A1688="","", _xludf.WEEKNUM(A1688, 2))</f>
        <v/>
      </c>
    </row>
    <row r="1689">
      <c r="K1689">
        <f>IF(A1689="","", _xludf.WEEKNUM(A1689, 2))</f>
        <v/>
      </c>
    </row>
    <row r="1690">
      <c r="K1690">
        <f>IF(A1690="","", _xludf.WEEKNUM(A1690, 2))</f>
        <v/>
      </c>
    </row>
    <row r="1691">
      <c r="K1691">
        <f>IF(A1691="","", _xludf.WEEKNUM(A1691, 2))</f>
        <v/>
      </c>
    </row>
    <row r="1692">
      <c r="K1692">
        <f>IF(A1692="","", _xludf.WEEKNUM(A1692, 2))</f>
        <v/>
      </c>
    </row>
    <row r="1693">
      <c r="K1693">
        <f>IF(A1693="","", _xludf.WEEKNUM(A1693, 2))</f>
        <v/>
      </c>
    </row>
    <row r="1694">
      <c r="K1694">
        <f>IF(A1694="","", _xludf.WEEKNUM(A1694, 2))</f>
        <v/>
      </c>
    </row>
    <row r="1695">
      <c r="K1695">
        <f>IF(A1695="","", _xludf.WEEKNUM(A1695, 2))</f>
        <v/>
      </c>
    </row>
    <row r="1696">
      <c r="K1696">
        <f>IF(A1696="","", _xludf.WEEKNUM(A1696, 2))</f>
        <v/>
      </c>
    </row>
    <row r="1697">
      <c r="K1697">
        <f>IF(A1697="","", _xludf.WEEKNUM(A1697, 2))</f>
        <v/>
      </c>
    </row>
    <row r="1698">
      <c r="K1698">
        <f>IF(A1698="","", _xludf.WEEKNUM(A1698, 2))</f>
        <v/>
      </c>
    </row>
    <row r="1699">
      <c r="K1699">
        <f>IF(A1699="","", _xludf.WEEKNUM(A1699, 2))</f>
        <v/>
      </c>
    </row>
    <row r="1700">
      <c r="K1700">
        <f>IF(A1700="","", _xludf.WEEKNUM(A1700, 2))</f>
        <v/>
      </c>
    </row>
    <row r="1701">
      <c r="K1701">
        <f>IF(A1701="","", _xludf.WEEKNUM(A1701, 2))</f>
        <v/>
      </c>
    </row>
    <row r="1702">
      <c r="K1702">
        <f>IF(A1702="","", _xludf.WEEKNUM(A1702, 2))</f>
        <v/>
      </c>
    </row>
    <row r="1703">
      <c r="K1703">
        <f>IF(A1703="","", _xludf.WEEKNUM(A1703, 2))</f>
        <v/>
      </c>
    </row>
    <row r="1704">
      <c r="K1704">
        <f>IF(A1704="","", _xludf.WEEKNUM(A1704, 2))</f>
        <v/>
      </c>
    </row>
    <row r="1705">
      <c r="K1705">
        <f>IF(A1705="","", _xludf.WEEKNUM(A1705, 2))</f>
        <v/>
      </c>
    </row>
    <row r="1706">
      <c r="K1706">
        <f>IF(A1706="","", _xludf.WEEKNUM(A1706, 2))</f>
        <v/>
      </c>
    </row>
    <row r="1707">
      <c r="K1707">
        <f>IF(A1707="","", _xludf.WEEKNUM(A1707, 2))</f>
        <v/>
      </c>
    </row>
    <row r="1708">
      <c r="K1708">
        <f>IF(A1708="","", _xludf.WEEKNUM(A1708, 2))</f>
        <v/>
      </c>
    </row>
    <row r="1709">
      <c r="K1709">
        <f>IF(A1709="","", _xludf.WEEKNUM(A1709, 2))</f>
        <v/>
      </c>
    </row>
    <row r="1710">
      <c r="K1710">
        <f>IF(A1710="","", _xludf.WEEKNUM(A1710, 2))</f>
        <v/>
      </c>
    </row>
    <row r="1711">
      <c r="K1711">
        <f>IF(A1711="","", _xludf.WEEKNUM(A1711, 2))</f>
        <v/>
      </c>
    </row>
    <row r="1712">
      <c r="K1712">
        <f>IF(A1712="","", _xludf.WEEKNUM(A1712, 2))</f>
        <v/>
      </c>
    </row>
    <row r="1713">
      <c r="K1713">
        <f>IF(A1713="","", _xludf.WEEKNUM(A1713, 2))</f>
        <v/>
      </c>
    </row>
    <row r="1714">
      <c r="K1714">
        <f>IF(A1714="","", _xludf.WEEKNUM(A1714, 2))</f>
        <v/>
      </c>
    </row>
    <row r="1715">
      <c r="K1715">
        <f>IF(A1715="","", _xludf.WEEKNUM(A1715, 2))</f>
        <v/>
      </c>
    </row>
    <row r="1716">
      <c r="K1716">
        <f>IF(A1716="","", _xludf.WEEKNUM(A1716, 2))</f>
        <v/>
      </c>
    </row>
    <row r="1717">
      <c r="K1717">
        <f>IF(A1717="","", _xludf.WEEKNUM(A1717, 2))</f>
        <v/>
      </c>
    </row>
    <row r="1718">
      <c r="K1718">
        <f>IF(A1718="","", _xludf.WEEKNUM(A1718, 2))</f>
        <v/>
      </c>
    </row>
    <row r="1719">
      <c r="K1719">
        <f>IF(A1719="","", _xludf.WEEKNUM(A1719, 2))</f>
        <v/>
      </c>
    </row>
    <row r="1720">
      <c r="K1720">
        <f>IF(A1720="","", _xludf.WEEKNUM(A1720, 2))</f>
        <v/>
      </c>
    </row>
    <row r="1721">
      <c r="K1721">
        <f>IF(A1721="","", _xludf.WEEKNUM(A1721, 2))</f>
        <v/>
      </c>
    </row>
    <row r="1722">
      <c r="K1722">
        <f>IF(A1722="","", _xludf.WEEKNUM(A1722, 2))</f>
        <v/>
      </c>
    </row>
    <row r="1723">
      <c r="K1723">
        <f>IF(A1723="","", _xludf.WEEKNUM(A1723, 2))</f>
        <v/>
      </c>
    </row>
    <row r="1724">
      <c r="K1724">
        <f>IF(A1724="","", _xludf.WEEKNUM(A1724, 2))</f>
        <v/>
      </c>
    </row>
    <row r="1725">
      <c r="K1725">
        <f>IF(A1725="","", _xludf.WEEKNUM(A1725, 2))</f>
        <v/>
      </c>
    </row>
    <row r="1726">
      <c r="K1726">
        <f>IF(A1726="","", _xludf.WEEKNUM(A1726, 2))</f>
        <v/>
      </c>
    </row>
    <row r="1727">
      <c r="K1727">
        <f>IF(A1727="","", _xludf.WEEKNUM(A1727, 2))</f>
        <v/>
      </c>
    </row>
    <row r="1728">
      <c r="K1728">
        <f>IF(A1728="","", _xludf.WEEKNUM(A1728, 2))</f>
        <v/>
      </c>
    </row>
    <row r="1729">
      <c r="K1729">
        <f>IF(A1729="","", _xludf.WEEKNUM(A1729, 2))</f>
        <v/>
      </c>
    </row>
    <row r="1730">
      <c r="K1730">
        <f>IF(A1730="","", _xludf.WEEKNUM(A1730, 2))</f>
        <v/>
      </c>
    </row>
    <row r="1731">
      <c r="K1731">
        <f>IF(A1731="","", _xludf.WEEKNUM(A1731, 2))</f>
        <v/>
      </c>
    </row>
    <row r="1732">
      <c r="K1732">
        <f>IF(A1732="","", _xludf.WEEKNUM(A1732, 2))</f>
        <v/>
      </c>
    </row>
    <row r="1733">
      <c r="K1733">
        <f>IF(A1733="","", _xludf.WEEKNUM(A1733, 2))</f>
        <v/>
      </c>
    </row>
    <row r="1734">
      <c r="K1734">
        <f>IF(A1734="","", _xludf.WEEKNUM(A1734, 2))</f>
        <v/>
      </c>
    </row>
    <row r="1735">
      <c r="K1735">
        <f>IF(A1735="","", _xludf.WEEKNUM(A1735, 2))</f>
        <v/>
      </c>
    </row>
    <row r="1736">
      <c r="K1736">
        <f>IF(A1736="","", _xludf.WEEKNUM(A1736, 2))</f>
        <v/>
      </c>
    </row>
    <row r="1737">
      <c r="K1737">
        <f>IF(A1737="","", _xludf.WEEKNUM(A1737, 2))</f>
        <v/>
      </c>
    </row>
    <row r="1738">
      <c r="K1738">
        <f>IF(A1738="","", _xludf.WEEKNUM(A1738, 2))</f>
        <v/>
      </c>
    </row>
    <row r="1739">
      <c r="K1739">
        <f>IF(A1739="","", _xludf.WEEKNUM(A1739, 2))</f>
        <v/>
      </c>
    </row>
    <row r="1740">
      <c r="K1740">
        <f>IF(A1740="","", _xludf.WEEKNUM(A1740, 2))</f>
        <v/>
      </c>
    </row>
    <row r="1741">
      <c r="K1741">
        <f>IF(A1741="","", _xludf.WEEKNUM(A1741, 2))</f>
        <v/>
      </c>
    </row>
    <row r="1742">
      <c r="K1742">
        <f>IF(A1742="","", _xludf.WEEKNUM(A1742, 2))</f>
        <v/>
      </c>
    </row>
    <row r="1743">
      <c r="K1743">
        <f>IF(A1743="","", _xludf.WEEKNUM(A1743, 2))</f>
        <v/>
      </c>
    </row>
    <row r="1744">
      <c r="K1744">
        <f>IF(A1744="","", _xludf.WEEKNUM(A1744, 2))</f>
        <v/>
      </c>
    </row>
    <row r="1745">
      <c r="K1745">
        <f>IF(A1745="","", _xludf.WEEKNUM(A1745, 2))</f>
        <v/>
      </c>
    </row>
    <row r="1746">
      <c r="K1746">
        <f>IF(A1746="","", _xludf.WEEKNUM(A1746, 2))</f>
        <v/>
      </c>
    </row>
    <row r="1747">
      <c r="K1747">
        <f>IF(A1747="","", _xludf.WEEKNUM(A1747, 2))</f>
        <v/>
      </c>
    </row>
    <row r="1748">
      <c r="K1748">
        <f>IF(A1748="","", _xludf.WEEKNUM(A1748, 2))</f>
        <v/>
      </c>
    </row>
    <row r="1749">
      <c r="K1749">
        <f>IF(A1749="","", _xludf.WEEKNUM(A1749, 2))</f>
        <v/>
      </c>
    </row>
    <row r="1750">
      <c r="K1750">
        <f>IF(A1750="","", _xludf.WEEKNUM(A1750, 2))</f>
        <v/>
      </c>
    </row>
    <row r="1751">
      <c r="K1751">
        <f>IF(A1751="","", _xludf.WEEKNUM(A1751, 2))</f>
        <v/>
      </c>
    </row>
    <row r="1752">
      <c r="K1752">
        <f>IF(A1752="","", _xludf.WEEKNUM(A1752, 2))</f>
        <v/>
      </c>
    </row>
    <row r="1753">
      <c r="K1753">
        <f>IF(A1753="","", _xludf.WEEKNUM(A1753, 2))</f>
        <v/>
      </c>
    </row>
    <row r="1754">
      <c r="K1754">
        <f>IF(A1754="","", _xludf.WEEKNUM(A1754, 2))</f>
        <v/>
      </c>
    </row>
    <row r="1755">
      <c r="K1755">
        <f>IF(A1755="","", _xludf.WEEKNUM(A1755, 2))</f>
        <v/>
      </c>
    </row>
    <row r="1756">
      <c r="K1756">
        <f>IF(A1756="","", _xludf.WEEKNUM(A1756, 2))</f>
        <v/>
      </c>
    </row>
    <row r="1757">
      <c r="K1757">
        <f>IF(A1757="","", _xludf.WEEKNUM(A1757, 2))</f>
        <v/>
      </c>
    </row>
    <row r="1758">
      <c r="K1758">
        <f>IF(A1758="","", _xludf.WEEKNUM(A1758, 2))</f>
        <v/>
      </c>
    </row>
    <row r="1759">
      <c r="K1759">
        <f>IF(A1759="","", _xludf.WEEKNUM(A1759, 2))</f>
        <v/>
      </c>
    </row>
    <row r="1760">
      <c r="K1760">
        <f>IF(A1760="","", _xludf.WEEKNUM(A1760, 2))</f>
        <v/>
      </c>
    </row>
    <row r="1761">
      <c r="K1761">
        <f>IF(A1761="","", _xludf.WEEKNUM(A1761, 2))</f>
        <v/>
      </c>
    </row>
    <row r="1762">
      <c r="K1762">
        <f>IF(A1762="","", _xludf.WEEKNUM(A1762, 2))</f>
        <v/>
      </c>
    </row>
    <row r="1763">
      <c r="K1763">
        <f>IF(A1763="","", _xludf.WEEKNUM(A1763, 2))</f>
        <v/>
      </c>
    </row>
    <row r="1764">
      <c r="K1764">
        <f>IF(A1764="","", _xludf.WEEKNUM(A1764, 2))</f>
        <v/>
      </c>
    </row>
    <row r="1765">
      <c r="K1765">
        <f>IF(A1765="","", _xludf.WEEKNUM(A1765, 2))</f>
        <v/>
      </c>
    </row>
    <row r="1766">
      <c r="K1766">
        <f>IF(A1766="","", _xludf.WEEKNUM(A1766, 2))</f>
        <v/>
      </c>
    </row>
    <row r="1767">
      <c r="K1767">
        <f>IF(A1767="","", _xludf.WEEKNUM(A1767, 2))</f>
        <v/>
      </c>
    </row>
    <row r="1768">
      <c r="K1768">
        <f>IF(A1768="","", _xludf.WEEKNUM(A1768, 2))</f>
        <v/>
      </c>
    </row>
    <row r="1769">
      <c r="K1769">
        <f>IF(A1769="","", _xludf.WEEKNUM(A1769, 2))</f>
        <v/>
      </c>
    </row>
    <row r="1770">
      <c r="K1770">
        <f>IF(A1770="","", _xludf.WEEKNUM(A1770, 2))</f>
        <v/>
      </c>
    </row>
    <row r="1771">
      <c r="K1771">
        <f>IF(A1771="","", _xludf.WEEKNUM(A1771, 2))</f>
        <v/>
      </c>
    </row>
    <row r="1772">
      <c r="K1772">
        <f>IF(A1772="","", _xludf.WEEKNUM(A1772, 2))</f>
        <v/>
      </c>
    </row>
    <row r="1773">
      <c r="K1773">
        <f>IF(A1773="","", _xludf.WEEKNUM(A1773, 2))</f>
        <v/>
      </c>
    </row>
    <row r="1774">
      <c r="K1774">
        <f>IF(A1774="","", _xludf.WEEKNUM(A1774, 2))</f>
        <v/>
      </c>
    </row>
    <row r="1775">
      <c r="K1775">
        <f>IF(A1775="","", _xludf.WEEKNUM(A1775, 2))</f>
        <v/>
      </c>
    </row>
    <row r="1776">
      <c r="K1776">
        <f>IF(A1776="","", _xludf.WEEKNUM(A1776, 2))</f>
        <v/>
      </c>
    </row>
    <row r="1777">
      <c r="K1777">
        <f>IF(A1777="","", _xludf.WEEKNUM(A1777, 2))</f>
        <v/>
      </c>
    </row>
    <row r="1778">
      <c r="K1778">
        <f>IF(A1778="","", _xludf.WEEKNUM(A1778, 2))</f>
        <v/>
      </c>
    </row>
    <row r="1779">
      <c r="K1779">
        <f>IF(A1779="","", _xludf.WEEKNUM(A1779, 2))</f>
        <v/>
      </c>
    </row>
    <row r="1780">
      <c r="K1780">
        <f>IF(A1780="","", _xludf.WEEKNUM(A1780, 2))</f>
        <v/>
      </c>
    </row>
    <row r="1781">
      <c r="K1781">
        <f>IF(A1781="","", _xludf.WEEKNUM(A1781, 2))</f>
        <v/>
      </c>
    </row>
    <row r="1782">
      <c r="K1782">
        <f>IF(A1782="","", _xludf.WEEKNUM(A1782, 2))</f>
        <v/>
      </c>
    </row>
    <row r="1783">
      <c r="K1783">
        <f>IF(A1783="","", _xludf.WEEKNUM(A1783, 2))</f>
        <v/>
      </c>
    </row>
    <row r="1784">
      <c r="K1784">
        <f>IF(A1784="","", _xludf.WEEKNUM(A1784, 2))</f>
        <v/>
      </c>
    </row>
    <row r="1785">
      <c r="K1785">
        <f>IF(A1785="","", _xludf.WEEKNUM(A1785, 2))</f>
        <v/>
      </c>
    </row>
    <row r="1786">
      <c r="K1786">
        <f>IF(A1786="","", _xludf.WEEKNUM(A1786, 2))</f>
        <v/>
      </c>
    </row>
    <row r="1787">
      <c r="K1787">
        <f>IF(A1787="","", _xludf.WEEKNUM(A1787, 2))</f>
        <v/>
      </c>
    </row>
    <row r="1788">
      <c r="K1788">
        <f>IF(A1788="","", _xludf.WEEKNUM(A1788, 2))</f>
        <v/>
      </c>
    </row>
    <row r="1789">
      <c r="K1789">
        <f>IF(A1789="","", _xludf.WEEKNUM(A1789, 2))</f>
        <v/>
      </c>
    </row>
    <row r="1790">
      <c r="K1790">
        <f>IF(A1790="","", _xludf.WEEKNUM(A1790, 2))</f>
        <v/>
      </c>
    </row>
    <row r="1791">
      <c r="K1791">
        <f>IF(A1791="","", _xludf.WEEKNUM(A1791, 2))</f>
        <v/>
      </c>
    </row>
    <row r="1792">
      <c r="K1792">
        <f>IF(A1792="","", _xludf.WEEKNUM(A1792, 2))</f>
        <v/>
      </c>
    </row>
    <row r="1793">
      <c r="K1793">
        <f>IF(A1793="","", _xludf.WEEKNUM(A1793, 2))</f>
        <v/>
      </c>
    </row>
    <row r="1794">
      <c r="K1794">
        <f>IF(A1794="","", _xludf.WEEKNUM(A1794, 2))</f>
        <v/>
      </c>
    </row>
    <row r="1795">
      <c r="K1795">
        <f>IF(A1795="","", _xludf.WEEKNUM(A1795, 2))</f>
        <v/>
      </c>
    </row>
    <row r="1796">
      <c r="K1796">
        <f>IF(A1796="","", _xludf.WEEKNUM(A1796, 2))</f>
        <v/>
      </c>
    </row>
    <row r="1797">
      <c r="K1797">
        <f>IF(A1797="","", _xludf.WEEKNUM(A1797, 2))</f>
        <v/>
      </c>
    </row>
    <row r="1798">
      <c r="K1798">
        <f>IF(A1798="","", _xludf.WEEKNUM(A1798, 2))</f>
        <v/>
      </c>
    </row>
    <row r="1799">
      <c r="K1799">
        <f>IF(A1799="","", _xludf.WEEKNUM(A1799, 2))</f>
        <v/>
      </c>
    </row>
    <row r="1800">
      <c r="K1800">
        <f>IF(A1800="","", _xludf.WEEKNUM(A1800, 2))</f>
        <v/>
      </c>
    </row>
    <row r="1801">
      <c r="K1801">
        <f>IF(A1801="","", _xludf.WEEKNUM(A1801, 2))</f>
        <v/>
      </c>
    </row>
    <row r="1802">
      <c r="K1802">
        <f>IF(A1802="","", _xludf.WEEKNUM(A1802, 2))</f>
        <v/>
      </c>
    </row>
    <row r="1803">
      <c r="K1803">
        <f>IF(A1803="","", _xludf.WEEKNUM(A1803, 2))</f>
        <v/>
      </c>
    </row>
    <row r="1804">
      <c r="K1804">
        <f>IF(A1804="","", _xludf.WEEKNUM(A1804, 2))</f>
        <v/>
      </c>
    </row>
    <row r="1805">
      <c r="K1805">
        <f>IF(A1805="","", _xludf.WEEKNUM(A1805, 2))</f>
        <v/>
      </c>
    </row>
    <row r="1806">
      <c r="K1806">
        <f>IF(A1806="","", _xludf.WEEKNUM(A1806, 2))</f>
        <v/>
      </c>
    </row>
    <row r="1807">
      <c r="K1807">
        <f>IF(A1807="","", _xludf.WEEKNUM(A1807, 2))</f>
        <v/>
      </c>
    </row>
    <row r="1808">
      <c r="K1808">
        <f>IF(A1808="","", _xludf.WEEKNUM(A1808, 2))</f>
        <v/>
      </c>
    </row>
    <row r="1809">
      <c r="K1809">
        <f>IF(A1809="","", _xludf.WEEKNUM(A1809, 2))</f>
        <v/>
      </c>
    </row>
    <row r="1810">
      <c r="K1810">
        <f>IF(A1810="","", _xludf.WEEKNUM(A1810, 2))</f>
        <v/>
      </c>
    </row>
    <row r="1811">
      <c r="K1811">
        <f>IF(A1811="","", _xludf.WEEKNUM(A1811, 2))</f>
        <v/>
      </c>
    </row>
    <row r="1812">
      <c r="K1812">
        <f>IF(A1812="","", _xludf.WEEKNUM(A1812, 2))</f>
        <v/>
      </c>
    </row>
    <row r="1813">
      <c r="K1813">
        <f>IF(A1813="","", _xludf.WEEKNUM(A1813, 2))</f>
        <v/>
      </c>
    </row>
    <row r="1814">
      <c r="K1814">
        <f>IF(A1814="","", _xludf.WEEKNUM(A1814, 2))</f>
        <v/>
      </c>
    </row>
    <row r="1815">
      <c r="K1815">
        <f>IF(A1815="","", _xludf.WEEKNUM(A1815, 2))</f>
        <v/>
      </c>
    </row>
    <row r="1816">
      <c r="K1816">
        <f>IF(A1816="","", _xludf.WEEKNUM(A1816, 2))</f>
        <v/>
      </c>
    </row>
    <row r="1817">
      <c r="K1817">
        <f>IF(A1817="","", _xludf.WEEKNUM(A1817, 2))</f>
        <v/>
      </c>
    </row>
    <row r="1818">
      <c r="K1818">
        <f>IF(A1818="","", _xludf.WEEKNUM(A1818, 2))</f>
        <v/>
      </c>
    </row>
    <row r="1819">
      <c r="K1819">
        <f>IF(A1819="","", _xludf.WEEKNUM(A1819, 2))</f>
        <v/>
      </c>
    </row>
    <row r="1820">
      <c r="K1820">
        <f>IF(A1820="","", _xludf.WEEKNUM(A1820, 2))</f>
        <v/>
      </c>
    </row>
    <row r="1821">
      <c r="K1821">
        <f>IF(A1821="","", _xludf.WEEKNUM(A1821, 2))</f>
        <v/>
      </c>
    </row>
    <row r="1822">
      <c r="K1822">
        <f>IF(A1822="","", _xludf.WEEKNUM(A1822, 2))</f>
        <v/>
      </c>
    </row>
    <row r="1823">
      <c r="K1823">
        <f>IF(A1823="","", _xludf.WEEKNUM(A1823, 2))</f>
        <v/>
      </c>
    </row>
    <row r="1824">
      <c r="K1824">
        <f>IF(A1824="","", _xludf.WEEKNUM(A1824, 2))</f>
        <v/>
      </c>
    </row>
    <row r="1825">
      <c r="K1825">
        <f>IF(A1825="","", _xludf.WEEKNUM(A1825, 2))</f>
        <v/>
      </c>
    </row>
    <row r="1826">
      <c r="K1826">
        <f>IF(A1826="","", _xludf.WEEKNUM(A1826, 2))</f>
        <v/>
      </c>
    </row>
    <row r="1827">
      <c r="K1827">
        <f>IF(A1827="","", _xludf.WEEKNUM(A1827, 2))</f>
        <v/>
      </c>
    </row>
    <row r="1828">
      <c r="K1828">
        <f>IF(A1828="","", _xludf.WEEKNUM(A1828, 2))</f>
        <v/>
      </c>
    </row>
    <row r="1829">
      <c r="K1829">
        <f>IF(A1829="","", _xludf.WEEKNUM(A1829, 2))</f>
        <v/>
      </c>
    </row>
    <row r="1830">
      <c r="K1830">
        <f>IF(A1830="","", _xludf.WEEKNUM(A1830, 2))</f>
        <v/>
      </c>
    </row>
    <row r="1831">
      <c r="K1831">
        <f>IF(A1831="","", _xludf.WEEKNUM(A1831, 2))</f>
        <v/>
      </c>
    </row>
    <row r="1832">
      <c r="K1832">
        <f>IF(A1832="","", _xludf.WEEKNUM(A1832, 2))</f>
        <v/>
      </c>
    </row>
    <row r="1833">
      <c r="K1833">
        <f>IF(A1833="","", _xludf.WEEKNUM(A1833, 2))</f>
        <v/>
      </c>
    </row>
    <row r="1834">
      <c r="K1834">
        <f>IF(A1834="","", _xludf.WEEKNUM(A1834, 2))</f>
        <v/>
      </c>
    </row>
    <row r="1835">
      <c r="K1835">
        <f>IF(A1835="","", _xludf.WEEKNUM(A1835, 2))</f>
        <v/>
      </c>
    </row>
    <row r="1836">
      <c r="K1836">
        <f>IF(A1836="","", _xludf.WEEKNUM(A1836, 2))</f>
        <v/>
      </c>
    </row>
    <row r="1837">
      <c r="K1837">
        <f>IF(A1837="","", _xludf.WEEKNUM(A1837, 2))</f>
        <v/>
      </c>
    </row>
    <row r="1838">
      <c r="K1838">
        <f>IF(A1838="","", _xludf.WEEKNUM(A1838, 2))</f>
        <v/>
      </c>
    </row>
    <row r="1839">
      <c r="K1839">
        <f>IF(A1839="","", _xludf.WEEKNUM(A1839, 2))</f>
        <v/>
      </c>
    </row>
    <row r="1840">
      <c r="K1840">
        <f>IF(A1840="","", _xludf.WEEKNUM(A1840, 2))</f>
        <v/>
      </c>
    </row>
    <row r="1841">
      <c r="K1841">
        <f>IF(A1841="","", _xludf.WEEKNUM(A1841, 2))</f>
        <v/>
      </c>
    </row>
    <row r="1842">
      <c r="K1842">
        <f>IF(A1842="","", _xludf.WEEKNUM(A1842, 2))</f>
        <v/>
      </c>
    </row>
    <row r="1843">
      <c r="K1843">
        <f>IF(A1843="","", _xludf.WEEKNUM(A1843, 2))</f>
        <v/>
      </c>
    </row>
    <row r="1844">
      <c r="K1844">
        <f>IF(A1844="","", _xludf.WEEKNUM(A1844, 2))</f>
        <v/>
      </c>
    </row>
    <row r="1845">
      <c r="K1845">
        <f>IF(A1845="","", _xludf.WEEKNUM(A1845, 2))</f>
        <v/>
      </c>
    </row>
    <row r="1846">
      <c r="K1846">
        <f>IF(A1846="","", _xludf.WEEKNUM(A1846, 2))</f>
        <v/>
      </c>
    </row>
    <row r="1847">
      <c r="K1847">
        <f>IF(A1847="","", _xludf.WEEKNUM(A1847, 2))</f>
        <v/>
      </c>
    </row>
    <row r="1848">
      <c r="K1848">
        <f>IF(A1848="","", _xludf.WEEKNUM(A1848, 2))</f>
        <v/>
      </c>
    </row>
    <row r="1849">
      <c r="K1849">
        <f>IF(A1849="","", _xludf.WEEKNUM(A1849, 2))</f>
        <v/>
      </c>
    </row>
    <row r="1850">
      <c r="K1850">
        <f>IF(A1850="","", _xludf.WEEKNUM(A1850, 2))</f>
        <v/>
      </c>
    </row>
    <row r="1851">
      <c r="K1851">
        <f>IF(A1851="","", _xludf.WEEKNUM(A1851, 2))</f>
        <v/>
      </c>
    </row>
    <row r="1852">
      <c r="K1852">
        <f>IF(A1852="","", _xludf.WEEKNUM(A1852, 2))</f>
        <v/>
      </c>
    </row>
    <row r="1853">
      <c r="K1853">
        <f>IF(A1853="","", _xludf.WEEKNUM(A1853, 2))</f>
        <v/>
      </c>
    </row>
    <row r="1854">
      <c r="K1854">
        <f>IF(A1854="","", _xludf.WEEKNUM(A1854, 2))</f>
        <v/>
      </c>
    </row>
    <row r="1855">
      <c r="K1855">
        <f>IF(A1855="","", _xludf.WEEKNUM(A1855, 2))</f>
        <v/>
      </c>
    </row>
    <row r="1856">
      <c r="K1856">
        <f>IF(A1856="","", _xludf.WEEKNUM(A1856, 2))</f>
        <v/>
      </c>
    </row>
    <row r="1857">
      <c r="K1857">
        <f>IF(A1857="","", _xludf.WEEKNUM(A1857, 2))</f>
        <v/>
      </c>
    </row>
    <row r="1858">
      <c r="K1858">
        <f>IF(A1858="","", _xludf.WEEKNUM(A1858, 2))</f>
        <v/>
      </c>
    </row>
    <row r="1859">
      <c r="K1859">
        <f>IF(A1859="","", _xludf.WEEKNUM(A1859, 2))</f>
        <v/>
      </c>
    </row>
    <row r="1860">
      <c r="K1860">
        <f>IF(A1860="","", _xludf.WEEKNUM(A1860, 2))</f>
        <v/>
      </c>
    </row>
    <row r="1861">
      <c r="K1861">
        <f>IF(A1861="","", _xludf.WEEKNUM(A1861, 2))</f>
        <v/>
      </c>
    </row>
    <row r="1862">
      <c r="K1862">
        <f>IF(A1862="","", _xludf.WEEKNUM(A1862, 2))</f>
        <v/>
      </c>
    </row>
    <row r="1863">
      <c r="K1863">
        <f>IF(A1863="","", _xludf.WEEKNUM(A1863, 2))</f>
        <v/>
      </c>
    </row>
    <row r="1864">
      <c r="K1864">
        <f>IF(A1864="","", _xludf.WEEKNUM(A1864, 2))</f>
        <v/>
      </c>
    </row>
    <row r="1865">
      <c r="K1865">
        <f>IF(A1865="","", _xludf.WEEKNUM(A1865, 2))</f>
        <v/>
      </c>
    </row>
    <row r="1866">
      <c r="K1866">
        <f>IF(A1866="","", _xludf.WEEKNUM(A1866, 2))</f>
        <v/>
      </c>
    </row>
    <row r="1867">
      <c r="K1867">
        <f>IF(A1867="","", _xludf.WEEKNUM(A1867, 2))</f>
        <v/>
      </c>
    </row>
    <row r="1868">
      <c r="K1868">
        <f>IF(A1868="","", _xludf.WEEKNUM(A1868, 2))</f>
        <v/>
      </c>
    </row>
    <row r="1869">
      <c r="K1869">
        <f>IF(A1869="","", _xludf.WEEKNUM(A1869, 2))</f>
        <v/>
      </c>
    </row>
    <row r="1870">
      <c r="K1870">
        <f>IF(A1870="","", _xludf.WEEKNUM(A1870, 2))</f>
        <v/>
      </c>
    </row>
    <row r="1871">
      <c r="K1871">
        <f>IF(A1871="","", _xludf.WEEKNUM(A1871, 2))</f>
        <v/>
      </c>
    </row>
    <row r="1872">
      <c r="K1872">
        <f>IF(A1872="","", _xludf.WEEKNUM(A1872, 2))</f>
        <v/>
      </c>
    </row>
    <row r="1873">
      <c r="K1873">
        <f>IF(A1873="","", _xludf.WEEKNUM(A1873, 2))</f>
        <v/>
      </c>
    </row>
    <row r="1874">
      <c r="K1874">
        <f>IF(A1874="","", _xludf.WEEKNUM(A1874, 2))</f>
        <v/>
      </c>
    </row>
    <row r="1875">
      <c r="K1875">
        <f>IF(A1875="","", _xludf.WEEKNUM(A1875, 2))</f>
        <v/>
      </c>
    </row>
    <row r="1876">
      <c r="K1876">
        <f>IF(A1876="","", _xludf.WEEKNUM(A1876, 2))</f>
        <v/>
      </c>
    </row>
    <row r="1877">
      <c r="K1877">
        <f>IF(A1877="","", _xludf.WEEKNUM(A1877, 2))</f>
        <v/>
      </c>
    </row>
    <row r="1878">
      <c r="K1878">
        <f>IF(A1878="","", _xludf.WEEKNUM(A1878, 2))</f>
        <v/>
      </c>
    </row>
    <row r="1879">
      <c r="K1879">
        <f>IF(A1879="","", _xludf.WEEKNUM(A1879, 2))</f>
        <v/>
      </c>
    </row>
    <row r="1880">
      <c r="K1880">
        <f>IF(A1880="","", _xludf.WEEKNUM(A1880, 2))</f>
        <v/>
      </c>
    </row>
    <row r="1881">
      <c r="K1881">
        <f>IF(A1881="","", _xludf.WEEKNUM(A1881, 2))</f>
        <v/>
      </c>
    </row>
    <row r="1882">
      <c r="K1882">
        <f>IF(A1882="","", _xludf.WEEKNUM(A1882, 2))</f>
        <v/>
      </c>
    </row>
    <row r="1883">
      <c r="K1883">
        <f>IF(A1883="","", _xludf.WEEKNUM(A1883, 2))</f>
        <v/>
      </c>
    </row>
    <row r="1884">
      <c r="K1884">
        <f>IF(A1884="","", _xludf.WEEKNUM(A1884, 2))</f>
        <v/>
      </c>
    </row>
    <row r="1885">
      <c r="K1885">
        <f>IF(A1885="","", _xludf.WEEKNUM(A1885, 2))</f>
        <v/>
      </c>
    </row>
    <row r="1886">
      <c r="K1886">
        <f>IF(A1886="","", _xludf.WEEKNUM(A1886, 2))</f>
        <v/>
      </c>
    </row>
    <row r="1887">
      <c r="K1887">
        <f>IF(A1887="","", _xludf.WEEKNUM(A1887, 2))</f>
        <v/>
      </c>
    </row>
    <row r="1888">
      <c r="K1888">
        <f>IF(A1888="","", _xludf.WEEKNUM(A1888, 2))</f>
        <v/>
      </c>
    </row>
    <row r="1889">
      <c r="K1889">
        <f>IF(A1889="","", _xludf.WEEKNUM(A1889, 2))</f>
        <v/>
      </c>
    </row>
    <row r="1890">
      <c r="K1890">
        <f>IF(A1890="","", _xludf.WEEKNUM(A1890, 2))</f>
        <v/>
      </c>
    </row>
    <row r="1891">
      <c r="K1891">
        <f>IF(A1891="","", _xludf.WEEKNUM(A1891, 2))</f>
        <v/>
      </c>
    </row>
    <row r="1892">
      <c r="K1892">
        <f>IF(A1892="","", _xludf.WEEKNUM(A1892, 2))</f>
        <v/>
      </c>
    </row>
    <row r="1893">
      <c r="K1893">
        <f>IF(A1893="","", _xludf.WEEKNUM(A1893, 2))</f>
        <v/>
      </c>
    </row>
    <row r="1894">
      <c r="K1894">
        <f>IF(A1894="","", _xludf.WEEKNUM(A1894, 2))</f>
        <v/>
      </c>
    </row>
    <row r="1895">
      <c r="K1895">
        <f>IF(A1895="","", _xludf.WEEKNUM(A1895, 2))</f>
        <v/>
      </c>
    </row>
    <row r="1896">
      <c r="K1896">
        <f>IF(A1896="","", _xludf.WEEKNUM(A1896, 2))</f>
        <v/>
      </c>
    </row>
    <row r="1897">
      <c r="K1897">
        <f>IF(A1897="","", _xludf.WEEKNUM(A1897, 2))</f>
        <v/>
      </c>
    </row>
    <row r="1898">
      <c r="K1898">
        <f>IF(A1898="","", _xludf.WEEKNUM(A1898, 2))</f>
        <v/>
      </c>
    </row>
    <row r="1899">
      <c r="K1899">
        <f>IF(A1899="","", _xludf.WEEKNUM(A1899, 2))</f>
        <v/>
      </c>
    </row>
    <row r="1900">
      <c r="K1900">
        <f>IF(A1900="","", _xludf.WEEKNUM(A1900, 2))</f>
        <v/>
      </c>
    </row>
    <row r="1901">
      <c r="K1901">
        <f>IF(A1901="","", _xludf.WEEKNUM(A1901, 2))</f>
        <v/>
      </c>
    </row>
    <row r="1902">
      <c r="K1902">
        <f>IF(A1902="","", _xludf.WEEKNUM(A1902, 2))</f>
        <v/>
      </c>
    </row>
    <row r="1903">
      <c r="K1903">
        <f>IF(A1903="","", _xludf.WEEKNUM(A1903, 2))</f>
        <v/>
      </c>
    </row>
    <row r="1904">
      <c r="K1904">
        <f>IF(A1904="","", _xludf.WEEKNUM(A1904, 2))</f>
        <v/>
      </c>
    </row>
    <row r="1905">
      <c r="K1905">
        <f>IF(A1905="","", _xludf.WEEKNUM(A1905, 2))</f>
        <v/>
      </c>
    </row>
    <row r="1906">
      <c r="K1906">
        <f>IF(A1906="","", _xludf.WEEKNUM(A1906, 2))</f>
        <v/>
      </c>
    </row>
    <row r="1907">
      <c r="K1907">
        <f>IF(A1907="","", _xludf.WEEKNUM(A1907, 2))</f>
        <v/>
      </c>
    </row>
    <row r="1908">
      <c r="K1908">
        <f>IF(A1908="","", _xludf.WEEKNUM(A1908, 2))</f>
        <v/>
      </c>
    </row>
    <row r="1909">
      <c r="K1909">
        <f>IF(A1909="","", _xludf.WEEKNUM(A1909, 2))</f>
        <v/>
      </c>
    </row>
    <row r="1910">
      <c r="K1910">
        <f>IF(A1910="","", _xludf.WEEKNUM(A1910, 2))</f>
        <v/>
      </c>
    </row>
    <row r="1911">
      <c r="K1911">
        <f>IF(A1911="","", _xludf.WEEKNUM(A1911, 2))</f>
        <v/>
      </c>
    </row>
    <row r="1912">
      <c r="K1912">
        <f>IF(A1912="","", _xludf.WEEKNUM(A1912, 2))</f>
        <v/>
      </c>
    </row>
    <row r="1913">
      <c r="K1913">
        <f>IF(A1913="","", _xludf.WEEKNUM(A1913, 2))</f>
        <v/>
      </c>
    </row>
    <row r="1914">
      <c r="K1914">
        <f>IF(A1914="","", _xludf.WEEKNUM(A1914, 2))</f>
        <v/>
      </c>
    </row>
    <row r="1915">
      <c r="K1915">
        <f>IF(A1915="","", _xludf.WEEKNUM(A1915, 2))</f>
        <v/>
      </c>
    </row>
    <row r="1916">
      <c r="K1916">
        <f>IF(A1916="","", _xludf.WEEKNUM(A1916, 2))</f>
        <v/>
      </c>
    </row>
    <row r="1917">
      <c r="K1917">
        <f>IF(A1917="","", _xludf.WEEKNUM(A1917, 2))</f>
        <v/>
      </c>
    </row>
    <row r="1918">
      <c r="K1918">
        <f>IF(A1918="","", _xludf.WEEKNUM(A1918, 2))</f>
        <v/>
      </c>
    </row>
    <row r="1919">
      <c r="K1919">
        <f>IF(A1919="","", _xludf.WEEKNUM(A1919, 2))</f>
        <v/>
      </c>
    </row>
    <row r="1920">
      <c r="K1920">
        <f>IF(A1920="","", _xludf.WEEKNUM(A1920, 2))</f>
        <v/>
      </c>
    </row>
    <row r="1921">
      <c r="K1921">
        <f>IF(A1921="","", _xludf.WEEKNUM(A1921, 2))</f>
        <v/>
      </c>
    </row>
    <row r="1922">
      <c r="K1922">
        <f>IF(A1922="","", _xludf.WEEKNUM(A1922, 2))</f>
        <v/>
      </c>
    </row>
    <row r="1923">
      <c r="K1923">
        <f>IF(A1923="","", _xludf.WEEKNUM(A1923, 2))</f>
        <v/>
      </c>
    </row>
    <row r="1924">
      <c r="K1924">
        <f>IF(A1924="","", _xludf.WEEKNUM(A1924, 2))</f>
        <v/>
      </c>
    </row>
    <row r="1925">
      <c r="K1925">
        <f>IF(A1925="","", _xludf.WEEKNUM(A1925, 2))</f>
        <v/>
      </c>
    </row>
    <row r="1926">
      <c r="K1926">
        <f>IF(A1926="","", _xludf.WEEKNUM(A1926, 2))</f>
        <v/>
      </c>
    </row>
    <row r="1927">
      <c r="K1927">
        <f>IF(A1927="","", _xludf.WEEKNUM(A1927, 2))</f>
        <v/>
      </c>
    </row>
    <row r="1928">
      <c r="K1928">
        <f>IF(A1928="","", _xludf.WEEKNUM(A1928, 2))</f>
        <v/>
      </c>
    </row>
    <row r="1929">
      <c r="K1929">
        <f>IF(A1929="","", _xludf.WEEKNUM(A1929, 2))</f>
        <v/>
      </c>
    </row>
    <row r="1930">
      <c r="K1930">
        <f>IF(A1930="","", _xludf.WEEKNUM(A1930, 2))</f>
        <v/>
      </c>
    </row>
    <row r="1931">
      <c r="K1931">
        <f>IF(A1931="","", _xludf.WEEKNUM(A1931, 2))</f>
        <v/>
      </c>
    </row>
    <row r="1932">
      <c r="K1932">
        <f>IF(A1932="","", _xludf.WEEKNUM(A1932, 2))</f>
        <v/>
      </c>
    </row>
    <row r="1933">
      <c r="K1933">
        <f>IF(A1933="","", _xludf.WEEKNUM(A1933, 2))</f>
        <v/>
      </c>
    </row>
    <row r="1934">
      <c r="K1934">
        <f>IF(A1934="","", _xludf.WEEKNUM(A1934, 2))</f>
        <v/>
      </c>
    </row>
    <row r="1935">
      <c r="K1935">
        <f>IF(A1935="","", _xludf.WEEKNUM(A1935, 2))</f>
        <v/>
      </c>
    </row>
    <row r="1936">
      <c r="K1936">
        <f>IF(A1936="","", _xludf.WEEKNUM(A1936, 2))</f>
        <v/>
      </c>
    </row>
    <row r="1937">
      <c r="K1937">
        <f>IF(A1937="","", _xludf.WEEKNUM(A1937, 2))</f>
        <v/>
      </c>
    </row>
    <row r="1938">
      <c r="K1938">
        <f>IF(A1938="","", _xludf.WEEKNUM(A1938, 2))</f>
        <v/>
      </c>
    </row>
    <row r="1939">
      <c r="K1939">
        <f>IF(A1939="","", _xludf.WEEKNUM(A1939, 2))</f>
        <v/>
      </c>
    </row>
    <row r="1940">
      <c r="K1940">
        <f>IF(A1940="","", _xludf.WEEKNUM(A1940, 2))</f>
        <v/>
      </c>
    </row>
    <row r="1941">
      <c r="K1941">
        <f>IF(A1941="","", _xludf.WEEKNUM(A1941, 2))</f>
        <v/>
      </c>
    </row>
    <row r="1942">
      <c r="K1942">
        <f>IF(A1942="","", _xludf.WEEKNUM(A1942, 2))</f>
        <v/>
      </c>
    </row>
    <row r="1943">
      <c r="K1943">
        <f>IF(A1943="","", _xludf.WEEKNUM(A1943, 2))</f>
        <v/>
      </c>
    </row>
    <row r="1944">
      <c r="K1944">
        <f>IF(A1944="","", _xludf.WEEKNUM(A1944, 2))</f>
        <v/>
      </c>
    </row>
    <row r="1945">
      <c r="K1945">
        <f>IF(A1945="","", _xludf.WEEKNUM(A1945, 2))</f>
        <v/>
      </c>
    </row>
    <row r="1946">
      <c r="K1946">
        <f>IF(A1946="","", _xludf.WEEKNUM(A1946, 2))</f>
        <v/>
      </c>
    </row>
    <row r="1947">
      <c r="K1947">
        <f>IF(A1947="","", _xludf.WEEKNUM(A1947, 2))</f>
        <v/>
      </c>
    </row>
    <row r="1948">
      <c r="K1948">
        <f>IF(A1948="","", _xludf.WEEKNUM(A1948, 2))</f>
        <v/>
      </c>
    </row>
    <row r="1949">
      <c r="K1949">
        <f>IF(A1949="","", _xludf.WEEKNUM(A1949, 2))</f>
        <v/>
      </c>
    </row>
    <row r="1950">
      <c r="K1950">
        <f>IF(A1950="","", _xludf.WEEKNUM(A1950, 2))</f>
        <v/>
      </c>
    </row>
    <row r="1951">
      <c r="K1951">
        <f>IF(A1951="","", _xludf.WEEKNUM(A1951, 2))</f>
        <v/>
      </c>
    </row>
    <row r="1952">
      <c r="K1952">
        <f>IF(A1952="","", _xludf.WEEKNUM(A1952, 2))</f>
        <v/>
      </c>
    </row>
    <row r="1953">
      <c r="K1953">
        <f>IF(A1953="","", _xludf.WEEKNUM(A1953, 2))</f>
        <v/>
      </c>
    </row>
    <row r="1954">
      <c r="K1954">
        <f>IF(A1954="","", _xludf.WEEKNUM(A1954, 2))</f>
        <v/>
      </c>
    </row>
    <row r="1955">
      <c r="K1955">
        <f>IF(A1955="","", _xludf.WEEKNUM(A1955, 2))</f>
        <v/>
      </c>
    </row>
    <row r="1956">
      <c r="K1956">
        <f>IF(A1956="","", _xludf.WEEKNUM(A1956, 2))</f>
        <v/>
      </c>
    </row>
    <row r="1957">
      <c r="K1957">
        <f>IF(A1957="","", _xludf.WEEKNUM(A1957, 2))</f>
        <v/>
      </c>
    </row>
    <row r="1958">
      <c r="K1958">
        <f>IF(A1958="","", _xludf.WEEKNUM(A1958, 2))</f>
        <v/>
      </c>
    </row>
    <row r="1959">
      <c r="K1959">
        <f>IF(A1959="","", _xludf.WEEKNUM(A1959, 2))</f>
        <v/>
      </c>
    </row>
    <row r="1960">
      <c r="K1960">
        <f>IF(A1960="","", _xludf.WEEKNUM(A1960, 2))</f>
        <v/>
      </c>
    </row>
    <row r="1961">
      <c r="K1961">
        <f>IF(A1961="","", _xludf.WEEKNUM(A1961, 2))</f>
        <v/>
      </c>
    </row>
    <row r="1962">
      <c r="K1962">
        <f>IF(A1962="","", _xludf.WEEKNUM(A1962, 2))</f>
        <v/>
      </c>
    </row>
    <row r="1963">
      <c r="K1963">
        <f>IF(A1963="","", _xludf.WEEKNUM(A1963, 2))</f>
        <v/>
      </c>
    </row>
    <row r="1964">
      <c r="K1964">
        <f>IF(A1964="","", _xludf.WEEKNUM(A1964, 2))</f>
        <v/>
      </c>
    </row>
    <row r="1965">
      <c r="K1965">
        <f>IF(A1965="","", _xludf.WEEKNUM(A1965, 2))</f>
        <v/>
      </c>
    </row>
    <row r="1966">
      <c r="K1966">
        <f>IF(A1966="","", _xludf.WEEKNUM(A1966, 2))</f>
        <v/>
      </c>
    </row>
    <row r="1967">
      <c r="K1967">
        <f>IF(A1967="","", _xludf.WEEKNUM(A1967, 2))</f>
        <v/>
      </c>
    </row>
    <row r="1968">
      <c r="K1968">
        <f>IF(A1968="","", _xludf.WEEKNUM(A1968, 2))</f>
        <v/>
      </c>
    </row>
    <row r="1969">
      <c r="K1969">
        <f>IF(A1969="","", _xludf.WEEKNUM(A1969, 2))</f>
        <v/>
      </c>
    </row>
    <row r="1970">
      <c r="K1970">
        <f>IF(A1970="","", _xludf.WEEKNUM(A1970, 2))</f>
        <v/>
      </c>
    </row>
    <row r="1971">
      <c r="K1971">
        <f>IF(A1971="","", _xludf.WEEKNUM(A1971, 2))</f>
        <v/>
      </c>
    </row>
    <row r="1972">
      <c r="K1972">
        <f>IF(A1972="","", _xludf.WEEKNUM(A1972, 2))</f>
        <v/>
      </c>
    </row>
    <row r="1973">
      <c r="K1973">
        <f>IF(A1973="","", _xludf.WEEKNUM(A1973, 2))</f>
        <v/>
      </c>
    </row>
    <row r="1974">
      <c r="K1974">
        <f>IF(A1974="","", _xludf.WEEKNUM(A1974, 2))</f>
        <v/>
      </c>
    </row>
    <row r="1975">
      <c r="K1975">
        <f>IF(A1975="","", _xludf.WEEKNUM(A1975, 2))</f>
        <v/>
      </c>
    </row>
    <row r="1976">
      <c r="K1976">
        <f>IF(A1976="","", _xludf.WEEKNUM(A1976, 2))</f>
        <v/>
      </c>
    </row>
    <row r="1977">
      <c r="K1977">
        <f>IF(A1977="","", _xludf.WEEKNUM(A1977, 2))</f>
        <v/>
      </c>
    </row>
    <row r="1978">
      <c r="K1978">
        <f>IF(A1978="","", _xludf.WEEKNUM(A1978, 2))</f>
        <v/>
      </c>
    </row>
    <row r="1979">
      <c r="K1979">
        <f>IF(A1979="","", _xludf.WEEKNUM(A1979, 2))</f>
        <v/>
      </c>
    </row>
    <row r="1980">
      <c r="K1980">
        <f>IF(A1980="","", _xludf.WEEKNUM(A1980, 2))</f>
        <v/>
      </c>
    </row>
    <row r="1981">
      <c r="K1981">
        <f>IF(A1981="","", _xludf.WEEKNUM(A1981, 2))</f>
        <v/>
      </c>
    </row>
    <row r="1982">
      <c r="K1982">
        <f>IF(A1982="","", _xludf.WEEKNUM(A1982, 2))</f>
        <v/>
      </c>
    </row>
    <row r="1983">
      <c r="K1983">
        <f>IF(A1983="","", _xludf.WEEKNUM(A1983, 2))</f>
        <v/>
      </c>
    </row>
    <row r="1984">
      <c r="K1984">
        <f>IF(A1984="","", _xludf.WEEKNUM(A1984, 2))</f>
        <v/>
      </c>
    </row>
    <row r="1985">
      <c r="K1985">
        <f>IF(A1985="","", _xludf.WEEKNUM(A1985, 2))</f>
        <v/>
      </c>
    </row>
    <row r="1986">
      <c r="K1986">
        <f>IF(A1986="","", _xludf.WEEKNUM(A1986, 2))</f>
        <v/>
      </c>
    </row>
    <row r="1987">
      <c r="K1987">
        <f>IF(A1987="","", _xludf.WEEKNUM(A1987, 2))</f>
        <v/>
      </c>
    </row>
    <row r="1988">
      <c r="K1988">
        <f>IF(A1988="","", _xludf.WEEKNUM(A1988, 2))</f>
        <v/>
      </c>
    </row>
    <row r="1989">
      <c r="K1989">
        <f>IF(A1989="","", _xludf.WEEKNUM(A1989, 2))</f>
        <v/>
      </c>
    </row>
    <row r="1990">
      <c r="K1990">
        <f>IF(A1990="","", _xludf.WEEKNUM(A1990, 2))</f>
        <v/>
      </c>
    </row>
    <row r="1991">
      <c r="K1991">
        <f>IF(A1991="","", _xludf.WEEKNUM(A1991, 2))</f>
        <v/>
      </c>
    </row>
    <row r="1992">
      <c r="K1992">
        <f>IF(A1992="","", _xludf.WEEKNUM(A1992, 2))</f>
        <v/>
      </c>
    </row>
    <row r="1993">
      <c r="K1993">
        <f>IF(A1993="","", _xludf.WEEKNUM(A1993, 2))</f>
        <v/>
      </c>
    </row>
    <row r="1994">
      <c r="K1994">
        <f>IF(A1994="","", _xludf.WEEKNUM(A1994, 2))</f>
        <v/>
      </c>
    </row>
    <row r="1995">
      <c r="K1995">
        <f>IF(A1995="","", _xludf.WEEKNUM(A1995, 2))</f>
        <v/>
      </c>
    </row>
    <row r="1996">
      <c r="K1996">
        <f>IF(A1996="","", _xludf.WEEKNUM(A1996, 2))</f>
        <v/>
      </c>
    </row>
    <row r="1997">
      <c r="K1997">
        <f>IF(A1997="","", _xludf.WEEKNUM(A1997, 2))</f>
        <v/>
      </c>
    </row>
    <row r="1998">
      <c r="K1998">
        <f>IF(A1998="","", _xludf.WEEKNUM(A1998, 2))</f>
        <v/>
      </c>
    </row>
    <row r="1999">
      <c r="K1999">
        <f>IF(A1999="","", _xludf.WEEKNUM(A1999, 2))</f>
        <v/>
      </c>
    </row>
    <row r="2000">
      <c r="K2000">
        <f>IF(A2000="","", _xludf.WEEKNUM(A2000, 2))</f>
        <v/>
      </c>
    </row>
  </sheetData>
  <mergeCells count="1">
    <mergeCell ref="A1:K1"/>
  </mergeCells>
  <dataValidations count="3">
    <dataValidation sqref="J5:J306" showDropDown="0" showInputMessage="0" showErrorMessage="0" allowBlank="0" type="list">
      <formula1>"Sin incidencia,Fuga,Reparación,Equipo parado,Consumo extraordinario,Otro"</formula1>
    </dataValidation>
    <dataValidation sqref="C297:C306" showDropDown="0" showInputMessage="0" showErrorMessage="0" allowBlank="0" type="list">
      <formula1>"Marimba M-01,Pegaso Directo,Otro"</formula1>
    </dataValidation>
    <dataValidation sqref="C5:C296" showDropDown="0" showInputMessage="0" showErrorMessage="0" allowBlank="0"/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000"/>
  <sheetViews>
    <sheetView topLeftCell="A9" workbookViewId="0">
      <selection activeCell="A1" sqref="A1:H1"/>
    </sheetView>
  </sheetViews>
  <sheetFormatPr baseColWidth="10" defaultRowHeight="13.8"/>
  <cols>
    <col width="20" customWidth="1" style="17580" min="1" max="2"/>
    <col width="25" customWidth="1" style="17580" min="3" max="3"/>
    <col width="39.69921875" bestFit="1" customWidth="1" style="17580" min="4" max="4"/>
    <col width="15" customWidth="1" style="17580" min="5" max="5"/>
    <col width="36.8984375" bestFit="1" customWidth="1" style="17580" min="6" max="6"/>
    <col width="18" customWidth="1" style="17580" min="7" max="7"/>
    <col width="30" customWidth="1" style="17580" min="8" max="8"/>
    <col hidden="1" width="13" customWidth="1" style="17580" min="9" max="10"/>
  </cols>
  <sheetData>
    <row r="1" ht="17.4" customHeight="1" s="17580">
      <c r="A1" s="17627" t="inlineStr">
        <is>
          <t>REGISTRO TRANSACCIONAL DE HORAS DE TRABAJO (MAQUINARIA)</t>
        </is>
      </c>
    </row>
    <row r="3">
      <c r="A3" s="2481" t="inlineStr">
        <is>
          <t>ID Reporte / Semana</t>
        </is>
      </c>
      <c r="B3" s="2482" t="inlineStr">
        <is>
          <t>Fecha (DD/MM/AAAA)</t>
        </is>
      </c>
      <c r="C3" s="2483" t="inlineStr">
        <is>
          <t>Obra Asignada</t>
        </is>
      </c>
      <c r="D3" s="2484" t="inlineStr">
        <is>
          <t>Maquinaria (Destino)</t>
        </is>
      </c>
      <c r="E3" s="2485" t="inlineStr">
        <is>
          <t>No. Económico</t>
        </is>
      </c>
      <c r="F3" s="2486" t="inlineStr">
        <is>
          <t>Operador</t>
        </is>
      </c>
      <c r="G3" s="2487" t="inlineStr">
        <is>
          <t>Horas Trabajadas</t>
        </is>
      </c>
      <c r="H3" s="2488" t="inlineStr">
        <is>
          <t>Actividad Principal</t>
        </is>
      </c>
      <c r="I3" t="inlineStr">
        <is>
          <t>Rendimiento Esperado (Lts)</t>
        </is>
      </c>
      <c r="J3" t="inlineStr">
        <is>
          <t>Semana (Helper)</t>
        </is>
      </c>
    </row>
    <row r="4">
      <c r="A4" s="2490">
        <f>IF(D4="","", "HT-" &amp; IFERROR(VLOOKUP(C4, Catalogos!$Z$4:$AA$20, 2, FALSE), "FOL") &amp; "-" &amp; IF(B4="","00", _xludf.WEEKNUM(B4, 2)) &amp; "-" &amp; TEXT(ROW(A1),"000"))</f>
        <v/>
      </c>
      <c r="B4" s="2489" t="n">
        <v>46188</v>
      </c>
      <c r="C4" s="2491" t="inlineStr">
        <is>
          <t>México-Toluca</t>
        </is>
      </c>
      <c r="D4" s="2492" t="inlineStr">
        <is>
          <t>PERFILADORA WIRGENT-W200i</t>
        </is>
      </c>
      <c r="E4" s="2493">
        <f>IF(D4="","", IFERROR(INDEX(Catalogos!$W$4:$W$100, MATCH(D4, Catalogos!$V$4:$V$100, 0)), ""))</f>
        <v/>
      </c>
      <c r="F4" s="2494">
        <f>IF(D4="","", IFERROR(INDEX(Catalogos!$Y$4:$Y$100, MATCH(D4, Catalogos!$V$4:$V$100, 0)), ""))</f>
        <v/>
      </c>
      <c r="G4" s="2495" t="n">
        <v>6</v>
      </c>
      <c r="H4" s="2496" t="n"/>
      <c r="I4">
        <f>IF(E4="","", G4 * IFERROR(INDEX(Maquinaria_Inventario!$K$2:$K$100, MATCH(E4, Maquinaria_Inventario!$L$2:$L$100, 0)), 0))</f>
        <v/>
      </c>
      <c r="J4">
        <f>IF(B4="","", _xludf.WEEKNUM(B4, 2))</f>
        <v/>
      </c>
    </row>
    <row r="5">
      <c r="A5" s="2498">
        <f>IF(D5="","", "HT-" &amp; IFERROR(VLOOKUP(C5, Catalogos!$Z$4:$AA$20, 2, FALSE), "FOL") &amp; "-" &amp; IF(B5="","00", _xludf.WEEKNUM(B5, 2)) &amp; "-" &amp; TEXT(ROW(A2),"000"))</f>
        <v/>
      </c>
      <c r="B5" s="2497" t="n">
        <v>46188</v>
      </c>
      <c r="C5" s="2499" t="inlineStr">
        <is>
          <t>México-Toluca</t>
        </is>
      </c>
      <c r="D5" s="2500" t="inlineStr">
        <is>
          <t>PAVIMENTADORA  VOGELE SJ 1800-3</t>
        </is>
      </c>
      <c r="E5" s="2501">
        <f>IF(D5="","", IFERROR(INDEX(Catalogos!$W$4:$W$100, MATCH(D5, Catalogos!$V$4:$V$100, 0)), ""))</f>
        <v/>
      </c>
      <c r="F5" s="2502">
        <f>IF(D5="","", IFERROR(INDEX(Catalogos!$Y$4:$Y$100, MATCH(D5, Catalogos!$V$4:$V$100, 0)), ""))</f>
        <v/>
      </c>
      <c r="G5" s="2503" t="n">
        <v>7</v>
      </c>
      <c r="H5" s="2504" t="n"/>
      <c r="I5">
        <f>IF(E5="","", G5 * IFERROR(INDEX(Maquinaria_Inventario!$K$2:$K$100, MATCH(E5, Maquinaria_Inventario!$L$2:$L$100, 0)), 0))</f>
        <v/>
      </c>
      <c r="J5">
        <f>IF(B5="","", _xludf.WEEKNUM(B5, 2))</f>
        <v/>
      </c>
    </row>
    <row r="6">
      <c r="A6" s="2506">
        <f>IF(D6="","", "HT-" &amp; IFERROR(VLOOKUP(C6, Catalogos!$Z$4:$AA$20, 2, FALSE), "FOL") &amp; "-" &amp; IF(B6="","00", _xludf.WEEKNUM(B6, 2)) &amp; "-" &amp; TEXT(ROW(A3),"000"))</f>
        <v/>
      </c>
      <c r="B6" s="2505" t="n">
        <v>46188</v>
      </c>
      <c r="C6" s="2507" t="inlineStr">
        <is>
          <t>México-Toluca</t>
        </is>
      </c>
      <c r="D6" s="2508" t="inlineStr">
        <is>
          <t>VIBROCOMPACTADOR CATERPILLAR CB66B</t>
        </is>
      </c>
      <c r="E6" s="2509">
        <f>IF(D6="","", IFERROR(INDEX(Catalogos!$W$4:$W$100, MATCH(D6, Catalogos!$V$4:$V$100, 0)), ""))</f>
        <v/>
      </c>
      <c r="F6" s="2510">
        <f>IF(D6="","", IFERROR(INDEX(Catalogos!$Y$4:$Y$100, MATCH(D6, Catalogos!$V$4:$V$100, 0)), ""))</f>
        <v/>
      </c>
      <c r="G6" s="2511" t="n">
        <v>8</v>
      </c>
      <c r="H6" s="2512" t="n"/>
      <c r="I6">
        <f>IF(E6="","", G6 * IFERROR(INDEX(Maquinaria_Inventario!$K$2:$K$100, MATCH(E6, Maquinaria_Inventario!$L$2:$L$100, 0)), 0))</f>
        <v/>
      </c>
      <c r="J6">
        <f>IF(B6="","", _xludf.WEEKNUM(B6, 2))</f>
        <v/>
      </c>
    </row>
    <row r="7">
      <c r="A7" s="2514">
        <f>IF(D7="","", "HT-" &amp; IFERROR(VLOOKUP(C7, Catalogos!$Z$4:$AA$20, 2, FALSE), "FOL") &amp; "-" &amp; IF(B7="","00", _xludf.WEEKNUM(B7, 2)) &amp; "-" &amp; TEXT(ROW(A4),"000"))</f>
        <v/>
      </c>
      <c r="B7" s="2513" t="n">
        <v>46188</v>
      </c>
      <c r="C7" s="2515" t="inlineStr">
        <is>
          <t>México-Toluca</t>
        </is>
      </c>
      <c r="D7" s="2516" t="inlineStr">
        <is>
          <t>NEUMATICO VOLVO PT-240R</t>
        </is>
      </c>
      <c r="E7" s="2517">
        <f>IF(D7="","", IFERROR(INDEX(Catalogos!$W$4:$W$100, MATCH(D7, Catalogos!$V$4:$V$100, 0)), ""))</f>
        <v/>
      </c>
      <c r="F7" s="2518">
        <f>IF(D7="","", IFERROR(INDEX(Catalogos!$Y$4:$Y$100, MATCH(D7, Catalogos!$V$4:$V$100, 0)), ""))</f>
        <v/>
      </c>
      <c r="G7" s="2519" t="n">
        <v>8</v>
      </c>
      <c r="H7" s="2520" t="n"/>
      <c r="I7">
        <f>IF(E7="","", G7 * IFERROR(INDEX(Maquinaria_Inventario!$K$2:$K$100, MATCH(E7, Maquinaria_Inventario!$L$2:$L$100, 0)), 0))</f>
        <v/>
      </c>
      <c r="J7">
        <f>IF(B7="","", _xludf.WEEKNUM(B7, 2))</f>
        <v/>
      </c>
    </row>
    <row r="8">
      <c r="A8" s="2522">
        <f>IF(D8="","", "HT-" &amp; IFERROR(VLOOKUP(C8, Catalogos!$Z$4:$AA$20, 2, FALSE), "FOL") &amp; "-" &amp; IF(B8="","00", _xludf.WEEKNUM(B8, 2)) &amp; "-" &amp; TEXT(ROW(A5),"000"))</f>
        <v/>
      </c>
      <c r="B8" s="2521" t="n">
        <v>46188</v>
      </c>
      <c r="C8" s="2523" t="inlineStr">
        <is>
          <t>México-Toluca</t>
        </is>
      </c>
      <c r="D8" s="2524" t="inlineStr">
        <is>
          <t>BARREDORA BROCE RJ350</t>
        </is>
      </c>
      <c r="E8" s="2525">
        <f>IF(D8="","", IFERROR(INDEX(Catalogos!$W$4:$W$100, MATCH(D8, Catalogos!$V$4:$V$100, 0)), ""))</f>
        <v/>
      </c>
      <c r="F8" s="2526">
        <f>IF(D8="","", IFERROR(INDEX(Catalogos!$Y$4:$Y$100, MATCH(D8, Catalogos!$V$4:$V$100, 0)), ""))</f>
        <v/>
      </c>
      <c r="G8" s="2527" t="n">
        <v>8</v>
      </c>
      <c r="H8" s="2528" t="n"/>
      <c r="I8">
        <f>IF(E8="","", G8 * IFERROR(INDEX(Maquinaria_Inventario!$K$2:$K$100, MATCH(E8, Maquinaria_Inventario!$L$2:$L$100, 0)), 0))</f>
        <v/>
      </c>
      <c r="J8">
        <f>IF(B8="","", _xludf.WEEKNUM(B8, 2))</f>
        <v/>
      </c>
    </row>
    <row r="9">
      <c r="A9" s="2530">
        <f>IF(D9="","", "HT-" &amp; IFERROR(VLOOKUP(C9, Catalogos!$Z$4:$AA$20, 2, FALSE), "FOL") &amp; "-" &amp; IF(B9="","00", _xludf.WEEKNUM(B9, 2)) &amp; "-" &amp; TEXT(ROW(A6),"000"))</f>
        <v/>
      </c>
      <c r="B9" s="2529" t="n">
        <v>46188</v>
      </c>
      <c r="C9" s="2531" t="inlineStr">
        <is>
          <t>México-Toluca</t>
        </is>
      </c>
      <c r="D9" s="2532" t="inlineStr">
        <is>
          <t>RETROEXCAVADORA JHONDEREE 310SK</t>
        </is>
      </c>
      <c r="E9" s="2533">
        <f>IF(D9="","", IFERROR(INDEX(Catalogos!$W$4:$W$100, MATCH(D9, Catalogos!$V$4:$V$100, 0)), ""))</f>
        <v/>
      </c>
      <c r="F9" s="2534">
        <f>IF(D9="","", IFERROR(INDEX(Catalogos!$Y$4:$Y$100, MATCH(D9, Catalogos!$V$4:$V$100, 0)), ""))</f>
        <v/>
      </c>
      <c r="G9" s="2535" t="n">
        <v>8</v>
      </c>
      <c r="H9" s="2536" t="n"/>
      <c r="I9">
        <f>IF(E9="","", G9 * IFERROR(INDEX(Maquinaria_Inventario!$K$2:$K$100, MATCH(E9, Maquinaria_Inventario!$L$2:$L$100, 0)), 0))</f>
        <v/>
      </c>
      <c r="J9">
        <f>IF(B9="","", _xludf.WEEKNUM(B9, 2))</f>
        <v/>
      </c>
    </row>
    <row r="10">
      <c r="A10" s="2538">
        <f>IF(D10="","", "HT-" &amp; IFERROR(VLOOKUP(C10, Catalogos!$Z$4:$AA$20, 2, FALSE), "FOL") &amp; "-" &amp; IF(B10="","00", _xludf.WEEKNUM(B10, 2)) &amp; "-" &amp; TEXT(ROW(A7),"000"))</f>
        <v/>
      </c>
      <c r="B10" s="2537" t="n">
        <v>46188</v>
      </c>
      <c r="C10" s="2539" t="inlineStr">
        <is>
          <t>México-Toluca</t>
        </is>
      </c>
      <c r="D10" s="2540" t="inlineStr">
        <is>
          <t>PETROLIZADORA    INTERNATIONAL</t>
        </is>
      </c>
      <c r="E10" s="2541">
        <f>IF(D10="","", IFERROR(INDEX(Catalogos!$W$4:$W$100, MATCH(D10, Catalogos!$V$4:$V$100, 0)), ""))</f>
        <v/>
      </c>
      <c r="F10" s="2542">
        <f>IF(D10="","", IFERROR(INDEX(Catalogos!$Y$4:$Y$100, MATCH(D10, Catalogos!$V$4:$V$100, 0)), ""))</f>
        <v/>
      </c>
      <c r="G10" s="2543" t="n">
        <v>4</v>
      </c>
      <c r="H10" s="2544" t="n"/>
      <c r="I10">
        <f>IF(E10="","", G10 * IFERROR(INDEX(Maquinaria_Inventario!$K$2:$K$100, MATCH(E10, Maquinaria_Inventario!$L$2:$L$100, 0)), 0))</f>
        <v/>
      </c>
      <c r="J10">
        <f>IF(B10="","", _xludf.WEEKNUM(B10, 2))</f>
        <v/>
      </c>
    </row>
    <row r="11">
      <c r="A11" s="2546">
        <f>IF(D11="","", "HT-" &amp; IFERROR(VLOOKUP(C11, Catalogos!$Z$4:$AA$20, 2, FALSE), "FOL") &amp; "-" &amp; IF(B11="","00", _xludf.WEEKNUM(B11, 2)) &amp; "-" &amp; TEXT(ROW(A8),"000"))</f>
        <v/>
      </c>
      <c r="B11" s="2545" t="n">
        <v>46189</v>
      </c>
      <c r="C11" s="2491" t="inlineStr">
        <is>
          <t>México-Toluca</t>
        </is>
      </c>
      <c r="D11" s="2492" t="inlineStr">
        <is>
          <t>PERFILADORA WIRGENT-W200i</t>
        </is>
      </c>
      <c r="E11" s="2547">
        <f>IF(D11="","", IFERROR(INDEX(Catalogos!$W$4:$W$100, MATCH(D11, Catalogos!$V$4:$V$100, 0)), ""))</f>
        <v/>
      </c>
      <c r="F11" s="2548">
        <f>IF(D11="","", IFERROR(INDEX(Catalogos!$Y$4:$Y$100, MATCH(D11, Catalogos!$V$4:$V$100, 0)), ""))</f>
        <v/>
      </c>
      <c r="G11" s="2549" t="n">
        <v>6</v>
      </c>
      <c r="H11" s="2550" t="n"/>
      <c r="I11">
        <f>IF(E11="","", G11 * IFERROR(INDEX(Maquinaria_Inventario!$K$2:$K$100, MATCH(E11, Maquinaria_Inventario!$L$2:$L$100, 0)), 0))</f>
        <v/>
      </c>
      <c r="J11">
        <f>IF(B11="","", _xludf.WEEKNUM(B11, 2))</f>
        <v/>
      </c>
    </row>
    <row r="12">
      <c r="A12" s="2551">
        <f>IF(D12="","", "HT-" &amp; IFERROR(VLOOKUP(C12, Catalogos!$Z$4:$AA$20, 2, FALSE), "FOL") &amp; "-" &amp; IF(B12="","00", _xludf.WEEKNUM(B12, 2)) &amp; "-" &amp; TEXT(ROW(A9),"000"))</f>
        <v/>
      </c>
      <c r="B12" s="2545" t="n">
        <v>46189</v>
      </c>
      <c r="C12" s="2499" t="inlineStr">
        <is>
          <t>México-Toluca</t>
        </is>
      </c>
      <c r="D12" s="2500" t="inlineStr">
        <is>
          <t>PAVIMENTADORA  VOGELE SJ 1800-3</t>
        </is>
      </c>
      <c r="E12" s="2552">
        <f>IF(D12="","", IFERROR(INDEX(Catalogos!$W$4:$W$100, MATCH(D12, Catalogos!$V$4:$V$100, 0)), ""))</f>
        <v/>
      </c>
      <c r="F12" s="2553">
        <f>IF(D12="","", IFERROR(INDEX(Catalogos!$Y$4:$Y$100, MATCH(D12, Catalogos!$V$4:$V$100, 0)), ""))</f>
        <v/>
      </c>
      <c r="G12" s="2554" t="n">
        <v>8</v>
      </c>
      <c r="H12" s="2555" t="n"/>
      <c r="I12">
        <f>IF(E12="","", G12 * IFERROR(INDEX(Maquinaria_Inventario!$K$2:$K$100, MATCH(E12, Maquinaria_Inventario!$L$2:$L$100, 0)), 0))</f>
        <v/>
      </c>
      <c r="J12">
        <f>IF(B12="","", _xludf.WEEKNUM(B12, 2))</f>
        <v/>
      </c>
    </row>
    <row r="13">
      <c r="A13" s="2556">
        <f>IF(D13="","", "HT-" &amp; IFERROR(VLOOKUP(C13, Catalogos!$Z$4:$AA$20, 2, FALSE), "FOL") &amp; "-" &amp; IF(B13="","00", _xludf.WEEKNUM(B13, 2)) &amp; "-" &amp; TEXT(ROW(A10),"000"))</f>
        <v/>
      </c>
      <c r="B13" s="2545" t="n">
        <v>46189</v>
      </c>
      <c r="C13" s="2507" t="inlineStr">
        <is>
          <t>México-Toluca</t>
        </is>
      </c>
      <c r="D13" s="2508" t="inlineStr">
        <is>
          <t>VIBROCOMPACTADOR CATERPILLAR CB66B</t>
        </is>
      </c>
      <c r="E13" s="2557">
        <f>IF(D13="","", IFERROR(INDEX(Catalogos!$W$4:$W$100, MATCH(D13, Catalogos!$V$4:$V$100, 0)), ""))</f>
        <v/>
      </c>
      <c r="F13" s="2558">
        <f>IF(D13="","", IFERROR(INDEX(Catalogos!$Y$4:$Y$100, MATCH(D13, Catalogos!$V$4:$V$100, 0)), ""))</f>
        <v/>
      </c>
      <c r="G13" s="2559" t="n">
        <v>9</v>
      </c>
      <c r="H13" s="2560" t="n"/>
      <c r="I13">
        <f>IF(E13="","", G13 * IFERROR(INDEX(Maquinaria_Inventario!$K$2:$K$100, MATCH(E13, Maquinaria_Inventario!$L$2:$L$100, 0)), 0))</f>
        <v/>
      </c>
      <c r="J13">
        <f>IF(B13="","", _xludf.WEEKNUM(B13, 2))</f>
        <v/>
      </c>
    </row>
    <row r="14">
      <c r="A14" s="2561">
        <f>IF(D14="","", "HT-" &amp; IFERROR(VLOOKUP(C14, Catalogos!$Z$4:$AA$20, 2, FALSE), "FOL") &amp; "-" &amp; IF(B14="","00", _xludf.WEEKNUM(B14, 2)) &amp; "-" &amp; TEXT(ROW(A11),"000"))</f>
        <v/>
      </c>
      <c r="B14" s="2545" t="n">
        <v>46189</v>
      </c>
      <c r="C14" s="2515" t="inlineStr">
        <is>
          <t>México-Toluca</t>
        </is>
      </c>
      <c r="D14" s="2516" t="inlineStr">
        <is>
          <t>NEUMATICO VOLVO PT-240R</t>
        </is>
      </c>
      <c r="E14" s="2562">
        <f>IF(D14="","", IFERROR(INDEX(Catalogos!$W$4:$W$100, MATCH(D14, Catalogos!$V$4:$V$100, 0)), ""))</f>
        <v/>
      </c>
      <c r="F14" s="2563">
        <f>IF(D14="","", IFERROR(INDEX(Catalogos!$Y$4:$Y$100, MATCH(D14, Catalogos!$V$4:$V$100, 0)), ""))</f>
        <v/>
      </c>
      <c r="G14" s="2564" t="n">
        <v>9</v>
      </c>
      <c r="H14" s="2565" t="n"/>
      <c r="I14">
        <f>IF(E14="","", G14 * IFERROR(INDEX(Maquinaria_Inventario!$K$2:$K$100, MATCH(E14, Maquinaria_Inventario!$L$2:$L$100, 0)), 0))</f>
        <v/>
      </c>
      <c r="J14">
        <f>IF(B14="","", _xludf.WEEKNUM(B14, 2))</f>
        <v/>
      </c>
    </row>
    <row r="15">
      <c r="A15" s="2566">
        <f>IF(D15="","", "HT-" &amp; IFERROR(VLOOKUP(C15, Catalogos!$Z$4:$AA$20, 2, FALSE), "FOL") &amp; "-" &amp; IF(B15="","00", _xludf.WEEKNUM(B15, 2)) &amp; "-" &amp; TEXT(ROW(A12),"000"))</f>
        <v/>
      </c>
      <c r="B15" s="2545" t="n">
        <v>46189</v>
      </c>
      <c r="C15" s="2523" t="inlineStr">
        <is>
          <t>México-Toluca</t>
        </is>
      </c>
      <c r="D15" s="2524" t="inlineStr">
        <is>
          <t>BARREDORA BROCE RJ350</t>
        </is>
      </c>
      <c r="E15" s="2567">
        <f>IF(D15="","", IFERROR(INDEX(Catalogos!$W$4:$W$100, MATCH(D15, Catalogos!$V$4:$V$100, 0)), ""))</f>
        <v/>
      </c>
      <c r="F15" s="2568">
        <f>IF(D15="","", IFERROR(INDEX(Catalogos!$Y$4:$Y$100, MATCH(D15, Catalogos!$V$4:$V$100, 0)), ""))</f>
        <v/>
      </c>
      <c r="G15" s="2569" t="n">
        <v>8</v>
      </c>
      <c r="H15" s="2570" t="n"/>
      <c r="I15">
        <f>IF(E15="","", G15 * IFERROR(INDEX(Maquinaria_Inventario!$K$2:$K$100, MATCH(E15, Maquinaria_Inventario!$L$2:$L$100, 0)), 0))</f>
        <v/>
      </c>
      <c r="J15">
        <f>IF(B15="","", _xludf.WEEKNUM(B15, 2))</f>
        <v/>
      </c>
    </row>
    <row r="16">
      <c r="A16" s="2571">
        <f>IF(D16="","", "HT-" &amp; IFERROR(VLOOKUP(C16, Catalogos!$Z$4:$AA$20, 2, FALSE), "FOL") &amp; "-" &amp; IF(B16="","00", _xludf.WEEKNUM(B16, 2)) &amp; "-" &amp; TEXT(ROW(A13),"000"))</f>
        <v/>
      </c>
      <c r="B16" s="2545" t="n">
        <v>46189</v>
      </c>
      <c r="C16" s="2531" t="inlineStr">
        <is>
          <t>México-Toluca</t>
        </is>
      </c>
      <c r="D16" s="2532" t="inlineStr">
        <is>
          <t>RETROEXCAVADORA JHONDEREE 310SK</t>
        </is>
      </c>
      <c r="E16" s="2572">
        <f>IF(D16="","", IFERROR(INDEX(Catalogos!$W$4:$W$100, MATCH(D16, Catalogos!$V$4:$V$100, 0)), ""))</f>
        <v/>
      </c>
      <c r="F16" s="2573">
        <f>IF(D16="","", IFERROR(INDEX(Catalogos!$Y$4:$Y$100, MATCH(D16, Catalogos!$V$4:$V$100, 0)), ""))</f>
        <v/>
      </c>
      <c r="G16" s="2574" t="n">
        <v>8</v>
      </c>
      <c r="H16" s="2575" t="n"/>
      <c r="I16">
        <f>IF(E16="","", G16 * IFERROR(INDEX(Maquinaria_Inventario!$K$2:$K$100, MATCH(E16, Maquinaria_Inventario!$L$2:$L$100, 0)), 0))</f>
        <v/>
      </c>
      <c r="J16">
        <f>IF(B16="","", _xludf.WEEKNUM(B16, 2))</f>
        <v/>
      </c>
    </row>
    <row r="17">
      <c r="A17" s="2576">
        <f>IF(D17="","", "HT-" &amp; IFERROR(VLOOKUP(C17, Catalogos!$Z$4:$AA$20, 2, FALSE), "FOL") &amp; "-" &amp; IF(B17="","00", _xludf.WEEKNUM(B17, 2)) &amp; "-" &amp; TEXT(ROW(A14),"000"))</f>
        <v/>
      </c>
      <c r="B17" s="2545" t="n">
        <v>46189</v>
      </c>
      <c r="C17" s="2539" t="inlineStr">
        <is>
          <t>México-Toluca</t>
        </is>
      </c>
      <c r="D17" s="2540" t="inlineStr">
        <is>
          <t>PETROLIZADORA    INTERNATIONAL</t>
        </is>
      </c>
      <c r="E17" s="2577">
        <f>IF(D17="","", IFERROR(INDEX(Catalogos!$W$4:$W$100, MATCH(D17, Catalogos!$V$4:$V$100, 0)), ""))</f>
        <v/>
      </c>
      <c r="F17" s="2578">
        <f>IF(D17="","", IFERROR(INDEX(Catalogos!$Y$4:$Y$100, MATCH(D17, Catalogos!$V$4:$V$100, 0)), ""))</f>
        <v/>
      </c>
      <c r="G17" s="2579" t="n">
        <v>4</v>
      </c>
      <c r="H17" s="2580" t="n"/>
      <c r="I17">
        <f>IF(E17="","", G17 * IFERROR(INDEX(Maquinaria_Inventario!$K$2:$K$100, MATCH(E17, Maquinaria_Inventario!$L$2:$L$100, 0)), 0))</f>
        <v/>
      </c>
      <c r="J17">
        <f>IF(B17="","", _xludf.WEEKNUM(B17, 2))</f>
        <v/>
      </c>
    </row>
    <row r="18">
      <c r="A18" s="2582">
        <f>IF(D18="","", "HT-" &amp; IFERROR(VLOOKUP(C18, Catalogos!$Z$4:$AA$20, 2, FALSE), "FOL") &amp; "-" &amp; IF(B18="","00", _xludf.WEEKNUM(B18, 2)) &amp; "-" &amp; TEXT(ROW(A15),"000"))</f>
        <v/>
      </c>
      <c r="B18" s="2581" t="n">
        <v>46190</v>
      </c>
      <c r="C18" s="2491" t="inlineStr">
        <is>
          <t>México-Toluca</t>
        </is>
      </c>
      <c r="D18" s="2492" t="inlineStr">
        <is>
          <t>PERFILADORA WIRGENT-W200i</t>
        </is>
      </c>
      <c r="E18" s="2583">
        <f>IF(D18="","", IFERROR(INDEX(Catalogos!$W$4:$W$100, MATCH(D18, Catalogos!$V$4:$V$100, 0)), ""))</f>
        <v/>
      </c>
      <c r="F18" s="2584">
        <f>IF(D18="","", IFERROR(INDEX(Catalogos!$Y$4:$Y$100, MATCH(D18, Catalogos!$V$4:$V$100, 0)), ""))</f>
        <v/>
      </c>
      <c r="G18" s="2585" t="n">
        <v>5</v>
      </c>
      <c r="H18" s="2586" t="n"/>
      <c r="I18">
        <f>IF(E18="","", G18 * IFERROR(INDEX(Maquinaria_Inventario!$K$2:$K$100, MATCH(E18, Maquinaria_Inventario!$L$2:$L$100, 0)), 0))</f>
        <v/>
      </c>
      <c r="J18">
        <f>IF(B18="","", _xludf.WEEKNUM(B18, 2))</f>
        <v/>
      </c>
    </row>
    <row r="19">
      <c r="A19" s="2587">
        <f>IF(D19="","", "HT-" &amp; IFERROR(VLOOKUP(C19, Catalogos!$Z$4:$AA$20, 2, FALSE), "FOL") &amp; "-" &amp; IF(B19="","00", _xludf.WEEKNUM(B19, 2)) &amp; "-" &amp; TEXT(ROW(A16),"000"))</f>
        <v/>
      </c>
      <c r="B19" s="2581" t="n">
        <v>46190</v>
      </c>
      <c r="C19" s="2499" t="inlineStr">
        <is>
          <t>México-Toluca</t>
        </is>
      </c>
      <c r="D19" s="2500" t="inlineStr">
        <is>
          <t>PAVIMENTADORA  VOGELE SJ 1800-3</t>
        </is>
      </c>
      <c r="E19" s="2588">
        <f>IF(D19="","", IFERROR(INDEX(Catalogos!$W$4:$W$100, MATCH(D19, Catalogos!$V$4:$V$100, 0)), ""))</f>
        <v/>
      </c>
      <c r="F19" s="2589">
        <f>IF(D19="","", IFERROR(INDEX(Catalogos!$Y$4:$Y$100, MATCH(D19, Catalogos!$V$4:$V$100, 0)), ""))</f>
        <v/>
      </c>
      <c r="G19" s="2590" t="n">
        <v>6</v>
      </c>
      <c r="H19" s="2591" t="n"/>
      <c r="I19">
        <f>IF(E19="","", G19 * IFERROR(INDEX(Maquinaria_Inventario!$K$2:$K$100, MATCH(E19, Maquinaria_Inventario!$L$2:$L$100, 0)), 0))</f>
        <v/>
      </c>
      <c r="J19">
        <f>IF(B19="","", _xludf.WEEKNUM(B19, 2))</f>
        <v/>
      </c>
    </row>
    <row r="20">
      <c r="A20" s="2592">
        <f>IF(D20="","", "HT-" &amp; IFERROR(VLOOKUP(C20, Catalogos!$Z$4:$AA$20, 2, FALSE), "FOL") &amp; "-" &amp; IF(B20="","00", _xludf.WEEKNUM(B20, 2)) &amp; "-" &amp; TEXT(ROW(A17),"000"))</f>
        <v/>
      </c>
      <c r="B20" s="2581" t="n">
        <v>46190</v>
      </c>
      <c r="C20" s="2507" t="inlineStr">
        <is>
          <t>México-Toluca</t>
        </is>
      </c>
      <c r="D20" s="2508" t="inlineStr">
        <is>
          <t>VIBROCOMPACTADOR CATERPILLAR CB66B</t>
        </is>
      </c>
      <c r="E20" s="2593">
        <f>IF(D20="","", IFERROR(INDEX(Catalogos!$W$4:$W$100, MATCH(D20, Catalogos!$V$4:$V$100, 0)), ""))</f>
        <v/>
      </c>
      <c r="F20" s="2594">
        <f>IF(D20="","", IFERROR(INDEX(Catalogos!$Y$4:$Y$100, MATCH(D20, Catalogos!$V$4:$V$100, 0)), ""))</f>
        <v/>
      </c>
      <c r="G20" s="2595" t="n">
        <v>7</v>
      </c>
      <c r="H20" s="2596" t="n"/>
      <c r="I20">
        <f>IF(E20="","", G20 * IFERROR(INDEX(Maquinaria_Inventario!$K$2:$K$100, MATCH(E20, Maquinaria_Inventario!$L$2:$L$100, 0)), 0))</f>
        <v/>
      </c>
      <c r="J20">
        <f>IF(B20="","", _xludf.WEEKNUM(B20, 2))</f>
        <v/>
      </c>
    </row>
    <row r="21">
      <c r="A21" s="2597">
        <f>IF(D21="","", "HT-" &amp; IFERROR(VLOOKUP(C21, Catalogos!$Z$4:$AA$20, 2, FALSE), "FOL") &amp; "-" &amp; IF(B21="","00", _xludf.WEEKNUM(B21, 2)) &amp; "-" &amp; TEXT(ROW(A18),"000"))</f>
        <v/>
      </c>
      <c r="B21" s="2581" t="n">
        <v>46190</v>
      </c>
      <c r="C21" s="2515" t="inlineStr">
        <is>
          <t>México-Toluca</t>
        </is>
      </c>
      <c r="D21" s="2516" t="inlineStr">
        <is>
          <t>NEUMATICO VOLVO PT-240R</t>
        </is>
      </c>
      <c r="E21" s="2598">
        <f>IF(D21="","", IFERROR(INDEX(Catalogos!$W$4:$W$100, MATCH(D21, Catalogos!$V$4:$V$100, 0)), ""))</f>
        <v/>
      </c>
      <c r="F21" s="2599">
        <f>IF(D21="","", IFERROR(INDEX(Catalogos!$Y$4:$Y$100, MATCH(D21, Catalogos!$V$4:$V$100, 0)), ""))</f>
        <v/>
      </c>
      <c r="G21" s="2600" t="n">
        <v>7</v>
      </c>
      <c r="H21" s="2601" t="n"/>
      <c r="I21">
        <f>IF(E21="","", G21 * IFERROR(INDEX(Maquinaria_Inventario!$K$2:$K$100, MATCH(E21, Maquinaria_Inventario!$L$2:$L$100, 0)), 0))</f>
        <v/>
      </c>
      <c r="J21">
        <f>IF(B21="","", _xludf.WEEKNUM(B21, 2))</f>
        <v/>
      </c>
    </row>
    <row r="22">
      <c r="A22" s="2602">
        <f>IF(D22="","", "HT-" &amp; IFERROR(VLOOKUP(C22, Catalogos!$Z$4:$AA$20, 2, FALSE), "FOL") &amp; "-" &amp; IF(B22="","00", _xludf.WEEKNUM(B22, 2)) &amp; "-" &amp; TEXT(ROW(A19),"000"))</f>
        <v/>
      </c>
      <c r="B22" s="2581" t="n">
        <v>46190</v>
      </c>
      <c r="C22" s="2523" t="inlineStr">
        <is>
          <t>México-Toluca</t>
        </is>
      </c>
      <c r="D22" s="2524" t="inlineStr">
        <is>
          <t>BARREDORA BROCE RJ350</t>
        </is>
      </c>
      <c r="E22" s="2603">
        <f>IF(D22="","", IFERROR(INDEX(Catalogos!$W$4:$W$100, MATCH(D22, Catalogos!$V$4:$V$100, 0)), ""))</f>
        <v/>
      </c>
      <c r="F22" s="2604">
        <f>IF(D22="","", IFERROR(INDEX(Catalogos!$Y$4:$Y$100, MATCH(D22, Catalogos!$V$4:$V$100, 0)), ""))</f>
        <v/>
      </c>
      <c r="G22" s="2605" t="n">
        <v>6</v>
      </c>
      <c r="H22" s="2606" t="n"/>
      <c r="I22">
        <f>IF(E22="","", G22 * IFERROR(INDEX(Maquinaria_Inventario!$K$2:$K$100, MATCH(E22, Maquinaria_Inventario!$L$2:$L$100, 0)), 0))</f>
        <v/>
      </c>
      <c r="J22">
        <f>IF(B22="","", _xludf.WEEKNUM(B22, 2))</f>
        <v/>
      </c>
    </row>
    <row r="23">
      <c r="A23" s="2607">
        <f>IF(D23="","", "HT-" &amp; IFERROR(VLOOKUP(C23, Catalogos!$Z$4:$AA$20, 2, FALSE), "FOL") &amp; "-" &amp; IF(B23="","00", _xludf.WEEKNUM(B23, 2)) &amp; "-" &amp; TEXT(ROW(A20),"000"))</f>
        <v/>
      </c>
      <c r="B23" s="2581" t="n">
        <v>46190</v>
      </c>
      <c r="C23" s="2531" t="inlineStr">
        <is>
          <t>México-Toluca</t>
        </is>
      </c>
      <c r="D23" s="2532" t="inlineStr">
        <is>
          <t>RETROEXCAVADORA JHONDEREE 310SK</t>
        </is>
      </c>
      <c r="E23" s="2608">
        <f>IF(D23="","", IFERROR(INDEX(Catalogos!$W$4:$W$100, MATCH(D23, Catalogos!$V$4:$V$100, 0)), ""))</f>
        <v/>
      </c>
      <c r="F23" s="2609">
        <f>IF(D23="","", IFERROR(INDEX(Catalogos!$Y$4:$Y$100, MATCH(D23, Catalogos!$V$4:$V$100, 0)), ""))</f>
        <v/>
      </c>
      <c r="G23" s="2610" t="n">
        <v>6</v>
      </c>
      <c r="H23" s="2611" t="n"/>
      <c r="I23">
        <f>IF(E23="","", G23 * IFERROR(INDEX(Maquinaria_Inventario!$K$2:$K$100, MATCH(E23, Maquinaria_Inventario!$L$2:$L$100, 0)), 0))</f>
        <v/>
      </c>
      <c r="J23">
        <f>IF(B23="","", _xludf.WEEKNUM(B23, 2))</f>
        <v/>
      </c>
    </row>
    <row r="24">
      <c r="A24" s="2612">
        <f>IF(D24="","", "HT-" &amp; IFERROR(VLOOKUP(C24, Catalogos!$Z$4:$AA$20, 2, FALSE), "FOL") &amp; "-" &amp; IF(B24="","00", _xludf.WEEKNUM(B24, 2)) &amp; "-" &amp; TEXT(ROW(A21),"000"))</f>
        <v/>
      </c>
      <c r="B24" s="2581" t="n">
        <v>46190</v>
      </c>
      <c r="C24" s="2539" t="inlineStr">
        <is>
          <t>México-Toluca</t>
        </is>
      </c>
      <c r="D24" s="2540" t="inlineStr">
        <is>
          <t>PETROLIZADORA    INTERNATIONAL</t>
        </is>
      </c>
      <c r="E24" s="2613">
        <f>IF(D24="","", IFERROR(INDEX(Catalogos!$W$4:$W$100, MATCH(D24, Catalogos!$V$4:$V$100, 0)), ""))</f>
        <v/>
      </c>
      <c r="F24" s="2614">
        <f>IF(D24="","", IFERROR(INDEX(Catalogos!$Y$4:$Y$100, MATCH(D24, Catalogos!$V$4:$V$100, 0)), ""))</f>
        <v/>
      </c>
      <c r="G24" s="2615" t="n">
        <v>4</v>
      </c>
      <c r="H24" s="2616" t="n"/>
      <c r="I24">
        <f>IF(E24="","", G24 * IFERROR(INDEX(Maquinaria_Inventario!$K$2:$K$100, MATCH(E24, Maquinaria_Inventario!$L$2:$L$100, 0)), 0))</f>
        <v/>
      </c>
      <c r="J24">
        <f>IF(B24="","", _xludf.WEEKNUM(B24, 2))</f>
        <v/>
      </c>
    </row>
    <row r="25">
      <c r="A25" s="2618">
        <f>IF(D25="","", "HT-" &amp; IFERROR(VLOOKUP(C25, Catalogos!$Z$4:$AA$20, 2, FALSE), "FOL") &amp; "-" &amp; IF(B25="","00", _xludf.WEEKNUM(B25, 2)) &amp; "-" &amp; TEXT(ROW(A22),"000"))</f>
        <v/>
      </c>
      <c r="B25" s="2617" t="n">
        <v>46191</v>
      </c>
      <c r="C25" s="2491" t="inlineStr">
        <is>
          <t>México-Toluca</t>
        </is>
      </c>
      <c r="D25" s="2492" t="inlineStr">
        <is>
          <t>PERFILADORA WIRGENT-W200i</t>
        </is>
      </c>
      <c r="E25" s="2619">
        <f>IF(D25="","", IFERROR(INDEX(Catalogos!$W$4:$W$100, MATCH(D25, Catalogos!$V$4:$V$100, 0)), ""))</f>
        <v/>
      </c>
      <c r="F25" s="2620">
        <f>IF(D25="","", IFERROR(INDEX(Catalogos!$Y$4:$Y$100, MATCH(D25, Catalogos!$V$4:$V$100, 0)), ""))</f>
        <v/>
      </c>
      <c r="G25" s="2621" t="n">
        <v>6</v>
      </c>
      <c r="H25" s="2622" t="n"/>
      <c r="I25">
        <f>IF(E25="","", G25 * IFERROR(INDEX(Maquinaria_Inventario!$K$2:$K$100, MATCH(E25, Maquinaria_Inventario!$L$2:$L$100, 0)), 0))</f>
        <v/>
      </c>
      <c r="J25">
        <f>IF(B25="","", _xludf.WEEKNUM(B25, 2))</f>
        <v/>
      </c>
    </row>
    <row r="26">
      <c r="A26" s="2623">
        <f>IF(D26="","", "HT-" &amp; IFERROR(VLOOKUP(C26, Catalogos!$Z$4:$AA$20, 2, FALSE), "FOL") &amp; "-" &amp; IF(B26="","00", _xludf.WEEKNUM(B26, 2)) &amp; "-" &amp; TEXT(ROW(A23),"000"))</f>
        <v/>
      </c>
      <c r="B26" s="2617" t="n">
        <v>46191</v>
      </c>
      <c r="C26" s="2499" t="inlineStr">
        <is>
          <t>México-Toluca</t>
        </is>
      </c>
      <c r="D26" s="2500" t="inlineStr">
        <is>
          <t>PAVIMENTADORA  VOGELE SJ 1800-3</t>
        </is>
      </c>
      <c r="E26" s="2624">
        <f>IF(D26="","", IFERROR(INDEX(Catalogos!$W$4:$W$100, MATCH(D26, Catalogos!$V$4:$V$100, 0)), ""))</f>
        <v/>
      </c>
      <c r="F26" s="2625">
        <f>IF(D26="","", IFERROR(INDEX(Catalogos!$Y$4:$Y$100, MATCH(D26, Catalogos!$V$4:$V$100, 0)), ""))</f>
        <v/>
      </c>
      <c r="G26" s="2626" t="n">
        <v>7</v>
      </c>
      <c r="H26" s="2627" t="n"/>
      <c r="I26">
        <f>IF(E26="","", G26 * IFERROR(INDEX(Maquinaria_Inventario!$K$2:$K$100, MATCH(E26, Maquinaria_Inventario!$L$2:$L$100, 0)), 0))</f>
        <v/>
      </c>
      <c r="J26">
        <f>IF(B26="","", _xludf.WEEKNUM(B26, 2))</f>
        <v/>
      </c>
    </row>
    <row r="27">
      <c r="A27" s="2628">
        <f>IF(D27="","", "HT-" &amp; IFERROR(VLOOKUP(C27, Catalogos!$Z$4:$AA$20, 2, FALSE), "FOL") &amp; "-" &amp; IF(B27="","00", _xludf.WEEKNUM(B27, 2)) &amp; "-" &amp; TEXT(ROW(A24),"000"))</f>
        <v/>
      </c>
      <c r="B27" s="2617" t="n">
        <v>46191</v>
      </c>
      <c r="C27" s="2507" t="inlineStr">
        <is>
          <t>México-Toluca</t>
        </is>
      </c>
      <c r="D27" s="2508" t="inlineStr">
        <is>
          <t>VIBROCOMPACTADOR CATERPILLAR CB66B</t>
        </is>
      </c>
      <c r="E27" s="2629">
        <f>IF(D27="","", IFERROR(INDEX(Catalogos!$W$4:$W$100, MATCH(D27, Catalogos!$V$4:$V$100, 0)), ""))</f>
        <v/>
      </c>
      <c r="F27" s="2630">
        <f>IF(D27="","", IFERROR(INDEX(Catalogos!$Y$4:$Y$100, MATCH(D27, Catalogos!$V$4:$V$100, 0)), ""))</f>
        <v/>
      </c>
      <c r="G27" s="2631" t="n">
        <v>8</v>
      </c>
      <c r="H27" s="2632" t="n"/>
      <c r="I27">
        <f>IF(E27="","", G27 * IFERROR(INDEX(Maquinaria_Inventario!$K$2:$K$100, MATCH(E27, Maquinaria_Inventario!$L$2:$L$100, 0)), 0))</f>
        <v/>
      </c>
      <c r="J27">
        <f>IF(B27="","", _xludf.WEEKNUM(B27, 2))</f>
        <v/>
      </c>
    </row>
    <row r="28">
      <c r="A28" s="2633">
        <f>IF(D28="","", "HT-" &amp; IFERROR(VLOOKUP(C28, Catalogos!$Z$4:$AA$20, 2, FALSE), "FOL") &amp; "-" &amp; IF(B28="","00", _xludf.WEEKNUM(B28, 2)) &amp; "-" &amp; TEXT(ROW(A25),"000"))</f>
        <v/>
      </c>
      <c r="B28" s="2617" t="n">
        <v>46191</v>
      </c>
      <c r="C28" s="2515" t="inlineStr">
        <is>
          <t>México-Toluca</t>
        </is>
      </c>
      <c r="D28" s="2516" t="inlineStr">
        <is>
          <t>NEUMATICO VOLVO PT-240R</t>
        </is>
      </c>
      <c r="E28" s="2634">
        <f>IF(D28="","", IFERROR(INDEX(Catalogos!$W$4:$W$100, MATCH(D28, Catalogos!$V$4:$V$100, 0)), ""))</f>
        <v/>
      </c>
      <c r="F28" s="2635">
        <f>IF(D28="","", IFERROR(INDEX(Catalogos!$Y$4:$Y$100, MATCH(D28, Catalogos!$V$4:$V$100, 0)), ""))</f>
        <v/>
      </c>
      <c r="G28" s="2636" t="n">
        <v>8</v>
      </c>
      <c r="H28" s="2637" t="n"/>
      <c r="I28">
        <f>IF(E28="","", G28 * IFERROR(INDEX(Maquinaria_Inventario!$K$2:$K$100, MATCH(E28, Maquinaria_Inventario!$L$2:$L$100, 0)), 0))</f>
        <v/>
      </c>
      <c r="J28">
        <f>IF(B28="","", _xludf.WEEKNUM(B28, 2))</f>
        <v/>
      </c>
    </row>
    <row r="29">
      <c r="A29" s="2638">
        <f>IF(D29="","", "HT-" &amp; IFERROR(VLOOKUP(C29, Catalogos!$Z$4:$AA$20, 2, FALSE), "FOL") &amp; "-" &amp; IF(B29="","00", _xludf.WEEKNUM(B29, 2)) &amp; "-" &amp; TEXT(ROW(A26),"000"))</f>
        <v/>
      </c>
      <c r="B29" s="2617" t="n">
        <v>46191</v>
      </c>
      <c r="C29" s="2523" t="inlineStr">
        <is>
          <t>México-Toluca</t>
        </is>
      </c>
      <c r="D29" s="2524" t="inlineStr">
        <is>
          <t>BARREDORA BROCE RJ350</t>
        </is>
      </c>
      <c r="E29" s="2639">
        <f>IF(D29="","", IFERROR(INDEX(Catalogos!$W$4:$W$100, MATCH(D29, Catalogos!$V$4:$V$100, 0)), ""))</f>
        <v/>
      </c>
      <c r="F29" s="2640">
        <f>IF(D29="","", IFERROR(INDEX(Catalogos!$Y$4:$Y$100, MATCH(D29, Catalogos!$V$4:$V$100, 0)), ""))</f>
        <v/>
      </c>
      <c r="G29" s="2641" t="n">
        <v>6</v>
      </c>
      <c r="H29" s="2642" t="n"/>
      <c r="I29">
        <f>IF(E29="","", G29 * IFERROR(INDEX(Maquinaria_Inventario!$K$2:$K$100, MATCH(E29, Maquinaria_Inventario!$L$2:$L$100, 0)), 0))</f>
        <v/>
      </c>
      <c r="J29">
        <f>IF(B29="","", _xludf.WEEKNUM(B29, 2))</f>
        <v/>
      </c>
    </row>
    <row r="30">
      <c r="A30" s="2643">
        <f>IF(D30="","", "HT-" &amp; IFERROR(VLOOKUP(C30, Catalogos!$Z$4:$AA$20, 2, FALSE), "FOL") &amp; "-" &amp; IF(B30="","00", _xludf.WEEKNUM(B30, 2)) &amp; "-" &amp; TEXT(ROW(A27),"000"))</f>
        <v/>
      </c>
      <c r="B30" s="2617" t="n">
        <v>46191</v>
      </c>
      <c r="C30" s="2531" t="inlineStr">
        <is>
          <t>México-Toluca</t>
        </is>
      </c>
      <c r="D30" s="2532" t="inlineStr">
        <is>
          <t>RETROEXCAVADORA JHONDEREE 310SK</t>
        </is>
      </c>
      <c r="E30" s="2644">
        <f>IF(D30="","", IFERROR(INDEX(Catalogos!$W$4:$W$100, MATCH(D30, Catalogos!$V$4:$V$100, 0)), ""))</f>
        <v/>
      </c>
      <c r="F30" s="2645">
        <f>IF(D30="","", IFERROR(INDEX(Catalogos!$Y$4:$Y$100, MATCH(D30, Catalogos!$V$4:$V$100, 0)), ""))</f>
        <v/>
      </c>
      <c r="G30" s="2646" t="n">
        <v>7</v>
      </c>
      <c r="H30" s="2647" t="n"/>
      <c r="I30">
        <f>IF(E30="","", G30 * IFERROR(INDEX(Maquinaria_Inventario!$K$2:$K$100, MATCH(E30, Maquinaria_Inventario!$L$2:$L$100, 0)), 0))</f>
        <v/>
      </c>
      <c r="J30">
        <f>IF(B30="","", _xludf.WEEKNUM(B30, 2))</f>
        <v/>
      </c>
    </row>
    <row r="31">
      <c r="A31" s="2648">
        <f>IF(D31="","", "HT-" &amp; IFERROR(VLOOKUP(C31, Catalogos!$Z$4:$AA$20, 2, FALSE), "FOL") &amp; "-" &amp; IF(B31="","00", _xludf.WEEKNUM(B31, 2)) &amp; "-" &amp; TEXT(ROW(A28),"000"))</f>
        <v/>
      </c>
      <c r="B31" s="2617" t="n">
        <v>46191</v>
      </c>
      <c r="C31" s="2539" t="inlineStr">
        <is>
          <t>México-Toluca</t>
        </is>
      </c>
      <c r="D31" s="2540" t="inlineStr">
        <is>
          <t>PETROLIZADORA    INTERNATIONAL</t>
        </is>
      </c>
      <c r="E31" s="2649">
        <f>IF(D31="","", IFERROR(INDEX(Catalogos!$W$4:$W$100, MATCH(D31, Catalogos!$V$4:$V$100, 0)), ""))</f>
        <v/>
      </c>
      <c r="F31" s="2650">
        <f>IF(D31="","", IFERROR(INDEX(Catalogos!$Y$4:$Y$100, MATCH(D31, Catalogos!$V$4:$V$100, 0)), ""))</f>
        <v/>
      </c>
      <c r="G31" s="2651" t="n">
        <v>4</v>
      </c>
      <c r="H31" s="2652" t="n"/>
      <c r="I31">
        <f>IF(E31="","", G31 * IFERROR(INDEX(Maquinaria_Inventario!$K$2:$K$100, MATCH(E31, Maquinaria_Inventario!$L$2:$L$100, 0)), 0))</f>
        <v/>
      </c>
      <c r="J31">
        <f>IF(B31="","", _xludf.WEEKNUM(B31, 2))</f>
        <v/>
      </c>
    </row>
    <row r="32">
      <c r="A32" s="2654">
        <f>IF(D32="","", "HT-" &amp; IFERROR(VLOOKUP(C32, Catalogos!$Z$4:$AA$20, 2, FALSE), "FOL") &amp; "-" &amp; IF(B32="","00", _xludf.WEEKNUM(B32, 2)) &amp; "-" &amp; TEXT(ROW(A29),"000"))</f>
        <v/>
      </c>
      <c r="B32" s="2653" t="n">
        <v>46192</v>
      </c>
      <c r="C32" s="2491" t="inlineStr">
        <is>
          <t>México-Toluca</t>
        </is>
      </c>
      <c r="D32" s="2492" t="inlineStr">
        <is>
          <t>PERFILADORA WIRGENT-W200i</t>
        </is>
      </c>
      <c r="E32" s="2655">
        <f>IF(D32="","", IFERROR(INDEX(Catalogos!$W$4:$W$100, MATCH(D32, Catalogos!$V$4:$V$100, 0)), ""))</f>
        <v/>
      </c>
      <c r="F32" s="2656">
        <f>IF(D32="","", IFERROR(INDEX(Catalogos!$Y$4:$Y$100, MATCH(D32, Catalogos!$V$4:$V$100, 0)), ""))</f>
        <v/>
      </c>
      <c r="G32" s="2657" t="n">
        <v>0</v>
      </c>
      <c r="H32" s="2658" t="n"/>
      <c r="I32">
        <f>IF(E32="","", G32 * IFERROR(INDEX(Maquinaria_Inventario!$K$2:$K$100, MATCH(E32, Maquinaria_Inventario!$L$2:$L$100, 0)), 0))</f>
        <v/>
      </c>
      <c r="J32">
        <f>IF(B32="","", _xludf.WEEKNUM(B32, 2))</f>
        <v/>
      </c>
    </row>
    <row r="33">
      <c r="A33" s="2659">
        <f>IF(D33="","", "HT-" &amp; IFERROR(VLOOKUP(C33, Catalogos!$Z$4:$AA$20, 2, FALSE), "FOL") &amp; "-" &amp; IF(B33="","00", _xludf.WEEKNUM(B33, 2)) &amp; "-" &amp; TEXT(ROW(A30),"000"))</f>
        <v/>
      </c>
      <c r="B33" s="2653" t="n">
        <v>46192</v>
      </c>
      <c r="C33" s="2499" t="inlineStr">
        <is>
          <t>México-Toluca</t>
        </is>
      </c>
      <c r="D33" s="2500" t="inlineStr">
        <is>
          <t>PAVIMENTADORA  VOGELE SJ 1800-3</t>
        </is>
      </c>
      <c r="E33" s="2660">
        <f>IF(D33="","", IFERROR(INDEX(Catalogos!$W$4:$W$100, MATCH(D33, Catalogos!$V$4:$V$100, 0)), ""))</f>
        <v/>
      </c>
      <c r="F33" s="2661">
        <f>IF(D33="","", IFERROR(INDEX(Catalogos!$Y$4:$Y$100, MATCH(D33, Catalogos!$V$4:$V$100, 0)), ""))</f>
        <v/>
      </c>
      <c r="G33" s="2662" t="n">
        <v>6</v>
      </c>
      <c r="H33" s="2663" t="n"/>
      <c r="I33">
        <f>IF(E33="","", G33 * IFERROR(INDEX(Maquinaria_Inventario!$K$2:$K$100, MATCH(E33, Maquinaria_Inventario!$L$2:$L$100, 0)), 0))</f>
        <v/>
      </c>
      <c r="J33">
        <f>IF(B33="","", _xludf.WEEKNUM(B33, 2))</f>
        <v/>
      </c>
    </row>
    <row r="34">
      <c r="A34" s="2664">
        <f>IF(D34="","", "HT-" &amp; IFERROR(VLOOKUP(C34, Catalogos!$Z$4:$AA$20, 2, FALSE), "FOL") &amp; "-" &amp; IF(B34="","00", _xludf.WEEKNUM(B34, 2)) &amp; "-" &amp; TEXT(ROW(A31),"000"))</f>
        <v/>
      </c>
      <c r="B34" s="2653" t="n">
        <v>46192</v>
      </c>
      <c r="C34" s="2507" t="inlineStr">
        <is>
          <t>México-Toluca</t>
        </is>
      </c>
      <c r="D34" s="2508" t="inlineStr">
        <is>
          <t>VIBROCOMPACTADOR CATERPILLAR CB66B</t>
        </is>
      </c>
      <c r="E34" s="2665">
        <f>IF(D34="","", IFERROR(INDEX(Catalogos!$W$4:$W$100, MATCH(D34, Catalogos!$V$4:$V$100, 0)), ""))</f>
        <v/>
      </c>
      <c r="F34" s="2666">
        <f>IF(D34="","", IFERROR(INDEX(Catalogos!$Y$4:$Y$100, MATCH(D34, Catalogos!$V$4:$V$100, 0)), ""))</f>
        <v/>
      </c>
      <c r="G34" s="2667" t="n">
        <v>7</v>
      </c>
      <c r="H34" s="2668" t="n"/>
      <c r="I34">
        <f>IF(E34="","", G34 * IFERROR(INDEX(Maquinaria_Inventario!$K$2:$K$100, MATCH(E34, Maquinaria_Inventario!$L$2:$L$100, 0)), 0))</f>
        <v/>
      </c>
      <c r="J34">
        <f>IF(B34="","", _xludf.WEEKNUM(B34, 2))</f>
        <v/>
      </c>
    </row>
    <row r="35">
      <c r="A35" s="2669">
        <f>IF(D35="","", "HT-" &amp; IFERROR(VLOOKUP(C35, Catalogos!$Z$4:$AA$20, 2, FALSE), "FOL") &amp; "-" &amp; IF(B35="","00", _xludf.WEEKNUM(B35, 2)) &amp; "-" &amp; TEXT(ROW(A32),"000"))</f>
        <v/>
      </c>
      <c r="B35" s="2653" t="n">
        <v>46192</v>
      </c>
      <c r="C35" s="2515" t="inlineStr">
        <is>
          <t>México-Toluca</t>
        </is>
      </c>
      <c r="D35" s="2516" t="inlineStr">
        <is>
          <t>NEUMATICO VOLVO PT-240R</t>
        </is>
      </c>
      <c r="E35" s="2670">
        <f>IF(D35="","", IFERROR(INDEX(Catalogos!$W$4:$W$100, MATCH(D35, Catalogos!$V$4:$V$100, 0)), ""))</f>
        <v/>
      </c>
      <c r="F35" s="2671">
        <f>IF(D35="","", IFERROR(INDEX(Catalogos!$Y$4:$Y$100, MATCH(D35, Catalogos!$V$4:$V$100, 0)), ""))</f>
        <v/>
      </c>
      <c r="G35" s="2672" t="n">
        <v>7</v>
      </c>
      <c r="H35" s="2673" t="n"/>
      <c r="I35">
        <f>IF(E35="","", G35 * IFERROR(INDEX(Maquinaria_Inventario!$K$2:$K$100, MATCH(E35, Maquinaria_Inventario!$L$2:$L$100, 0)), 0))</f>
        <v/>
      </c>
      <c r="J35">
        <f>IF(B35="","", _xludf.WEEKNUM(B35, 2))</f>
        <v/>
      </c>
    </row>
    <row r="36">
      <c r="A36" s="2674">
        <f>IF(D36="","", "HT-" &amp; IFERROR(VLOOKUP(C36, Catalogos!$Z$4:$AA$20, 2, FALSE), "FOL") &amp; "-" &amp; IF(B36="","00", _xludf.WEEKNUM(B36, 2)) &amp; "-" &amp; TEXT(ROW(A33),"000"))</f>
        <v/>
      </c>
      <c r="B36" s="2653" t="n">
        <v>46192</v>
      </c>
      <c r="C36" s="2523" t="inlineStr">
        <is>
          <t>México-Toluca</t>
        </is>
      </c>
      <c r="D36" s="2524" t="inlineStr">
        <is>
          <t>BARREDORA BROCE RJ350</t>
        </is>
      </c>
      <c r="E36" s="2675">
        <f>IF(D36="","", IFERROR(INDEX(Catalogos!$W$4:$W$100, MATCH(D36, Catalogos!$V$4:$V$100, 0)), ""))</f>
        <v/>
      </c>
      <c r="F36" s="2676">
        <f>IF(D36="","", IFERROR(INDEX(Catalogos!$Y$4:$Y$100, MATCH(D36, Catalogos!$V$4:$V$100, 0)), ""))</f>
        <v/>
      </c>
      <c r="G36" s="2677" t="n">
        <v>5</v>
      </c>
      <c r="H36" s="2678" t="n"/>
      <c r="I36">
        <f>IF(E36="","", G36 * IFERROR(INDEX(Maquinaria_Inventario!$K$2:$K$100, MATCH(E36, Maquinaria_Inventario!$L$2:$L$100, 0)), 0))</f>
        <v/>
      </c>
      <c r="J36">
        <f>IF(B36="","", _xludf.WEEKNUM(B36, 2))</f>
        <v/>
      </c>
    </row>
    <row r="37">
      <c r="A37" s="2679">
        <f>IF(D37="","", "HT-" &amp; IFERROR(VLOOKUP(C37, Catalogos!$Z$4:$AA$20, 2, FALSE), "FOL") &amp; "-" &amp; IF(B37="","00", _xludf.WEEKNUM(B37, 2)) &amp; "-" &amp; TEXT(ROW(A34),"000"))</f>
        <v/>
      </c>
      <c r="B37" s="2653" t="n">
        <v>46192</v>
      </c>
      <c r="C37" s="2531" t="inlineStr">
        <is>
          <t>México-Toluca</t>
        </is>
      </c>
      <c r="D37" s="2532" t="inlineStr">
        <is>
          <t>RETROEXCAVADORA JHONDEREE 310SK</t>
        </is>
      </c>
      <c r="E37" s="2680">
        <f>IF(D37="","", IFERROR(INDEX(Catalogos!$W$4:$W$100, MATCH(D37, Catalogos!$V$4:$V$100, 0)), ""))</f>
        <v/>
      </c>
      <c r="F37" s="2681">
        <f>IF(D37="","", IFERROR(INDEX(Catalogos!$Y$4:$Y$100, MATCH(D37, Catalogos!$V$4:$V$100, 0)), ""))</f>
        <v/>
      </c>
      <c r="G37" s="2682" t="n">
        <v>5</v>
      </c>
      <c r="H37" s="2683" t="n"/>
      <c r="I37">
        <f>IF(E37="","", G37 * IFERROR(INDEX(Maquinaria_Inventario!$K$2:$K$100, MATCH(E37, Maquinaria_Inventario!$L$2:$L$100, 0)), 0))</f>
        <v/>
      </c>
      <c r="J37">
        <f>IF(B37="","", _xludf.WEEKNUM(B37, 2))</f>
        <v/>
      </c>
    </row>
    <row r="38">
      <c r="A38" s="2684">
        <f>IF(D38="","", "HT-" &amp; IFERROR(VLOOKUP(C38, Catalogos!$Z$4:$AA$20, 2, FALSE), "FOL") &amp; "-" &amp; IF(B38="","00", _xludf.WEEKNUM(B38, 2)) &amp; "-" &amp; TEXT(ROW(A35),"000"))</f>
        <v/>
      </c>
      <c r="B38" s="2653" t="n">
        <v>46192</v>
      </c>
      <c r="C38" s="2539" t="inlineStr">
        <is>
          <t>México-Toluca</t>
        </is>
      </c>
      <c r="D38" s="2540" t="inlineStr">
        <is>
          <t>PETROLIZADORA    INTERNATIONAL</t>
        </is>
      </c>
      <c r="E38" s="2685">
        <f>IF(D38="","", IFERROR(INDEX(Catalogos!$W$4:$W$100, MATCH(D38, Catalogos!$V$4:$V$100, 0)), ""))</f>
        <v/>
      </c>
      <c r="F38" s="2686">
        <f>IF(D38="","", IFERROR(INDEX(Catalogos!$Y$4:$Y$100, MATCH(D38, Catalogos!$V$4:$V$100, 0)), ""))</f>
        <v/>
      </c>
      <c r="G38" s="2687" t="n">
        <v>4</v>
      </c>
      <c r="H38" s="2688" t="n"/>
      <c r="I38">
        <f>IF(E38="","", G38 * IFERROR(INDEX(Maquinaria_Inventario!$K$2:$K$100, MATCH(E38, Maquinaria_Inventario!$L$2:$L$100, 0)), 0))</f>
        <v/>
      </c>
      <c r="J38">
        <f>IF(B38="","", _xludf.WEEKNUM(B38, 2))</f>
        <v/>
      </c>
    </row>
    <row r="39">
      <c r="A39" s="2690">
        <f>IF(D39="","", "HT-" &amp; IFERROR(VLOOKUP(C39, Catalogos!$Z$4:$AA$20, 2, FALSE), "FOL") &amp; "-" &amp; IF(B39="","00", _xludf.WEEKNUM(B39, 2)) &amp; "-" &amp; TEXT(ROW(A36),"000"))</f>
        <v/>
      </c>
      <c r="B39" s="2689" t="n">
        <v>46188</v>
      </c>
      <c r="C39" s="2691" t="inlineStr">
        <is>
          <t>Bacheo Toluca</t>
        </is>
      </c>
      <c r="D39" s="2692" t="inlineStr">
        <is>
          <t>RETROEXCAVADORA CASE 580 N</t>
        </is>
      </c>
      <c r="E39" s="2693">
        <f>IF(D39="","", IFERROR(INDEX(Catalogos!$W$4:$W$100, MATCH(D39, Catalogos!$V$4:$V$100, 0)), ""))</f>
        <v/>
      </c>
      <c r="F39" s="2694">
        <f>IF(D39="","", IFERROR(INDEX(Catalogos!$Y$4:$Y$100, MATCH(D39, Catalogos!$V$4:$V$100, 0)), ""))</f>
        <v/>
      </c>
      <c r="G39" s="2695" t="n">
        <v>7</v>
      </c>
      <c r="H39" s="2696" t="n"/>
      <c r="I39">
        <f>IF(E39="","", G39 * IFERROR(INDEX(Maquinaria_Inventario!$K$2:$K$100, MATCH(E39, Maquinaria_Inventario!$L$2:$L$100, 0)), 0))</f>
        <v/>
      </c>
      <c r="J39">
        <f>IF(B39="","", _xludf.WEEKNUM(B39, 2))</f>
        <v/>
      </c>
    </row>
    <row r="40">
      <c r="A40" s="2697">
        <f>IF(D40="","", "HT-" &amp; IFERROR(VLOOKUP(C40, Catalogos!$Z$4:$AA$20, 2, FALSE), "FOL") &amp; "-" &amp; IF(B40="","00", _xludf.WEEKNUM(B40, 2)) &amp; "-" &amp; TEXT(ROW(A37),"000"))</f>
        <v/>
      </c>
      <c r="B40" s="2689" t="n">
        <v>46188</v>
      </c>
      <c r="C40" s="2698" t="inlineStr">
        <is>
          <t>Bacheo Toluca</t>
        </is>
      </c>
      <c r="D40" s="2699" t="inlineStr">
        <is>
          <t>RETROEXCAVADORA CASE 420DN</t>
        </is>
      </c>
      <c r="E40" s="2700">
        <f>IF(D40="","", IFERROR(INDEX(Catalogos!$W$4:$W$100, MATCH(D40, Catalogos!$V$4:$V$100, 0)), ""))</f>
        <v/>
      </c>
      <c r="F40" s="2701">
        <f>IF(D40="","", IFERROR(INDEX(Catalogos!$Y$4:$Y$100, MATCH(D40, Catalogos!$V$4:$V$100, 0)), ""))</f>
        <v/>
      </c>
      <c r="G40" s="2702" t="n">
        <v>7</v>
      </c>
      <c r="H40" s="2703" t="n"/>
      <c r="I40">
        <f>IF(E40="","", G40 * IFERROR(INDEX(Maquinaria_Inventario!$K$2:$K$100, MATCH(E40, Maquinaria_Inventario!$L$2:$L$100, 0)), 0))</f>
        <v/>
      </c>
      <c r="J40">
        <f>IF(B40="","", _xludf.WEEKNUM(B40, 2))</f>
        <v/>
      </c>
    </row>
    <row r="41">
      <c r="A41" s="2704">
        <f>IF(D41="","", "HT-" &amp; IFERROR(VLOOKUP(C41, Catalogos!$Z$4:$AA$20, 2, FALSE), "FOL") &amp; "-" &amp; IF(B41="","00", _xludf.WEEKNUM(B41, 2)) &amp; "-" &amp; TEXT(ROW(A38),"000"))</f>
        <v/>
      </c>
      <c r="B41" s="2689" t="n">
        <v>46188</v>
      </c>
      <c r="C41" s="2705" t="inlineStr">
        <is>
          <t>Bacheo Toluca</t>
        </is>
      </c>
      <c r="D41" s="2706" t="inlineStr">
        <is>
          <t>HOMBRE A BORDO</t>
        </is>
      </c>
      <c r="E41" s="2707">
        <f>IF(D41="","", IFERROR(INDEX(Catalogos!$W$4:$W$100, MATCH(D41, Catalogos!$V$4:$V$100, 0)), ""))</f>
        <v/>
      </c>
      <c r="F41" s="2708">
        <f>IF(D41="","", IFERROR(INDEX(Catalogos!$Y$4:$Y$100, MATCH(D41, Catalogos!$V$4:$V$100, 0)), ""))</f>
        <v/>
      </c>
      <c r="G41" s="2709" t="n">
        <v>4</v>
      </c>
      <c r="H41" s="2710" t="n"/>
      <c r="I41">
        <f>IF(E41="","", G41 * IFERROR(INDEX(Maquinaria_Inventario!$K$2:$K$100, MATCH(E41, Maquinaria_Inventario!$L$2:$L$100, 0)), 0))</f>
        <v/>
      </c>
      <c r="J41">
        <f>IF(B41="","", _xludf.WEEKNUM(B41, 2))</f>
        <v/>
      </c>
    </row>
    <row r="42">
      <c r="A42" s="2712">
        <f>IF(D42="","", "HT-" &amp; IFERROR(VLOOKUP(C42, Catalogos!$Z$4:$AA$20, 2, FALSE), "FOL") &amp; "-" &amp; IF(B42="","00", _xludf.WEEKNUM(B42, 2)) &amp; "-" &amp; TEXT(ROW(A39),"000"))</f>
        <v/>
      </c>
      <c r="B42" s="2711" t="n">
        <v>46189</v>
      </c>
      <c r="C42" s="2713" t="inlineStr">
        <is>
          <t>Bacheo Toluca</t>
        </is>
      </c>
      <c r="D42" s="2714" t="inlineStr">
        <is>
          <t>PERFILADORA RODATEC RX600-4-4008</t>
        </is>
      </c>
      <c r="E42" s="2715">
        <f>IF(D42="","", IFERROR(INDEX(Catalogos!$W$4:$W$100, MATCH(D42, Catalogos!$V$4:$V$100, 0)), ""))</f>
        <v/>
      </c>
      <c r="F42" s="2716">
        <f>IF(D42="","", IFERROR(INDEX(Catalogos!$Y$4:$Y$100, MATCH(D42, Catalogos!$V$4:$V$100, 0)), ""))</f>
        <v/>
      </c>
      <c r="G42" s="2717" t="n">
        <v>4</v>
      </c>
      <c r="H42" s="2718" t="n"/>
      <c r="I42">
        <f>IF(E42="","", G42 * IFERROR(INDEX(Maquinaria_Inventario!$K$2:$K$100, MATCH(E42, Maquinaria_Inventario!$L$2:$L$100, 0)), 0))</f>
        <v/>
      </c>
      <c r="J42">
        <f>IF(B42="","", _xludf.WEEKNUM(B42, 2))</f>
        <v/>
      </c>
    </row>
    <row r="43">
      <c r="A43" s="2719">
        <f>IF(D43="","", "HT-" &amp; IFERROR(VLOOKUP(C43, Catalogos!$Z$4:$AA$20, 2, FALSE), "FOL") &amp; "-" &amp; IF(B43="","00", _xludf.WEEKNUM(B43, 2)) &amp; "-" &amp; TEXT(ROW(A40),"000"))</f>
        <v/>
      </c>
      <c r="B43" s="2711" t="n">
        <v>46189</v>
      </c>
      <c r="C43" s="2720" t="inlineStr">
        <is>
          <t>Bacheo Toluca</t>
        </is>
      </c>
      <c r="D43" s="2721" t="inlineStr">
        <is>
          <t>DOBLE RODILLO/VIBROCOMPACTADOR DE RODILLOS HAMM 120HD VV</t>
        </is>
      </c>
      <c r="E43" s="2722">
        <f>IF(D43="","", IFERROR(INDEX(Catalogos!$W$4:$W$100, MATCH(D43, Catalogos!$V$4:$V$100, 0)), ""))</f>
        <v/>
      </c>
      <c r="F43" s="2723">
        <f>IF(D43="","", IFERROR(INDEX(Catalogos!$Y$4:$Y$100, MATCH(D43, Catalogos!$V$4:$V$100, 0)), ""))</f>
        <v/>
      </c>
      <c r="G43" s="2724" t="n">
        <v>2</v>
      </c>
      <c r="H43" s="2725" t="n"/>
      <c r="I43">
        <f>IF(E43="","", G43 * IFERROR(INDEX(Maquinaria_Inventario!$K$2:$K$100, MATCH(E43, Maquinaria_Inventario!$L$2:$L$100, 0)), 0))</f>
        <v/>
      </c>
      <c r="J43">
        <f>IF(B43="","", _xludf.WEEKNUM(B43, 2))</f>
        <v/>
      </c>
    </row>
    <row r="44">
      <c r="A44" s="2726">
        <f>IF(D44="","", "HT-" &amp; IFERROR(VLOOKUP(C44, Catalogos!$Z$4:$AA$20, 2, FALSE), "FOL") &amp; "-" &amp; IF(B44="","00", _xludf.WEEKNUM(B44, 2)) &amp; "-" &amp; TEXT(ROW(A41),"000"))</f>
        <v/>
      </c>
      <c r="B44" s="2711" t="n">
        <v>46189</v>
      </c>
      <c r="C44" s="2727" t="inlineStr">
        <is>
          <t>Bacheo Toluca</t>
        </is>
      </c>
      <c r="D44" s="2728" t="inlineStr">
        <is>
          <t>HOMBRE A BORDO</t>
        </is>
      </c>
      <c r="E44" s="2729">
        <f>IF(D44="","", IFERROR(INDEX(Catalogos!$W$4:$W$100, MATCH(D44, Catalogos!$V$4:$V$100, 0)), ""))</f>
        <v/>
      </c>
      <c r="F44" s="2730">
        <f>IF(D44="","", IFERROR(INDEX(Catalogos!$Y$4:$Y$100, MATCH(D44, Catalogos!$V$4:$V$100, 0)), ""))</f>
        <v/>
      </c>
      <c r="G44" s="2731" t="n">
        <v>4</v>
      </c>
      <c r="H44" s="2732" t="n"/>
      <c r="I44">
        <f>IF(E44="","", G44 * IFERROR(INDEX(Maquinaria_Inventario!$K$2:$K$100, MATCH(E44, Maquinaria_Inventario!$L$2:$L$100, 0)), 0))</f>
        <v/>
      </c>
      <c r="J44">
        <f>IF(B44="","", _xludf.WEEKNUM(B44, 2))</f>
        <v/>
      </c>
    </row>
    <row r="45">
      <c r="A45" s="2733">
        <f>IF(D45="","", "HT-" &amp; IFERROR(VLOOKUP(C45, Catalogos!$Z$4:$AA$20, 2, FALSE), "FOL") &amp; "-" &amp; IF(B45="","00", _xludf.WEEKNUM(B45, 2)) &amp; "-" &amp; TEXT(ROW(A42),"000"))</f>
        <v/>
      </c>
      <c r="B45" s="2711" t="n">
        <v>46189</v>
      </c>
      <c r="C45" s="2734" t="inlineStr">
        <is>
          <t>Bacheo Toluca</t>
        </is>
      </c>
      <c r="D45" s="2735" t="inlineStr">
        <is>
          <t>RETROEXCAVADORA CASE 580 N</t>
        </is>
      </c>
      <c r="E45" s="2736">
        <f>IF(D45="","", IFERROR(INDEX(Catalogos!$W$4:$W$100, MATCH(D45, Catalogos!$V$4:$V$100, 0)), ""))</f>
        <v/>
      </c>
      <c r="F45" s="2737">
        <f>IF(D45="","", IFERROR(INDEX(Catalogos!$Y$4:$Y$100, MATCH(D45, Catalogos!$V$4:$V$100, 0)), ""))</f>
        <v/>
      </c>
      <c r="G45" s="2738" t="n">
        <v>7</v>
      </c>
      <c r="H45" s="2739" t="n"/>
      <c r="I45">
        <f>IF(E45="","", G45 * IFERROR(INDEX(Maquinaria_Inventario!$K$2:$K$100, MATCH(E45, Maquinaria_Inventario!$L$2:$L$100, 0)), 0))</f>
        <v/>
      </c>
      <c r="J45">
        <f>IF(B45="","", _xludf.WEEKNUM(B45, 2))</f>
        <v/>
      </c>
    </row>
    <row r="46">
      <c r="A46" s="2740">
        <f>IF(D46="","", "HT-" &amp; IFERROR(VLOOKUP(C46, Catalogos!$Z$4:$AA$20, 2, FALSE), "FOL") &amp; "-" &amp; IF(B46="","00", _xludf.WEEKNUM(B46, 2)) &amp; "-" &amp; TEXT(ROW(A43),"000"))</f>
        <v/>
      </c>
      <c r="B46" s="2711" t="n">
        <v>46189</v>
      </c>
      <c r="C46" s="2741" t="inlineStr">
        <is>
          <t>Bacheo Toluca</t>
        </is>
      </c>
      <c r="D46" s="2742" t="inlineStr">
        <is>
          <t>RETROEXCAVADORA CASE 420DN</t>
        </is>
      </c>
      <c r="E46" s="2743">
        <f>IF(D46="","", IFERROR(INDEX(Catalogos!$W$4:$W$100, MATCH(D46, Catalogos!$V$4:$V$100, 0)), ""))</f>
        <v/>
      </c>
      <c r="F46" s="2744">
        <f>IF(D46="","", IFERROR(INDEX(Catalogos!$Y$4:$Y$100, MATCH(D46, Catalogos!$V$4:$V$100, 0)), ""))</f>
        <v/>
      </c>
      <c r="G46" s="2745" t="n">
        <v>7</v>
      </c>
      <c r="H46" s="2746" t="n"/>
      <c r="I46">
        <f>IF(E46="","", G46 * IFERROR(INDEX(Maquinaria_Inventario!$K$2:$K$100, MATCH(E46, Maquinaria_Inventario!$L$2:$L$100, 0)), 0))</f>
        <v/>
      </c>
      <c r="J46">
        <f>IF(B46="","", _xludf.WEEKNUM(B46, 2))</f>
        <v/>
      </c>
    </row>
    <row r="47">
      <c r="A47" s="2748">
        <f>IF(D47="","", "HT-" &amp; IFERROR(VLOOKUP(C47, Catalogos!$Z$4:$AA$20, 2, FALSE), "FOL") &amp; "-" &amp; IF(B47="","00", _xludf.WEEKNUM(B47, 2)) &amp; "-" &amp; TEXT(ROW(A44),"000"))</f>
        <v/>
      </c>
      <c r="B47" s="2747" t="n">
        <v>46190</v>
      </c>
      <c r="C47" s="2749" t="inlineStr">
        <is>
          <t>Bacheo Toluca</t>
        </is>
      </c>
      <c r="D47" s="2750" t="inlineStr">
        <is>
          <t>HOMBRE A BORDO</t>
        </is>
      </c>
      <c r="E47" s="2751">
        <f>IF(D47="","", IFERROR(INDEX(Catalogos!$W$4:$W$100, MATCH(D47, Catalogos!$V$4:$V$100, 0)), ""))</f>
        <v/>
      </c>
      <c r="F47" s="2752">
        <f>IF(D47="","", IFERROR(INDEX(Catalogos!$Y$4:$Y$100, MATCH(D47, Catalogos!$V$4:$V$100, 0)), ""))</f>
        <v/>
      </c>
      <c r="G47" s="2753" t="n">
        <v>4</v>
      </c>
      <c r="H47" s="2754" t="n"/>
      <c r="I47">
        <f>IF(E47="","", G47 * IFERROR(INDEX(Maquinaria_Inventario!$K$2:$K$100, MATCH(E47, Maquinaria_Inventario!$L$2:$L$100, 0)), 0))</f>
        <v/>
      </c>
      <c r="J47">
        <f>IF(B47="","", _xludf.WEEKNUM(B47, 2))</f>
        <v/>
      </c>
    </row>
    <row r="48">
      <c r="A48" s="2755">
        <f>IF(D48="","", "HT-" &amp; IFERROR(VLOOKUP(C48, Catalogos!$Z$4:$AA$20, 2, FALSE), "FOL") &amp; "-" &amp; IF(B48="","00", _xludf.WEEKNUM(B48, 2)) &amp; "-" &amp; TEXT(ROW(A45),"000"))</f>
        <v/>
      </c>
      <c r="B48" s="2747" t="n">
        <v>46190</v>
      </c>
      <c r="C48" s="2756" t="inlineStr">
        <is>
          <t>Bacheo Toluca</t>
        </is>
      </c>
      <c r="D48" s="2757" t="inlineStr">
        <is>
          <t>RETROEXCAVADORA CASE 580 N</t>
        </is>
      </c>
      <c r="E48" s="2758">
        <f>IF(D48="","", IFERROR(INDEX(Catalogos!$W$4:$W$100, MATCH(D48, Catalogos!$V$4:$V$100, 0)), ""))</f>
        <v/>
      </c>
      <c r="F48" s="2759">
        <f>IF(D48="","", IFERROR(INDEX(Catalogos!$Y$4:$Y$100, MATCH(D48, Catalogos!$V$4:$V$100, 0)), ""))</f>
        <v/>
      </c>
      <c r="G48" s="2760" t="n">
        <v>7</v>
      </c>
      <c r="H48" s="2761" t="n"/>
      <c r="I48">
        <f>IF(E48="","", G48 * IFERROR(INDEX(Maquinaria_Inventario!$K$2:$K$100, MATCH(E48, Maquinaria_Inventario!$L$2:$L$100, 0)), 0))</f>
        <v/>
      </c>
      <c r="J48">
        <f>IF(B48="","", _xludf.WEEKNUM(B48, 2))</f>
        <v/>
      </c>
    </row>
    <row r="49">
      <c r="A49" s="2762">
        <f>IF(D49="","", "HT-" &amp; IFERROR(VLOOKUP(C49, Catalogos!$Z$4:$AA$20, 2, FALSE), "FOL") &amp; "-" &amp; IF(B49="","00", _xludf.WEEKNUM(B49, 2)) &amp; "-" &amp; TEXT(ROW(A46),"000"))</f>
        <v/>
      </c>
      <c r="B49" s="2747" t="n">
        <v>46190</v>
      </c>
      <c r="C49" s="2763" t="inlineStr">
        <is>
          <t>Bacheo Toluca</t>
        </is>
      </c>
      <c r="D49" s="2764" t="inlineStr">
        <is>
          <t>RETROEXCAVADORA CASE 580 N</t>
        </is>
      </c>
      <c r="E49" s="2765">
        <f>IF(D49="","", IFERROR(INDEX(Catalogos!$W$4:$W$100, MATCH(D49, Catalogos!$V$4:$V$100, 0)), ""))</f>
        <v/>
      </c>
      <c r="F49" s="2766">
        <f>IF(D49="","", IFERROR(INDEX(Catalogos!$Y$4:$Y$100, MATCH(D49, Catalogos!$V$4:$V$100, 0)), ""))</f>
        <v/>
      </c>
      <c r="G49" s="2767" t="n">
        <v>7</v>
      </c>
      <c r="H49" s="2768" t="n"/>
      <c r="I49">
        <f>IF(E49="","", G49 * IFERROR(INDEX(Maquinaria_Inventario!$K$2:$K$100, MATCH(E49, Maquinaria_Inventario!$L$2:$L$100, 0)), 0))</f>
        <v/>
      </c>
      <c r="J49">
        <f>IF(B49="","", _xludf.WEEKNUM(B49, 2))</f>
        <v/>
      </c>
    </row>
    <row r="50">
      <c r="A50" s="2770">
        <f>IF(D50="","", "HT-" &amp; IFERROR(VLOOKUP(C50, Catalogos!$Z$4:$AA$20, 2, FALSE), "FOL") &amp; "-" &amp; IF(B50="","00", _xludf.WEEKNUM(B50, 2)) &amp; "-" &amp; TEXT(ROW(A47),"000"))</f>
        <v/>
      </c>
      <c r="B50" s="2769" t="n">
        <v>46191</v>
      </c>
      <c r="C50" s="2771" t="inlineStr">
        <is>
          <t>Bacheo Toluca</t>
        </is>
      </c>
      <c r="D50" s="2714" t="inlineStr">
        <is>
          <t>PERFILADORA RODATEC RX600-4-4008</t>
        </is>
      </c>
      <c r="E50" s="2715">
        <f>IF(D50="","", IFERROR(INDEX(Catalogos!$W$4:$W$100, MATCH(D50, Catalogos!$V$4:$V$100, 0)), ""))</f>
        <v/>
      </c>
      <c r="F50" s="2716">
        <f>IF(D50="","", IFERROR(INDEX(Catalogos!$Y$4:$Y$100, MATCH(D50, Catalogos!$V$4:$V$100, 0)), ""))</f>
        <v/>
      </c>
      <c r="G50" s="2717" t="n">
        <v>4</v>
      </c>
      <c r="H50" s="2772" t="n"/>
      <c r="I50">
        <f>IF(E50="","", G50 * IFERROR(INDEX(Maquinaria_Inventario!$K$2:$K$100, MATCH(E50, Maquinaria_Inventario!$L$2:$L$100, 0)), 0))</f>
        <v/>
      </c>
      <c r="J50">
        <f>IF(B50="","", _xludf.WEEKNUM(B50, 2))</f>
        <v/>
      </c>
    </row>
    <row r="51">
      <c r="A51" s="2773">
        <f>IF(D51="","", "HT-" &amp; IFERROR(VLOOKUP(C51, Catalogos!$Z$4:$AA$20, 2, FALSE), "FOL") &amp; "-" &amp; IF(B51="","00", _xludf.WEEKNUM(B51, 2)) &amp; "-" &amp; TEXT(ROW(A48),"000"))</f>
        <v/>
      </c>
      <c r="B51" s="2769" t="n">
        <v>46191</v>
      </c>
      <c r="C51" s="2749" t="inlineStr">
        <is>
          <t>Bacheo Toluca</t>
        </is>
      </c>
      <c r="D51" s="2721" t="inlineStr">
        <is>
          <t>DOBLE RODILLO/VIBROCOMPACTADOR DE RODILLOS HAMM 120HD VV</t>
        </is>
      </c>
      <c r="E51" s="2722">
        <f>IF(D51="","", IFERROR(INDEX(Catalogos!$W$4:$W$100, MATCH(D51, Catalogos!$V$4:$V$100, 0)), ""))</f>
        <v/>
      </c>
      <c r="F51" s="2723">
        <f>IF(D51="","", IFERROR(INDEX(Catalogos!$Y$4:$Y$100, MATCH(D51, Catalogos!$V$4:$V$100, 0)), ""))</f>
        <v/>
      </c>
      <c r="G51" s="2724" t="n">
        <v>2</v>
      </c>
      <c r="H51" s="2774" t="n"/>
      <c r="I51">
        <f>IF(E51="","", G51 * IFERROR(INDEX(Maquinaria_Inventario!$K$2:$K$100, MATCH(E51, Maquinaria_Inventario!$L$2:$L$100, 0)), 0))</f>
        <v/>
      </c>
      <c r="J51">
        <f>IF(B51="","", _xludf.WEEKNUM(B51, 2))</f>
        <v/>
      </c>
    </row>
    <row r="52">
      <c r="A52" s="2775">
        <f>IF(D52="","", "HT-" &amp; IFERROR(VLOOKUP(C52, Catalogos!$Z$4:$AA$20, 2, FALSE), "FOL") &amp; "-" &amp; IF(B52="","00", _xludf.WEEKNUM(B52, 2)) &amp; "-" &amp; TEXT(ROW(A49),"000"))</f>
        <v/>
      </c>
      <c r="B52" s="2769" t="n">
        <v>46191</v>
      </c>
      <c r="C52" s="2756" t="inlineStr">
        <is>
          <t>Bacheo Toluca</t>
        </is>
      </c>
      <c r="D52" s="2728" t="inlineStr">
        <is>
          <t>HOMBRE A BORDO</t>
        </is>
      </c>
      <c r="E52" s="2729">
        <f>IF(D52="","", IFERROR(INDEX(Catalogos!$W$4:$W$100, MATCH(D52, Catalogos!$V$4:$V$100, 0)), ""))</f>
        <v/>
      </c>
      <c r="F52" s="2730">
        <f>IF(D52="","", IFERROR(INDEX(Catalogos!$Y$4:$Y$100, MATCH(D52, Catalogos!$V$4:$V$100, 0)), ""))</f>
        <v/>
      </c>
      <c r="G52" s="2731" t="n">
        <v>4</v>
      </c>
      <c r="H52" s="2776" t="n"/>
      <c r="I52">
        <f>IF(E52="","", G52 * IFERROR(INDEX(Maquinaria_Inventario!$K$2:$K$100, MATCH(E52, Maquinaria_Inventario!$L$2:$L$100, 0)), 0))</f>
        <v/>
      </c>
      <c r="J52">
        <f>IF(B52="","", _xludf.WEEKNUM(B52, 2))</f>
        <v/>
      </c>
    </row>
    <row r="53">
      <c r="A53" s="2777">
        <f>IF(D53="","", "HT-" &amp; IFERROR(VLOOKUP(C53, Catalogos!$Z$4:$AA$20, 2, FALSE), "FOL") &amp; "-" &amp; IF(B53="","00", _xludf.WEEKNUM(B53, 2)) &amp; "-" &amp; TEXT(ROW(A50),"000"))</f>
        <v/>
      </c>
      <c r="B53" s="2769" t="n">
        <v>46191</v>
      </c>
      <c r="C53" s="2763" t="inlineStr">
        <is>
          <t>Bacheo Toluca</t>
        </is>
      </c>
      <c r="D53" s="2735" t="inlineStr">
        <is>
          <t>RETROEXCAVADORA CASE 580 N</t>
        </is>
      </c>
      <c r="E53" s="2736">
        <f>IF(D53="","", IFERROR(INDEX(Catalogos!$W$4:$W$100, MATCH(D53, Catalogos!$V$4:$V$100, 0)), ""))</f>
        <v/>
      </c>
      <c r="F53" s="2737">
        <f>IF(D53="","", IFERROR(INDEX(Catalogos!$Y$4:$Y$100, MATCH(D53, Catalogos!$V$4:$V$100, 0)), ""))</f>
        <v/>
      </c>
      <c r="G53" s="2738" t="n">
        <v>7</v>
      </c>
      <c r="H53" s="2778" t="n"/>
      <c r="I53">
        <f>IF(E53="","", G53 * IFERROR(INDEX(Maquinaria_Inventario!$K$2:$K$100, MATCH(E53, Maquinaria_Inventario!$L$2:$L$100, 0)), 0))</f>
        <v/>
      </c>
      <c r="J53">
        <f>IF(B53="","", _xludf.WEEKNUM(B53, 2))</f>
        <v/>
      </c>
    </row>
    <row r="54">
      <c r="A54" s="2779">
        <f>IF(D54="","", "HT-" &amp; IFERROR(VLOOKUP(C54, Catalogos!$Z$4:$AA$20, 2, FALSE), "FOL") &amp; "-" &amp; IF(B54="","00", _xludf.WEEKNUM(B54, 2)) &amp; "-" &amp; TEXT(ROW(A51),"000"))</f>
        <v/>
      </c>
      <c r="B54" s="2769" t="n">
        <v>46191</v>
      </c>
      <c r="C54" s="2771" t="inlineStr">
        <is>
          <t>Bacheo Toluca</t>
        </is>
      </c>
      <c r="D54" s="2742" t="inlineStr">
        <is>
          <t>RETROEXCAVADORA CASE 420DN</t>
        </is>
      </c>
      <c r="E54" s="2743">
        <f>IF(D54="","", IFERROR(INDEX(Catalogos!$W$4:$W$100, MATCH(D54, Catalogos!$V$4:$V$100, 0)), ""))</f>
        <v/>
      </c>
      <c r="F54" s="2744">
        <f>IF(D54="","", IFERROR(INDEX(Catalogos!$Y$4:$Y$100, MATCH(D54, Catalogos!$V$4:$V$100, 0)), ""))</f>
        <v/>
      </c>
      <c r="G54" s="2745" t="n">
        <v>7</v>
      </c>
      <c r="H54" s="2780" t="n"/>
      <c r="I54">
        <f>IF(E54="","", G54 * IFERROR(INDEX(Maquinaria_Inventario!$K$2:$K$100, MATCH(E54, Maquinaria_Inventario!$L$2:$L$100, 0)), 0))</f>
        <v/>
      </c>
      <c r="J54">
        <f>IF(B54="","", _xludf.WEEKNUM(B54, 2))</f>
        <v/>
      </c>
    </row>
    <row r="55">
      <c r="A55" s="2781">
        <f>IF(D55="","", "HT-" &amp; IFERROR(VLOOKUP(C55, Catalogos!$Z$4:$AA$20, 2, FALSE), "FOL") &amp; "-" &amp; IF(B55="","00", _xludf.WEEKNUM(B55, 2)) &amp; "-" &amp; TEXT(ROW(A52),"000"))</f>
        <v/>
      </c>
      <c r="B55" s="3806" t="n">
        <v>46192</v>
      </c>
      <c r="C55" s="2749" t="inlineStr">
        <is>
          <t>Bacheo Toluca</t>
        </is>
      </c>
      <c r="D55" s="2750" t="inlineStr">
        <is>
          <t>HOMBRE A BORDO</t>
        </is>
      </c>
      <c r="E55" s="2751">
        <f>IF(D55="","", IFERROR(INDEX(Catalogos!$W$4:$W$100, MATCH(D55, Catalogos!$V$4:$V$100, 0)), ""))</f>
        <v/>
      </c>
      <c r="F55" s="2752">
        <f>IF(D55="","", IFERROR(INDEX(Catalogos!$Y$4:$Y$100, MATCH(D55, Catalogos!$V$4:$V$100, 0)), ""))</f>
        <v/>
      </c>
      <c r="G55" s="2753" t="n">
        <v>4</v>
      </c>
      <c r="H55" s="2782" t="n"/>
      <c r="I55">
        <f>IF(E55="","", G55 * IFERROR(INDEX(Maquinaria_Inventario!$K$2:$K$100, MATCH(E55, Maquinaria_Inventario!$L$2:$L$100, 0)), 0))</f>
        <v/>
      </c>
      <c r="J55">
        <f>IF(B55="","", _xludf.WEEKNUM(B55, 2))</f>
        <v/>
      </c>
    </row>
    <row r="56">
      <c r="A56" s="2783">
        <f>IF(D56="","", "HT-" &amp; IFERROR(VLOOKUP(C56, Catalogos!$Z$4:$AA$20, 2, FALSE), "FOL") &amp; "-" &amp; IF(B56="","00", _xludf.WEEKNUM(B56, 2)) &amp; "-" &amp; TEXT(ROW(A53),"000"))</f>
        <v/>
      </c>
      <c r="B56" s="3806" t="n">
        <v>46192</v>
      </c>
      <c r="C56" s="2763" t="inlineStr">
        <is>
          <t>Bacheo Toluca</t>
        </is>
      </c>
      <c r="D56" s="2757" t="inlineStr">
        <is>
          <t>RETROEXCAVADORA CASE 580 N</t>
        </is>
      </c>
      <c r="E56" s="2758">
        <f>IF(D56="","", IFERROR(INDEX(Catalogos!$W$4:$W$100, MATCH(D56, Catalogos!$V$4:$V$100, 0)), ""))</f>
        <v/>
      </c>
      <c r="F56" s="2759">
        <f>IF(D56="","", IFERROR(INDEX(Catalogos!$Y$4:$Y$100, MATCH(D56, Catalogos!$V$4:$V$100, 0)), ""))</f>
        <v/>
      </c>
      <c r="G56" s="2760" t="n">
        <v>7</v>
      </c>
      <c r="H56" s="2784" t="n"/>
      <c r="I56">
        <f>IF(E56="","", G56 * IFERROR(INDEX(Maquinaria_Inventario!$K$2:$K$100, MATCH(E56, Maquinaria_Inventario!$L$2:$L$100, 0)), 0))</f>
        <v/>
      </c>
      <c r="J56">
        <f>IF(B56="","", _xludf.WEEKNUM(B56, 2))</f>
        <v/>
      </c>
    </row>
    <row r="57">
      <c r="A57" s="2785">
        <f>IF(D57="","", "HT-" &amp; IFERROR(VLOOKUP(C57, Catalogos!$Z$4:$AA$20, 2, FALSE), "FOL") &amp; "-" &amp; IF(B57="","00", _xludf.WEEKNUM(B57, 2)) &amp; "-" &amp; TEXT(ROW(A54),"000"))</f>
        <v/>
      </c>
      <c r="B57" s="3806" t="n">
        <v>46192</v>
      </c>
      <c r="C57" s="2771" t="inlineStr">
        <is>
          <t>Bacheo Toluca</t>
        </is>
      </c>
      <c r="D57" s="2764" t="inlineStr">
        <is>
          <t>RETROEXCAVADORA CASE 580 N</t>
        </is>
      </c>
      <c r="E57" s="2765">
        <f>IF(D57="","", IFERROR(INDEX(Catalogos!$W$4:$W$100, MATCH(D57, Catalogos!$V$4:$V$100, 0)), ""))</f>
        <v/>
      </c>
      <c r="F57" s="2766">
        <f>IF(D57="","", IFERROR(INDEX(Catalogos!$Y$4:$Y$100, MATCH(D57, Catalogos!$V$4:$V$100, 0)), ""))</f>
        <v/>
      </c>
      <c r="G57" s="2767" t="n">
        <v>7</v>
      </c>
      <c r="H57" s="2786" t="n"/>
      <c r="I57">
        <f>IF(E57="","", G57 * IFERROR(INDEX(Maquinaria_Inventario!$K$2:$K$100, MATCH(E57, Maquinaria_Inventario!$L$2:$L$100, 0)), 0))</f>
        <v/>
      </c>
      <c r="J57">
        <f>IF(B57="","", _xludf.WEEKNUM(B57, 2))</f>
        <v/>
      </c>
    </row>
    <row r="58">
      <c r="A58" s="2788">
        <f>IF(D58="","", "HT-" &amp; IFERROR(VLOOKUP(C58, Catalogos!$Z$4:$AA$20, 2, FALSE), "FOL") &amp; "-" &amp; IF(B58="","00", _xludf.WEEKNUM(B58, 2)) &amp; "-" &amp; TEXT(ROW(A55),"000"))</f>
        <v/>
      </c>
      <c r="B58" s="2787" t="n">
        <v>46188</v>
      </c>
      <c r="C58" s="2789" t="inlineStr">
        <is>
          <t>Lerma - Tres Marías</t>
        </is>
      </c>
      <c r="D58" s="2790" t="inlineStr">
        <is>
          <t>PERFILADORA RODATEC RX600-4-4008</t>
        </is>
      </c>
      <c r="E58" s="2791">
        <f>IF(D58="","", IFERROR(INDEX(Catalogos!$W$4:$W$100, MATCH(D58, Catalogos!$V$4:$V$100, 0)), ""))</f>
        <v/>
      </c>
      <c r="F58" s="2792">
        <f>IF(D58="","", IFERROR(INDEX(Catalogos!$Y$4:$Y$100, MATCH(D58, Catalogos!$V$4:$V$100, 0)), ""))</f>
        <v/>
      </c>
      <c r="G58" s="2793" t="n">
        <v>4</v>
      </c>
      <c r="H58" s="2794" t="n"/>
      <c r="I58">
        <f>IF(E58="","", G58 * IFERROR(INDEX(Maquinaria_Inventario!$K$2:$K$100, MATCH(E58, Maquinaria_Inventario!$L$2:$L$100, 0)), 0))</f>
        <v/>
      </c>
      <c r="J58">
        <f>IF(B58="","", _xludf.WEEKNUM(B58, 2))</f>
        <v/>
      </c>
    </row>
    <row r="59">
      <c r="A59" s="2795">
        <f>IF(D59="","", "HT-" &amp; IFERROR(VLOOKUP(C59, Catalogos!$Z$4:$AA$20, 2, FALSE), "FOL") &amp; "-" &amp; IF(B59="","00", _xludf.WEEKNUM(B59, 2)) &amp; "-" &amp; TEXT(ROW(A56),"000"))</f>
        <v/>
      </c>
      <c r="B59" s="2787" t="n">
        <v>46188</v>
      </c>
      <c r="C59" s="2796" t="inlineStr">
        <is>
          <t>Lerma - Tres Marías</t>
        </is>
      </c>
      <c r="D59" s="2797" t="inlineStr">
        <is>
          <t>BARREDORA BROCE BROOM KR350</t>
        </is>
      </c>
      <c r="E59" s="2798">
        <f>IF(D59="","", IFERROR(INDEX(Catalogos!$W$4:$W$100, MATCH(D59, Catalogos!$V$4:$V$100, 0)), ""))</f>
        <v/>
      </c>
      <c r="F59" s="2799">
        <f>IF(D59="","", IFERROR(INDEX(Catalogos!$Y$4:$Y$100, MATCH(D59, Catalogos!$V$4:$V$100, 0)), ""))</f>
        <v/>
      </c>
      <c r="G59" s="2800" t="n">
        <v>4</v>
      </c>
      <c r="H59" s="2801" t="n"/>
      <c r="I59">
        <f>IF(E59="","", G59 * IFERROR(INDEX(Maquinaria_Inventario!$K$2:$K$100, MATCH(E59, Maquinaria_Inventario!$L$2:$L$100, 0)), 0))</f>
        <v/>
      </c>
      <c r="J59">
        <f>IF(B59="","", _xludf.WEEKNUM(B59, 2))</f>
        <v/>
      </c>
    </row>
    <row r="60">
      <c r="A60" s="2802">
        <f>IF(D60="","", "HT-" &amp; IFERROR(VLOOKUP(C60, Catalogos!$Z$4:$AA$20, 2, FALSE), "FOL") &amp; "-" &amp; IF(B60="","00", _xludf.WEEKNUM(B60, 2)) &amp; "-" &amp; TEXT(ROW(A57),"000"))</f>
        <v/>
      </c>
      <c r="B60" s="2787" t="n">
        <v>46188</v>
      </c>
      <c r="C60" s="2803" t="inlineStr">
        <is>
          <t>Lerma - Tres Marías</t>
        </is>
      </c>
      <c r="D60" s="2804" t="inlineStr">
        <is>
          <t>RETROEXCAVADORA CASE 580 N</t>
        </is>
      </c>
      <c r="E60" s="2805">
        <f>IF(D60="","", IFERROR(INDEX(Catalogos!$W$4:$W$100, MATCH(D60, Catalogos!$V$4:$V$100, 0)), ""))</f>
        <v/>
      </c>
      <c r="F60" s="2806">
        <f>IF(D60="","", IFERROR(INDEX(Catalogos!$Y$4:$Y$100, MATCH(D60, Catalogos!$V$4:$V$100, 0)), ""))</f>
        <v/>
      </c>
      <c r="G60" s="2807" t="n">
        <v>4</v>
      </c>
      <c r="H60" s="2808" t="n"/>
      <c r="I60">
        <f>IF(E60="","", G60 * IFERROR(INDEX(Maquinaria_Inventario!$K$2:$K$100, MATCH(E60, Maquinaria_Inventario!$L$2:$L$100, 0)), 0))</f>
        <v/>
      </c>
      <c r="J60">
        <f>IF(B60="","", _xludf.WEEKNUM(B60, 2))</f>
        <v/>
      </c>
    </row>
    <row r="61">
      <c r="A61" s="2809">
        <f>IF(D61="","", "HT-" &amp; IFERROR(VLOOKUP(C61, Catalogos!$Z$4:$AA$20, 2, FALSE), "FOL") &amp; "-" &amp; IF(B61="","00", _xludf.WEEKNUM(B61, 2)) &amp; "-" &amp; TEXT(ROW(A58),"000"))</f>
        <v/>
      </c>
      <c r="B61" s="2787" t="n">
        <v>46188</v>
      </c>
      <c r="C61" s="2810" t="inlineStr">
        <is>
          <t>Lerma - Tres Marías</t>
        </is>
      </c>
      <c r="D61" s="2811" t="inlineStr">
        <is>
          <t>PAVIMENTADORA  VOGELE 1800-2 SJ</t>
        </is>
      </c>
      <c r="E61" s="2812">
        <f>IF(D61="","", IFERROR(INDEX(Catalogos!$W$4:$W$100, MATCH(D61, Catalogos!$V$4:$V$100, 0)), ""))</f>
        <v/>
      </c>
      <c r="F61" s="2813">
        <f>IF(D61="","", IFERROR(INDEX(Catalogos!$Y$4:$Y$100, MATCH(D61, Catalogos!$V$4:$V$100, 0)), ""))</f>
        <v/>
      </c>
      <c r="G61" s="2814" t="n">
        <v>5</v>
      </c>
      <c r="H61" s="2815" t="n"/>
      <c r="I61">
        <f>IF(E61="","", G61 * IFERROR(INDEX(Maquinaria_Inventario!$K$2:$K$100, MATCH(E61, Maquinaria_Inventario!$L$2:$L$100, 0)), 0))</f>
        <v/>
      </c>
      <c r="J61">
        <f>IF(B61="","", _xludf.WEEKNUM(B61, 2))</f>
        <v/>
      </c>
    </row>
    <row r="62">
      <c r="A62" s="2816">
        <f>IF(D62="","", "HT-" &amp; IFERROR(VLOOKUP(C62, Catalogos!$Z$4:$AA$20, 2, FALSE), "FOL") &amp; "-" &amp; IF(B62="","00", _xludf.WEEKNUM(B62, 2)) &amp; "-" &amp; TEXT(ROW(A59),"000"))</f>
        <v/>
      </c>
      <c r="B62" s="2787" t="n">
        <v>46188</v>
      </c>
      <c r="C62" s="2817" t="inlineStr">
        <is>
          <t>Lerma - Tres Marías</t>
        </is>
      </c>
      <c r="D62" s="2818" t="inlineStr">
        <is>
          <t>DOBLE RODILLO/VIBROCOMPACTADOR DE RODILLOS HAMM 120HD VV</t>
        </is>
      </c>
      <c r="E62" s="2819">
        <f>IF(D62="","", IFERROR(INDEX(Catalogos!$W$4:$W$100, MATCH(D62, Catalogos!$V$4:$V$100, 0)), ""))</f>
        <v/>
      </c>
      <c r="F62" s="2820">
        <f>IF(D62="","", IFERROR(INDEX(Catalogos!$Y$4:$Y$100, MATCH(D62, Catalogos!$V$4:$V$100, 0)), ""))</f>
        <v/>
      </c>
      <c r="G62" s="2821" t="n">
        <v>5</v>
      </c>
      <c r="H62" s="2822" t="n"/>
      <c r="I62">
        <f>IF(E62="","", G62 * IFERROR(INDEX(Maquinaria_Inventario!$K$2:$K$100, MATCH(E62, Maquinaria_Inventario!$L$2:$L$100, 0)), 0))</f>
        <v/>
      </c>
      <c r="J62">
        <f>IF(B62="","", _xludf.WEEKNUM(B62, 2))</f>
        <v/>
      </c>
    </row>
    <row r="63">
      <c r="A63" s="2823">
        <f>IF(D63="","", "HT-" &amp; IFERROR(VLOOKUP(C63, Catalogos!$Z$4:$AA$20, 2, FALSE), "FOL") &amp; "-" &amp; IF(B63="","00", _xludf.WEEKNUM(B63, 2)) &amp; "-" &amp; TEXT(ROW(A60),"000"))</f>
        <v/>
      </c>
      <c r="B63" s="2787" t="n">
        <v>46188</v>
      </c>
      <c r="C63" s="2824" t="inlineStr">
        <is>
          <t>Lerma - Tres Marías</t>
        </is>
      </c>
      <c r="D63" s="2825" t="inlineStr">
        <is>
          <t>NEUMATICO / COMPACTADOR DE NEUMATICOS DINAPAC CP271</t>
        </is>
      </c>
      <c r="E63" s="2826">
        <f>IF(D63="","", IFERROR(INDEX(Catalogos!$W$4:$W$100, MATCH(D63, Catalogos!$V$4:$V$100, 0)), ""))</f>
        <v/>
      </c>
      <c r="F63" s="2827">
        <f>IF(D63="","", IFERROR(INDEX(Catalogos!$Y$4:$Y$100, MATCH(D63, Catalogos!$V$4:$V$100, 0)), ""))</f>
        <v/>
      </c>
      <c r="G63" s="2828" t="n">
        <v>4</v>
      </c>
      <c r="H63" s="2829" t="n"/>
      <c r="I63">
        <f>IF(E63="","", G63 * IFERROR(INDEX(Maquinaria_Inventario!$K$2:$K$100, MATCH(E63, Maquinaria_Inventario!$L$2:$L$100, 0)), 0))</f>
        <v/>
      </c>
      <c r="J63">
        <f>IF(B63="","", _xludf.WEEKNUM(B63, 2))</f>
        <v/>
      </c>
    </row>
    <row r="64">
      <c r="A64" s="2830">
        <f>IF(D64="","", "HT-" &amp; IFERROR(VLOOKUP(C64, Catalogos!$Z$4:$AA$20, 2, FALSE), "FOL") &amp; "-" &amp; IF(B64="","00", _xludf.WEEKNUM(B64, 2)) &amp; "-" &amp; TEXT(ROW(A61),"000"))</f>
        <v/>
      </c>
      <c r="B64" s="2787" t="n">
        <v>46188</v>
      </c>
      <c r="C64" s="2831" t="inlineStr">
        <is>
          <t>Lerma - Tres Marías</t>
        </is>
      </c>
      <c r="D64" s="2832" t="inlineStr">
        <is>
          <t>IMPACTO FORD 4300</t>
        </is>
      </c>
      <c r="E64" s="2833">
        <f>IF(D64="","", IFERROR(INDEX(Catalogos!$W$4:$W$100, MATCH(D64, Catalogos!$V$4:$V$100, 0)), ""))</f>
        <v/>
      </c>
      <c r="F64" s="2834">
        <f>IF(D64="","", IFERROR(INDEX(Catalogos!$Y$4:$Y$100, MATCH(D64, Catalogos!$V$4:$V$100, 0)), ""))</f>
        <v/>
      </c>
      <c r="G64" s="2835" t="n">
        <v>4</v>
      </c>
      <c r="H64" s="2836" t="n"/>
      <c r="I64">
        <f>IF(E64="","", G64 * IFERROR(INDEX(Maquinaria_Inventario!$K$2:$K$100, MATCH(E64, Maquinaria_Inventario!$L$2:$L$100, 0)), 0))</f>
        <v/>
      </c>
      <c r="J64">
        <f>IF(B64="","", _xludf.WEEKNUM(B64, 2))</f>
        <v/>
      </c>
    </row>
    <row r="65">
      <c r="A65" s="2837">
        <f>IF(D65="","", "HT-" &amp; IFERROR(VLOOKUP(C65, Catalogos!$Z$4:$AA$20, 2, FALSE), "FOL") &amp; "-" &amp; IF(B65="","00", _xludf.WEEKNUM(B65, 2)) &amp; "-" &amp; TEXT(ROW(A62),"000"))</f>
        <v/>
      </c>
      <c r="B65" s="2787" t="n">
        <v>46188</v>
      </c>
      <c r="C65" s="2838" t="inlineStr">
        <is>
          <t>Lerma - Tres Marías</t>
        </is>
      </c>
      <c r="D65" s="2839" t="inlineStr">
        <is>
          <t>COMPRESOR  SULLIVAN PALATEK D2010</t>
        </is>
      </c>
      <c r="E65" s="2840">
        <f>IF(D65="","", IFERROR(INDEX(Catalogos!$W$4:$W$100, MATCH(D65, Catalogos!$V$4:$V$100, 0)), ""))</f>
        <v/>
      </c>
      <c r="F65" s="2841">
        <f>IF(D65="","", IFERROR(INDEX(Catalogos!$Y$4:$Y$100, MATCH(D65, Catalogos!$V$4:$V$100, 0)), ""))</f>
        <v/>
      </c>
      <c r="G65" s="2842" t="n">
        <v>2</v>
      </c>
      <c r="H65" s="2843" t="n"/>
      <c r="I65">
        <f>IF(E65="","", G65 * IFERROR(INDEX(Maquinaria_Inventario!$K$2:$K$100, MATCH(E65, Maquinaria_Inventario!$L$2:$L$100, 0)), 0))</f>
        <v/>
      </c>
      <c r="J65">
        <f>IF(B65="","", _xludf.WEEKNUM(B65, 2))</f>
        <v/>
      </c>
    </row>
    <row r="66">
      <c r="A66" s="2844">
        <f>IF(D66="","", "HT-" &amp; IFERROR(VLOOKUP(C66, Catalogos!$Z$4:$AA$20, 2, FALSE), "FOL") &amp; "-" &amp; IF(B66="","00", _xludf.WEEKNUM(B66, 2)) &amp; "-" &amp; TEXT(ROW(A63),"000"))</f>
        <v/>
      </c>
      <c r="B66" s="2787" t="n">
        <v>46188</v>
      </c>
      <c r="C66" s="2845" t="inlineStr">
        <is>
          <t>Lerma - Tres Marías</t>
        </is>
      </c>
      <c r="D66" s="2846" t="inlineStr">
        <is>
          <t>PETROLIZADORA    INTERNATIONAL</t>
        </is>
      </c>
      <c r="E66" s="2847">
        <f>IF(D66="","", IFERROR(INDEX(Catalogos!$W$4:$W$100, MATCH(D66, Catalogos!$V$4:$V$100, 0)), ""))</f>
        <v/>
      </c>
      <c r="F66" s="2848">
        <f>IF(D66="","", IFERROR(INDEX(Catalogos!$Y$4:$Y$100, MATCH(D66, Catalogos!$V$4:$V$100, 0)), ""))</f>
        <v/>
      </c>
      <c r="G66" s="2849" t="n">
        <v>4</v>
      </c>
      <c r="H66" s="2850" t="n"/>
      <c r="I66">
        <f>IF(E66="","", G66 * IFERROR(INDEX(Maquinaria_Inventario!$K$2:$K$100, MATCH(E66, Maquinaria_Inventario!$L$2:$L$100, 0)), 0))</f>
        <v/>
      </c>
      <c r="J66">
        <f>IF(B66="","", _xludf.WEEKNUM(B66, 2))</f>
        <v/>
      </c>
    </row>
    <row r="67">
      <c r="A67" s="2851">
        <f>IF(D67="","", "HT-" &amp; IFERROR(VLOOKUP(C67, Catalogos!$Z$4:$AA$20, 2, FALSE), "FOL") &amp; "-" &amp; IF(B67="","00", _xludf.WEEKNUM(B67, 2)) &amp; "-" &amp; TEXT(ROW(A64),"000"))</f>
        <v/>
      </c>
      <c r="B67" s="2787" t="n">
        <v>46188</v>
      </c>
      <c r="C67" s="2852" t="inlineStr">
        <is>
          <t>Lerma - Tres Marías</t>
        </is>
      </c>
      <c r="D67" s="2853" t="inlineStr">
        <is>
          <t>PIPA DE AGUA (IMPACTO 01) FORD</t>
        </is>
      </c>
      <c r="E67" s="2854">
        <f>IF(D67="","", IFERROR(INDEX(Catalogos!$W$4:$W$100, MATCH(D67, Catalogos!$V$4:$V$100, 0)), ""))</f>
        <v/>
      </c>
      <c r="F67" s="2855">
        <f>IF(D67="","", IFERROR(INDEX(Catalogos!$Y$4:$Y$100, MATCH(D67, Catalogos!$V$4:$V$100, 0)), ""))</f>
        <v/>
      </c>
      <c r="G67" s="2856" t="n">
        <v>4</v>
      </c>
      <c r="H67" s="2857" t="n"/>
      <c r="I67">
        <f>IF(E67="","", G67 * IFERROR(INDEX(Maquinaria_Inventario!$K$2:$K$100, MATCH(E67, Maquinaria_Inventario!$L$2:$L$100, 0)), 0))</f>
        <v/>
      </c>
      <c r="J67">
        <f>IF(B67="","", _xludf.WEEKNUM(B67, 2))</f>
        <v/>
      </c>
    </row>
    <row r="68">
      <c r="A68" s="2859">
        <f>IF(D68="","", "HT-" &amp; IFERROR(VLOOKUP(C68, Catalogos!$Z$4:$AA$20, 2, FALSE), "FOL") &amp; "-" &amp; IF(B68="","00", _xludf.WEEKNUM(B68, 2)) &amp; "-" &amp; TEXT(ROW(A65),"000"))</f>
        <v/>
      </c>
      <c r="B68" s="2858" t="n">
        <v>46189</v>
      </c>
      <c r="C68" s="2789" t="inlineStr">
        <is>
          <t>Lerma - Tres Marías</t>
        </is>
      </c>
      <c r="D68" s="2790" t="inlineStr">
        <is>
          <t>PERFILADORA RODATEC RX600-4-4008</t>
        </is>
      </c>
      <c r="E68" s="2860">
        <f>IF(D68="","", IFERROR(INDEX(Catalogos!$W$4:$W$100, MATCH(D68, Catalogos!$V$4:$V$100, 0)), ""))</f>
        <v/>
      </c>
      <c r="F68" s="2861">
        <f>IF(D68="","", IFERROR(INDEX(Catalogos!$Y$4:$Y$100, MATCH(D68, Catalogos!$V$4:$V$100, 0)), ""))</f>
        <v/>
      </c>
      <c r="G68" s="2862" t="n">
        <v>4</v>
      </c>
      <c r="H68" s="2863" t="n"/>
      <c r="I68">
        <f>IF(E68="","", G68 * IFERROR(INDEX(Maquinaria_Inventario!$K$2:$K$100, MATCH(E68, Maquinaria_Inventario!$L$2:$L$100, 0)), 0))</f>
        <v/>
      </c>
      <c r="J68">
        <f>IF(B68="","", _xludf.WEEKNUM(B68, 2))</f>
        <v/>
      </c>
    </row>
    <row r="69">
      <c r="A69" s="2864">
        <f>IF(D69="","", "HT-" &amp; IFERROR(VLOOKUP(C69, Catalogos!$Z$4:$AA$20, 2, FALSE), "FOL") &amp; "-" &amp; IF(B69="","00", _xludf.WEEKNUM(B69, 2)) &amp; "-" &amp; TEXT(ROW(A66),"000"))</f>
        <v/>
      </c>
      <c r="B69" s="2858" t="n">
        <v>46189</v>
      </c>
      <c r="C69" s="2796" t="inlineStr">
        <is>
          <t>Lerma - Tres Marías</t>
        </is>
      </c>
      <c r="D69" s="2797" t="inlineStr">
        <is>
          <t>BARREDORA BROCE BROOM KR350</t>
        </is>
      </c>
      <c r="E69" s="2865">
        <f>IF(D69="","", IFERROR(INDEX(Catalogos!$W$4:$W$100, MATCH(D69, Catalogos!$V$4:$V$100, 0)), ""))</f>
        <v/>
      </c>
      <c r="F69" s="2866">
        <f>IF(D69="","", IFERROR(INDEX(Catalogos!$Y$4:$Y$100, MATCH(D69, Catalogos!$V$4:$V$100, 0)), ""))</f>
        <v/>
      </c>
      <c r="G69" s="2867" t="n">
        <v>4</v>
      </c>
      <c r="H69" s="2868" t="n"/>
      <c r="I69">
        <f>IF(E69="","", G69 * IFERROR(INDEX(Maquinaria_Inventario!$K$2:$K$100, MATCH(E69, Maquinaria_Inventario!$L$2:$L$100, 0)), 0))</f>
        <v/>
      </c>
      <c r="J69">
        <f>IF(B69="","", _xludf.WEEKNUM(B69, 2))</f>
        <v/>
      </c>
    </row>
    <row r="70">
      <c r="A70" s="2869">
        <f>IF(D70="","", "HT-" &amp; IFERROR(VLOOKUP(C70, Catalogos!$Z$4:$AA$20, 2, FALSE), "FOL") &amp; "-" &amp; IF(B70="","00", _xludf.WEEKNUM(B70, 2)) &amp; "-" &amp; TEXT(ROW(A67),"000"))</f>
        <v/>
      </c>
      <c r="B70" s="2858" t="n">
        <v>46189</v>
      </c>
      <c r="C70" s="2803" t="inlineStr">
        <is>
          <t>Lerma - Tres Marías</t>
        </is>
      </c>
      <c r="D70" s="2804" t="inlineStr">
        <is>
          <t>RETROEXCAVADORA CASE 580 N</t>
        </is>
      </c>
      <c r="E70" s="2870">
        <f>IF(D70="","", IFERROR(INDEX(Catalogos!$W$4:$W$100, MATCH(D70, Catalogos!$V$4:$V$100, 0)), ""))</f>
        <v/>
      </c>
      <c r="F70" s="2871">
        <f>IF(D70="","", IFERROR(INDEX(Catalogos!$Y$4:$Y$100, MATCH(D70, Catalogos!$V$4:$V$100, 0)), ""))</f>
        <v/>
      </c>
      <c r="G70" s="2872" t="n">
        <v>4</v>
      </c>
      <c r="H70" s="2873" t="n"/>
      <c r="I70">
        <f>IF(E70="","", G70 * IFERROR(INDEX(Maquinaria_Inventario!$K$2:$K$100, MATCH(E70, Maquinaria_Inventario!$L$2:$L$100, 0)), 0))</f>
        <v/>
      </c>
      <c r="J70">
        <f>IF(B70="","", _xludf.WEEKNUM(B70, 2))</f>
        <v/>
      </c>
    </row>
    <row r="71">
      <c r="A71" s="2874">
        <f>IF(D71="","", "HT-" &amp; IFERROR(VLOOKUP(C71, Catalogos!$Z$4:$AA$20, 2, FALSE), "FOL") &amp; "-" &amp; IF(B71="","00", _xludf.WEEKNUM(B71, 2)) &amp; "-" &amp; TEXT(ROW(A68),"000"))</f>
        <v/>
      </c>
      <c r="B71" s="2858" t="n">
        <v>46189</v>
      </c>
      <c r="C71" s="2810" t="inlineStr">
        <is>
          <t>Lerma - Tres Marías</t>
        </is>
      </c>
      <c r="D71" s="2811" t="inlineStr">
        <is>
          <t>PAVIMENTADORA  VOGELE 1800-2 SJ</t>
        </is>
      </c>
      <c r="E71" s="2875">
        <f>IF(D71="","", IFERROR(INDEX(Catalogos!$W$4:$W$100, MATCH(D71, Catalogos!$V$4:$V$100, 0)), ""))</f>
        <v/>
      </c>
      <c r="F71" s="2876">
        <f>IF(D71="","", IFERROR(INDEX(Catalogos!$Y$4:$Y$100, MATCH(D71, Catalogos!$V$4:$V$100, 0)), ""))</f>
        <v/>
      </c>
      <c r="G71" s="2877" t="n">
        <v>4</v>
      </c>
      <c r="H71" s="2878" t="n"/>
      <c r="I71">
        <f>IF(E71="","", G71 * IFERROR(INDEX(Maquinaria_Inventario!$K$2:$K$100, MATCH(E71, Maquinaria_Inventario!$L$2:$L$100, 0)), 0))</f>
        <v/>
      </c>
      <c r="J71">
        <f>IF(B71="","", _xludf.WEEKNUM(B71, 2))</f>
        <v/>
      </c>
    </row>
    <row r="72">
      <c r="A72" s="2879">
        <f>IF(D72="","", "HT-" &amp; IFERROR(VLOOKUP(C72, Catalogos!$Z$4:$AA$20, 2, FALSE), "FOL") &amp; "-" &amp; IF(B72="","00", _xludf.WEEKNUM(B72, 2)) &amp; "-" &amp; TEXT(ROW(A69),"000"))</f>
        <v/>
      </c>
      <c r="B72" s="2858" t="n">
        <v>46189</v>
      </c>
      <c r="C72" s="2817" t="inlineStr">
        <is>
          <t>Lerma - Tres Marías</t>
        </is>
      </c>
      <c r="D72" s="2818" t="inlineStr">
        <is>
          <t>DOBLE RODILLO/VIBROCOMPACTADOR DE RODILLOS HAMM 120HD VV</t>
        </is>
      </c>
      <c r="E72" s="2880">
        <f>IF(D72="","", IFERROR(INDEX(Catalogos!$W$4:$W$100, MATCH(D72, Catalogos!$V$4:$V$100, 0)), ""))</f>
        <v/>
      </c>
      <c r="F72" s="2881">
        <f>IF(D72="","", IFERROR(INDEX(Catalogos!$Y$4:$Y$100, MATCH(D72, Catalogos!$V$4:$V$100, 0)), ""))</f>
        <v/>
      </c>
      <c r="G72" s="2882" t="n">
        <v>4</v>
      </c>
      <c r="H72" s="2883" t="n"/>
      <c r="I72">
        <f>IF(E72="","", G72 * IFERROR(INDEX(Maquinaria_Inventario!$K$2:$K$100, MATCH(E72, Maquinaria_Inventario!$L$2:$L$100, 0)), 0))</f>
        <v/>
      </c>
      <c r="J72">
        <f>IF(B72="","", _xludf.WEEKNUM(B72, 2))</f>
        <v/>
      </c>
    </row>
    <row r="73">
      <c r="A73" s="2884">
        <f>IF(D73="","", "HT-" &amp; IFERROR(VLOOKUP(C73, Catalogos!$Z$4:$AA$20, 2, FALSE), "FOL") &amp; "-" &amp; IF(B73="","00", _xludf.WEEKNUM(B73, 2)) &amp; "-" &amp; TEXT(ROW(A70),"000"))</f>
        <v/>
      </c>
      <c r="B73" s="2858" t="n">
        <v>46189</v>
      </c>
      <c r="C73" s="2824" t="inlineStr">
        <is>
          <t>Lerma - Tres Marías</t>
        </is>
      </c>
      <c r="D73" s="2825" t="inlineStr">
        <is>
          <t>NEUMATICO / COMPACTADOR DE NEUMATICOS DINAPAC CP271</t>
        </is>
      </c>
      <c r="E73" s="2885">
        <f>IF(D73="","", IFERROR(INDEX(Catalogos!$W$4:$W$100, MATCH(D73, Catalogos!$V$4:$V$100, 0)), ""))</f>
        <v/>
      </c>
      <c r="F73" s="2886">
        <f>IF(D73="","", IFERROR(INDEX(Catalogos!$Y$4:$Y$100, MATCH(D73, Catalogos!$V$4:$V$100, 0)), ""))</f>
        <v/>
      </c>
      <c r="G73" s="2887" t="n">
        <v>4</v>
      </c>
      <c r="H73" s="2888" t="n"/>
      <c r="I73">
        <f>IF(E73="","", G73 * IFERROR(INDEX(Maquinaria_Inventario!$K$2:$K$100, MATCH(E73, Maquinaria_Inventario!$L$2:$L$100, 0)), 0))</f>
        <v/>
      </c>
      <c r="J73">
        <f>IF(B73="","", _xludf.WEEKNUM(B73, 2))</f>
        <v/>
      </c>
    </row>
    <row r="74">
      <c r="A74" s="2889">
        <f>IF(D74="","", "HT-" &amp; IFERROR(VLOOKUP(C74, Catalogos!$Z$4:$AA$20, 2, FALSE), "FOL") &amp; "-" &amp; IF(B74="","00", _xludf.WEEKNUM(B74, 2)) &amp; "-" &amp; TEXT(ROW(A71),"000"))</f>
        <v/>
      </c>
      <c r="B74" s="2858" t="n">
        <v>46189</v>
      </c>
      <c r="C74" s="2831" t="inlineStr">
        <is>
          <t>Lerma - Tres Marías</t>
        </is>
      </c>
      <c r="D74" s="2832" t="inlineStr">
        <is>
          <t>IMPACTO FORD 4300</t>
        </is>
      </c>
      <c r="E74" s="2890">
        <f>IF(D74="","", IFERROR(INDEX(Catalogos!$W$4:$W$100, MATCH(D74, Catalogos!$V$4:$V$100, 0)), ""))</f>
        <v/>
      </c>
      <c r="F74" s="2891">
        <f>IF(D74="","", IFERROR(INDEX(Catalogos!$Y$4:$Y$100, MATCH(D74, Catalogos!$V$4:$V$100, 0)), ""))</f>
        <v/>
      </c>
      <c r="G74" s="2892" t="n">
        <v>4</v>
      </c>
      <c r="H74" s="2893" t="n"/>
      <c r="I74">
        <f>IF(E74="","", G74 * IFERROR(INDEX(Maquinaria_Inventario!$K$2:$K$100, MATCH(E74, Maquinaria_Inventario!$L$2:$L$100, 0)), 0))</f>
        <v/>
      </c>
      <c r="J74">
        <f>IF(B74="","", _xludf.WEEKNUM(B74, 2))</f>
        <v/>
      </c>
    </row>
    <row r="75">
      <c r="A75" s="2894">
        <f>IF(D75="","", "HT-" &amp; IFERROR(VLOOKUP(C75, Catalogos!$Z$4:$AA$20, 2, FALSE), "FOL") &amp; "-" &amp; IF(B75="","00", _xludf.WEEKNUM(B75, 2)) &amp; "-" &amp; TEXT(ROW(A72),"000"))</f>
        <v/>
      </c>
      <c r="B75" s="2858" t="n">
        <v>46189</v>
      </c>
      <c r="C75" s="2838" t="inlineStr">
        <is>
          <t>Lerma - Tres Marías</t>
        </is>
      </c>
      <c r="D75" s="2839" t="inlineStr">
        <is>
          <t>COMPRESOR  SULLIVAN PALATEK D2010</t>
        </is>
      </c>
      <c r="E75" s="2895">
        <f>IF(D75="","", IFERROR(INDEX(Catalogos!$W$4:$W$100, MATCH(D75, Catalogos!$V$4:$V$100, 0)), ""))</f>
        <v/>
      </c>
      <c r="F75" s="2896">
        <f>IF(D75="","", IFERROR(INDEX(Catalogos!$Y$4:$Y$100, MATCH(D75, Catalogos!$V$4:$V$100, 0)), ""))</f>
        <v/>
      </c>
      <c r="G75" s="2897" t="n">
        <v>2</v>
      </c>
      <c r="H75" s="2898" t="n"/>
      <c r="I75">
        <f>IF(E75="","", G75 * IFERROR(INDEX(Maquinaria_Inventario!$K$2:$K$100, MATCH(E75, Maquinaria_Inventario!$L$2:$L$100, 0)), 0))</f>
        <v/>
      </c>
      <c r="J75">
        <f>IF(B75="","", _xludf.WEEKNUM(B75, 2))</f>
        <v/>
      </c>
    </row>
    <row r="76">
      <c r="A76" s="2899">
        <f>IF(D76="","", "HT-" &amp; IFERROR(VLOOKUP(C76, Catalogos!$Z$4:$AA$20, 2, FALSE), "FOL") &amp; "-" &amp; IF(B76="","00", _xludf.WEEKNUM(B76, 2)) &amp; "-" &amp; TEXT(ROW(A73),"000"))</f>
        <v/>
      </c>
      <c r="B76" s="2858" t="n">
        <v>46189</v>
      </c>
      <c r="C76" s="2845" t="inlineStr">
        <is>
          <t>Lerma - Tres Marías</t>
        </is>
      </c>
      <c r="D76" s="2846" t="inlineStr">
        <is>
          <t>PETROLIZADORA    INTERNATIONAL</t>
        </is>
      </c>
      <c r="E76" s="2900">
        <f>IF(D76="","", IFERROR(INDEX(Catalogos!$W$4:$W$100, MATCH(D76, Catalogos!$V$4:$V$100, 0)), ""))</f>
        <v/>
      </c>
      <c r="F76" s="2901">
        <f>IF(D76="","", IFERROR(INDEX(Catalogos!$Y$4:$Y$100, MATCH(D76, Catalogos!$V$4:$V$100, 0)), ""))</f>
        <v/>
      </c>
      <c r="G76" s="2902" t="n">
        <v>4</v>
      </c>
      <c r="H76" s="2903" t="n"/>
      <c r="I76">
        <f>IF(E76="","", G76 * IFERROR(INDEX(Maquinaria_Inventario!$K$2:$K$100, MATCH(E76, Maquinaria_Inventario!$L$2:$L$100, 0)), 0))</f>
        <v/>
      </c>
      <c r="J76">
        <f>IF(B76="","", _xludf.WEEKNUM(B76, 2))</f>
        <v/>
      </c>
    </row>
    <row r="77">
      <c r="A77" s="2904">
        <f>IF(D77="","", "HT-" &amp; IFERROR(VLOOKUP(C77, Catalogos!$Z$4:$AA$20, 2, FALSE), "FOL") &amp; "-" &amp; IF(B77="","00", _xludf.WEEKNUM(B77, 2)) &amp; "-" &amp; TEXT(ROW(A74),"000"))</f>
        <v/>
      </c>
      <c r="B77" s="2858" t="n">
        <v>46189</v>
      </c>
      <c r="C77" s="2852" t="inlineStr">
        <is>
          <t>Lerma - Tres Marías</t>
        </is>
      </c>
      <c r="D77" s="2853" t="inlineStr">
        <is>
          <t>PIPA DE AGUA (IMPACTO 01) FORD</t>
        </is>
      </c>
      <c r="E77" s="2905">
        <f>IF(D77="","", IFERROR(INDEX(Catalogos!$W$4:$W$100, MATCH(D77, Catalogos!$V$4:$V$100, 0)), ""))</f>
        <v/>
      </c>
      <c r="F77" s="2906">
        <f>IF(D77="","", IFERROR(INDEX(Catalogos!$Y$4:$Y$100, MATCH(D77, Catalogos!$V$4:$V$100, 0)), ""))</f>
        <v/>
      </c>
      <c r="G77" s="2907" t="n">
        <v>4</v>
      </c>
      <c r="H77" s="2908" t="n"/>
      <c r="I77">
        <f>IF(E77="","", G77 * IFERROR(INDEX(Maquinaria_Inventario!$K$2:$K$100, MATCH(E77, Maquinaria_Inventario!$L$2:$L$100, 0)), 0))</f>
        <v/>
      </c>
      <c r="J77">
        <f>IF(B77="","", _xludf.WEEKNUM(B77, 2))</f>
        <v/>
      </c>
    </row>
    <row r="78">
      <c r="A78" s="2910">
        <f>IF(D78="","", "HT-" &amp; IFERROR(VLOOKUP(C78, Catalogos!$Z$4:$AA$20, 2, FALSE), "FOL") &amp; "-" &amp; IF(B78="","00", _xludf.WEEKNUM(B78, 2)) &amp; "-" &amp; TEXT(ROW(A75),"000"))</f>
        <v/>
      </c>
      <c r="B78" s="2909" t="n">
        <v>46190</v>
      </c>
      <c r="C78" s="2789" t="inlineStr">
        <is>
          <t>Lerma - Tres Marías</t>
        </is>
      </c>
      <c r="D78" s="2790" t="inlineStr">
        <is>
          <t>PERFILADORA RODATEC RX600-4-4008</t>
        </is>
      </c>
      <c r="E78" s="2911">
        <f>IF(D78="","", IFERROR(INDEX(Catalogos!$W$4:$W$100, MATCH(D78, Catalogos!$V$4:$V$100, 0)), ""))</f>
        <v/>
      </c>
      <c r="F78" s="2912">
        <f>IF(D78="","", IFERROR(INDEX(Catalogos!$Y$4:$Y$100, MATCH(D78, Catalogos!$V$4:$V$100, 0)), ""))</f>
        <v/>
      </c>
      <c r="G78" s="2913" t="n">
        <v>4</v>
      </c>
      <c r="H78" s="2914" t="n"/>
      <c r="I78">
        <f>IF(E78="","", G78 * IFERROR(INDEX(Maquinaria_Inventario!$K$2:$K$100, MATCH(E78, Maquinaria_Inventario!$L$2:$L$100, 0)), 0))</f>
        <v/>
      </c>
      <c r="J78">
        <f>IF(B78="","", _xludf.WEEKNUM(B78, 2))</f>
        <v/>
      </c>
    </row>
    <row r="79">
      <c r="A79" s="2915">
        <f>IF(D79="","", "HT-" &amp; IFERROR(VLOOKUP(C79, Catalogos!$Z$4:$AA$20, 2, FALSE), "FOL") &amp; "-" &amp; IF(B79="","00", _xludf.WEEKNUM(B79, 2)) &amp; "-" &amp; TEXT(ROW(A76),"000"))</f>
        <v/>
      </c>
      <c r="B79" s="2909" t="n">
        <v>46190</v>
      </c>
      <c r="C79" s="2796" t="inlineStr">
        <is>
          <t>Lerma - Tres Marías</t>
        </is>
      </c>
      <c r="D79" s="2797" t="inlineStr">
        <is>
          <t>BARREDORA BROCE BROOM KR350</t>
        </is>
      </c>
      <c r="E79" s="2916">
        <f>IF(D79="","", IFERROR(INDEX(Catalogos!$W$4:$W$100, MATCH(D79, Catalogos!$V$4:$V$100, 0)), ""))</f>
        <v/>
      </c>
      <c r="F79" s="2917">
        <f>IF(D79="","", IFERROR(INDEX(Catalogos!$Y$4:$Y$100, MATCH(D79, Catalogos!$V$4:$V$100, 0)), ""))</f>
        <v/>
      </c>
      <c r="G79" s="2918" t="n">
        <v>4</v>
      </c>
      <c r="H79" s="2919" t="n"/>
      <c r="I79">
        <f>IF(E79="","", G79 * IFERROR(INDEX(Maquinaria_Inventario!$K$2:$K$100, MATCH(E79, Maquinaria_Inventario!$L$2:$L$100, 0)), 0))</f>
        <v/>
      </c>
      <c r="J79">
        <f>IF(B79="","", _xludf.WEEKNUM(B79, 2))</f>
        <v/>
      </c>
    </row>
    <row r="80">
      <c r="A80" s="2920">
        <f>IF(D80="","", "HT-" &amp; IFERROR(VLOOKUP(C80, Catalogos!$Z$4:$AA$20, 2, FALSE), "FOL") &amp; "-" &amp; IF(B80="","00", _xludf.WEEKNUM(B80, 2)) &amp; "-" &amp; TEXT(ROW(A77),"000"))</f>
        <v/>
      </c>
      <c r="B80" s="2909" t="n">
        <v>46190</v>
      </c>
      <c r="C80" s="2803" t="inlineStr">
        <is>
          <t>Lerma - Tres Marías</t>
        </is>
      </c>
      <c r="D80" s="2804" t="inlineStr">
        <is>
          <t>RETROEXCAVADORA CASE 580 N</t>
        </is>
      </c>
      <c r="E80" s="2921">
        <f>IF(D80="","", IFERROR(INDEX(Catalogos!$W$4:$W$100, MATCH(D80, Catalogos!$V$4:$V$100, 0)), ""))</f>
        <v/>
      </c>
      <c r="F80" s="2922">
        <f>IF(D80="","", IFERROR(INDEX(Catalogos!$Y$4:$Y$100, MATCH(D80, Catalogos!$V$4:$V$100, 0)), ""))</f>
        <v/>
      </c>
      <c r="G80" s="2923" t="n">
        <v>4</v>
      </c>
      <c r="H80" s="2924" t="n"/>
      <c r="I80">
        <f>IF(E80="","", G80 * IFERROR(INDEX(Maquinaria_Inventario!$K$2:$K$100, MATCH(E80, Maquinaria_Inventario!$L$2:$L$100, 0)), 0))</f>
        <v/>
      </c>
      <c r="J80">
        <f>IF(B80="","", _xludf.WEEKNUM(B80, 2))</f>
        <v/>
      </c>
    </row>
    <row r="81">
      <c r="A81" s="2925">
        <f>IF(D81="","", "HT-" &amp; IFERROR(VLOOKUP(C81, Catalogos!$Z$4:$AA$20, 2, FALSE), "FOL") &amp; "-" &amp; IF(B81="","00", _xludf.WEEKNUM(B81, 2)) &amp; "-" &amp; TEXT(ROW(A78),"000"))</f>
        <v/>
      </c>
      <c r="B81" s="2909" t="n">
        <v>46190</v>
      </c>
      <c r="C81" s="2810" t="inlineStr">
        <is>
          <t>Lerma - Tres Marías</t>
        </is>
      </c>
      <c r="D81" s="2811" t="inlineStr">
        <is>
          <t>PAVIMENTADORA  VOGELE 1800-2 SJ</t>
        </is>
      </c>
      <c r="E81" s="2926">
        <f>IF(D81="","", IFERROR(INDEX(Catalogos!$W$4:$W$100, MATCH(D81, Catalogos!$V$4:$V$100, 0)), ""))</f>
        <v/>
      </c>
      <c r="F81" s="2927">
        <f>IF(D81="","", IFERROR(INDEX(Catalogos!$Y$4:$Y$100, MATCH(D81, Catalogos!$V$4:$V$100, 0)), ""))</f>
        <v/>
      </c>
      <c r="G81" s="2928" t="n">
        <v>4</v>
      </c>
      <c r="H81" s="2929" t="n"/>
      <c r="I81">
        <f>IF(E81="","", G81 * IFERROR(INDEX(Maquinaria_Inventario!$K$2:$K$100, MATCH(E81, Maquinaria_Inventario!$L$2:$L$100, 0)), 0))</f>
        <v/>
      </c>
      <c r="J81">
        <f>IF(B81="","", _xludf.WEEKNUM(B81, 2))</f>
        <v/>
      </c>
    </row>
    <row r="82">
      <c r="A82" s="2930">
        <f>IF(D82="","", "HT-" &amp; IFERROR(VLOOKUP(C82, Catalogos!$Z$4:$AA$20, 2, FALSE), "FOL") &amp; "-" &amp; IF(B82="","00", _xludf.WEEKNUM(B82, 2)) &amp; "-" &amp; TEXT(ROW(A79),"000"))</f>
        <v/>
      </c>
      <c r="B82" s="2909" t="n">
        <v>46190</v>
      </c>
      <c r="C82" s="2817" t="inlineStr">
        <is>
          <t>Lerma - Tres Marías</t>
        </is>
      </c>
      <c r="D82" s="2818" t="inlineStr">
        <is>
          <t>DOBLE RODILLO/VIBROCOMPACTADOR DE RODILLOS HAMM 120HD VV</t>
        </is>
      </c>
      <c r="E82" s="2931">
        <f>IF(D82="","", IFERROR(INDEX(Catalogos!$W$4:$W$100, MATCH(D82, Catalogos!$V$4:$V$100, 0)), ""))</f>
        <v/>
      </c>
      <c r="F82" s="2932">
        <f>IF(D82="","", IFERROR(INDEX(Catalogos!$Y$4:$Y$100, MATCH(D82, Catalogos!$V$4:$V$100, 0)), ""))</f>
        <v/>
      </c>
      <c r="G82" s="2933" t="n">
        <v>4</v>
      </c>
      <c r="H82" s="2934" t="n"/>
      <c r="I82">
        <f>IF(E82="","", G82 * IFERROR(INDEX(Maquinaria_Inventario!$K$2:$K$100, MATCH(E82, Maquinaria_Inventario!$L$2:$L$100, 0)), 0))</f>
        <v/>
      </c>
      <c r="J82">
        <f>IF(B82="","", _xludf.WEEKNUM(B82, 2))</f>
        <v/>
      </c>
    </row>
    <row r="83">
      <c r="A83" s="2935">
        <f>IF(D83="","", "HT-" &amp; IFERROR(VLOOKUP(C83, Catalogos!$Z$4:$AA$20, 2, FALSE), "FOL") &amp; "-" &amp; IF(B83="","00", _xludf.WEEKNUM(B83, 2)) &amp; "-" &amp; TEXT(ROW(A80),"000"))</f>
        <v/>
      </c>
      <c r="B83" s="2909" t="n">
        <v>46190</v>
      </c>
      <c r="C83" s="2824" t="inlineStr">
        <is>
          <t>Lerma - Tres Marías</t>
        </is>
      </c>
      <c r="D83" s="2825" t="inlineStr">
        <is>
          <t>NEUMATICO / COMPACTADOR DE NEUMATICOS DINAPAC CP271</t>
        </is>
      </c>
      <c r="E83" s="2936">
        <f>IF(D83="","", IFERROR(INDEX(Catalogos!$W$4:$W$100, MATCH(D83, Catalogos!$V$4:$V$100, 0)), ""))</f>
        <v/>
      </c>
      <c r="F83" s="2937">
        <f>IF(D83="","", IFERROR(INDEX(Catalogos!$Y$4:$Y$100, MATCH(D83, Catalogos!$V$4:$V$100, 0)), ""))</f>
        <v/>
      </c>
      <c r="G83" s="2938" t="n">
        <v>4</v>
      </c>
      <c r="H83" s="2939" t="n"/>
      <c r="I83">
        <f>IF(E83="","", G83 * IFERROR(INDEX(Maquinaria_Inventario!$K$2:$K$100, MATCH(E83, Maquinaria_Inventario!$L$2:$L$100, 0)), 0))</f>
        <v/>
      </c>
      <c r="J83">
        <f>IF(B83="","", _xludf.WEEKNUM(B83, 2))</f>
        <v/>
      </c>
    </row>
    <row r="84">
      <c r="A84" s="2940">
        <f>IF(D84="","", "HT-" &amp; IFERROR(VLOOKUP(C84, Catalogos!$Z$4:$AA$20, 2, FALSE), "FOL") &amp; "-" &amp; IF(B84="","00", _xludf.WEEKNUM(B84, 2)) &amp; "-" &amp; TEXT(ROW(A81),"000"))</f>
        <v/>
      </c>
      <c r="B84" s="2909" t="n">
        <v>46190</v>
      </c>
      <c r="C84" s="2831" t="inlineStr">
        <is>
          <t>Lerma - Tres Marías</t>
        </is>
      </c>
      <c r="D84" s="2832" t="inlineStr">
        <is>
          <t>IMPACTO FORD 4300</t>
        </is>
      </c>
      <c r="E84" s="2941">
        <f>IF(D84="","", IFERROR(INDEX(Catalogos!$W$4:$W$100, MATCH(D84, Catalogos!$V$4:$V$100, 0)), ""))</f>
        <v/>
      </c>
      <c r="F84" s="2942">
        <f>IF(D84="","", IFERROR(INDEX(Catalogos!$Y$4:$Y$100, MATCH(D84, Catalogos!$V$4:$V$100, 0)), ""))</f>
        <v/>
      </c>
      <c r="G84" s="2943" t="n">
        <v>4</v>
      </c>
      <c r="H84" s="2944" t="n"/>
      <c r="I84">
        <f>IF(E84="","", G84 * IFERROR(INDEX(Maquinaria_Inventario!$K$2:$K$100, MATCH(E84, Maquinaria_Inventario!$L$2:$L$100, 0)), 0))</f>
        <v/>
      </c>
      <c r="J84">
        <f>IF(B84="","", _xludf.WEEKNUM(B84, 2))</f>
        <v/>
      </c>
    </row>
    <row r="85">
      <c r="A85" s="2945">
        <f>IF(D85="","", "HT-" &amp; IFERROR(VLOOKUP(C85, Catalogos!$Z$4:$AA$20, 2, FALSE), "FOL") &amp; "-" &amp; IF(B85="","00", _xludf.WEEKNUM(B85, 2)) &amp; "-" &amp; TEXT(ROW(A82),"000"))</f>
        <v/>
      </c>
      <c r="B85" s="2909" t="n">
        <v>46190</v>
      </c>
      <c r="C85" s="2838" t="inlineStr">
        <is>
          <t>Lerma - Tres Marías</t>
        </is>
      </c>
      <c r="D85" s="2839" t="inlineStr">
        <is>
          <t>COMPRESOR  SULLIVAN PALATEK D2010</t>
        </is>
      </c>
      <c r="E85" s="2946">
        <f>IF(D85="","", IFERROR(INDEX(Catalogos!$W$4:$W$100, MATCH(D85, Catalogos!$V$4:$V$100, 0)), ""))</f>
        <v/>
      </c>
      <c r="F85" s="2947">
        <f>IF(D85="","", IFERROR(INDEX(Catalogos!$Y$4:$Y$100, MATCH(D85, Catalogos!$V$4:$V$100, 0)), ""))</f>
        <v/>
      </c>
      <c r="G85" s="2948" t="n">
        <v>2</v>
      </c>
      <c r="H85" s="2949" t="n"/>
      <c r="I85">
        <f>IF(E85="","", G85 * IFERROR(INDEX(Maquinaria_Inventario!$K$2:$K$100, MATCH(E85, Maquinaria_Inventario!$L$2:$L$100, 0)), 0))</f>
        <v/>
      </c>
      <c r="J85">
        <f>IF(B85="","", _xludf.WEEKNUM(B85, 2))</f>
        <v/>
      </c>
    </row>
    <row r="86">
      <c r="A86" s="2950">
        <f>IF(D86="","", "HT-" &amp; IFERROR(VLOOKUP(C86, Catalogos!$Z$4:$AA$20, 2, FALSE), "FOL") &amp; "-" &amp; IF(B86="","00", _xludf.WEEKNUM(B86, 2)) &amp; "-" &amp; TEXT(ROW(A83),"000"))</f>
        <v/>
      </c>
      <c r="B86" s="2909" t="n">
        <v>46190</v>
      </c>
      <c r="C86" s="2845" t="inlineStr">
        <is>
          <t>Lerma - Tres Marías</t>
        </is>
      </c>
      <c r="D86" s="2846" t="inlineStr">
        <is>
          <t>PETROLIZADORA    INTERNATIONAL</t>
        </is>
      </c>
      <c r="E86" s="2951">
        <f>IF(D86="","", IFERROR(INDEX(Catalogos!$W$4:$W$100, MATCH(D86, Catalogos!$V$4:$V$100, 0)), ""))</f>
        <v/>
      </c>
      <c r="F86" s="2952">
        <f>IF(D86="","", IFERROR(INDEX(Catalogos!$Y$4:$Y$100, MATCH(D86, Catalogos!$V$4:$V$100, 0)), ""))</f>
        <v/>
      </c>
      <c r="G86" s="2953" t="n">
        <v>4</v>
      </c>
      <c r="H86" s="2954" t="n"/>
      <c r="I86">
        <f>IF(E86="","", G86 * IFERROR(INDEX(Maquinaria_Inventario!$K$2:$K$100, MATCH(E86, Maquinaria_Inventario!$L$2:$L$100, 0)), 0))</f>
        <v/>
      </c>
      <c r="J86">
        <f>IF(B86="","", _xludf.WEEKNUM(B86, 2))</f>
        <v/>
      </c>
    </row>
    <row r="87">
      <c r="A87" s="2955">
        <f>IF(D87="","", "HT-" &amp; IFERROR(VLOOKUP(C87, Catalogos!$Z$4:$AA$20, 2, FALSE), "FOL") &amp; "-" &amp; IF(B87="","00", _xludf.WEEKNUM(B87, 2)) &amp; "-" &amp; TEXT(ROW(A84),"000"))</f>
        <v/>
      </c>
      <c r="B87" s="2909" t="n">
        <v>46190</v>
      </c>
      <c r="C87" s="2852" t="inlineStr">
        <is>
          <t>Lerma - Tres Marías</t>
        </is>
      </c>
      <c r="D87" s="2853" t="inlineStr">
        <is>
          <t>PIPA DE AGUA (IMPACTO 01) FORD</t>
        </is>
      </c>
      <c r="E87" s="2956">
        <f>IF(D87="","", IFERROR(INDEX(Catalogos!$W$4:$W$100, MATCH(D87, Catalogos!$V$4:$V$100, 0)), ""))</f>
        <v/>
      </c>
      <c r="F87" s="2957">
        <f>IF(D87="","", IFERROR(INDEX(Catalogos!$Y$4:$Y$100, MATCH(D87, Catalogos!$V$4:$V$100, 0)), ""))</f>
        <v/>
      </c>
      <c r="G87" s="2958" t="n">
        <v>4</v>
      </c>
      <c r="H87" s="2959" t="n"/>
      <c r="I87">
        <f>IF(E87="","", G87 * IFERROR(INDEX(Maquinaria_Inventario!$K$2:$K$100, MATCH(E87, Maquinaria_Inventario!$L$2:$L$100, 0)), 0))</f>
        <v/>
      </c>
      <c r="J87">
        <f>IF(B87="","", _xludf.WEEKNUM(B87, 2))</f>
        <v/>
      </c>
    </row>
    <row r="88">
      <c r="A88" s="2961">
        <f>IF(D88="","", "HT-" &amp; IFERROR(VLOOKUP(C88, Catalogos!$Z$4:$AA$20, 2, FALSE), "FOL") &amp; "-" &amp; IF(B88="","00", _xludf.WEEKNUM(B88, 2)) &amp; "-" &amp; TEXT(ROW(A85),"000"))</f>
        <v/>
      </c>
      <c r="B88" s="2960" t="n">
        <v>46191</v>
      </c>
      <c r="C88" s="2789" t="inlineStr">
        <is>
          <t>Lerma - Tres Marías</t>
        </is>
      </c>
      <c r="D88" s="2790" t="inlineStr">
        <is>
          <t>PERFILADORA RODATEC RX600-4-4008</t>
        </is>
      </c>
      <c r="E88" s="2962">
        <f>IF(D88="","", IFERROR(INDEX(Catalogos!$W$4:$W$100, MATCH(D88, Catalogos!$V$4:$V$100, 0)), ""))</f>
        <v/>
      </c>
      <c r="F88" s="2963">
        <f>IF(D88="","", IFERROR(INDEX(Catalogos!$Y$4:$Y$100, MATCH(D88, Catalogos!$V$4:$V$100, 0)), ""))</f>
        <v/>
      </c>
      <c r="G88" s="2964" t="n">
        <v>4</v>
      </c>
      <c r="H88" s="2965" t="n"/>
      <c r="I88">
        <f>IF(E88="","", G88 * IFERROR(INDEX(Maquinaria_Inventario!$K$2:$K$100, MATCH(E88, Maquinaria_Inventario!$L$2:$L$100, 0)), 0))</f>
        <v/>
      </c>
      <c r="J88">
        <f>IF(B88="","", _xludf.WEEKNUM(B88, 2))</f>
        <v/>
      </c>
    </row>
    <row r="89">
      <c r="A89" s="2966">
        <f>IF(D89="","", "HT-" &amp; IFERROR(VLOOKUP(C89, Catalogos!$Z$4:$AA$20, 2, FALSE), "FOL") &amp; "-" &amp; IF(B89="","00", _xludf.WEEKNUM(B89, 2)) &amp; "-" &amp; TEXT(ROW(A86),"000"))</f>
        <v/>
      </c>
      <c r="B89" s="2960" t="n">
        <v>46191</v>
      </c>
      <c r="C89" s="2796" t="inlineStr">
        <is>
          <t>Lerma - Tres Marías</t>
        </is>
      </c>
      <c r="D89" s="2797" t="inlineStr">
        <is>
          <t>BARREDORA BROCE BROOM KR350</t>
        </is>
      </c>
      <c r="E89" s="2967">
        <f>IF(D89="","", IFERROR(INDEX(Catalogos!$W$4:$W$100, MATCH(D89, Catalogos!$V$4:$V$100, 0)), ""))</f>
        <v/>
      </c>
      <c r="F89" s="2968">
        <f>IF(D89="","", IFERROR(INDEX(Catalogos!$Y$4:$Y$100, MATCH(D89, Catalogos!$V$4:$V$100, 0)), ""))</f>
        <v/>
      </c>
      <c r="G89" s="2969" t="n">
        <v>4</v>
      </c>
      <c r="H89" s="2970" t="n"/>
      <c r="I89">
        <f>IF(E89="","", G89 * IFERROR(INDEX(Maquinaria_Inventario!$K$2:$K$100, MATCH(E89, Maquinaria_Inventario!$L$2:$L$100, 0)), 0))</f>
        <v/>
      </c>
      <c r="J89">
        <f>IF(B89="","", _xludf.WEEKNUM(B89, 2))</f>
        <v/>
      </c>
    </row>
    <row r="90">
      <c r="A90" s="2971">
        <f>IF(D90="","", "HT-" &amp; IFERROR(VLOOKUP(C90, Catalogos!$Z$4:$AA$20, 2, FALSE), "FOL") &amp; "-" &amp; IF(B90="","00", _xludf.WEEKNUM(B90, 2)) &amp; "-" &amp; TEXT(ROW(A87),"000"))</f>
        <v/>
      </c>
      <c r="B90" s="2960" t="n">
        <v>46191</v>
      </c>
      <c r="C90" s="2803" t="inlineStr">
        <is>
          <t>Lerma - Tres Marías</t>
        </is>
      </c>
      <c r="D90" s="2804" t="inlineStr">
        <is>
          <t>RETROEXCAVADORA CASE 580 N</t>
        </is>
      </c>
      <c r="E90" s="2972">
        <f>IF(D90="","", IFERROR(INDEX(Catalogos!$W$4:$W$100, MATCH(D90, Catalogos!$V$4:$V$100, 0)), ""))</f>
        <v/>
      </c>
      <c r="F90" s="2973">
        <f>IF(D90="","", IFERROR(INDEX(Catalogos!$Y$4:$Y$100, MATCH(D90, Catalogos!$V$4:$V$100, 0)), ""))</f>
        <v/>
      </c>
      <c r="G90" s="2974" t="n">
        <v>4</v>
      </c>
      <c r="H90" s="2975" t="n"/>
      <c r="I90">
        <f>IF(E90="","", G90 * IFERROR(INDEX(Maquinaria_Inventario!$K$2:$K$100, MATCH(E90, Maquinaria_Inventario!$L$2:$L$100, 0)), 0))</f>
        <v/>
      </c>
      <c r="J90">
        <f>IF(B90="","", _xludf.WEEKNUM(B90, 2))</f>
        <v/>
      </c>
    </row>
    <row r="91">
      <c r="A91" s="2976">
        <f>IF(D91="","", "HT-" &amp; IFERROR(VLOOKUP(C91, Catalogos!$Z$4:$AA$20, 2, FALSE), "FOL") &amp; "-" &amp; IF(B91="","00", _xludf.WEEKNUM(B91, 2)) &amp; "-" &amp; TEXT(ROW(A88),"000"))</f>
        <v/>
      </c>
      <c r="B91" s="2960" t="n">
        <v>46191</v>
      </c>
      <c r="C91" s="2810" t="inlineStr">
        <is>
          <t>Lerma - Tres Marías</t>
        </is>
      </c>
      <c r="D91" s="2811" t="inlineStr">
        <is>
          <t>PAVIMENTADORA  VOGELE 1800-2 SJ</t>
        </is>
      </c>
      <c r="E91" s="2977">
        <f>IF(D91="","", IFERROR(INDEX(Catalogos!$W$4:$W$100, MATCH(D91, Catalogos!$V$4:$V$100, 0)), ""))</f>
        <v/>
      </c>
      <c r="F91" s="2978">
        <f>IF(D91="","", IFERROR(INDEX(Catalogos!$Y$4:$Y$100, MATCH(D91, Catalogos!$V$4:$V$100, 0)), ""))</f>
        <v/>
      </c>
      <c r="G91" s="2979" t="n">
        <v>4</v>
      </c>
      <c r="H91" s="2980" t="n"/>
      <c r="I91">
        <f>IF(E91="","", G91 * IFERROR(INDEX(Maquinaria_Inventario!$K$2:$K$100, MATCH(E91, Maquinaria_Inventario!$L$2:$L$100, 0)), 0))</f>
        <v/>
      </c>
      <c r="J91">
        <f>IF(B91="","", _xludf.WEEKNUM(B91, 2))</f>
        <v/>
      </c>
    </row>
    <row r="92">
      <c r="A92" s="2981">
        <f>IF(D92="","", "HT-" &amp; IFERROR(VLOOKUP(C92, Catalogos!$Z$4:$AA$20, 2, FALSE), "FOL") &amp; "-" &amp; IF(B92="","00", _xludf.WEEKNUM(B92, 2)) &amp; "-" &amp; TEXT(ROW(A89),"000"))</f>
        <v/>
      </c>
      <c r="B92" s="2960" t="n">
        <v>46191</v>
      </c>
      <c r="C92" s="2817" t="inlineStr">
        <is>
          <t>Lerma - Tres Marías</t>
        </is>
      </c>
      <c r="D92" s="2818" t="inlineStr">
        <is>
          <t>DOBLE RODILLO/VIBROCOMPACTADOR DE RODILLOS HAMM 120HD VV</t>
        </is>
      </c>
      <c r="E92" s="2982">
        <f>IF(D92="","", IFERROR(INDEX(Catalogos!$W$4:$W$100, MATCH(D92, Catalogos!$V$4:$V$100, 0)), ""))</f>
        <v/>
      </c>
      <c r="F92" s="2983">
        <f>IF(D92="","", IFERROR(INDEX(Catalogos!$Y$4:$Y$100, MATCH(D92, Catalogos!$V$4:$V$100, 0)), ""))</f>
        <v/>
      </c>
      <c r="G92" s="2984" t="n">
        <v>4</v>
      </c>
      <c r="H92" s="2985" t="n"/>
      <c r="I92">
        <f>IF(E92="","", G92 * IFERROR(INDEX(Maquinaria_Inventario!$K$2:$K$100, MATCH(E92, Maquinaria_Inventario!$L$2:$L$100, 0)), 0))</f>
        <v/>
      </c>
      <c r="J92">
        <f>IF(B92="","", _xludf.WEEKNUM(B92, 2))</f>
        <v/>
      </c>
    </row>
    <row r="93">
      <c r="A93" s="2986">
        <f>IF(D93="","", "HT-" &amp; IFERROR(VLOOKUP(C93, Catalogos!$Z$4:$AA$20, 2, FALSE), "FOL") &amp; "-" &amp; IF(B93="","00", _xludf.WEEKNUM(B93, 2)) &amp; "-" &amp; TEXT(ROW(A90),"000"))</f>
        <v/>
      </c>
      <c r="B93" s="2960" t="n">
        <v>46191</v>
      </c>
      <c r="C93" s="2824" t="inlineStr">
        <is>
          <t>Lerma - Tres Marías</t>
        </is>
      </c>
      <c r="D93" s="2825" t="inlineStr">
        <is>
          <t>NEUMATICO / COMPACTADOR DE NEUMATICOS DINAPAC CP271</t>
        </is>
      </c>
      <c r="E93" s="2987">
        <f>IF(D93="","", IFERROR(INDEX(Catalogos!$W$4:$W$100, MATCH(D93, Catalogos!$V$4:$V$100, 0)), ""))</f>
        <v/>
      </c>
      <c r="F93" s="2988">
        <f>IF(D93="","", IFERROR(INDEX(Catalogos!$Y$4:$Y$100, MATCH(D93, Catalogos!$V$4:$V$100, 0)), ""))</f>
        <v/>
      </c>
      <c r="G93" s="2989" t="n">
        <v>4</v>
      </c>
      <c r="H93" s="2990" t="n"/>
      <c r="I93">
        <f>IF(E93="","", G93 * IFERROR(INDEX(Maquinaria_Inventario!$K$2:$K$100, MATCH(E93, Maquinaria_Inventario!$L$2:$L$100, 0)), 0))</f>
        <v/>
      </c>
      <c r="J93">
        <f>IF(B93="","", _xludf.WEEKNUM(B93, 2))</f>
        <v/>
      </c>
    </row>
    <row r="94">
      <c r="A94" s="2991">
        <f>IF(D94="","", "HT-" &amp; IFERROR(VLOOKUP(C94, Catalogos!$Z$4:$AA$20, 2, FALSE), "FOL") &amp; "-" &amp; IF(B94="","00", _xludf.WEEKNUM(B94, 2)) &amp; "-" &amp; TEXT(ROW(A91),"000"))</f>
        <v/>
      </c>
      <c r="B94" s="2960" t="n">
        <v>46191</v>
      </c>
      <c r="C94" s="2831" t="inlineStr">
        <is>
          <t>Lerma - Tres Marías</t>
        </is>
      </c>
      <c r="D94" s="2832" t="inlineStr">
        <is>
          <t>IMPACTO FORD 4300</t>
        </is>
      </c>
      <c r="E94" s="2992">
        <f>IF(D94="","", IFERROR(INDEX(Catalogos!$W$4:$W$100, MATCH(D94, Catalogos!$V$4:$V$100, 0)), ""))</f>
        <v/>
      </c>
      <c r="F94" s="2993">
        <f>IF(D94="","", IFERROR(INDEX(Catalogos!$Y$4:$Y$100, MATCH(D94, Catalogos!$V$4:$V$100, 0)), ""))</f>
        <v/>
      </c>
      <c r="G94" s="2994" t="n">
        <v>4</v>
      </c>
      <c r="H94" s="2995" t="n"/>
      <c r="I94">
        <f>IF(E94="","", G94 * IFERROR(INDEX(Maquinaria_Inventario!$K$2:$K$100, MATCH(E94, Maquinaria_Inventario!$L$2:$L$100, 0)), 0))</f>
        <v/>
      </c>
      <c r="J94">
        <f>IF(B94="","", _xludf.WEEKNUM(B94, 2))</f>
        <v/>
      </c>
    </row>
    <row r="95">
      <c r="A95" s="2996">
        <f>IF(D95="","", "HT-" &amp; IFERROR(VLOOKUP(C95, Catalogos!$Z$4:$AA$20, 2, FALSE), "FOL") &amp; "-" &amp; IF(B95="","00", _xludf.WEEKNUM(B95, 2)) &amp; "-" &amp; TEXT(ROW(A92),"000"))</f>
        <v/>
      </c>
      <c r="B95" s="2960" t="n">
        <v>46191</v>
      </c>
      <c r="C95" s="2838" t="inlineStr">
        <is>
          <t>Lerma - Tres Marías</t>
        </is>
      </c>
      <c r="D95" s="2839" t="inlineStr">
        <is>
          <t>COMPRESOR  SULLIVAN PALATEK D2010</t>
        </is>
      </c>
      <c r="E95" s="2997">
        <f>IF(D95="","", IFERROR(INDEX(Catalogos!$W$4:$W$100, MATCH(D95, Catalogos!$V$4:$V$100, 0)), ""))</f>
        <v/>
      </c>
      <c r="F95" s="2998">
        <f>IF(D95="","", IFERROR(INDEX(Catalogos!$Y$4:$Y$100, MATCH(D95, Catalogos!$V$4:$V$100, 0)), ""))</f>
        <v/>
      </c>
      <c r="G95" s="2999" t="n">
        <v>2</v>
      </c>
      <c r="H95" s="3000" t="n"/>
      <c r="I95">
        <f>IF(E95="","", G95 * IFERROR(INDEX(Maquinaria_Inventario!$K$2:$K$100, MATCH(E95, Maquinaria_Inventario!$L$2:$L$100, 0)), 0))</f>
        <v/>
      </c>
      <c r="J95">
        <f>IF(B95="","", _xludf.WEEKNUM(B95, 2))</f>
        <v/>
      </c>
    </row>
    <row r="96">
      <c r="A96" s="3001">
        <f>IF(D96="","", "HT-" &amp; IFERROR(VLOOKUP(C96, Catalogos!$Z$4:$AA$20, 2, FALSE), "FOL") &amp; "-" &amp; IF(B96="","00", _xludf.WEEKNUM(B96, 2)) &amp; "-" &amp; TEXT(ROW(A93),"000"))</f>
        <v/>
      </c>
      <c r="B96" s="2960" t="n">
        <v>46191</v>
      </c>
      <c r="C96" s="2845" t="inlineStr">
        <is>
          <t>Lerma - Tres Marías</t>
        </is>
      </c>
      <c r="D96" s="2846" t="inlineStr">
        <is>
          <t>PETROLIZADORA    INTERNATIONAL</t>
        </is>
      </c>
      <c r="E96" s="3002">
        <f>IF(D96="","", IFERROR(INDEX(Catalogos!$W$4:$W$100, MATCH(D96, Catalogos!$V$4:$V$100, 0)), ""))</f>
        <v/>
      </c>
      <c r="F96" s="3003">
        <f>IF(D96="","", IFERROR(INDEX(Catalogos!$Y$4:$Y$100, MATCH(D96, Catalogos!$V$4:$V$100, 0)), ""))</f>
        <v/>
      </c>
      <c r="G96" s="3004" t="n">
        <v>4</v>
      </c>
      <c r="H96" s="3005" t="n"/>
      <c r="I96">
        <f>IF(E96="","", G96 * IFERROR(INDEX(Maquinaria_Inventario!$K$2:$K$100, MATCH(E96, Maquinaria_Inventario!$L$2:$L$100, 0)), 0))</f>
        <v/>
      </c>
      <c r="J96">
        <f>IF(B96="","", _xludf.WEEKNUM(B96, 2))</f>
        <v/>
      </c>
    </row>
    <row r="97">
      <c r="A97" s="3006">
        <f>IF(D97="","", "HT-" &amp; IFERROR(VLOOKUP(C97, Catalogos!$Z$4:$AA$20, 2, FALSE), "FOL") &amp; "-" &amp; IF(B97="","00", _xludf.WEEKNUM(B97, 2)) &amp; "-" &amp; TEXT(ROW(A94),"000"))</f>
        <v/>
      </c>
      <c r="B97" s="2960" t="n">
        <v>46191</v>
      </c>
      <c r="C97" s="2852" t="inlineStr">
        <is>
          <t>Lerma - Tres Marías</t>
        </is>
      </c>
      <c r="D97" s="2853" t="inlineStr">
        <is>
          <t>PIPA DE AGUA (IMPACTO 01) FORD</t>
        </is>
      </c>
      <c r="E97" s="3007">
        <f>IF(D97="","", IFERROR(INDEX(Catalogos!$W$4:$W$100, MATCH(D97, Catalogos!$V$4:$V$100, 0)), ""))</f>
        <v/>
      </c>
      <c r="F97" s="3008">
        <f>IF(D97="","", IFERROR(INDEX(Catalogos!$Y$4:$Y$100, MATCH(D97, Catalogos!$V$4:$V$100, 0)), ""))</f>
        <v/>
      </c>
      <c r="G97" s="3009" t="n">
        <v>4</v>
      </c>
      <c r="H97" s="3010" t="n"/>
      <c r="I97">
        <f>IF(E97="","", G97 * IFERROR(INDEX(Maquinaria_Inventario!$K$2:$K$100, MATCH(E97, Maquinaria_Inventario!$L$2:$L$100, 0)), 0))</f>
        <v/>
      </c>
      <c r="J97">
        <f>IF(B97="","", _xludf.WEEKNUM(B97, 2))</f>
        <v/>
      </c>
    </row>
    <row r="98">
      <c r="A98" s="3012">
        <f>IF(D98="","", "HT-" &amp; IFERROR(VLOOKUP(C98, Catalogos!$Z$4:$AA$20, 2, FALSE), "FOL") &amp; "-" &amp; IF(B98="","00", _xludf.WEEKNUM(B98, 2)) &amp; "-" &amp; TEXT(ROW(A95),"000"))</f>
        <v/>
      </c>
      <c r="B98" s="3011" t="n">
        <v>46192</v>
      </c>
      <c r="C98" s="2789" t="inlineStr">
        <is>
          <t>Lerma - Tres Marías</t>
        </is>
      </c>
      <c r="D98" s="2790" t="inlineStr">
        <is>
          <t>PERFILADORA RODATEC RX600-4-4008</t>
        </is>
      </c>
      <c r="E98" s="3013">
        <f>IF(D98="","", IFERROR(INDEX(Catalogos!$W$4:$W$100, MATCH(D98, Catalogos!$V$4:$V$100, 0)), ""))</f>
        <v/>
      </c>
      <c r="F98" s="3014">
        <f>IF(D98="","", IFERROR(INDEX(Catalogos!$Y$4:$Y$100, MATCH(D98, Catalogos!$V$4:$V$100, 0)), ""))</f>
        <v/>
      </c>
      <c r="G98" s="3015" t="n">
        <v>2</v>
      </c>
      <c r="H98" s="3016" t="n"/>
      <c r="I98">
        <f>IF(E98="","", G98 * IFERROR(INDEX(Maquinaria_Inventario!$K$2:$K$100, MATCH(E98, Maquinaria_Inventario!$L$2:$L$100, 0)), 0))</f>
        <v/>
      </c>
      <c r="J98">
        <f>IF(B98="","", _xludf.WEEKNUM(B98, 2))</f>
        <v/>
      </c>
    </row>
    <row r="99">
      <c r="A99" s="3017">
        <f>IF(D99="","", "HT-" &amp; IFERROR(VLOOKUP(C99, Catalogos!$Z$4:$AA$20, 2, FALSE), "FOL") &amp; "-" &amp; IF(B99="","00", _xludf.WEEKNUM(B99, 2)) &amp; "-" &amp; TEXT(ROW(A96),"000"))</f>
        <v/>
      </c>
      <c r="B99" s="3011" t="n">
        <v>46192</v>
      </c>
      <c r="C99" s="2796" t="inlineStr">
        <is>
          <t>Lerma - Tres Marías</t>
        </is>
      </c>
      <c r="D99" s="2797" t="inlineStr">
        <is>
          <t>BARREDORA BROCE BROOM KR350</t>
        </is>
      </c>
      <c r="E99" s="3018">
        <f>IF(D99="","", IFERROR(INDEX(Catalogos!$W$4:$W$100, MATCH(D99, Catalogos!$V$4:$V$100, 0)), ""))</f>
        <v/>
      </c>
      <c r="F99" s="3019">
        <f>IF(D99="","", IFERROR(INDEX(Catalogos!$Y$4:$Y$100, MATCH(D99, Catalogos!$V$4:$V$100, 0)), ""))</f>
        <v/>
      </c>
      <c r="G99" s="3020" t="n">
        <v>2</v>
      </c>
      <c r="H99" s="3021" t="n"/>
      <c r="I99">
        <f>IF(E99="","", G99 * IFERROR(INDEX(Maquinaria_Inventario!$K$2:$K$100, MATCH(E99, Maquinaria_Inventario!$L$2:$L$100, 0)), 0))</f>
        <v/>
      </c>
      <c r="J99">
        <f>IF(B99="","", _xludf.WEEKNUM(B99, 2))</f>
        <v/>
      </c>
    </row>
    <row r="100">
      <c r="A100" s="3022">
        <f>IF(D100="","", "HT-" &amp; IFERROR(VLOOKUP(C100, Catalogos!$Z$4:$AA$20, 2, FALSE), "FOL") &amp; "-" &amp; IF(B100="","00", _xludf.WEEKNUM(B100, 2)) &amp; "-" &amp; TEXT(ROW(A97),"000"))</f>
        <v/>
      </c>
      <c r="B100" s="3011" t="n">
        <v>46192</v>
      </c>
      <c r="C100" s="2803" t="inlineStr">
        <is>
          <t>Lerma - Tres Marías</t>
        </is>
      </c>
      <c r="D100" s="2804" t="inlineStr">
        <is>
          <t>RETROEXCAVADORA CASE 580 N</t>
        </is>
      </c>
      <c r="E100" s="3023">
        <f>IF(D100="","", IFERROR(INDEX(Catalogos!$W$4:$W$100, MATCH(D100, Catalogos!$V$4:$V$100, 0)), ""))</f>
        <v/>
      </c>
      <c r="F100" s="3024">
        <f>IF(D100="","", IFERROR(INDEX(Catalogos!$Y$4:$Y$100, MATCH(D100, Catalogos!$V$4:$V$100, 0)), ""))</f>
        <v/>
      </c>
      <c r="G100" s="3025" t="n">
        <v>2</v>
      </c>
      <c r="H100" s="3026" t="n"/>
      <c r="I100">
        <f>IF(E100="","", G100 * IFERROR(INDEX(Maquinaria_Inventario!$K$2:$K$100, MATCH(E100, Maquinaria_Inventario!$L$2:$L$100, 0)), 0))</f>
        <v/>
      </c>
      <c r="J100">
        <f>IF(B100="","", _xludf.WEEKNUM(B100, 2))</f>
        <v/>
      </c>
    </row>
    <row r="101">
      <c r="A101" s="3027">
        <f>IF(D101="","", "HT-" &amp; IFERROR(VLOOKUP(C101, Catalogos!$Z$4:$AA$20, 2, FALSE), "FOL") &amp; "-" &amp; IF(B101="","00", _xludf.WEEKNUM(B101, 2)) &amp; "-" &amp; TEXT(ROW(A98),"000"))</f>
        <v/>
      </c>
      <c r="B101" s="3011" t="n">
        <v>46192</v>
      </c>
      <c r="C101" s="2810" t="inlineStr">
        <is>
          <t>Lerma - Tres Marías</t>
        </is>
      </c>
      <c r="D101" s="2811" t="inlineStr">
        <is>
          <t>PAVIMENTADORA  VOGELE 1800-2 SJ</t>
        </is>
      </c>
      <c r="E101" s="3028">
        <f>IF(D101="","", IFERROR(INDEX(Catalogos!$W$4:$W$100, MATCH(D101, Catalogos!$V$4:$V$100, 0)), ""))</f>
        <v/>
      </c>
      <c r="F101" s="3029">
        <f>IF(D101="","", IFERROR(INDEX(Catalogos!$Y$4:$Y$100, MATCH(D101, Catalogos!$V$4:$V$100, 0)), ""))</f>
        <v/>
      </c>
      <c r="G101" s="3030" t="n">
        <v>2</v>
      </c>
      <c r="H101" s="3031" t="n"/>
      <c r="I101">
        <f>IF(E101="","", G101 * IFERROR(INDEX(Maquinaria_Inventario!$K$2:$K$100, MATCH(E101, Maquinaria_Inventario!$L$2:$L$100, 0)), 0))</f>
        <v/>
      </c>
      <c r="J101">
        <f>IF(B101="","", _xludf.WEEKNUM(B101, 2))</f>
        <v/>
      </c>
    </row>
    <row r="102">
      <c r="A102" s="3032">
        <f>IF(D102="","", "HT-" &amp; IFERROR(VLOOKUP(C102, Catalogos!$Z$4:$AA$20, 2, FALSE), "FOL") &amp; "-" &amp; IF(B102="","00", _xludf.WEEKNUM(B102, 2)) &amp; "-" &amp; TEXT(ROW(A99),"000"))</f>
        <v/>
      </c>
      <c r="B102" s="3011" t="n">
        <v>46192</v>
      </c>
      <c r="C102" s="2817" t="inlineStr">
        <is>
          <t>Lerma - Tres Marías</t>
        </is>
      </c>
      <c r="D102" s="2818" t="inlineStr">
        <is>
          <t>DOBLE RODILLO/VIBROCOMPACTADOR DE RODILLOS HAMM 120HD VV</t>
        </is>
      </c>
      <c r="E102" s="3033">
        <f>IF(D102="","", IFERROR(INDEX(Catalogos!$W$4:$W$100, MATCH(D102, Catalogos!$V$4:$V$100, 0)), ""))</f>
        <v/>
      </c>
      <c r="F102" s="3034">
        <f>IF(D102="","", IFERROR(INDEX(Catalogos!$Y$4:$Y$100, MATCH(D102, Catalogos!$V$4:$V$100, 0)), ""))</f>
        <v/>
      </c>
      <c r="G102" s="3035" t="n">
        <v>2</v>
      </c>
      <c r="H102" s="3036" t="n"/>
      <c r="I102">
        <f>IF(E102="","", G102 * IFERROR(INDEX(Maquinaria_Inventario!$K$2:$K$100, MATCH(E102, Maquinaria_Inventario!$L$2:$L$100, 0)), 0))</f>
        <v/>
      </c>
      <c r="J102">
        <f>IF(B102="","", _xludf.WEEKNUM(B102, 2))</f>
        <v/>
      </c>
    </row>
    <row r="103">
      <c r="A103" s="3037">
        <f>IF(D103="","", "HT-" &amp; IFERROR(VLOOKUP(C103, Catalogos!$Z$4:$AA$20, 2, FALSE), "FOL") &amp; "-" &amp; IF(B103="","00", _xludf.WEEKNUM(B103, 2)) &amp; "-" &amp; TEXT(ROW(A100),"000"))</f>
        <v/>
      </c>
      <c r="B103" s="3011" t="n">
        <v>46192</v>
      </c>
      <c r="C103" s="2824" t="inlineStr">
        <is>
          <t>Lerma - Tres Marías</t>
        </is>
      </c>
      <c r="D103" s="2825" t="inlineStr">
        <is>
          <t>NEUMATICO / COMPACTADOR DE NEUMATICOS DINAPAC CP271</t>
        </is>
      </c>
      <c r="E103" s="3038">
        <f>IF(D103="","", IFERROR(INDEX(Catalogos!$W$4:$W$100, MATCH(D103, Catalogos!$V$4:$V$100, 0)), ""))</f>
        <v/>
      </c>
      <c r="F103" s="3039">
        <f>IF(D103="","", IFERROR(INDEX(Catalogos!$Y$4:$Y$100, MATCH(D103, Catalogos!$V$4:$V$100, 0)), ""))</f>
        <v/>
      </c>
      <c r="G103" s="3040" t="n">
        <v>2</v>
      </c>
      <c r="H103" s="3041" t="n"/>
      <c r="I103">
        <f>IF(E103="","", G103 * IFERROR(INDEX(Maquinaria_Inventario!$K$2:$K$100, MATCH(E103, Maquinaria_Inventario!$L$2:$L$100, 0)), 0))</f>
        <v/>
      </c>
      <c r="J103">
        <f>IF(B103="","", _xludf.WEEKNUM(B103, 2))</f>
        <v/>
      </c>
    </row>
    <row r="104">
      <c r="A104" s="3042">
        <f>IF(D104="","", "HT-" &amp; IFERROR(VLOOKUP(C104, Catalogos!$Z$4:$AA$20, 2, FALSE), "FOL") &amp; "-" &amp; IF(B104="","00", _xludf.WEEKNUM(B104, 2)) &amp; "-" &amp; TEXT(ROW(A101),"000"))</f>
        <v/>
      </c>
      <c r="B104" s="3011" t="n">
        <v>46192</v>
      </c>
      <c r="C104" s="2831" t="inlineStr">
        <is>
          <t>Lerma - Tres Marías</t>
        </is>
      </c>
      <c r="D104" s="2832" t="inlineStr">
        <is>
          <t>IMPACTO FORD 4300</t>
        </is>
      </c>
      <c r="E104" s="3043">
        <f>IF(D104="","", IFERROR(INDEX(Catalogos!$W$4:$W$100, MATCH(D104, Catalogos!$V$4:$V$100, 0)), ""))</f>
        <v/>
      </c>
      <c r="F104" s="3044">
        <f>IF(D104="","", IFERROR(INDEX(Catalogos!$Y$4:$Y$100, MATCH(D104, Catalogos!$V$4:$V$100, 0)), ""))</f>
        <v/>
      </c>
      <c r="G104" s="3045" t="n">
        <v>4</v>
      </c>
      <c r="H104" s="3046" t="n"/>
      <c r="I104">
        <f>IF(E104="","", G104 * IFERROR(INDEX(Maquinaria_Inventario!$K$2:$K$100, MATCH(E104, Maquinaria_Inventario!$L$2:$L$100, 0)), 0))</f>
        <v/>
      </c>
      <c r="J104">
        <f>IF(B104="","", _xludf.WEEKNUM(B104, 2))</f>
        <v/>
      </c>
    </row>
    <row r="105">
      <c r="A105" s="3047">
        <f>IF(D105="","", "HT-" &amp; IFERROR(VLOOKUP(C105, Catalogos!$Z$4:$AA$20, 2, FALSE), "FOL") &amp; "-" &amp; IF(B105="","00", _xludf.WEEKNUM(B105, 2)) &amp; "-" &amp; TEXT(ROW(A102),"000"))</f>
        <v/>
      </c>
      <c r="B105" s="3011" t="n">
        <v>46192</v>
      </c>
      <c r="C105" s="2838" t="inlineStr">
        <is>
          <t>Lerma - Tres Marías</t>
        </is>
      </c>
      <c r="D105" s="2839" t="inlineStr">
        <is>
          <t>COMPRESOR  SULLIVAN PALATEK D2010</t>
        </is>
      </c>
      <c r="E105" s="3048">
        <f>IF(D105="","", IFERROR(INDEX(Catalogos!$W$4:$W$100, MATCH(D105, Catalogos!$V$4:$V$100, 0)), ""))</f>
        <v/>
      </c>
      <c r="F105" s="3049">
        <f>IF(D105="","", IFERROR(INDEX(Catalogos!$Y$4:$Y$100, MATCH(D105, Catalogos!$V$4:$V$100, 0)), ""))</f>
        <v/>
      </c>
      <c r="G105" s="3050" t="n">
        <v>1</v>
      </c>
      <c r="H105" s="3051" t="n"/>
      <c r="I105">
        <f>IF(E105="","", G105 * IFERROR(INDEX(Maquinaria_Inventario!$K$2:$K$100, MATCH(E105, Maquinaria_Inventario!$L$2:$L$100, 0)), 0))</f>
        <v/>
      </c>
      <c r="J105">
        <f>IF(B105="","", _xludf.WEEKNUM(B105, 2))</f>
        <v/>
      </c>
    </row>
    <row r="106">
      <c r="A106" s="3052">
        <f>IF(D106="","", "HT-" &amp; IFERROR(VLOOKUP(C106, Catalogos!$Z$4:$AA$20, 2, FALSE), "FOL") &amp; "-" &amp; IF(B106="","00", _xludf.WEEKNUM(B106, 2)) &amp; "-" &amp; TEXT(ROW(A103),"000"))</f>
        <v/>
      </c>
      <c r="B106" s="3011" t="n">
        <v>46192</v>
      </c>
      <c r="C106" s="2845" t="inlineStr">
        <is>
          <t>Lerma - Tres Marías</t>
        </is>
      </c>
      <c r="D106" s="2846" t="inlineStr">
        <is>
          <t>PETROLIZADORA    INTERNATIONAL</t>
        </is>
      </c>
      <c r="E106" s="3053">
        <f>IF(D106="","", IFERROR(INDEX(Catalogos!$W$4:$W$100, MATCH(D106, Catalogos!$V$4:$V$100, 0)), ""))</f>
        <v/>
      </c>
      <c r="F106" s="3054">
        <f>IF(D106="","", IFERROR(INDEX(Catalogos!$Y$4:$Y$100, MATCH(D106, Catalogos!$V$4:$V$100, 0)), ""))</f>
        <v/>
      </c>
      <c r="G106" s="3055" t="n">
        <v>4</v>
      </c>
      <c r="H106" s="3056" t="n"/>
      <c r="I106">
        <f>IF(E106="","", G106 * IFERROR(INDEX(Maquinaria_Inventario!$K$2:$K$100, MATCH(E106, Maquinaria_Inventario!$L$2:$L$100, 0)), 0))</f>
        <v/>
      </c>
      <c r="J106">
        <f>IF(B106="","", _xludf.WEEKNUM(B106, 2))</f>
        <v/>
      </c>
    </row>
    <row r="107">
      <c r="A107" s="3057">
        <f>IF(D107="","", "HT-" &amp; IFERROR(VLOOKUP(C107, Catalogos!$Z$4:$AA$20, 2, FALSE), "FOL") &amp; "-" &amp; IF(B107="","00", _xludf.WEEKNUM(B107, 2)) &amp; "-" &amp; TEXT(ROW(A104),"000"))</f>
        <v/>
      </c>
      <c r="B107" s="3011" t="n">
        <v>46192</v>
      </c>
      <c r="C107" s="2852" t="inlineStr">
        <is>
          <t>Lerma - Tres Marías</t>
        </is>
      </c>
      <c r="D107" s="2853" t="inlineStr">
        <is>
          <t>PIPA DE AGUA (IMPACTO 01) FORD</t>
        </is>
      </c>
      <c r="E107" s="3058">
        <f>IF(D107="","", IFERROR(INDEX(Catalogos!$W$4:$W$100, MATCH(D107, Catalogos!$V$4:$V$100, 0)), ""))</f>
        <v/>
      </c>
      <c r="F107" s="3059">
        <f>IF(D107="","", IFERROR(INDEX(Catalogos!$Y$4:$Y$100, MATCH(D107, Catalogos!$V$4:$V$100, 0)), ""))</f>
        <v/>
      </c>
      <c r="G107" s="3060" t="n">
        <v>4</v>
      </c>
      <c r="H107" s="3061" t="n"/>
      <c r="I107">
        <f>IF(E107="","", G107 * IFERROR(INDEX(Maquinaria_Inventario!$K$2:$K$100, MATCH(E107, Maquinaria_Inventario!$L$2:$L$100, 0)), 0))</f>
        <v/>
      </c>
      <c r="J107">
        <f>IF(B107="","", _xludf.WEEKNUM(B107, 2))</f>
        <v/>
      </c>
    </row>
    <row r="108">
      <c r="A108" s="3063">
        <f>IF(D108="","", "HT-" &amp; IFERROR(VLOOKUP(C108, Catalogos!$Z$4:$AA$20, 2, FALSE), "FOL") &amp; "-" &amp; IF(B108="","00", _xludf.WEEKNUM(B108, 2)) &amp; "-" &amp; TEXT(ROW(A105),"000"))</f>
        <v/>
      </c>
      <c r="B108" s="3062" t="n"/>
      <c r="C108" s="3064" t="n"/>
      <c r="D108" s="3065" t="n"/>
      <c r="E108" s="3066">
        <f>IF(D108="","", IFERROR(INDEX(Catalogos!$W$4:$W$100, MATCH(D108, Catalogos!$V$4:$V$100, 0)), ""))</f>
        <v/>
      </c>
      <c r="F108" s="3067">
        <f>IF(D108="","", IFERROR(INDEX(Catalogos!$Y$4:$Y$100, MATCH(D108, Catalogos!$V$4:$V$100, 0)), ""))</f>
        <v/>
      </c>
      <c r="G108" s="3068" t="n"/>
      <c r="H108" s="3069" t="n"/>
      <c r="I108">
        <f>IF(E108="","", G108 * IFERROR(INDEX(Maquinaria_Inventario!$K$2:$K$100, MATCH(E108, Maquinaria_Inventario!$L$2:$L$100, 0)), 0))</f>
        <v/>
      </c>
      <c r="J108">
        <f>IF(B108="","", _xludf.WEEKNUM(B108, 2))</f>
        <v/>
      </c>
    </row>
    <row r="109">
      <c r="A109" s="3071">
        <f>IF(D109="","", "HT-" &amp; IFERROR(VLOOKUP(C109, Catalogos!$Z$4:$AA$20, 2, FALSE), "FOL") &amp; "-" &amp; IF(B109="","00", _xludf.WEEKNUM(B109, 2)) &amp; "-" &amp; TEXT(ROW(A106),"000"))</f>
        <v/>
      </c>
      <c r="B109" s="3070" t="n"/>
      <c r="C109" s="3072" t="n"/>
      <c r="D109" s="3073" t="n"/>
      <c r="E109" s="3074">
        <f>IF(D109="","", IFERROR(INDEX(Catalogos!$W$4:$W$100, MATCH(D109, Catalogos!$V$4:$V$100, 0)), ""))</f>
        <v/>
      </c>
      <c r="F109" s="3075">
        <f>IF(D109="","", IFERROR(INDEX(Catalogos!$Y$4:$Y$100, MATCH(D109, Catalogos!$V$4:$V$100, 0)), ""))</f>
        <v/>
      </c>
      <c r="G109" s="3076" t="n"/>
      <c r="H109" s="3077" t="n"/>
      <c r="I109">
        <f>IF(E109="","", G109 * IFERROR(INDEX(Maquinaria_Inventario!$K$2:$K$100, MATCH(E109, Maquinaria_Inventario!$L$2:$L$100, 0)), 0))</f>
        <v/>
      </c>
      <c r="J109">
        <f>IF(B109="","", _xludf.WEEKNUM(B109, 2))</f>
        <v/>
      </c>
    </row>
    <row r="110">
      <c r="A110" s="3079">
        <f>IF(D110="","", "HT-" &amp; IFERROR(VLOOKUP(C110, Catalogos!$Z$4:$AA$20, 2, FALSE), "FOL") &amp; "-" &amp; IF(B110="","00", _xludf.WEEKNUM(B110, 2)) &amp; "-" &amp; TEXT(ROW(A107),"000"))</f>
        <v/>
      </c>
      <c r="B110" s="3078" t="n"/>
      <c r="C110" s="3080" t="n"/>
      <c r="D110" s="3081" t="n"/>
      <c r="E110" s="3082">
        <f>IF(D110="","", IFERROR(INDEX(Catalogos!$W$4:$W$100, MATCH(D110, Catalogos!$V$4:$V$100, 0)), ""))</f>
        <v/>
      </c>
      <c r="F110" s="3083">
        <f>IF(D110="","", IFERROR(INDEX(Catalogos!$Y$4:$Y$100, MATCH(D110, Catalogos!$V$4:$V$100, 0)), ""))</f>
        <v/>
      </c>
      <c r="G110" s="3084" t="n"/>
      <c r="H110" s="3085" t="n"/>
      <c r="I110">
        <f>IF(E110="","", G110 * IFERROR(INDEX(Maquinaria_Inventario!$K$2:$K$100, MATCH(E110, Maquinaria_Inventario!$L$2:$L$100, 0)), 0))</f>
        <v/>
      </c>
      <c r="J110">
        <f>IF(B110="","", _xludf.WEEKNUM(B110, 2))</f>
        <v/>
      </c>
    </row>
    <row r="111">
      <c r="A111" s="3087">
        <f>IF(D111="","", "HT-" &amp; IFERROR(VLOOKUP(C111, Catalogos!$Z$4:$AA$20, 2, FALSE), "FOL") &amp; "-" &amp; IF(B111="","00", _xludf.WEEKNUM(B111, 2)) &amp; "-" &amp; TEXT(ROW(A108),"000"))</f>
        <v/>
      </c>
      <c r="B111" s="3086" t="n"/>
      <c r="C111" s="3088" t="n"/>
      <c r="D111" s="3089" t="n"/>
      <c r="E111" s="3090">
        <f>IF(D111="","", IFERROR(INDEX(Catalogos!$W$4:$W$100, MATCH(D111, Catalogos!$V$4:$V$100, 0)), ""))</f>
        <v/>
      </c>
      <c r="F111" s="3091">
        <f>IF(D111="","", IFERROR(INDEX(Catalogos!$Y$4:$Y$100, MATCH(D111, Catalogos!$V$4:$V$100, 0)), ""))</f>
        <v/>
      </c>
      <c r="G111" s="3092" t="n"/>
      <c r="H111" s="3093" t="n"/>
      <c r="I111">
        <f>IF(E111="","", G111 * IFERROR(INDEX(Maquinaria_Inventario!$K$2:$K$100, MATCH(E111, Maquinaria_Inventario!$L$2:$L$100, 0)), 0))</f>
        <v/>
      </c>
      <c r="J111">
        <f>IF(B111="","", _xludf.WEEKNUM(B111, 2))</f>
        <v/>
      </c>
    </row>
    <row r="112">
      <c r="A112" s="3095">
        <f>IF(D112="","", "HT-" &amp; IFERROR(VLOOKUP(C112, Catalogos!$Z$4:$AA$20, 2, FALSE), "FOL") &amp; "-" &amp; IF(B112="","00", _xludf.WEEKNUM(B112, 2)) &amp; "-" &amp; TEXT(ROW(A109),"000"))</f>
        <v/>
      </c>
      <c r="B112" s="3094" t="n"/>
      <c r="C112" s="3096" t="n"/>
      <c r="D112" s="3097" t="n"/>
      <c r="E112" s="3098">
        <f>IF(D112="","", IFERROR(INDEX(Catalogos!$W$4:$W$100, MATCH(D112, Catalogos!$V$4:$V$100, 0)), ""))</f>
        <v/>
      </c>
      <c r="F112" s="3099">
        <f>IF(D112="","", IFERROR(INDEX(Catalogos!$Y$4:$Y$100, MATCH(D112, Catalogos!$V$4:$V$100, 0)), ""))</f>
        <v/>
      </c>
      <c r="G112" s="3100" t="n"/>
      <c r="H112" s="3101" t="n"/>
      <c r="I112">
        <f>IF(E112="","", G112 * IFERROR(INDEX(Maquinaria_Inventario!$K$2:$K$100, MATCH(E112, Maquinaria_Inventario!$L$2:$L$100, 0)), 0))</f>
        <v/>
      </c>
      <c r="J112">
        <f>IF(B112="","", _xludf.WEEKNUM(B112, 2))</f>
        <v/>
      </c>
    </row>
    <row r="113">
      <c r="A113" s="3103">
        <f>IF(D113="","", "HT-" &amp; IFERROR(VLOOKUP(C113, Catalogos!$Z$4:$AA$20, 2, FALSE), "FOL") &amp; "-" &amp; IF(B113="","00", _xludf.WEEKNUM(B113, 2)) &amp; "-" &amp; TEXT(ROW(A110),"000"))</f>
        <v/>
      </c>
      <c r="B113" s="3102" t="n"/>
      <c r="C113" s="3104" t="n"/>
      <c r="D113" s="3105" t="n"/>
      <c r="E113" s="3106">
        <f>IF(D113="","", IFERROR(INDEX(Catalogos!$W$4:$W$100, MATCH(D113, Catalogos!$V$4:$V$100, 0)), ""))</f>
        <v/>
      </c>
      <c r="F113" s="3107">
        <f>IF(D113="","", IFERROR(INDEX(Catalogos!$Y$4:$Y$100, MATCH(D113, Catalogos!$V$4:$V$100, 0)), ""))</f>
        <v/>
      </c>
      <c r="G113" s="3108" t="n"/>
      <c r="H113" s="3109" t="n"/>
      <c r="I113">
        <f>IF(E113="","", G113 * IFERROR(INDEX(Maquinaria_Inventario!$K$2:$K$100, MATCH(E113, Maquinaria_Inventario!$L$2:$L$100, 0)), 0))</f>
        <v/>
      </c>
      <c r="J113">
        <f>IF(B113="","", _xludf.WEEKNUM(B113, 2))</f>
        <v/>
      </c>
    </row>
    <row r="114">
      <c r="A114" s="3111">
        <f>IF(D114="","", "HT-" &amp; IFERROR(VLOOKUP(C114, Catalogos!$Z$4:$AA$20, 2, FALSE), "FOL") &amp; "-" &amp; IF(B114="","00", _xludf.WEEKNUM(B114, 2)) &amp; "-" &amp; TEXT(ROW(A111),"000"))</f>
        <v/>
      </c>
      <c r="B114" s="3110" t="n"/>
      <c r="C114" s="3112" t="n"/>
      <c r="D114" s="3113" t="n"/>
      <c r="E114" s="3114">
        <f>IF(D114="","", IFERROR(INDEX(Catalogos!$W$4:$W$100, MATCH(D114, Catalogos!$V$4:$V$100, 0)), ""))</f>
        <v/>
      </c>
      <c r="F114" s="3115">
        <f>IF(D114="","", IFERROR(INDEX(Catalogos!$Y$4:$Y$100, MATCH(D114, Catalogos!$V$4:$V$100, 0)), ""))</f>
        <v/>
      </c>
      <c r="G114" s="3116" t="n"/>
      <c r="H114" s="3117" t="n"/>
      <c r="I114">
        <f>IF(E114="","", G114 * IFERROR(INDEX(Maquinaria_Inventario!$K$2:$K$100, MATCH(E114, Maquinaria_Inventario!$L$2:$L$100, 0)), 0))</f>
        <v/>
      </c>
      <c r="J114">
        <f>IF(B114="","", _xludf.WEEKNUM(B114, 2))</f>
        <v/>
      </c>
    </row>
    <row r="115">
      <c r="A115" s="3119">
        <f>IF(D115="","", "HT-" &amp; IFERROR(VLOOKUP(C115, Catalogos!$Z$4:$AA$20, 2, FALSE), "FOL") &amp; "-" &amp; IF(B115="","00", _xludf.WEEKNUM(B115, 2)) &amp; "-" &amp; TEXT(ROW(A112),"000"))</f>
        <v/>
      </c>
      <c r="B115" s="3118" t="n"/>
      <c r="C115" s="3120" t="n"/>
      <c r="D115" s="3121" t="n"/>
      <c r="E115" s="3122">
        <f>IF(D115="","", IFERROR(INDEX(Catalogos!$W$4:$W$100, MATCH(D115, Catalogos!$V$4:$V$100, 0)), ""))</f>
        <v/>
      </c>
      <c r="F115" s="3123">
        <f>IF(D115="","", IFERROR(INDEX(Catalogos!$Y$4:$Y$100, MATCH(D115, Catalogos!$V$4:$V$100, 0)), ""))</f>
        <v/>
      </c>
      <c r="G115" s="3124" t="n"/>
      <c r="H115" s="3125" t="n"/>
      <c r="I115">
        <f>IF(E115="","", G115 * IFERROR(INDEX(Maquinaria_Inventario!$K$2:$K$100, MATCH(E115, Maquinaria_Inventario!$L$2:$L$100, 0)), 0))</f>
        <v/>
      </c>
      <c r="J115">
        <f>IF(B115="","", _xludf.WEEKNUM(B115, 2))</f>
        <v/>
      </c>
    </row>
    <row r="116">
      <c r="A116" s="3127">
        <f>IF(D116="","", "HT-" &amp; IFERROR(VLOOKUP(C116, Catalogos!$Z$4:$AA$20, 2, FALSE), "FOL") &amp; "-" &amp; IF(B116="","00", _xludf.WEEKNUM(B116, 2)) &amp; "-" &amp; TEXT(ROW(A113),"000"))</f>
        <v/>
      </c>
      <c r="B116" s="3126" t="n"/>
      <c r="C116" s="3128" t="n"/>
      <c r="D116" s="3129" t="n"/>
      <c r="E116" s="3130">
        <f>IF(D116="","", IFERROR(INDEX(Catalogos!$W$4:$W$100, MATCH(D116, Catalogos!$V$4:$V$100, 0)), ""))</f>
        <v/>
      </c>
      <c r="F116" s="3131">
        <f>IF(D116="","", IFERROR(INDEX(Catalogos!$Y$4:$Y$100, MATCH(D116, Catalogos!$V$4:$V$100, 0)), ""))</f>
        <v/>
      </c>
      <c r="G116" s="3132" t="n"/>
      <c r="H116" s="3133" t="n"/>
      <c r="I116">
        <f>IF(E116="","", G116 * IFERROR(INDEX(Maquinaria_Inventario!$K$2:$K$100, MATCH(E116, Maquinaria_Inventario!$L$2:$L$100, 0)), 0))</f>
        <v/>
      </c>
      <c r="J116">
        <f>IF(B116="","", _xludf.WEEKNUM(B116, 2))</f>
        <v/>
      </c>
    </row>
    <row r="117">
      <c r="A117" s="3135">
        <f>IF(D117="","", "HT-" &amp; IFERROR(VLOOKUP(C117, Catalogos!$Z$4:$AA$20, 2, FALSE), "FOL") &amp; "-" &amp; IF(B117="","00", _xludf.WEEKNUM(B117, 2)) &amp; "-" &amp; TEXT(ROW(A114),"000"))</f>
        <v/>
      </c>
      <c r="B117" s="3134" t="n"/>
      <c r="C117" s="3136" t="n"/>
      <c r="D117" s="3137" t="n"/>
      <c r="E117" s="3138">
        <f>IF(D117="","", IFERROR(INDEX(Catalogos!$W$4:$W$100, MATCH(D117, Catalogos!$V$4:$V$100, 0)), ""))</f>
        <v/>
      </c>
      <c r="F117" s="3139">
        <f>IF(D117="","", IFERROR(INDEX(Catalogos!$Y$4:$Y$100, MATCH(D117, Catalogos!$V$4:$V$100, 0)), ""))</f>
        <v/>
      </c>
      <c r="G117" s="3140" t="n"/>
      <c r="H117" s="3141" t="n"/>
      <c r="I117">
        <f>IF(E117="","", G117 * IFERROR(INDEX(Maquinaria_Inventario!$K$2:$K$100, MATCH(E117, Maquinaria_Inventario!$L$2:$L$100, 0)), 0))</f>
        <v/>
      </c>
      <c r="J117">
        <f>IF(B117="","", _xludf.WEEKNUM(B117, 2))</f>
        <v/>
      </c>
    </row>
    <row r="118">
      <c r="A118" s="3143">
        <f>IF(D118="","", "HT-" &amp; IFERROR(VLOOKUP(C118, Catalogos!$Z$4:$AA$20, 2, FALSE), "FOL") &amp; "-" &amp; IF(B118="","00", _xludf.WEEKNUM(B118, 2)) &amp; "-" &amp; TEXT(ROW(A115),"000"))</f>
        <v/>
      </c>
      <c r="B118" s="3142" t="n"/>
      <c r="C118" s="3144" t="n"/>
      <c r="D118" s="3145" t="n"/>
      <c r="E118" s="3146">
        <f>IF(D118="","", IFERROR(INDEX(Catalogos!$W$4:$W$100, MATCH(D118, Catalogos!$V$4:$V$100, 0)), ""))</f>
        <v/>
      </c>
      <c r="F118" s="3147">
        <f>IF(D118="","", IFERROR(INDEX(Catalogos!$Y$4:$Y$100, MATCH(D118, Catalogos!$V$4:$V$100, 0)), ""))</f>
        <v/>
      </c>
      <c r="G118" s="3148" t="n"/>
      <c r="H118" s="3149" t="n"/>
      <c r="I118">
        <f>IF(E118="","", G118 * IFERROR(INDEX(Maquinaria_Inventario!$K$2:$K$100, MATCH(E118, Maquinaria_Inventario!$L$2:$L$100, 0)), 0))</f>
        <v/>
      </c>
      <c r="J118">
        <f>IF(B118="","", _xludf.WEEKNUM(B118, 2))</f>
        <v/>
      </c>
    </row>
    <row r="119">
      <c r="A119" s="3151">
        <f>IF(D119="","", "HT-" &amp; IFERROR(VLOOKUP(C119, Catalogos!$Z$4:$AA$20, 2, FALSE), "FOL") &amp; "-" &amp; IF(B119="","00", _xludf.WEEKNUM(B119, 2)) &amp; "-" &amp; TEXT(ROW(A116),"000"))</f>
        <v/>
      </c>
      <c r="B119" s="3150" t="n"/>
      <c r="C119" s="3152" t="n"/>
      <c r="D119" s="3153" t="n"/>
      <c r="E119" s="3154">
        <f>IF(D119="","", IFERROR(INDEX(Catalogos!$W$4:$W$100, MATCH(D119, Catalogos!$V$4:$V$100, 0)), ""))</f>
        <v/>
      </c>
      <c r="F119" s="3155">
        <f>IF(D119="","", IFERROR(INDEX(Catalogos!$Y$4:$Y$100, MATCH(D119, Catalogos!$V$4:$V$100, 0)), ""))</f>
        <v/>
      </c>
      <c r="G119" s="3156" t="n"/>
      <c r="H119" s="3157" t="n"/>
      <c r="I119">
        <f>IF(E119="","", G119 * IFERROR(INDEX(Maquinaria_Inventario!$K$2:$K$100, MATCH(E119, Maquinaria_Inventario!$L$2:$L$100, 0)), 0))</f>
        <v/>
      </c>
      <c r="J119">
        <f>IF(B119="","", _xludf.WEEKNUM(B119, 2))</f>
        <v/>
      </c>
    </row>
    <row r="120">
      <c r="A120" s="3159">
        <f>IF(D120="","", "HT-" &amp; IFERROR(VLOOKUP(C120, Catalogos!$Z$4:$AA$20, 2, FALSE), "FOL") &amp; "-" &amp; IF(B120="","00", _xludf.WEEKNUM(B120, 2)) &amp; "-" &amp; TEXT(ROW(A117),"000"))</f>
        <v/>
      </c>
      <c r="B120" s="3158" t="n"/>
      <c r="C120" s="3160" t="n"/>
      <c r="D120" s="3161" t="n"/>
      <c r="E120" s="3162">
        <f>IF(D120="","", IFERROR(INDEX(Catalogos!$W$4:$W$100, MATCH(D120, Catalogos!$V$4:$V$100, 0)), ""))</f>
        <v/>
      </c>
      <c r="F120" s="3163">
        <f>IF(D120="","", IFERROR(INDEX(Catalogos!$Y$4:$Y$100, MATCH(D120, Catalogos!$V$4:$V$100, 0)), ""))</f>
        <v/>
      </c>
      <c r="G120" s="3164" t="n"/>
      <c r="H120" s="3165" t="n"/>
      <c r="I120">
        <f>IF(E120="","", G120 * IFERROR(INDEX(Maquinaria_Inventario!$K$2:$K$100, MATCH(E120, Maquinaria_Inventario!$L$2:$L$100, 0)), 0))</f>
        <v/>
      </c>
      <c r="J120">
        <f>IF(B120="","", _xludf.WEEKNUM(B120, 2))</f>
        <v/>
      </c>
    </row>
    <row r="121">
      <c r="A121" s="3167">
        <f>IF(D121="","", "HT-" &amp; IFERROR(VLOOKUP(C121, Catalogos!$Z$4:$AA$20, 2, FALSE), "FOL") &amp; "-" &amp; IF(B121="","00", _xludf.WEEKNUM(B121, 2)) &amp; "-" &amp; TEXT(ROW(A118),"000"))</f>
        <v/>
      </c>
      <c r="B121" s="3166" t="n"/>
      <c r="C121" s="3168" t="n"/>
      <c r="D121" s="3169" t="n"/>
      <c r="E121" s="3170">
        <f>IF(D121="","", IFERROR(INDEX(Catalogos!$W$4:$W$100, MATCH(D121, Catalogos!$V$4:$V$100, 0)), ""))</f>
        <v/>
      </c>
      <c r="F121" s="3171">
        <f>IF(D121="","", IFERROR(INDEX(Catalogos!$Y$4:$Y$100, MATCH(D121, Catalogos!$V$4:$V$100, 0)), ""))</f>
        <v/>
      </c>
      <c r="G121" s="3172" t="n"/>
      <c r="H121" s="3173" t="n"/>
      <c r="I121">
        <f>IF(E121="","", G121 * IFERROR(INDEX(Maquinaria_Inventario!$K$2:$K$100, MATCH(E121, Maquinaria_Inventario!$L$2:$L$100, 0)), 0))</f>
        <v/>
      </c>
      <c r="J121">
        <f>IF(B121="","", _xludf.WEEKNUM(B121, 2))</f>
        <v/>
      </c>
    </row>
    <row r="122">
      <c r="A122" s="3175">
        <f>IF(D122="","", "HT-" &amp; IFERROR(VLOOKUP(C122, Catalogos!$Z$4:$AA$20, 2, FALSE), "FOL") &amp; "-" &amp; IF(B122="","00", _xludf.WEEKNUM(B122, 2)) &amp; "-" &amp; TEXT(ROW(A119),"000"))</f>
        <v/>
      </c>
      <c r="B122" s="3174" t="n"/>
      <c r="C122" s="3176" t="n"/>
      <c r="D122" s="3177" t="n"/>
      <c r="E122" s="3178">
        <f>IF(D122="","", IFERROR(INDEX(Catalogos!$W$4:$W$100, MATCH(D122, Catalogos!$V$4:$V$100, 0)), ""))</f>
        <v/>
      </c>
      <c r="F122" s="3179">
        <f>IF(D122="","", IFERROR(INDEX(Catalogos!$Y$4:$Y$100, MATCH(D122, Catalogos!$V$4:$V$100, 0)), ""))</f>
        <v/>
      </c>
      <c r="G122" s="3180" t="n"/>
      <c r="H122" s="3181" t="n"/>
      <c r="I122">
        <f>IF(E122="","", G122 * IFERROR(INDEX(Maquinaria_Inventario!$K$2:$K$100, MATCH(E122, Maquinaria_Inventario!$L$2:$L$100, 0)), 0))</f>
        <v/>
      </c>
      <c r="J122">
        <f>IF(B122="","", _xludf.WEEKNUM(B122, 2))</f>
        <v/>
      </c>
    </row>
    <row r="123">
      <c r="A123" s="3183">
        <f>IF(D123="","", "HT-" &amp; IFERROR(VLOOKUP(C123, Catalogos!$Z$4:$AA$20, 2, FALSE), "FOL") &amp; "-" &amp; IF(B123="","00", _xludf.WEEKNUM(B123, 2)) &amp; "-" &amp; TEXT(ROW(A120),"000"))</f>
        <v/>
      </c>
      <c r="B123" s="3182" t="n"/>
      <c r="C123" s="3184" t="n"/>
      <c r="D123" s="3185" t="n"/>
      <c r="E123" s="3186">
        <f>IF(D123="","", IFERROR(INDEX(Catalogos!$W$4:$W$100, MATCH(D123, Catalogos!$V$4:$V$100, 0)), ""))</f>
        <v/>
      </c>
      <c r="F123" s="3187">
        <f>IF(D123="","", IFERROR(INDEX(Catalogos!$Y$4:$Y$100, MATCH(D123, Catalogos!$V$4:$V$100, 0)), ""))</f>
        <v/>
      </c>
      <c r="G123" s="3188" t="n"/>
      <c r="H123" s="3189" t="n"/>
      <c r="I123">
        <f>IF(E123="","", G123 * IFERROR(INDEX(Maquinaria_Inventario!$K$2:$K$100, MATCH(E123, Maquinaria_Inventario!$L$2:$L$100, 0)), 0))</f>
        <v/>
      </c>
      <c r="J123">
        <f>IF(B123="","", _xludf.WEEKNUM(B123, 2))</f>
        <v/>
      </c>
    </row>
    <row r="124">
      <c r="A124" s="3191">
        <f>IF(D124="","", "HT-" &amp; IFERROR(VLOOKUP(C124, Catalogos!$Z$4:$AA$20, 2, FALSE), "FOL") &amp; "-" &amp; IF(B124="","00", _xludf.WEEKNUM(B124, 2)) &amp; "-" &amp; TEXT(ROW(A121),"000"))</f>
        <v/>
      </c>
      <c r="B124" s="3190" t="n"/>
      <c r="C124" s="3192" t="n"/>
      <c r="D124" s="3193" t="n"/>
      <c r="E124" s="3194">
        <f>IF(D124="","", IFERROR(INDEX(Catalogos!$W$4:$W$100, MATCH(D124, Catalogos!$V$4:$V$100, 0)), ""))</f>
        <v/>
      </c>
      <c r="F124" s="3195">
        <f>IF(D124="","", IFERROR(INDEX(Catalogos!$Y$4:$Y$100, MATCH(D124, Catalogos!$V$4:$V$100, 0)), ""))</f>
        <v/>
      </c>
      <c r="G124" s="3196" t="n"/>
      <c r="H124" s="3197" t="n"/>
      <c r="I124">
        <f>IF(E124="","", G124 * IFERROR(INDEX(Maquinaria_Inventario!$K$2:$K$100, MATCH(E124, Maquinaria_Inventario!$L$2:$L$100, 0)), 0))</f>
        <v/>
      </c>
      <c r="J124">
        <f>IF(B124="","", _xludf.WEEKNUM(B124, 2))</f>
        <v/>
      </c>
    </row>
    <row r="125">
      <c r="A125" s="3199">
        <f>IF(D125="","", "HT-" &amp; IFERROR(VLOOKUP(C125, Catalogos!$Z$4:$AA$20, 2, FALSE), "FOL") &amp; "-" &amp; IF(B125="","00", _xludf.WEEKNUM(B125, 2)) &amp; "-" &amp; TEXT(ROW(A122),"000"))</f>
        <v/>
      </c>
      <c r="B125" s="3198" t="n"/>
      <c r="C125" s="3200" t="n"/>
      <c r="D125" s="3201" t="n"/>
      <c r="E125" s="3202">
        <f>IF(D125="","", IFERROR(INDEX(Catalogos!$W$4:$W$100, MATCH(D125, Catalogos!$V$4:$V$100, 0)), ""))</f>
        <v/>
      </c>
      <c r="F125" s="3203">
        <f>IF(D125="","", IFERROR(INDEX(Catalogos!$Y$4:$Y$100, MATCH(D125, Catalogos!$V$4:$V$100, 0)), ""))</f>
        <v/>
      </c>
      <c r="G125" s="3204" t="n"/>
      <c r="H125" s="3205" t="n"/>
      <c r="I125">
        <f>IF(E125="","", G125 * IFERROR(INDEX(Maquinaria_Inventario!$K$2:$K$100, MATCH(E125, Maquinaria_Inventario!$L$2:$L$100, 0)), 0))</f>
        <v/>
      </c>
      <c r="J125">
        <f>IF(B125="","", _xludf.WEEKNUM(B125, 2))</f>
        <v/>
      </c>
    </row>
    <row r="126">
      <c r="A126" s="3207">
        <f>IF(D126="","", "HT-" &amp; IFERROR(VLOOKUP(C126, Catalogos!$Z$4:$AA$20, 2, FALSE), "FOL") &amp; "-" &amp; IF(B126="","00", _xludf.WEEKNUM(B126, 2)) &amp; "-" &amp; TEXT(ROW(A123),"000"))</f>
        <v/>
      </c>
      <c r="B126" s="3206" t="n"/>
      <c r="C126" s="3208" t="n"/>
      <c r="D126" s="3209" t="n"/>
      <c r="E126" s="3210">
        <f>IF(D126="","", IFERROR(INDEX(Catalogos!$W$4:$W$100, MATCH(D126, Catalogos!$V$4:$V$100, 0)), ""))</f>
        <v/>
      </c>
      <c r="F126" s="3211">
        <f>IF(D126="","", IFERROR(INDEX(Catalogos!$Y$4:$Y$100, MATCH(D126, Catalogos!$V$4:$V$100, 0)), ""))</f>
        <v/>
      </c>
      <c r="G126" s="3212" t="n"/>
      <c r="H126" s="3213" t="n"/>
      <c r="I126">
        <f>IF(E126="","", G126 * IFERROR(INDEX(Maquinaria_Inventario!$K$2:$K$100, MATCH(E126, Maquinaria_Inventario!$L$2:$L$100, 0)), 0))</f>
        <v/>
      </c>
      <c r="J126">
        <f>IF(B126="","", _xludf.WEEKNUM(B126, 2))</f>
        <v/>
      </c>
    </row>
    <row r="127">
      <c r="A127" s="3215">
        <f>IF(D127="","", "HT-" &amp; IFERROR(VLOOKUP(C127, Catalogos!$Z$4:$AA$20, 2, FALSE), "FOL") &amp; "-" &amp; IF(B127="","00", _xludf.WEEKNUM(B127, 2)) &amp; "-" &amp; TEXT(ROW(A124),"000"))</f>
        <v/>
      </c>
      <c r="B127" s="3214" t="n"/>
      <c r="C127" s="3216" t="n"/>
      <c r="D127" s="3217" t="n"/>
      <c r="E127" s="3218">
        <f>IF(D127="","", IFERROR(INDEX(Catalogos!$W$4:$W$100, MATCH(D127, Catalogos!$V$4:$V$100, 0)), ""))</f>
        <v/>
      </c>
      <c r="F127" s="3219">
        <f>IF(D127="","", IFERROR(INDEX(Catalogos!$Y$4:$Y$100, MATCH(D127, Catalogos!$V$4:$V$100, 0)), ""))</f>
        <v/>
      </c>
      <c r="G127" s="3220" t="n"/>
      <c r="H127" s="3221" t="n"/>
      <c r="I127">
        <f>IF(E127="","", G127 * IFERROR(INDEX(Maquinaria_Inventario!$K$2:$K$100, MATCH(E127, Maquinaria_Inventario!$L$2:$L$100, 0)), 0))</f>
        <v/>
      </c>
      <c r="J127">
        <f>IF(B127="","", _xludf.WEEKNUM(B127, 2))</f>
        <v/>
      </c>
    </row>
    <row r="128">
      <c r="A128" s="3223">
        <f>IF(D128="","", "HT-" &amp; IFERROR(VLOOKUP(C128, Catalogos!$Z$4:$AA$20, 2, FALSE), "FOL") &amp; "-" &amp; IF(B128="","00", _xludf.WEEKNUM(B128, 2)) &amp; "-" &amp; TEXT(ROW(A125),"000"))</f>
        <v/>
      </c>
      <c r="B128" s="3222" t="n"/>
      <c r="C128" s="3224" t="n"/>
      <c r="D128" s="3225" t="n"/>
      <c r="E128" s="3226">
        <f>IF(D128="","", IFERROR(INDEX(Catalogos!$W$4:$W$100, MATCH(D128, Catalogos!$V$4:$V$100, 0)), ""))</f>
        <v/>
      </c>
      <c r="F128" s="3227">
        <f>IF(D128="","", IFERROR(INDEX(Catalogos!$Y$4:$Y$100, MATCH(D128, Catalogos!$V$4:$V$100, 0)), ""))</f>
        <v/>
      </c>
      <c r="G128" s="3228" t="n"/>
      <c r="H128" s="3229" t="n"/>
      <c r="I128">
        <f>IF(E128="","", G128 * IFERROR(INDEX(Maquinaria_Inventario!$K$2:$K$100, MATCH(E128, Maquinaria_Inventario!$L$2:$L$100, 0)), 0))</f>
        <v/>
      </c>
      <c r="J128">
        <f>IF(B128="","", _xludf.WEEKNUM(B128, 2))</f>
        <v/>
      </c>
    </row>
    <row r="129">
      <c r="A129" s="3231">
        <f>IF(D129="","", "HT-" &amp; IFERROR(VLOOKUP(C129, Catalogos!$Z$4:$AA$20, 2, FALSE), "FOL") &amp; "-" &amp; IF(B129="","00", _xludf.WEEKNUM(B129, 2)) &amp; "-" &amp; TEXT(ROW(A126),"000"))</f>
        <v/>
      </c>
      <c r="B129" s="3230" t="n"/>
      <c r="C129" s="3232" t="n"/>
      <c r="D129" s="3233" t="n"/>
      <c r="E129" s="3234">
        <f>IF(D129="","", IFERROR(INDEX(Catalogos!$W$4:$W$100, MATCH(D129, Catalogos!$V$4:$V$100, 0)), ""))</f>
        <v/>
      </c>
      <c r="F129" s="3235">
        <f>IF(D129="","", IFERROR(INDEX(Catalogos!$Y$4:$Y$100, MATCH(D129, Catalogos!$V$4:$V$100, 0)), ""))</f>
        <v/>
      </c>
      <c r="G129" s="3236" t="n"/>
      <c r="H129" s="3237" t="n"/>
      <c r="I129">
        <f>IF(E129="","", G129 * IFERROR(INDEX(Maquinaria_Inventario!$K$2:$K$100, MATCH(E129, Maquinaria_Inventario!$L$2:$L$100, 0)), 0))</f>
        <v/>
      </c>
      <c r="J129">
        <f>IF(B129="","", _xludf.WEEKNUM(B129, 2))</f>
        <v/>
      </c>
    </row>
    <row r="130">
      <c r="A130" s="3239">
        <f>IF(D130="","", "HT-" &amp; IFERROR(VLOOKUP(C130, Catalogos!$Z$4:$AA$20, 2, FALSE), "FOL") &amp; "-" &amp; IF(B130="","00", _xludf.WEEKNUM(B130, 2)) &amp; "-" &amp; TEXT(ROW(A127),"000"))</f>
        <v/>
      </c>
      <c r="B130" s="3238" t="n"/>
      <c r="C130" s="3240" t="n"/>
      <c r="D130" s="3241" t="n"/>
      <c r="E130" s="3242">
        <f>IF(D130="","", IFERROR(INDEX(Catalogos!$W$4:$W$100, MATCH(D130, Catalogos!$V$4:$V$100, 0)), ""))</f>
        <v/>
      </c>
      <c r="F130" s="3243">
        <f>IF(D130="","", IFERROR(INDEX(Catalogos!$Y$4:$Y$100, MATCH(D130, Catalogos!$V$4:$V$100, 0)), ""))</f>
        <v/>
      </c>
      <c r="G130" s="3244" t="n"/>
      <c r="H130" s="3245" t="n"/>
      <c r="I130">
        <f>IF(E130="","", G130 * IFERROR(INDEX(Maquinaria_Inventario!$K$2:$K$100, MATCH(E130, Maquinaria_Inventario!$L$2:$L$100, 0)), 0))</f>
        <v/>
      </c>
      <c r="J130">
        <f>IF(B130="","", _xludf.WEEKNUM(B130, 2))</f>
        <v/>
      </c>
    </row>
    <row r="131">
      <c r="A131" s="3247">
        <f>IF(D131="","", "HT-" &amp; IFERROR(VLOOKUP(C131, Catalogos!$Z$4:$AA$20, 2, FALSE), "FOL") &amp; "-" &amp; IF(B131="","00", _xludf.WEEKNUM(B131, 2)) &amp; "-" &amp; TEXT(ROW(A128),"000"))</f>
        <v/>
      </c>
      <c r="B131" s="3246" t="n"/>
      <c r="C131" s="3248" t="n"/>
      <c r="D131" s="3249" t="n"/>
      <c r="E131" s="3250">
        <f>IF(D131="","", IFERROR(INDEX(Catalogos!$W$4:$W$100, MATCH(D131, Catalogos!$V$4:$V$100, 0)), ""))</f>
        <v/>
      </c>
      <c r="F131" s="3251">
        <f>IF(D131="","", IFERROR(INDEX(Catalogos!$Y$4:$Y$100, MATCH(D131, Catalogos!$V$4:$V$100, 0)), ""))</f>
        <v/>
      </c>
      <c r="G131" s="3252" t="n"/>
      <c r="H131" s="3253" t="n"/>
      <c r="I131">
        <f>IF(E131="","", G131 * IFERROR(INDEX(Maquinaria_Inventario!$K$2:$K$100, MATCH(E131, Maquinaria_Inventario!$L$2:$L$100, 0)), 0))</f>
        <v/>
      </c>
      <c r="J131">
        <f>IF(B131="","", _xludf.WEEKNUM(B131, 2))</f>
        <v/>
      </c>
    </row>
    <row r="132">
      <c r="A132" s="3255">
        <f>IF(D132="","", "HT-" &amp; IFERROR(VLOOKUP(C132, Catalogos!$Z$4:$AA$20, 2, FALSE), "FOL") &amp; "-" &amp; IF(B132="","00", _xludf.WEEKNUM(B132, 2)) &amp; "-" &amp; TEXT(ROW(A129),"000"))</f>
        <v/>
      </c>
      <c r="B132" s="3254" t="n"/>
      <c r="C132" s="3256" t="n"/>
      <c r="D132" s="3257" t="n"/>
      <c r="E132" s="3258">
        <f>IF(D132="","", IFERROR(INDEX(Catalogos!$W$4:$W$100, MATCH(D132, Catalogos!$V$4:$V$100, 0)), ""))</f>
        <v/>
      </c>
      <c r="F132" s="3259">
        <f>IF(D132="","", IFERROR(INDEX(Catalogos!$Y$4:$Y$100, MATCH(D132, Catalogos!$V$4:$V$100, 0)), ""))</f>
        <v/>
      </c>
      <c r="G132" s="3260" t="n"/>
      <c r="H132" s="3261" t="n"/>
      <c r="I132">
        <f>IF(E132="","", G132 * IFERROR(INDEX(Maquinaria_Inventario!$K$2:$K$100, MATCH(E132, Maquinaria_Inventario!$L$2:$L$100, 0)), 0))</f>
        <v/>
      </c>
      <c r="J132">
        <f>IF(B132="","", _xludf.WEEKNUM(B132, 2))</f>
        <v/>
      </c>
    </row>
    <row r="133">
      <c r="A133" s="3263">
        <f>IF(D133="","", "HT-" &amp; IFERROR(VLOOKUP(C133, Catalogos!$Z$4:$AA$20, 2, FALSE), "FOL") &amp; "-" &amp; IF(B133="","00", _xludf.WEEKNUM(B133, 2)) &amp; "-" &amp; TEXT(ROW(A130),"000"))</f>
        <v/>
      </c>
      <c r="B133" s="3262" t="n"/>
      <c r="C133" s="3264" t="n"/>
      <c r="D133" s="3265" t="n"/>
      <c r="E133" s="3266">
        <f>IF(D133="","", IFERROR(INDEX(Catalogos!$W$4:$W$100, MATCH(D133, Catalogos!$V$4:$V$100, 0)), ""))</f>
        <v/>
      </c>
      <c r="F133" s="3267">
        <f>IF(D133="","", IFERROR(INDEX(Catalogos!$Y$4:$Y$100, MATCH(D133, Catalogos!$V$4:$V$100, 0)), ""))</f>
        <v/>
      </c>
      <c r="G133" s="3268" t="n"/>
      <c r="H133" s="3269" t="n"/>
      <c r="I133">
        <f>IF(E133="","", G133 * IFERROR(INDEX(Maquinaria_Inventario!$K$2:$K$100, MATCH(E133, Maquinaria_Inventario!$L$2:$L$100, 0)), 0))</f>
        <v/>
      </c>
      <c r="J133">
        <f>IF(B133="","", _xludf.WEEKNUM(B133, 2))</f>
        <v/>
      </c>
    </row>
    <row r="134">
      <c r="A134" s="3271">
        <f>IF(D134="","", "HT-" &amp; IFERROR(VLOOKUP(C134, Catalogos!$Z$4:$AA$20, 2, FALSE), "FOL") &amp; "-" &amp; IF(B134="","00", _xludf.WEEKNUM(B134, 2)) &amp; "-" &amp; TEXT(ROW(A131),"000"))</f>
        <v/>
      </c>
      <c r="B134" s="3270" t="n"/>
      <c r="C134" s="3272" t="n"/>
      <c r="D134" s="3273" t="n"/>
      <c r="E134" s="3274">
        <f>IF(D134="","", IFERROR(INDEX(Catalogos!$W$4:$W$100, MATCH(D134, Catalogos!$V$4:$V$100, 0)), ""))</f>
        <v/>
      </c>
      <c r="F134" s="3275">
        <f>IF(D134="","", IFERROR(INDEX(Catalogos!$Y$4:$Y$100, MATCH(D134, Catalogos!$V$4:$V$100, 0)), ""))</f>
        <v/>
      </c>
      <c r="G134" s="3276" t="n"/>
      <c r="H134" s="3277" t="n"/>
      <c r="I134">
        <f>IF(E134="","", G134 * IFERROR(INDEX(Maquinaria_Inventario!$K$2:$K$100, MATCH(E134, Maquinaria_Inventario!$L$2:$L$100, 0)), 0))</f>
        <v/>
      </c>
      <c r="J134">
        <f>IF(B134="","", _xludf.WEEKNUM(B134, 2))</f>
        <v/>
      </c>
    </row>
    <row r="135">
      <c r="A135" s="3279">
        <f>IF(D135="","", "HT-" &amp; IFERROR(VLOOKUP(C135, Catalogos!$Z$4:$AA$20, 2, FALSE), "FOL") &amp; "-" &amp; IF(B135="","00", _xludf.WEEKNUM(B135, 2)) &amp; "-" &amp; TEXT(ROW(A132),"000"))</f>
        <v/>
      </c>
      <c r="B135" s="3278" t="n"/>
      <c r="C135" s="3280" t="n"/>
      <c r="D135" s="3281" t="n"/>
      <c r="E135" s="3282">
        <f>IF(D135="","", IFERROR(INDEX(Catalogos!$W$4:$W$100, MATCH(D135, Catalogos!$V$4:$V$100, 0)), ""))</f>
        <v/>
      </c>
      <c r="F135" s="3283">
        <f>IF(D135="","", IFERROR(INDEX(Catalogos!$Y$4:$Y$100, MATCH(D135, Catalogos!$V$4:$V$100, 0)), ""))</f>
        <v/>
      </c>
      <c r="G135" s="3284" t="n"/>
      <c r="H135" s="3285" t="n"/>
      <c r="I135">
        <f>IF(E135="","", G135 * IFERROR(INDEX(Maquinaria_Inventario!$K$2:$K$100, MATCH(E135, Maquinaria_Inventario!$L$2:$L$100, 0)), 0))</f>
        <v/>
      </c>
      <c r="J135">
        <f>IF(B135="","", _xludf.WEEKNUM(B135, 2))</f>
        <v/>
      </c>
    </row>
    <row r="136">
      <c r="A136" s="3287">
        <f>IF(D136="","", "HT-" &amp; IFERROR(VLOOKUP(C136, Catalogos!$Z$4:$AA$20, 2, FALSE), "FOL") &amp; "-" &amp; IF(B136="","00", _xludf.WEEKNUM(B136, 2)) &amp; "-" &amp; TEXT(ROW(A133),"000"))</f>
        <v/>
      </c>
      <c r="B136" s="3286" t="n"/>
      <c r="C136" s="3288" t="n"/>
      <c r="D136" s="3289" t="n"/>
      <c r="E136" s="3290">
        <f>IF(D136="","", IFERROR(INDEX(Catalogos!$W$4:$W$100, MATCH(D136, Catalogos!$V$4:$V$100, 0)), ""))</f>
        <v/>
      </c>
      <c r="F136" s="3291">
        <f>IF(D136="","", IFERROR(INDEX(Catalogos!$Y$4:$Y$100, MATCH(D136, Catalogos!$V$4:$V$100, 0)), ""))</f>
        <v/>
      </c>
      <c r="G136" s="3292" t="n"/>
      <c r="H136" s="3293" t="n"/>
      <c r="I136">
        <f>IF(E136="","", G136 * IFERROR(INDEX(Maquinaria_Inventario!$K$2:$K$100, MATCH(E136, Maquinaria_Inventario!$L$2:$L$100, 0)), 0))</f>
        <v/>
      </c>
      <c r="J136">
        <f>IF(B136="","", _xludf.WEEKNUM(B136, 2))</f>
        <v/>
      </c>
    </row>
    <row r="137">
      <c r="A137" s="3295">
        <f>IF(D137="","", "HT-" &amp; IFERROR(VLOOKUP(C137, Catalogos!$Z$4:$AA$20, 2, FALSE), "FOL") &amp; "-" &amp; IF(B137="","00", _xludf.WEEKNUM(B137, 2)) &amp; "-" &amp; TEXT(ROW(A134),"000"))</f>
        <v/>
      </c>
      <c r="B137" s="3294" t="n"/>
      <c r="C137" s="3296" t="n"/>
      <c r="D137" s="3297" t="n"/>
      <c r="E137" s="3298">
        <f>IF(D137="","", IFERROR(INDEX(Catalogos!$W$4:$W$100, MATCH(D137, Catalogos!$V$4:$V$100, 0)), ""))</f>
        <v/>
      </c>
      <c r="F137" s="3299">
        <f>IF(D137="","", IFERROR(INDEX(Catalogos!$Y$4:$Y$100, MATCH(D137, Catalogos!$V$4:$V$100, 0)), ""))</f>
        <v/>
      </c>
      <c r="G137" s="3300" t="n"/>
      <c r="H137" s="3301" t="n"/>
      <c r="I137">
        <f>IF(E137="","", G137 * IFERROR(INDEX(Maquinaria_Inventario!$K$2:$K$100, MATCH(E137, Maquinaria_Inventario!$L$2:$L$100, 0)), 0))</f>
        <v/>
      </c>
      <c r="J137">
        <f>IF(B137="","", _xludf.WEEKNUM(B137, 2))</f>
        <v/>
      </c>
    </row>
    <row r="138">
      <c r="A138" s="3303">
        <f>IF(D138="","", "HT-" &amp; IFERROR(VLOOKUP(C138, Catalogos!$Z$4:$AA$20, 2, FALSE), "FOL") &amp; "-" &amp; IF(B138="","00", _xludf.WEEKNUM(B138, 2)) &amp; "-" &amp; TEXT(ROW(A135),"000"))</f>
        <v/>
      </c>
      <c r="B138" s="3302" t="n"/>
      <c r="C138" s="3304" t="n"/>
      <c r="D138" s="3305" t="n"/>
      <c r="E138" s="3306">
        <f>IF(D138="","", IFERROR(INDEX(Catalogos!$W$4:$W$100, MATCH(D138, Catalogos!$V$4:$V$100, 0)), ""))</f>
        <v/>
      </c>
      <c r="F138" s="3307">
        <f>IF(D138="","", IFERROR(INDEX(Catalogos!$Y$4:$Y$100, MATCH(D138, Catalogos!$V$4:$V$100, 0)), ""))</f>
        <v/>
      </c>
      <c r="G138" s="3308" t="n"/>
      <c r="H138" s="3309" t="n"/>
      <c r="I138">
        <f>IF(E138="","", G138 * IFERROR(INDEX(Maquinaria_Inventario!$K$2:$K$100, MATCH(E138, Maquinaria_Inventario!$L$2:$L$100, 0)), 0))</f>
        <v/>
      </c>
      <c r="J138">
        <f>IF(B138="","", _xludf.WEEKNUM(B138, 2))</f>
        <v/>
      </c>
    </row>
    <row r="139">
      <c r="A139" s="3311">
        <f>IF(D139="","", "HT-" &amp; IFERROR(VLOOKUP(C139, Catalogos!$Z$4:$AA$20, 2, FALSE), "FOL") &amp; "-" &amp; IF(B139="","00", _xludf.WEEKNUM(B139, 2)) &amp; "-" &amp; TEXT(ROW(A136),"000"))</f>
        <v/>
      </c>
      <c r="B139" s="3310" t="n"/>
      <c r="C139" s="3312" t="n"/>
      <c r="D139" s="3313" t="n"/>
      <c r="E139" s="3314">
        <f>IF(D139="","", IFERROR(INDEX(Catalogos!$W$4:$W$100, MATCH(D139, Catalogos!$V$4:$V$100, 0)), ""))</f>
        <v/>
      </c>
      <c r="F139" s="3315">
        <f>IF(D139="","", IFERROR(INDEX(Catalogos!$Y$4:$Y$100, MATCH(D139, Catalogos!$V$4:$V$100, 0)), ""))</f>
        <v/>
      </c>
      <c r="G139" s="3316" t="n"/>
      <c r="H139" s="3317" t="n"/>
      <c r="I139">
        <f>IF(E139="","", G139 * IFERROR(INDEX(Maquinaria_Inventario!$K$2:$K$100, MATCH(E139, Maquinaria_Inventario!$L$2:$L$100, 0)), 0))</f>
        <v/>
      </c>
      <c r="J139">
        <f>IF(B139="","", _xludf.WEEKNUM(B139, 2))</f>
        <v/>
      </c>
    </row>
    <row r="140">
      <c r="A140" s="3319">
        <f>IF(D140="","", "HT-" &amp; IFERROR(VLOOKUP(C140, Catalogos!$Z$4:$AA$20, 2, FALSE), "FOL") &amp; "-" &amp; IF(B140="","00", _xludf.WEEKNUM(B140, 2)) &amp; "-" &amp; TEXT(ROW(A137),"000"))</f>
        <v/>
      </c>
      <c r="B140" s="3318" t="n"/>
      <c r="C140" s="3320" t="n"/>
      <c r="D140" s="3321" t="n"/>
      <c r="E140" s="3322">
        <f>IF(D140="","", IFERROR(INDEX(Catalogos!$W$4:$W$100, MATCH(D140, Catalogos!$V$4:$V$100, 0)), ""))</f>
        <v/>
      </c>
      <c r="F140" s="3323">
        <f>IF(D140="","", IFERROR(INDEX(Catalogos!$Y$4:$Y$100, MATCH(D140, Catalogos!$V$4:$V$100, 0)), ""))</f>
        <v/>
      </c>
      <c r="G140" s="3324" t="n"/>
      <c r="H140" s="3325" t="n"/>
      <c r="I140">
        <f>IF(E140="","", G140 * IFERROR(INDEX(Maquinaria_Inventario!$K$2:$K$100, MATCH(E140, Maquinaria_Inventario!$L$2:$L$100, 0)), 0))</f>
        <v/>
      </c>
      <c r="J140">
        <f>IF(B140="","", _xludf.WEEKNUM(B140, 2))</f>
        <v/>
      </c>
    </row>
    <row r="141">
      <c r="A141" s="3327">
        <f>IF(D141="","", "HT-" &amp; IFERROR(VLOOKUP(C141, Catalogos!$Z$4:$AA$20, 2, FALSE), "FOL") &amp; "-" &amp; IF(B141="","00", _xludf.WEEKNUM(B141, 2)) &amp; "-" &amp; TEXT(ROW(A138),"000"))</f>
        <v/>
      </c>
      <c r="B141" s="3326" t="n"/>
      <c r="C141" s="3328" t="n"/>
      <c r="D141" s="3329" t="n"/>
      <c r="E141" s="3330">
        <f>IF(D141="","", IFERROR(INDEX(Catalogos!$W$4:$W$100, MATCH(D141, Catalogos!$V$4:$V$100, 0)), ""))</f>
        <v/>
      </c>
      <c r="F141" s="3331">
        <f>IF(D141="","", IFERROR(INDEX(Catalogos!$Y$4:$Y$100, MATCH(D141, Catalogos!$V$4:$V$100, 0)), ""))</f>
        <v/>
      </c>
      <c r="G141" s="3332" t="n"/>
      <c r="H141" s="3333" t="n"/>
      <c r="I141">
        <f>IF(E141="","", G141 * IFERROR(INDEX(Maquinaria_Inventario!$K$2:$K$100, MATCH(E141, Maquinaria_Inventario!$L$2:$L$100, 0)), 0))</f>
        <v/>
      </c>
      <c r="J141">
        <f>IF(B141="","", _xludf.WEEKNUM(B141, 2))</f>
        <v/>
      </c>
    </row>
    <row r="142">
      <c r="A142" s="3335">
        <f>IF(D142="","", "HT-" &amp; IFERROR(VLOOKUP(C142, Catalogos!$Z$4:$AA$20, 2, FALSE), "FOL") &amp; "-" &amp; IF(B142="","00", _xludf.WEEKNUM(B142, 2)) &amp; "-" &amp; TEXT(ROW(A139),"000"))</f>
        <v/>
      </c>
      <c r="B142" s="3334" t="n"/>
      <c r="C142" s="3336" t="n"/>
      <c r="D142" s="3337" t="n"/>
      <c r="E142" s="3338">
        <f>IF(D142="","", IFERROR(INDEX(Catalogos!$W$4:$W$100, MATCH(D142, Catalogos!$V$4:$V$100, 0)), ""))</f>
        <v/>
      </c>
      <c r="F142" s="3339">
        <f>IF(D142="","", IFERROR(INDEX(Catalogos!$Y$4:$Y$100, MATCH(D142, Catalogos!$V$4:$V$100, 0)), ""))</f>
        <v/>
      </c>
      <c r="G142" s="3340" t="n"/>
      <c r="H142" s="3341" t="n"/>
      <c r="I142">
        <f>IF(E142="","", G142 * IFERROR(INDEX(Maquinaria_Inventario!$K$2:$K$100, MATCH(E142, Maquinaria_Inventario!$L$2:$L$100, 0)), 0))</f>
        <v/>
      </c>
      <c r="J142">
        <f>IF(B142="","", _xludf.WEEKNUM(B142, 2))</f>
        <v/>
      </c>
    </row>
    <row r="143">
      <c r="A143" s="3343">
        <f>IF(D143="","", "HT-" &amp; IFERROR(VLOOKUP(C143, Catalogos!$Z$4:$AA$20, 2, FALSE), "FOL") &amp; "-" &amp; IF(B143="","00", _xludf.WEEKNUM(B143, 2)) &amp; "-" &amp; TEXT(ROW(A140),"000"))</f>
        <v/>
      </c>
      <c r="B143" s="3342" t="n"/>
      <c r="C143" s="3344" t="n"/>
      <c r="D143" s="3345" t="n"/>
      <c r="E143" s="3346">
        <f>IF(D143="","", IFERROR(INDEX(Catalogos!$W$4:$W$100, MATCH(D143, Catalogos!$V$4:$V$100, 0)), ""))</f>
        <v/>
      </c>
      <c r="F143" s="3347">
        <f>IF(D143="","", IFERROR(INDEX(Catalogos!$Y$4:$Y$100, MATCH(D143, Catalogos!$V$4:$V$100, 0)), ""))</f>
        <v/>
      </c>
      <c r="G143" s="3348" t="n"/>
      <c r="H143" s="3349" t="n"/>
      <c r="I143">
        <f>IF(E143="","", G143 * IFERROR(INDEX(Maquinaria_Inventario!$K$2:$K$100, MATCH(E143, Maquinaria_Inventario!$L$2:$L$100, 0)), 0))</f>
        <v/>
      </c>
      <c r="J143">
        <f>IF(B143="","", _xludf.WEEKNUM(B143, 2))</f>
        <v/>
      </c>
    </row>
    <row r="144">
      <c r="A144" s="3351">
        <f>IF(D144="","", "HT-" &amp; IFERROR(VLOOKUP(C144, Catalogos!$Z$4:$AA$20, 2, FALSE), "FOL") &amp; "-" &amp; IF(B144="","00", _xludf.WEEKNUM(B144, 2)) &amp; "-" &amp; TEXT(ROW(A141),"000"))</f>
        <v/>
      </c>
      <c r="B144" s="3350" t="n"/>
      <c r="C144" s="3352" t="n"/>
      <c r="D144" s="3353" t="n"/>
      <c r="E144" s="3354">
        <f>IF(D144="","", IFERROR(INDEX(Catalogos!$W$4:$W$100, MATCH(D144, Catalogos!$V$4:$V$100, 0)), ""))</f>
        <v/>
      </c>
      <c r="F144" s="3355">
        <f>IF(D144="","", IFERROR(INDEX(Catalogos!$Y$4:$Y$100, MATCH(D144, Catalogos!$V$4:$V$100, 0)), ""))</f>
        <v/>
      </c>
      <c r="G144" s="3356" t="n"/>
      <c r="H144" s="3357" t="n"/>
      <c r="I144">
        <f>IF(E144="","", G144 * IFERROR(INDEX(Maquinaria_Inventario!$K$2:$K$100, MATCH(E144, Maquinaria_Inventario!$L$2:$L$100, 0)), 0))</f>
        <v/>
      </c>
      <c r="J144">
        <f>IF(B144="","", _xludf.WEEKNUM(B144, 2))</f>
        <v/>
      </c>
    </row>
    <row r="145">
      <c r="A145" s="3359">
        <f>IF(D145="","", "HT-" &amp; IFERROR(VLOOKUP(C145, Catalogos!$Z$4:$AA$20, 2, FALSE), "FOL") &amp; "-" &amp; IF(B145="","00", _xludf.WEEKNUM(B145, 2)) &amp; "-" &amp; TEXT(ROW(A142),"000"))</f>
        <v/>
      </c>
      <c r="B145" s="3358" t="n"/>
      <c r="C145" s="3360" t="n"/>
      <c r="D145" s="3361" t="n"/>
      <c r="E145" s="3362">
        <f>IF(D145="","", IFERROR(INDEX(Catalogos!$W$4:$W$100, MATCH(D145, Catalogos!$V$4:$V$100, 0)), ""))</f>
        <v/>
      </c>
      <c r="F145" s="3363">
        <f>IF(D145="","", IFERROR(INDEX(Catalogos!$Y$4:$Y$100, MATCH(D145, Catalogos!$V$4:$V$100, 0)), ""))</f>
        <v/>
      </c>
      <c r="G145" s="3364" t="n"/>
      <c r="H145" s="3365" t="n"/>
      <c r="I145">
        <f>IF(E145="","", G145 * IFERROR(INDEX(Maquinaria_Inventario!$K$2:$K$100, MATCH(E145, Maquinaria_Inventario!$L$2:$L$100, 0)), 0))</f>
        <v/>
      </c>
      <c r="J145">
        <f>IF(B145="","", _xludf.WEEKNUM(B145, 2))</f>
        <v/>
      </c>
    </row>
    <row r="146">
      <c r="A146" s="3367">
        <f>IF(D146="","", "HT-" &amp; IFERROR(VLOOKUP(C146, Catalogos!$Z$4:$AA$20, 2, FALSE), "FOL") &amp; "-" &amp; IF(B146="","00", _xludf.WEEKNUM(B146, 2)) &amp; "-" &amp; TEXT(ROW(A143),"000"))</f>
        <v/>
      </c>
      <c r="B146" s="3366" t="n"/>
      <c r="C146" s="3368" t="n"/>
      <c r="D146" s="3369" t="n"/>
      <c r="E146" s="3370">
        <f>IF(D146="","", IFERROR(INDEX(Catalogos!$W$4:$W$100, MATCH(D146, Catalogos!$V$4:$V$100, 0)), ""))</f>
        <v/>
      </c>
      <c r="F146" s="3371">
        <f>IF(D146="","", IFERROR(INDEX(Catalogos!$Y$4:$Y$100, MATCH(D146, Catalogos!$V$4:$V$100, 0)), ""))</f>
        <v/>
      </c>
      <c r="G146" s="3372" t="n"/>
      <c r="H146" s="3373" t="n"/>
      <c r="I146">
        <f>IF(E146="","", G146 * IFERROR(INDEX(Maquinaria_Inventario!$K$2:$K$100, MATCH(E146, Maquinaria_Inventario!$L$2:$L$100, 0)), 0))</f>
        <v/>
      </c>
      <c r="J146">
        <f>IF(B146="","", _xludf.WEEKNUM(B146, 2))</f>
        <v/>
      </c>
    </row>
    <row r="147">
      <c r="A147" s="3375">
        <f>IF(D147="","", "HT-" &amp; IFERROR(VLOOKUP(C147, Catalogos!$Z$4:$AA$20, 2, FALSE), "FOL") &amp; "-" &amp; IF(B147="","00", _xludf.WEEKNUM(B147, 2)) &amp; "-" &amp; TEXT(ROW(A144),"000"))</f>
        <v/>
      </c>
      <c r="B147" s="3374" t="n"/>
      <c r="C147" s="3376" t="n"/>
      <c r="D147" s="3377" t="n"/>
      <c r="E147" s="3378">
        <f>IF(D147="","", IFERROR(INDEX(Catalogos!$W$4:$W$100, MATCH(D147, Catalogos!$V$4:$V$100, 0)), ""))</f>
        <v/>
      </c>
      <c r="F147" s="3379">
        <f>IF(D147="","", IFERROR(INDEX(Catalogos!$Y$4:$Y$100, MATCH(D147, Catalogos!$V$4:$V$100, 0)), ""))</f>
        <v/>
      </c>
      <c r="G147" s="3380" t="n"/>
      <c r="H147" s="3381" t="n"/>
      <c r="I147">
        <f>IF(E147="","", G147 * IFERROR(INDEX(Maquinaria_Inventario!$K$2:$K$100, MATCH(E147, Maquinaria_Inventario!$L$2:$L$100, 0)), 0))</f>
        <v/>
      </c>
      <c r="J147">
        <f>IF(B147="","", _xludf.WEEKNUM(B147, 2))</f>
        <v/>
      </c>
    </row>
    <row r="148">
      <c r="A148" s="3383">
        <f>IF(D148="","", "HT-" &amp; IFERROR(VLOOKUP(C148, Catalogos!$Z$4:$AA$20, 2, FALSE), "FOL") &amp; "-" &amp; IF(B148="","00", _xludf.WEEKNUM(B148, 2)) &amp; "-" &amp; TEXT(ROW(A145),"000"))</f>
        <v/>
      </c>
      <c r="B148" s="3382" t="n"/>
      <c r="C148" s="3384" t="n"/>
      <c r="D148" s="3385" t="n"/>
      <c r="E148" s="3386">
        <f>IF(D148="","", IFERROR(INDEX(Catalogos!$W$4:$W$100, MATCH(D148, Catalogos!$V$4:$V$100, 0)), ""))</f>
        <v/>
      </c>
      <c r="F148" s="3387">
        <f>IF(D148="","", IFERROR(INDEX(Catalogos!$Y$4:$Y$100, MATCH(D148, Catalogos!$V$4:$V$100, 0)), ""))</f>
        <v/>
      </c>
      <c r="G148" s="3388" t="n"/>
      <c r="H148" s="3389" t="n"/>
      <c r="I148">
        <f>IF(E148="","", G148 * IFERROR(INDEX(Maquinaria_Inventario!$K$2:$K$100, MATCH(E148, Maquinaria_Inventario!$L$2:$L$100, 0)), 0))</f>
        <v/>
      </c>
      <c r="J148">
        <f>IF(B148="","", _xludf.WEEKNUM(B148, 2))</f>
        <v/>
      </c>
    </row>
    <row r="149">
      <c r="A149" s="3391">
        <f>IF(D149="","", "HT-" &amp; IFERROR(VLOOKUP(C149, Catalogos!$Z$4:$AA$20, 2, FALSE), "FOL") &amp; "-" &amp; IF(B149="","00", _xludf.WEEKNUM(B149, 2)) &amp; "-" &amp; TEXT(ROW(A146),"000"))</f>
        <v/>
      </c>
      <c r="B149" s="3390" t="n"/>
      <c r="C149" s="3392" t="n"/>
      <c r="D149" s="3393" t="n"/>
      <c r="E149" s="3394">
        <f>IF(D149="","", IFERROR(INDEX(Catalogos!$W$4:$W$100, MATCH(D149, Catalogos!$V$4:$V$100, 0)), ""))</f>
        <v/>
      </c>
      <c r="F149" s="3395">
        <f>IF(D149="","", IFERROR(INDEX(Catalogos!$Y$4:$Y$100, MATCH(D149, Catalogos!$V$4:$V$100, 0)), ""))</f>
        <v/>
      </c>
      <c r="G149" s="3396" t="n"/>
      <c r="H149" s="3397" t="n"/>
      <c r="I149">
        <f>IF(E149="","", G149 * IFERROR(INDEX(Maquinaria_Inventario!$K$2:$K$100, MATCH(E149, Maquinaria_Inventario!$L$2:$L$100, 0)), 0))</f>
        <v/>
      </c>
      <c r="J149">
        <f>IF(B149="","", _xludf.WEEKNUM(B149, 2))</f>
        <v/>
      </c>
    </row>
    <row r="150">
      <c r="A150" s="3399">
        <f>IF(D150="","", "HT-" &amp; IFERROR(VLOOKUP(C150, Catalogos!$Z$4:$AA$20, 2, FALSE), "FOL") &amp; "-" &amp; IF(B150="","00", _xludf.WEEKNUM(B150, 2)) &amp; "-" &amp; TEXT(ROW(A147),"000"))</f>
        <v/>
      </c>
      <c r="B150" s="3398" t="n"/>
      <c r="C150" s="3400" t="n"/>
      <c r="D150" s="3401" t="n"/>
      <c r="E150" s="3402">
        <f>IF(D150="","", IFERROR(INDEX(Catalogos!$W$4:$W$100, MATCH(D150, Catalogos!$V$4:$V$100, 0)), ""))</f>
        <v/>
      </c>
      <c r="F150" s="3403">
        <f>IF(D150="","", IFERROR(INDEX(Catalogos!$Y$4:$Y$100, MATCH(D150, Catalogos!$V$4:$V$100, 0)), ""))</f>
        <v/>
      </c>
      <c r="G150" s="3404" t="n"/>
      <c r="H150" s="3405" t="n"/>
      <c r="I150">
        <f>IF(E150="","", G150 * IFERROR(INDEX(Maquinaria_Inventario!$K$2:$K$100, MATCH(E150, Maquinaria_Inventario!$L$2:$L$100, 0)), 0))</f>
        <v/>
      </c>
      <c r="J150">
        <f>IF(B150="","", _xludf.WEEKNUM(B150, 2))</f>
        <v/>
      </c>
    </row>
    <row r="151">
      <c r="A151" s="3407">
        <f>IF(D151="","", "HT-" &amp; IFERROR(VLOOKUP(C151, Catalogos!$Z$4:$AA$20, 2, FALSE), "FOL") &amp; "-" &amp; IF(B151="","00", _xludf.WEEKNUM(B151, 2)) &amp; "-" &amp; TEXT(ROW(A148),"000"))</f>
        <v/>
      </c>
      <c r="B151" s="3406" t="n"/>
      <c r="C151" s="3408" t="n"/>
      <c r="D151" s="3409" t="n"/>
      <c r="E151" s="3410">
        <f>IF(D151="","", IFERROR(INDEX(Catalogos!$W$4:$W$100, MATCH(D151, Catalogos!$V$4:$V$100, 0)), ""))</f>
        <v/>
      </c>
      <c r="F151" s="3411">
        <f>IF(D151="","", IFERROR(INDEX(Catalogos!$Y$4:$Y$100, MATCH(D151, Catalogos!$V$4:$V$100, 0)), ""))</f>
        <v/>
      </c>
      <c r="G151" s="3412" t="n"/>
      <c r="H151" s="3413" t="n"/>
      <c r="I151">
        <f>IF(E151="","", G151 * IFERROR(INDEX(Maquinaria_Inventario!$K$2:$K$100, MATCH(E151, Maquinaria_Inventario!$L$2:$L$100, 0)), 0))</f>
        <v/>
      </c>
      <c r="J151">
        <f>IF(B151="","", _xludf.WEEKNUM(B151, 2))</f>
        <v/>
      </c>
    </row>
    <row r="152">
      <c r="A152" s="3415">
        <f>IF(D152="","", "HT-" &amp; IFERROR(VLOOKUP(C152, Catalogos!$Z$4:$AA$20, 2, FALSE), "FOL") &amp; "-" &amp; IF(B152="","00", _xludf.WEEKNUM(B152, 2)) &amp; "-" &amp; TEXT(ROW(A149),"000"))</f>
        <v/>
      </c>
      <c r="B152" s="3414" t="n"/>
      <c r="C152" s="3416" t="n"/>
      <c r="D152" s="3417" t="n"/>
      <c r="E152" s="3418">
        <f>IF(D152="","", IFERROR(INDEX(Catalogos!$W$4:$W$100, MATCH(D152, Catalogos!$V$4:$V$100, 0)), ""))</f>
        <v/>
      </c>
      <c r="F152" s="3419">
        <f>IF(D152="","", IFERROR(INDEX(Catalogos!$Y$4:$Y$100, MATCH(D152, Catalogos!$V$4:$V$100, 0)), ""))</f>
        <v/>
      </c>
      <c r="G152" s="3420" t="n"/>
      <c r="H152" s="3421" t="n"/>
      <c r="I152">
        <f>IF(E152="","", G152 * IFERROR(INDEX(Maquinaria_Inventario!$K$2:$K$100, MATCH(E152, Maquinaria_Inventario!$L$2:$L$100, 0)), 0))</f>
        <v/>
      </c>
      <c r="J152">
        <f>IF(B152="","", _xludf.WEEKNUM(B152, 2))</f>
        <v/>
      </c>
    </row>
    <row r="153">
      <c r="A153" s="3423">
        <f>IF(D153="","", "HT-" &amp; IFERROR(VLOOKUP(C153, Catalogos!$Z$4:$AA$20, 2, FALSE), "FOL") &amp; "-" &amp; IF(B153="","00", _xludf.WEEKNUM(B153, 2)) &amp; "-" &amp; TEXT(ROW(A150),"000"))</f>
        <v/>
      </c>
      <c r="B153" s="3422" t="n"/>
      <c r="C153" s="3424" t="n"/>
      <c r="D153" s="3425" t="n"/>
      <c r="E153" s="3426">
        <f>IF(D153="","", IFERROR(INDEX(Catalogos!$W$4:$W$100, MATCH(D153, Catalogos!$V$4:$V$100, 0)), ""))</f>
        <v/>
      </c>
      <c r="F153" s="3427">
        <f>IF(D153="","", IFERROR(INDEX(Catalogos!$Y$4:$Y$100, MATCH(D153, Catalogos!$V$4:$V$100, 0)), ""))</f>
        <v/>
      </c>
      <c r="G153" s="3428" t="n"/>
      <c r="H153" s="3429" t="n"/>
      <c r="I153">
        <f>IF(E153="","", G153 * IFERROR(INDEX(Maquinaria_Inventario!$K$2:$K$100, MATCH(E153, Maquinaria_Inventario!$L$2:$L$100, 0)), 0))</f>
        <v/>
      </c>
      <c r="J153">
        <f>IF(B153="","", _xludf.WEEKNUM(B153, 2))</f>
        <v/>
      </c>
    </row>
    <row r="154">
      <c r="A154" s="3431">
        <f>IF(D154="","", "HT-" &amp; IFERROR(VLOOKUP(C154, Catalogos!$Z$4:$AA$20, 2, FALSE), "FOL") &amp; "-" &amp; IF(B154="","00", _xludf.WEEKNUM(B154, 2)) &amp; "-" &amp; TEXT(ROW(A151),"000"))</f>
        <v/>
      </c>
      <c r="B154" s="3430" t="n"/>
      <c r="C154" s="3432" t="n"/>
      <c r="D154" s="3433" t="n"/>
      <c r="E154" s="3434">
        <f>IF(D154="","", IFERROR(INDEX(Catalogos!$W$4:$W$100, MATCH(D154, Catalogos!$V$4:$V$100, 0)), ""))</f>
        <v/>
      </c>
      <c r="F154" s="3435">
        <f>IF(D154="","", IFERROR(INDEX(Catalogos!$Y$4:$Y$100, MATCH(D154, Catalogos!$V$4:$V$100, 0)), ""))</f>
        <v/>
      </c>
      <c r="G154" s="3436" t="n"/>
      <c r="H154" s="3437" t="n"/>
      <c r="I154">
        <f>IF(E154="","", G154 * IFERROR(INDEX(Maquinaria_Inventario!$K$2:$K$100, MATCH(E154, Maquinaria_Inventario!$L$2:$L$100, 0)), 0))</f>
        <v/>
      </c>
      <c r="J154">
        <f>IF(B154="","", _xludf.WEEKNUM(B154, 2))</f>
        <v/>
      </c>
    </row>
    <row r="155">
      <c r="A155" s="3439">
        <f>IF(D155="","", "HT-" &amp; IFERROR(VLOOKUP(C155, Catalogos!$Z$4:$AA$20, 2, FALSE), "FOL") &amp; "-" &amp; IF(B155="","00", _xludf.WEEKNUM(B155, 2)) &amp; "-" &amp; TEXT(ROW(A152),"000"))</f>
        <v/>
      </c>
      <c r="B155" s="3438" t="n"/>
      <c r="C155" s="3440" t="n"/>
      <c r="D155" s="3441" t="n"/>
      <c r="E155" s="3442">
        <f>IF(D155="","", IFERROR(INDEX(Catalogos!$W$4:$W$100, MATCH(D155, Catalogos!$V$4:$V$100, 0)), ""))</f>
        <v/>
      </c>
      <c r="F155" s="3443">
        <f>IF(D155="","", IFERROR(INDEX(Catalogos!$Y$4:$Y$100, MATCH(D155, Catalogos!$V$4:$V$100, 0)), ""))</f>
        <v/>
      </c>
      <c r="G155" s="3444" t="n"/>
      <c r="H155" s="3445" t="n"/>
      <c r="I155">
        <f>IF(E155="","", G155 * IFERROR(INDEX(Maquinaria_Inventario!$K$2:$K$100, MATCH(E155, Maquinaria_Inventario!$L$2:$L$100, 0)), 0))</f>
        <v/>
      </c>
      <c r="J155">
        <f>IF(B155="","", _xludf.WEEKNUM(B155, 2))</f>
        <v/>
      </c>
    </row>
    <row r="156">
      <c r="A156" s="3447">
        <f>IF(D156="","", "HT-" &amp; IFERROR(VLOOKUP(C156, Catalogos!$Z$4:$AA$20, 2, FALSE), "FOL") &amp; "-" &amp; IF(B156="","00", _xludf.WEEKNUM(B156, 2)) &amp; "-" &amp; TEXT(ROW(A153),"000"))</f>
        <v/>
      </c>
      <c r="B156" s="3446" t="n"/>
      <c r="C156" s="3448" t="n"/>
      <c r="D156" s="3449" t="n"/>
      <c r="E156" s="3450">
        <f>IF(D156="","", IFERROR(INDEX(Catalogos!$W$4:$W$100, MATCH(D156, Catalogos!$V$4:$V$100, 0)), ""))</f>
        <v/>
      </c>
      <c r="F156" s="3451">
        <f>IF(D156="","", IFERROR(INDEX(Catalogos!$Y$4:$Y$100, MATCH(D156, Catalogos!$V$4:$V$100, 0)), ""))</f>
        <v/>
      </c>
      <c r="G156" s="3452" t="n"/>
      <c r="H156" s="3453" t="n"/>
      <c r="I156">
        <f>IF(E156="","", G156 * IFERROR(INDEX(Maquinaria_Inventario!$K$2:$K$100, MATCH(E156, Maquinaria_Inventario!$L$2:$L$100, 0)), 0))</f>
        <v/>
      </c>
      <c r="J156">
        <f>IF(B156="","", _xludf.WEEKNUM(B156, 2))</f>
        <v/>
      </c>
    </row>
    <row r="157">
      <c r="A157" s="3455">
        <f>IF(D157="","", "HT-" &amp; IFERROR(VLOOKUP(C157, Catalogos!$Z$4:$AA$20, 2, FALSE), "FOL") &amp; "-" &amp; IF(B157="","00", _xludf.WEEKNUM(B157, 2)) &amp; "-" &amp; TEXT(ROW(A154),"000"))</f>
        <v/>
      </c>
      <c r="B157" s="3454" t="n"/>
      <c r="C157" s="3456" t="n"/>
      <c r="D157" s="3457" t="n"/>
      <c r="E157" s="3458">
        <f>IF(D157="","", IFERROR(INDEX(Catalogos!$W$4:$W$100, MATCH(D157, Catalogos!$V$4:$V$100, 0)), ""))</f>
        <v/>
      </c>
      <c r="F157" s="3459">
        <f>IF(D157="","", IFERROR(INDEX(Catalogos!$Y$4:$Y$100, MATCH(D157, Catalogos!$V$4:$V$100, 0)), ""))</f>
        <v/>
      </c>
      <c r="G157" s="3460" t="n"/>
      <c r="H157" s="3461" t="n"/>
      <c r="I157">
        <f>IF(E157="","", G157 * IFERROR(INDEX(Maquinaria_Inventario!$K$2:$K$100, MATCH(E157, Maquinaria_Inventario!$L$2:$L$100, 0)), 0))</f>
        <v/>
      </c>
      <c r="J157">
        <f>IF(B157="","", _xludf.WEEKNUM(B157, 2))</f>
        <v/>
      </c>
    </row>
    <row r="158">
      <c r="A158" s="3463">
        <f>IF(D158="","", "HT-" &amp; IFERROR(VLOOKUP(C158, Catalogos!$Z$4:$AA$20, 2, FALSE), "FOL") &amp; "-" &amp; IF(B158="","00", _xludf.WEEKNUM(B158, 2)) &amp; "-" &amp; TEXT(ROW(A155),"000"))</f>
        <v/>
      </c>
      <c r="B158" s="3462" t="n"/>
      <c r="C158" s="3464" t="n"/>
      <c r="D158" s="3465" t="n"/>
      <c r="E158" s="3466">
        <f>IF(D158="","", IFERROR(INDEX(Catalogos!$W$4:$W$100, MATCH(D158, Catalogos!$V$4:$V$100, 0)), ""))</f>
        <v/>
      </c>
      <c r="F158" s="3467">
        <f>IF(D158="","", IFERROR(INDEX(Catalogos!$Y$4:$Y$100, MATCH(D158, Catalogos!$V$4:$V$100, 0)), ""))</f>
        <v/>
      </c>
      <c r="G158" s="3468" t="n"/>
      <c r="H158" s="3469" t="n"/>
      <c r="I158">
        <f>IF(E158="","", G158 * IFERROR(INDEX(Maquinaria_Inventario!$K$2:$K$100, MATCH(E158, Maquinaria_Inventario!$L$2:$L$100, 0)), 0))</f>
        <v/>
      </c>
      <c r="J158">
        <f>IF(B158="","", _xludf.WEEKNUM(B158, 2))</f>
        <v/>
      </c>
    </row>
    <row r="159">
      <c r="A159" s="3471">
        <f>IF(D159="","", "HT-" &amp; IFERROR(VLOOKUP(C159, Catalogos!$Z$4:$AA$20, 2, FALSE), "FOL") &amp; "-" &amp; IF(B159="","00", _xludf.WEEKNUM(B159, 2)) &amp; "-" &amp; TEXT(ROW(A156),"000"))</f>
        <v/>
      </c>
      <c r="B159" s="3470" t="n"/>
      <c r="C159" s="3472" t="n"/>
      <c r="D159" s="3473" t="n"/>
      <c r="E159" s="3474">
        <f>IF(D159="","", IFERROR(INDEX(Catalogos!$W$4:$W$100, MATCH(D159, Catalogos!$V$4:$V$100, 0)), ""))</f>
        <v/>
      </c>
      <c r="F159" s="3475">
        <f>IF(D159="","", IFERROR(INDEX(Catalogos!$Y$4:$Y$100, MATCH(D159, Catalogos!$V$4:$V$100, 0)), ""))</f>
        <v/>
      </c>
      <c r="G159" s="3476" t="n"/>
      <c r="H159" s="3477" t="n"/>
      <c r="I159">
        <f>IF(E159="","", G159 * IFERROR(INDEX(Maquinaria_Inventario!$K$2:$K$100, MATCH(E159, Maquinaria_Inventario!$L$2:$L$100, 0)), 0))</f>
        <v/>
      </c>
      <c r="J159">
        <f>IF(B159="","", _xludf.WEEKNUM(B159, 2))</f>
        <v/>
      </c>
    </row>
    <row r="160">
      <c r="A160" s="3479">
        <f>IF(D160="","", "HT-" &amp; IFERROR(VLOOKUP(C160, Catalogos!$Z$4:$AA$20, 2, FALSE), "FOL") &amp; "-" &amp; IF(B160="","00", _xludf.WEEKNUM(B160, 2)) &amp; "-" &amp; TEXT(ROW(A157),"000"))</f>
        <v/>
      </c>
      <c r="B160" s="3478" t="n"/>
      <c r="C160" s="3480" t="n"/>
      <c r="D160" s="3481" t="n"/>
      <c r="E160" s="3482">
        <f>IF(D160="","", IFERROR(INDEX(Catalogos!$W$4:$W$100, MATCH(D160, Catalogos!$V$4:$V$100, 0)), ""))</f>
        <v/>
      </c>
      <c r="F160" s="3483">
        <f>IF(D160="","", IFERROR(INDEX(Catalogos!$Y$4:$Y$100, MATCH(D160, Catalogos!$V$4:$V$100, 0)), ""))</f>
        <v/>
      </c>
      <c r="G160" s="3484" t="n"/>
      <c r="H160" s="3485" t="n"/>
      <c r="I160">
        <f>IF(E160="","", G160 * IFERROR(INDEX(Maquinaria_Inventario!$K$2:$K$100, MATCH(E160, Maquinaria_Inventario!$L$2:$L$100, 0)), 0))</f>
        <v/>
      </c>
      <c r="J160">
        <f>IF(B160="","", _xludf.WEEKNUM(B160, 2))</f>
        <v/>
      </c>
    </row>
    <row r="161">
      <c r="A161" s="3487">
        <f>IF(D161="","", "HT-" &amp; IFERROR(VLOOKUP(C161, Catalogos!$Z$4:$AA$20, 2, FALSE), "FOL") &amp; "-" &amp; IF(B161="","00", _xludf.WEEKNUM(B161, 2)) &amp; "-" &amp; TEXT(ROW(A158),"000"))</f>
        <v/>
      </c>
      <c r="B161" s="3486" t="n"/>
      <c r="C161" s="3488" t="n"/>
      <c r="D161" s="3489" t="n"/>
      <c r="E161" s="3490">
        <f>IF(D161="","", IFERROR(INDEX(Catalogos!$W$4:$W$100, MATCH(D161, Catalogos!$V$4:$V$100, 0)), ""))</f>
        <v/>
      </c>
      <c r="F161" s="3491">
        <f>IF(D161="","", IFERROR(INDEX(Catalogos!$Y$4:$Y$100, MATCH(D161, Catalogos!$V$4:$V$100, 0)), ""))</f>
        <v/>
      </c>
      <c r="G161" s="3492" t="n"/>
      <c r="H161" s="3493" t="n"/>
      <c r="I161">
        <f>IF(E161="","", G161 * IFERROR(INDEX(Maquinaria_Inventario!$K$2:$K$100, MATCH(E161, Maquinaria_Inventario!$L$2:$L$100, 0)), 0))</f>
        <v/>
      </c>
      <c r="J161">
        <f>IF(B161="","", _xludf.WEEKNUM(B161, 2))</f>
        <v/>
      </c>
    </row>
    <row r="162">
      <c r="A162" s="3495">
        <f>IF(D162="","", "HT-" &amp; IFERROR(VLOOKUP(C162, Catalogos!$Z$4:$AA$20, 2, FALSE), "FOL") &amp; "-" &amp; IF(B162="","00", _xludf.WEEKNUM(B162, 2)) &amp; "-" &amp; TEXT(ROW(A159),"000"))</f>
        <v/>
      </c>
      <c r="B162" s="3494" t="n"/>
      <c r="C162" s="3496" t="n"/>
      <c r="D162" s="3497" t="n"/>
      <c r="E162" s="3498">
        <f>IF(D162="","", IFERROR(INDEX(Catalogos!$W$4:$W$100, MATCH(D162, Catalogos!$V$4:$V$100, 0)), ""))</f>
        <v/>
      </c>
      <c r="F162" s="3499">
        <f>IF(D162="","", IFERROR(INDEX(Catalogos!$Y$4:$Y$100, MATCH(D162, Catalogos!$V$4:$V$100, 0)), ""))</f>
        <v/>
      </c>
      <c r="G162" s="3500" t="n"/>
      <c r="H162" s="3501" t="n"/>
      <c r="I162">
        <f>IF(E162="","", G162 * IFERROR(INDEX(Maquinaria_Inventario!$K$2:$K$100, MATCH(E162, Maquinaria_Inventario!$L$2:$L$100, 0)), 0))</f>
        <v/>
      </c>
      <c r="J162">
        <f>IF(B162="","", _xludf.WEEKNUM(B162, 2))</f>
        <v/>
      </c>
    </row>
    <row r="163">
      <c r="A163" s="3503">
        <f>IF(D163="","", "HT-" &amp; IFERROR(VLOOKUP(C163, Catalogos!$Z$4:$AA$20, 2, FALSE), "FOL") &amp; "-" &amp; IF(B163="","00", _xludf.WEEKNUM(B163, 2)) &amp; "-" &amp; TEXT(ROW(A160),"000"))</f>
        <v/>
      </c>
      <c r="B163" s="3502" t="n"/>
      <c r="C163" s="3504" t="n"/>
      <c r="D163" s="3505" t="n"/>
      <c r="E163" s="3506">
        <f>IF(D163="","", IFERROR(INDEX(Catalogos!$W$4:$W$100, MATCH(D163, Catalogos!$V$4:$V$100, 0)), ""))</f>
        <v/>
      </c>
      <c r="F163" s="3507">
        <f>IF(D163="","", IFERROR(INDEX(Catalogos!$Y$4:$Y$100, MATCH(D163, Catalogos!$V$4:$V$100, 0)), ""))</f>
        <v/>
      </c>
      <c r="G163" s="3508" t="n"/>
      <c r="H163" s="3509" t="n"/>
      <c r="I163">
        <f>IF(E163="","", G163 * IFERROR(INDEX(Maquinaria_Inventario!$K$2:$K$100, MATCH(E163, Maquinaria_Inventario!$L$2:$L$100, 0)), 0))</f>
        <v/>
      </c>
      <c r="J163">
        <f>IF(B163="","", _xludf.WEEKNUM(B163, 2))</f>
        <v/>
      </c>
    </row>
    <row r="164">
      <c r="A164" s="3511">
        <f>IF(D164="","", "HT-" &amp; IFERROR(VLOOKUP(C164, Catalogos!$Z$4:$AA$20, 2, FALSE), "FOL") &amp; "-" &amp; IF(B164="","00", _xludf.WEEKNUM(B164, 2)) &amp; "-" &amp; TEXT(ROW(A161),"000"))</f>
        <v/>
      </c>
      <c r="B164" s="3510" t="n"/>
      <c r="C164" s="3512" t="n"/>
      <c r="D164" s="3513" t="n"/>
      <c r="E164" s="3514">
        <f>IF(D164="","", IFERROR(INDEX(Catalogos!$W$4:$W$100, MATCH(D164, Catalogos!$V$4:$V$100, 0)), ""))</f>
        <v/>
      </c>
      <c r="F164" s="3515">
        <f>IF(D164="","", IFERROR(INDEX(Catalogos!$Y$4:$Y$100, MATCH(D164, Catalogos!$V$4:$V$100, 0)), ""))</f>
        <v/>
      </c>
      <c r="G164" s="3516" t="n"/>
      <c r="H164" s="3517" t="n"/>
      <c r="I164">
        <f>IF(E164="","", G164 * IFERROR(INDEX(Maquinaria_Inventario!$K$2:$K$100, MATCH(E164, Maquinaria_Inventario!$L$2:$L$100, 0)), 0))</f>
        <v/>
      </c>
      <c r="J164">
        <f>IF(B164="","", _xludf.WEEKNUM(B164, 2))</f>
        <v/>
      </c>
    </row>
    <row r="165">
      <c r="A165" s="3519">
        <f>IF(D165="","", "HT-" &amp; IFERROR(VLOOKUP(C165, Catalogos!$Z$4:$AA$20, 2, FALSE), "FOL") &amp; "-" &amp; IF(B165="","00", _xludf.WEEKNUM(B165, 2)) &amp; "-" &amp; TEXT(ROW(A162),"000"))</f>
        <v/>
      </c>
      <c r="B165" s="3518" t="n"/>
      <c r="C165" s="3520" t="n"/>
      <c r="D165" s="3521" t="n"/>
      <c r="E165" s="3522">
        <f>IF(D165="","", IFERROR(INDEX(Catalogos!$W$4:$W$100, MATCH(D165, Catalogos!$V$4:$V$100, 0)), ""))</f>
        <v/>
      </c>
      <c r="F165" s="3523">
        <f>IF(D165="","", IFERROR(INDEX(Catalogos!$Y$4:$Y$100, MATCH(D165, Catalogos!$V$4:$V$100, 0)), ""))</f>
        <v/>
      </c>
      <c r="G165" s="3524" t="n"/>
      <c r="H165" s="3525" t="n"/>
      <c r="I165">
        <f>IF(E165="","", G165 * IFERROR(INDEX(Maquinaria_Inventario!$K$2:$K$100, MATCH(E165, Maquinaria_Inventario!$L$2:$L$100, 0)), 0))</f>
        <v/>
      </c>
      <c r="J165">
        <f>IF(B165="","", _xludf.WEEKNUM(B165, 2))</f>
        <v/>
      </c>
    </row>
    <row r="166">
      <c r="A166" s="3527">
        <f>IF(D166="","", "HT-" &amp; IFERROR(VLOOKUP(C166, Catalogos!$Z$4:$AA$20, 2, FALSE), "FOL") &amp; "-" &amp; IF(B166="","00", _xludf.WEEKNUM(B166, 2)) &amp; "-" &amp; TEXT(ROW(A163),"000"))</f>
        <v/>
      </c>
      <c r="B166" s="3526" t="n"/>
      <c r="C166" s="3528" t="n"/>
      <c r="D166" s="3529" t="n"/>
      <c r="E166" s="3530">
        <f>IF(D166="","", IFERROR(INDEX(Catalogos!$W$4:$W$100, MATCH(D166, Catalogos!$V$4:$V$100, 0)), ""))</f>
        <v/>
      </c>
      <c r="F166" s="3531">
        <f>IF(D166="","", IFERROR(INDEX(Catalogos!$Y$4:$Y$100, MATCH(D166, Catalogos!$V$4:$V$100, 0)), ""))</f>
        <v/>
      </c>
      <c r="G166" s="3532" t="n"/>
      <c r="H166" s="3533" t="n"/>
      <c r="I166">
        <f>IF(E166="","", G166 * IFERROR(INDEX(Maquinaria_Inventario!$K$2:$K$100, MATCH(E166, Maquinaria_Inventario!$L$2:$L$100, 0)), 0))</f>
        <v/>
      </c>
      <c r="J166">
        <f>IF(B166="","", _xludf.WEEKNUM(B166, 2))</f>
        <v/>
      </c>
    </row>
    <row r="167">
      <c r="A167" s="3535">
        <f>IF(D167="","", "HT-" &amp; IFERROR(VLOOKUP(C167, Catalogos!$Z$4:$AA$20, 2, FALSE), "FOL") &amp; "-" &amp; IF(B167="","00", _xludf.WEEKNUM(B167, 2)) &amp; "-" &amp; TEXT(ROW(A164),"000"))</f>
        <v/>
      </c>
      <c r="B167" s="3534" t="n"/>
      <c r="C167" s="3536" t="n"/>
      <c r="D167" s="3537" t="n"/>
      <c r="E167" s="3538">
        <f>IF(D167="","", IFERROR(INDEX(Catalogos!$W$4:$W$100, MATCH(D167, Catalogos!$V$4:$V$100, 0)), ""))</f>
        <v/>
      </c>
      <c r="F167" s="3539">
        <f>IF(D167="","", IFERROR(INDEX(Catalogos!$Y$4:$Y$100, MATCH(D167, Catalogos!$V$4:$V$100, 0)), ""))</f>
        <v/>
      </c>
      <c r="G167" s="3540" t="n"/>
      <c r="H167" s="3541" t="n"/>
      <c r="I167">
        <f>IF(E167="","", G167 * IFERROR(INDEX(Maquinaria_Inventario!$K$2:$K$100, MATCH(E167, Maquinaria_Inventario!$L$2:$L$100, 0)), 0))</f>
        <v/>
      </c>
      <c r="J167">
        <f>IF(B167="","", _xludf.WEEKNUM(B167, 2))</f>
        <v/>
      </c>
    </row>
    <row r="168">
      <c r="A168" s="3543">
        <f>IF(D168="","", "HT-" &amp; IFERROR(VLOOKUP(C168, Catalogos!$Z$4:$AA$20, 2, FALSE), "FOL") &amp; "-" &amp; IF(B168="","00", _xludf.WEEKNUM(B168, 2)) &amp; "-" &amp; TEXT(ROW(A165),"000"))</f>
        <v/>
      </c>
      <c r="B168" s="3542" t="n"/>
      <c r="C168" s="3544" t="n"/>
      <c r="D168" s="3545" t="n"/>
      <c r="E168" s="3546">
        <f>IF(D168="","", IFERROR(INDEX(Catalogos!$W$4:$W$100, MATCH(D168, Catalogos!$V$4:$V$100, 0)), ""))</f>
        <v/>
      </c>
      <c r="F168" s="3547">
        <f>IF(D168="","", IFERROR(INDEX(Catalogos!$Y$4:$Y$100, MATCH(D168, Catalogos!$V$4:$V$100, 0)), ""))</f>
        <v/>
      </c>
      <c r="G168" s="3548" t="n"/>
      <c r="H168" s="3549" t="n"/>
      <c r="I168">
        <f>IF(E168="","", G168 * IFERROR(INDEX(Maquinaria_Inventario!$K$2:$K$100, MATCH(E168, Maquinaria_Inventario!$L$2:$L$100, 0)), 0))</f>
        <v/>
      </c>
      <c r="J168">
        <f>IF(B168="","", _xludf.WEEKNUM(B168, 2))</f>
        <v/>
      </c>
    </row>
    <row r="169">
      <c r="A169" s="3551">
        <f>IF(D169="","", "HT-" &amp; IFERROR(VLOOKUP(C169, Catalogos!$Z$4:$AA$20, 2, FALSE), "FOL") &amp; "-" &amp; IF(B169="","00", _xludf.WEEKNUM(B169, 2)) &amp; "-" &amp; TEXT(ROW(A166),"000"))</f>
        <v/>
      </c>
      <c r="B169" s="3550" t="n"/>
      <c r="C169" s="3552" t="n"/>
      <c r="D169" s="3553" t="n"/>
      <c r="E169" s="3554">
        <f>IF(D169="","", IFERROR(INDEX(Catalogos!$W$4:$W$100, MATCH(D169, Catalogos!$V$4:$V$100, 0)), ""))</f>
        <v/>
      </c>
      <c r="F169" s="3555">
        <f>IF(D169="","", IFERROR(INDEX(Catalogos!$Y$4:$Y$100, MATCH(D169, Catalogos!$V$4:$V$100, 0)), ""))</f>
        <v/>
      </c>
      <c r="G169" s="3556" t="n"/>
      <c r="H169" s="3557" t="n"/>
      <c r="I169">
        <f>IF(E169="","", G169 * IFERROR(INDEX(Maquinaria_Inventario!$K$2:$K$100, MATCH(E169, Maquinaria_Inventario!$L$2:$L$100, 0)), 0))</f>
        <v/>
      </c>
      <c r="J169">
        <f>IF(B169="","", _xludf.WEEKNUM(B169, 2))</f>
        <v/>
      </c>
    </row>
    <row r="170">
      <c r="A170" s="3559">
        <f>IF(D170="","", "HT-" &amp; IFERROR(VLOOKUP(C170, Catalogos!$Z$4:$AA$20, 2, FALSE), "FOL") &amp; "-" &amp; IF(B170="","00", _xludf.WEEKNUM(B170, 2)) &amp; "-" &amp; TEXT(ROW(A167),"000"))</f>
        <v/>
      </c>
      <c r="B170" s="3558" t="n"/>
      <c r="C170" s="3560" t="n"/>
      <c r="D170" s="3561" t="n"/>
      <c r="E170" s="3562">
        <f>IF(D170="","", IFERROR(INDEX(Catalogos!$W$4:$W$100, MATCH(D170, Catalogos!$V$4:$V$100, 0)), ""))</f>
        <v/>
      </c>
      <c r="F170" s="3563">
        <f>IF(D170="","", IFERROR(INDEX(Catalogos!$Y$4:$Y$100, MATCH(D170, Catalogos!$V$4:$V$100, 0)), ""))</f>
        <v/>
      </c>
      <c r="G170" s="3564" t="n"/>
      <c r="H170" s="3565" t="n"/>
      <c r="I170">
        <f>IF(E170="","", G170 * IFERROR(INDEX(Maquinaria_Inventario!$K$2:$K$100, MATCH(E170, Maquinaria_Inventario!$L$2:$L$100, 0)), 0))</f>
        <v/>
      </c>
      <c r="J170">
        <f>IF(B170="","", _xludf.WEEKNUM(B170, 2))</f>
        <v/>
      </c>
    </row>
    <row r="171">
      <c r="A171" s="3567">
        <f>IF(D171="","", "HT-" &amp; IFERROR(VLOOKUP(C171, Catalogos!$Z$4:$AA$20, 2, FALSE), "FOL") &amp; "-" &amp; IF(B171="","00", _xludf.WEEKNUM(B171, 2)) &amp; "-" &amp; TEXT(ROW(A168),"000"))</f>
        <v/>
      </c>
      <c r="B171" s="3566" t="n"/>
      <c r="C171" s="3568" t="n"/>
      <c r="D171" s="3569" t="n"/>
      <c r="E171" s="3570">
        <f>IF(D171="","", IFERROR(INDEX(Catalogos!$W$4:$W$100, MATCH(D171, Catalogos!$V$4:$V$100, 0)), ""))</f>
        <v/>
      </c>
      <c r="F171" s="3571">
        <f>IF(D171="","", IFERROR(INDEX(Catalogos!$Y$4:$Y$100, MATCH(D171, Catalogos!$V$4:$V$100, 0)), ""))</f>
        <v/>
      </c>
      <c r="G171" s="3572" t="n"/>
      <c r="H171" s="3573" t="n"/>
      <c r="I171">
        <f>IF(E171="","", G171 * IFERROR(INDEX(Maquinaria_Inventario!$K$2:$K$100, MATCH(E171, Maquinaria_Inventario!$L$2:$L$100, 0)), 0))</f>
        <v/>
      </c>
      <c r="J171">
        <f>IF(B171="","", _xludf.WEEKNUM(B171, 2))</f>
        <v/>
      </c>
    </row>
    <row r="172">
      <c r="A172" s="3575">
        <f>IF(D172="","", "HT-" &amp; IFERROR(VLOOKUP(C172, Catalogos!$Z$4:$AA$20, 2, FALSE), "FOL") &amp; "-" &amp; IF(B172="","00", _xludf.WEEKNUM(B172, 2)) &amp; "-" &amp; TEXT(ROW(A169),"000"))</f>
        <v/>
      </c>
      <c r="B172" s="3574" t="n"/>
      <c r="C172" s="3576" t="n"/>
      <c r="D172" s="3577" t="n"/>
      <c r="E172" s="3578">
        <f>IF(D172="","", IFERROR(INDEX(Catalogos!$W$4:$W$100, MATCH(D172, Catalogos!$V$4:$V$100, 0)), ""))</f>
        <v/>
      </c>
      <c r="F172" s="3579">
        <f>IF(D172="","", IFERROR(INDEX(Catalogos!$Y$4:$Y$100, MATCH(D172, Catalogos!$V$4:$V$100, 0)), ""))</f>
        <v/>
      </c>
      <c r="G172" s="3580" t="n"/>
      <c r="H172" s="3581" t="n"/>
      <c r="I172">
        <f>IF(E172="","", G172 * IFERROR(INDEX(Maquinaria_Inventario!$K$2:$K$100, MATCH(E172, Maquinaria_Inventario!$L$2:$L$100, 0)), 0))</f>
        <v/>
      </c>
      <c r="J172">
        <f>IF(B172="","", _xludf.WEEKNUM(B172, 2))</f>
        <v/>
      </c>
    </row>
    <row r="173">
      <c r="A173" s="3583">
        <f>IF(D173="","", "HT-" &amp; IFERROR(VLOOKUP(C173, Catalogos!$Z$4:$AA$20, 2, FALSE), "FOL") &amp; "-" &amp; IF(B173="","00", _xludf.WEEKNUM(B173, 2)) &amp; "-" &amp; TEXT(ROW(A170),"000"))</f>
        <v/>
      </c>
      <c r="B173" s="3582" t="n"/>
      <c r="C173" s="3584" t="n"/>
      <c r="D173" s="3585" t="n"/>
      <c r="E173" s="3586">
        <f>IF(D173="","", IFERROR(INDEX(Catalogos!$W$4:$W$100, MATCH(D173, Catalogos!$V$4:$V$100, 0)), ""))</f>
        <v/>
      </c>
      <c r="F173" s="3587">
        <f>IF(D173="","", IFERROR(INDEX(Catalogos!$Y$4:$Y$100, MATCH(D173, Catalogos!$V$4:$V$100, 0)), ""))</f>
        <v/>
      </c>
      <c r="G173" s="3588" t="n"/>
      <c r="H173" s="3589" t="n"/>
      <c r="I173">
        <f>IF(E173="","", G173 * IFERROR(INDEX(Maquinaria_Inventario!$K$2:$K$100, MATCH(E173, Maquinaria_Inventario!$L$2:$L$100, 0)), 0))</f>
        <v/>
      </c>
      <c r="J173">
        <f>IF(B173="","", _xludf.WEEKNUM(B173, 2))</f>
        <v/>
      </c>
    </row>
    <row r="174">
      <c r="A174" s="3591">
        <f>IF(D174="","", "HT-" &amp; IFERROR(VLOOKUP(C174, Catalogos!$Z$4:$AA$20, 2, FALSE), "FOL") &amp; "-" &amp; IF(B174="","00", _xludf.WEEKNUM(B174, 2)) &amp; "-" &amp; TEXT(ROW(A171),"000"))</f>
        <v/>
      </c>
      <c r="B174" s="3590" t="n"/>
      <c r="C174" s="3592" t="n"/>
      <c r="D174" s="3593" t="n"/>
      <c r="E174" s="3594">
        <f>IF(D174="","", IFERROR(INDEX(Catalogos!$W$4:$W$100, MATCH(D174, Catalogos!$V$4:$V$100, 0)), ""))</f>
        <v/>
      </c>
      <c r="F174" s="3595">
        <f>IF(D174="","", IFERROR(INDEX(Catalogos!$Y$4:$Y$100, MATCH(D174, Catalogos!$V$4:$V$100, 0)), ""))</f>
        <v/>
      </c>
      <c r="G174" s="3596" t="n"/>
      <c r="H174" s="3597" t="n"/>
      <c r="I174">
        <f>IF(E174="","", G174 * IFERROR(INDEX(Maquinaria_Inventario!$K$2:$K$100, MATCH(E174, Maquinaria_Inventario!$L$2:$L$100, 0)), 0))</f>
        <v/>
      </c>
      <c r="J174">
        <f>IF(B174="","", _xludf.WEEKNUM(B174, 2))</f>
        <v/>
      </c>
    </row>
    <row r="175">
      <c r="A175" s="3599">
        <f>IF(D175="","", "HT-" &amp; IFERROR(VLOOKUP(C175, Catalogos!$Z$4:$AA$20, 2, FALSE), "FOL") &amp; "-" &amp; IF(B175="","00", _xludf.WEEKNUM(B175, 2)) &amp; "-" &amp; TEXT(ROW(A172),"000"))</f>
        <v/>
      </c>
      <c r="B175" s="3598" t="n"/>
      <c r="C175" s="3600" t="n"/>
      <c r="D175" s="3601" t="n"/>
      <c r="E175" s="3602">
        <f>IF(D175="","", IFERROR(INDEX(Catalogos!$W$4:$W$100, MATCH(D175, Catalogos!$V$4:$V$100, 0)), ""))</f>
        <v/>
      </c>
      <c r="F175" s="3603">
        <f>IF(D175="","", IFERROR(INDEX(Catalogos!$Y$4:$Y$100, MATCH(D175, Catalogos!$V$4:$V$100, 0)), ""))</f>
        <v/>
      </c>
      <c r="G175" s="3604" t="n"/>
      <c r="H175" s="3605" t="n"/>
      <c r="I175">
        <f>IF(E175="","", G175 * IFERROR(INDEX(Maquinaria_Inventario!$K$2:$K$100, MATCH(E175, Maquinaria_Inventario!$L$2:$L$100, 0)), 0))</f>
        <v/>
      </c>
      <c r="J175">
        <f>IF(B175="","", _xludf.WEEKNUM(B175, 2))</f>
        <v/>
      </c>
    </row>
    <row r="176">
      <c r="A176" s="3607">
        <f>IF(D176="","", "HT-" &amp; IFERROR(VLOOKUP(C176, Catalogos!$Z$4:$AA$20, 2, FALSE), "FOL") &amp; "-" &amp; IF(B176="","00", _xludf.WEEKNUM(B176, 2)) &amp; "-" &amp; TEXT(ROW(A173),"000"))</f>
        <v/>
      </c>
      <c r="B176" s="3606" t="n"/>
      <c r="C176" s="3608" t="n"/>
      <c r="D176" s="3609" t="n"/>
      <c r="E176" s="3610">
        <f>IF(D176="","", IFERROR(INDEX(Catalogos!$W$4:$W$100, MATCH(D176, Catalogos!$V$4:$V$100, 0)), ""))</f>
        <v/>
      </c>
      <c r="F176" s="3611">
        <f>IF(D176="","", IFERROR(INDEX(Catalogos!$Y$4:$Y$100, MATCH(D176, Catalogos!$V$4:$V$100, 0)), ""))</f>
        <v/>
      </c>
      <c r="G176" s="3612" t="n"/>
      <c r="H176" s="3613" t="n"/>
      <c r="I176">
        <f>IF(E176="","", G176 * IFERROR(INDEX(Maquinaria_Inventario!$K$2:$K$100, MATCH(E176, Maquinaria_Inventario!$L$2:$L$100, 0)), 0))</f>
        <v/>
      </c>
      <c r="J176">
        <f>IF(B176="","", _xludf.WEEKNUM(B176, 2))</f>
        <v/>
      </c>
    </row>
    <row r="177">
      <c r="A177" s="3615">
        <f>IF(D177="","", "HT-" &amp; IFERROR(VLOOKUP(C177, Catalogos!$Z$4:$AA$20, 2, FALSE), "FOL") &amp; "-" &amp; IF(B177="","00", _xludf.WEEKNUM(B177, 2)) &amp; "-" &amp; TEXT(ROW(A174),"000"))</f>
        <v/>
      </c>
      <c r="B177" s="3614" t="n"/>
      <c r="C177" s="3616" t="n"/>
      <c r="D177" s="3617" t="n"/>
      <c r="E177" s="3618">
        <f>IF(D177="","", IFERROR(INDEX(Catalogos!$W$4:$W$100, MATCH(D177, Catalogos!$V$4:$V$100, 0)), ""))</f>
        <v/>
      </c>
      <c r="F177" s="3619">
        <f>IF(D177="","", IFERROR(INDEX(Catalogos!$Y$4:$Y$100, MATCH(D177, Catalogos!$V$4:$V$100, 0)), ""))</f>
        <v/>
      </c>
      <c r="G177" s="3620" t="n"/>
      <c r="H177" s="3621" t="n"/>
      <c r="I177">
        <f>IF(E177="","", G177 * IFERROR(INDEX(Maquinaria_Inventario!$K$2:$K$100, MATCH(E177, Maquinaria_Inventario!$L$2:$L$100, 0)), 0))</f>
        <v/>
      </c>
      <c r="J177">
        <f>IF(B177="","", _xludf.WEEKNUM(B177, 2))</f>
        <v/>
      </c>
    </row>
    <row r="178">
      <c r="A178" s="3623">
        <f>IF(D178="","", "HT-" &amp; IFERROR(VLOOKUP(C178, Catalogos!$Z$4:$AA$20, 2, FALSE), "FOL") &amp; "-" &amp; IF(B178="","00", _xludf.WEEKNUM(B178, 2)) &amp; "-" &amp; TEXT(ROW(A175),"000"))</f>
        <v/>
      </c>
      <c r="B178" s="3622" t="n"/>
      <c r="C178" s="3624" t="n"/>
      <c r="D178" s="3625" t="n"/>
      <c r="E178" s="3626">
        <f>IF(D178="","", IFERROR(INDEX(Catalogos!$W$4:$W$100, MATCH(D178, Catalogos!$V$4:$V$100, 0)), ""))</f>
        <v/>
      </c>
      <c r="F178" s="3627">
        <f>IF(D178="","", IFERROR(INDEX(Catalogos!$Y$4:$Y$100, MATCH(D178, Catalogos!$V$4:$V$100, 0)), ""))</f>
        <v/>
      </c>
      <c r="G178" s="3628" t="n"/>
      <c r="H178" s="3629" t="n"/>
      <c r="I178">
        <f>IF(E178="","", G178 * IFERROR(INDEX(Maquinaria_Inventario!$K$2:$K$100, MATCH(E178, Maquinaria_Inventario!$L$2:$L$100, 0)), 0))</f>
        <v/>
      </c>
      <c r="J178">
        <f>IF(B178="","", _xludf.WEEKNUM(B178, 2))</f>
        <v/>
      </c>
    </row>
    <row r="179">
      <c r="A179" s="3631">
        <f>IF(D179="","", "HT-" &amp; IFERROR(VLOOKUP(C179, Catalogos!$Z$4:$AA$20, 2, FALSE), "FOL") &amp; "-" &amp; IF(B179="","00", _xludf.WEEKNUM(B179, 2)) &amp; "-" &amp; TEXT(ROW(A176),"000"))</f>
        <v/>
      </c>
      <c r="B179" s="3630" t="n"/>
      <c r="C179" s="3632" t="n"/>
      <c r="D179" s="3633" t="n"/>
      <c r="E179" s="3634">
        <f>IF(D179="","", IFERROR(INDEX(Catalogos!$W$4:$W$100, MATCH(D179, Catalogos!$V$4:$V$100, 0)), ""))</f>
        <v/>
      </c>
      <c r="F179" s="3635">
        <f>IF(D179="","", IFERROR(INDEX(Catalogos!$Y$4:$Y$100, MATCH(D179, Catalogos!$V$4:$V$100, 0)), ""))</f>
        <v/>
      </c>
      <c r="G179" s="3636" t="n"/>
      <c r="H179" s="3637" t="n"/>
      <c r="I179">
        <f>IF(E179="","", G179 * IFERROR(INDEX(Maquinaria_Inventario!$K$2:$K$100, MATCH(E179, Maquinaria_Inventario!$L$2:$L$100, 0)), 0))</f>
        <v/>
      </c>
      <c r="J179">
        <f>IF(B179="","", _xludf.WEEKNUM(B179, 2))</f>
        <v/>
      </c>
    </row>
    <row r="180">
      <c r="A180" s="3639">
        <f>IF(D180="","", "HT-" &amp; IFERROR(VLOOKUP(C180, Catalogos!$Z$4:$AA$20, 2, FALSE), "FOL") &amp; "-" &amp; IF(B180="","00", _xludf.WEEKNUM(B180, 2)) &amp; "-" &amp; TEXT(ROW(A177),"000"))</f>
        <v/>
      </c>
      <c r="B180" s="3638" t="n"/>
      <c r="C180" s="3640" t="n"/>
      <c r="D180" s="3641" t="n"/>
      <c r="E180" s="3642">
        <f>IF(D180="","", IFERROR(INDEX(Catalogos!$W$4:$W$100, MATCH(D180, Catalogos!$V$4:$V$100, 0)), ""))</f>
        <v/>
      </c>
      <c r="F180" s="3643">
        <f>IF(D180="","", IFERROR(INDEX(Catalogos!$Y$4:$Y$100, MATCH(D180, Catalogos!$V$4:$V$100, 0)), ""))</f>
        <v/>
      </c>
      <c r="G180" s="3644" t="n"/>
      <c r="H180" s="3645" t="n"/>
      <c r="I180">
        <f>IF(E180="","", G180 * IFERROR(INDEX(Maquinaria_Inventario!$K$2:$K$100, MATCH(E180, Maquinaria_Inventario!$L$2:$L$100, 0)), 0))</f>
        <v/>
      </c>
      <c r="J180">
        <f>IF(B180="","", _xludf.WEEKNUM(B180, 2))</f>
        <v/>
      </c>
    </row>
    <row r="181">
      <c r="A181" s="3647">
        <f>IF(D181="","", "HT-" &amp; IFERROR(VLOOKUP(C181, Catalogos!$Z$4:$AA$20, 2, FALSE), "FOL") &amp; "-" &amp; IF(B181="","00", _xludf.WEEKNUM(B181, 2)) &amp; "-" &amp; TEXT(ROW(A178),"000"))</f>
        <v/>
      </c>
      <c r="B181" s="3646" t="n"/>
      <c r="C181" s="3648" t="n"/>
      <c r="D181" s="3649" t="n"/>
      <c r="E181" s="3650">
        <f>IF(D181="","", IFERROR(INDEX(Catalogos!$W$4:$W$100, MATCH(D181, Catalogos!$V$4:$V$100, 0)), ""))</f>
        <v/>
      </c>
      <c r="F181" s="3651">
        <f>IF(D181="","", IFERROR(INDEX(Catalogos!$Y$4:$Y$100, MATCH(D181, Catalogos!$V$4:$V$100, 0)), ""))</f>
        <v/>
      </c>
      <c r="G181" s="3652" t="n"/>
      <c r="H181" s="3653" t="n"/>
      <c r="I181">
        <f>IF(E181="","", G181 * IFERROR(INDEX(Maquinaria_Inventario!$K$2:$K$100, MATCH(E181, Maquinaria_Inventario!$L$2:$L$100, 0)), 0))</f>
        <v/>
      </c>
      <c r="J181">
        <f>IF(B181="","", _xludf.WEEKNUM(B181, 2))</f>
        <v/>
      </c>
    </row>
    <row r="182">
      <c r="A182" s="3655">
        <f>IF(D182="","", "HT-" &amp; IFERROR(VLOOKUP(C182, Catalogos!$Z$4:$AA$20, 2, FALSE), "FOL") &amp; "-" &amp; IF(B182="","00", _xludf.WEEKNUM(B182, 2)) &amp; "-" &amp; TEXT(ROW(A179),"000"))</f>
        <v/>
      </c>
      <c r="B182" s="3654" t="n"/>
      <c r="C182" s="3656" t="n"/>
      <c r="D182" s="3657" t="n"/>
      <c r="E182" s="3658">
        <f>IF(D182="","", IFERROR(INDEX(Catalogos!$W$4:$W$100, MATCH(D182, Catalogos!$V$4:$V$100, 0)), ""))</f>
        <v/>
      </c>
      <c r="F182" s="3659">
        <f>IF(D182="","", IFERROR(INDEX(Catalogos!$Y$4:$Y$100, MATCH(D182, Catalogos!$V$4:$V$100, 0)), ""))</f>
        <v/>
      </c>
      <c r="G182" s="3660" t="n"/>
      <c r="H182" s="3661" t="n"/>
      <c r="I182">
        <f>IF(E182="","", G182 * IFERROR(INDEX(Maquinaria_Inventario!$K$2:$K$100, MATCH(E182, Maquinaria_Inventario!$L$2:$L$100, 0)), 0))</f>
        <v/>
      </c>
      <c r="J182">
        <f>IF(B182="","", _xludf.WEEKNUM(B182, 2))</f>
        <v/>
      </c>
    </row>
    <row r="183">
      <c r="A183" s="3663">
        <f>IF(D183="","", "HT-" &amp; IFERROR(VLOOKUP(C183, Catalogos!$Z$4:$AA$20, 2, FALSE), "FOL") &amp; "-" &amp; IF(B183="","00", _xludf.WEEKNUM(B183, 2)) &amp; "-" &amp; TEXT(ROW(A180),"000"))</f>
        <v/>
      </c>
      <c r="B183" s="3662" t="n"/>
      <c r="C183" s="3664" t="n"/>
      <c r="D183" s="3665" t="n"/>
      <c r="E183" s="3666">
        <f>IF(D183="","", IFERROR(INDEX(Catalogos!$W$4:$W$100, MATCH(D183, Catalogos!$V$4:$V$100, 0)), ""))</f>
        <v/>
      </c>
      <c r="F183" s="3667">
        <f>IF(D183="","", IFERROR(INDEX(Catalogos!$Y$4:$Y$100, MATCH(D183, Catalogos!$V$4:$V$100, 0)), ""))</f>
        <v/>
      </c>
      <c r="G183" s="3668" t="n"/>
      <c r="H183" s="3669" t="n"/>
      <c r="I183">
        <f>IF(E183="","", G183 * IFERROR(INDEX(Maquinaria_Inventario!$K$2:$K$100, MATCH(E183, Maquinaria_Inventario!$L$2:$L$100, 0)), 0))</f>
        <v/>
      </c>
      <c r="J183">
        <f>IF(B183="","", _xludf.WEEKNUM(B183, 2))</f>
        <v/>
      </c>
    </row>
    <row r="184">
      <c r="A184" s="3671">
        <f>IF(D184="","", "HT-" &amp; IFERROR(VLOOKUP(C184, Catalogos!$Z$4:$AA$20, 2, FALSE), "FOL") &amp; "-" &amp; IF(B184="","00", _xludf.WEEKNUM(B184, 2)) &amp; "-" &amp; TEXT(ROW(A181),"000"))</f>
        <v/>
      </c>
      <c r="B184" s="3670" t="n"/>
      <c r="C184" s="3672" t="n"/>
      <c r="D184" s="3673" t="n"/>
      <c r="E184" s="3674">
        <f>IF(D184="","", IFERROR(INDEX(Catalogos!$W$4:$W$100, MATCH(D184, Catalogos!$V$4:$V$100, 0)), ""))</f>
        <v/>
      </c>
      <c r="F184" s="3675">
        <f>IF(D184="","", IFERROR(INDEX(Catalogos!$Y$4:$Y$100, MATCH(D184, Catalogos!$V$4:$V$100, 0)), ""))</f>
        <v/>
      </c>
      <c r="G184" s="3676" t="n"/>
      <c r="H184" s="3677" t="n"/>
      <c r="I184">
        <f>IF(E184="","", G184 * IFERROR(INDEX(Maquinaria_Inventario!$K$2:$K$100, MATCH(E184, Maquinaria_Inventario!$L$2:$L$100, 0)), 0))</f>
        <v/>
      </c>
      <c r="J184">
        <f>IF(B184="","", _xludf.WEEKNUM(B184, 2))</f>
        <v/>
      </c>
    </row>
    <row r="185">
      <c r="A185" s="3679">
        <f>IF(D185="","", "HT-" &amp; IFERROR(VLOOKUP(C185, Catalogos!$Z$4:$AA$20, 2, FALSE), "FOL") &amp; "-" &amp; IF(B185="","00", _xludf.WEEKNUM(B185, 2)) &amp; "-" &amp; TEXT(ROW(A182),"000"))</f>
        <v/>
      </c>
      <c r="B185" s="3678" t="n"/>
      <c r="C185" s="3680" t="n"/>
      <c r="D185" s="3681" t="n"/>
      <c r="E185" s="3682">
        <f>IF(D185="","", IFERROR(INDEX(Catalogos!$W$4:$W$100, MATCH(D185, Catalogos!$V$4:$V$100, 0)), ""))</f>
        <v/>
      </c>
      <c r="F185" s="3683">
        <f>IF(D185="","", IFERROR(INDEX(Catalogos!$Y$4:$Y$100, MATCH(D185, Catalogos!$V$4:$V$100, 0)), ""))</f>
        <v/>
      </c>
      <c r="G185" s="3684" t="n"/>
      <c r="H185" s="3685" t="n"/>
      <c r="I185">
        <f>IF(E185="","", G185 * IFERROR(INDEX(Maquinaria_Inventario!$K$2:$K$100, MATCH(E185, Maquinaria_Inventario!$L$2:$L$100, 0)), 0))</f>
        <v/>
      </c>
      <c r="J185">
        <f>IF(B185="","", _xludf.WEEKNUM(B185, 2))</f>
        <v/>
      </c>
    </row>
    <row r="186">
      <c r="A186" s="3687">
        <f>IF(D186="","", "HT-" &amp; IFERROR(VLOOKUP(C186, Catalogos!$Z$4:$AA$20, 2, FALSE), "FOL") &amp; "-" &amp; IF(B186="","00", _xludf.WEEKNUM(B186, 2)) &amp; "-" &amp; TEXT(ROW(A183),"000"))</f>
        <v/>
      </c>
      <c r="B186" s="3686" t="n"/>
      <c r="C186" s="3688" t="n"/>
      <c r="D186" s="3689" t="n"/>
      <c r="E186" s="3690">
        <f>IF(D186="","", IFERROR(INDEX(Catalogos!$W$4:$W$100, MATCH(D186, Catalogos!$V$4:$V$100, 0)), ""))</f>
        <v/>
      </c>
      <c r="F186" s="3691">
        <f>IF(D186="","", IFERROR(INDEX(Catalogos!$Y$4:$Y$100, MATCH(D186, Catalogos!$V$4:$V$100, 0)), ""))</f>
        <v/>
      </c>
      <c r="G186" s="3692" t="n"/>
      <c r="H186" s="3693" t="n"/>
      <c r="I186">
        <f>IF(E186="","", G186 * IFERROR(INDEX(Maquinaria_Inventario!$K$2:$K$100, MATCH(E186, Maquinaria_Inventario!$L$2:$L$100, 0)), 0))</f>
        <v/>
      </c>
      <c r="J186">
        <f>IF(B186="","", _xludf.WEEKNUM(B186, 2))</f>
        <v/>
      </c>
    </row>
    <row r="187">
      <c r="A187" s="3695">
        <f>IF(D187="","", "HT-" &amp; IFERROR(VLOOKUP(C187, Catalogos!$Z$4:$AA$20, 2, FALSE), "FOL") &amp; "-" &amp; IF(B187="","00", _xludf.WEEKNUM(B187, 2)) &amp; "-" &amp; TEXT(ROW(A184),"000"))</f>
        <v/>
      </c>
      <c r="B187" s="3694" t="n"/>
      <c r="C187" s="3696" t="n"/>
      <c r="D187" s="3697" t="n"/>
      <c r="E187" s="3698">
        <f>IF(D187="","", IFERROR(INDEX(Catalogos!$W$4:$W$100, MATCH(D187, Catalogos!$V$4:$V$100, 0)), ""))</f>
        <v/>
      </c>
      <c r="F187" s="3699">
        <f>IF(D187="","", IFERROR(INDEX(Catalogos!$Y$4:$Y$100, MATCH(D187, Catalogos!$V$4:$V$100, 0)), ""))</f>
        <v/>
      </c>
      <c r="G187" s="3700" t="n"/>
      <c r="H187" s="3701" t="n"/>
      <c r="I187">
        <f>IF(E187="","", G187 * IFERROR(INDEX(Maquinaria_Inventario!$K$2:$K$100, MATCH(E187, Maquinaria_Inventario!$L$2:$L$100, 0)), 0))</f>
        <v/>
      </c>
      <c r="J187">
        <f>IF(B187="","", _xludf.WEEKNUM(B187, 2))</f>
        <v/>
      </c>
    </row>
    <row r="188">
      <c r="A188" s="3703">
        <f>IF(D188="","", "HT-" &amp; IFERROR(VLOOKUP(C188, Catalogos!$Z$4:$AA$20, 2, FALSE), "FOL") &amp; "-" &amp; IF(B188="","00", _xludf.WEEKNUM(B188, 2)) &amp; "-" &amp; TEXT(ROW(A185),"000"))</f>
        <v/>
      </c>
      <c r="B188" s="3702" t="n"/>
      <c r="C188" s="3704" t="n"/>
      <c r="D188" s="3705" t="n"/>
      <c r="E188" s="3706">
        <f>IF(D188="","", IFERROR(INDEX(Catalogos!$W$4:$W$100, MATCH(D188, Catalogos!$V$4:$V$100, 0)), ""))</f>
        <v/>
      </c>
      <c r="F188" s="3707">
        <f>IF(D188="","", IFERROR(INDEX(Catalogos!$Y$4:$Y$100, MATCH(D188, Catalogos!$V$4:$V$100, 0)), ""))</f>
        <v/>
      </c>
      <c r="G188" s="3708" t="n"/>
      <c r="H188" s="3709" t="n"/>
      <c r="I188">
        <f>IF(E188="","", G188 * IFERROR(INDEX(Maquinaria_Inventario!$K$2:$K$100, MATCH(E188, Maquinaria_Inventario!$L$2:$L$100, 0)), 0))</f>
        <v/>
      </c>
      <c r="J188">
        <f>IF(B188="","", _xludf.WEEKNUM(B188, 2))</f>
        <v/>
      </c>
    </row>
    <row r="189">
      <c r="A189" s="3711">
        <f>IF(D189="","", "HT-" &amp; IFERROR(VLOOKUP(C189, Catalogos!$Z$4:$AA$20, 2, FALSE), "FOL") &amp; "-" &amp; IF(B189="","00", _xludf.WEEKNUM(B189, 2)) &amp; "-" &amp; TEXT(ROW(A186),"000"))</f>
        <v/>
      </c>
      <c r="B189" s="3710" t="n"/>
      <c r="C189" s="3712" t="n"/>
      <c r="D189" s="3713" t="n"/>
      <c r="E189" s="3714">
        <f>IF(D189="","", IFERROR(INDEX(Catalogos!$W$4:$W$100, MATCH(D189, Catalogos!$V$4:$V$100, 0)), ""))</f>
        <v/>
      </c>
      <c r="F189" s="3715">
        <f>IF(D189="","", IFERROR(INDEX(Catalogos!$Y$4:$Y$100, MATCH(D189, Catalogos!$V$4:$V$100, 0)), ""))</f>
        <v/>
      </c>
      <c r="G189" s="3716" t="n"/>
      <c r="H189" s="3717" t="n"/>
      <c r="I189">
        <f>IF(E189="","", G189 * IFERROR(INDEX(Maquinaria_Inventario!$K$2:$K$100, MATCH(E189, Maquinaria_Inventario!$L$2:$L$100, 0)), 0))</f>
        <v/>
      </c>
      <c r="J189">
        <f>IF(B189="","", _xludf.WEEKNUM(B189, 2))</f>
        <v/>
      </c>
    </row>
    <row r="190">
      <c r="A190" s="3719">
        <f>IF(D190="","", "HT-" &amp; IFERROR(VLOOKUP(C190, Catalogos!$Z$4:$AA$20, 2, FALSE), "FOL") &amp; "-" &amp; IF(B190="","00", _xludf.WEEKNUM(B190, 2)) &amp; "-" &amp; TEXT(ROW(A187),"000"))</f>
        <v/>
      </c>
      <c r="B190" s="3718" t="n"/>
      <c r="C190" s="3720" t="n"/>
      <c r="D190" s="3721" t="n"/>
      <c r="E190" s="3722">
        <f>IF(D190="","", IFERROR(INDEX(Catalogos!$W$4:$W$100, MATCH(D190, Catalogos!$V$4:$V$100, 0)), ""))</f>
        <v/>
      </c>
      <c r="F190" s="3723">
        <f>IF(D190="","", IFERROR(INDEX(Catalogos!$Y$4:$Y$100, MATCH(D190, Catalogos!$V$4:$V$100, 0)), ""))</f>
        <v/>
      </c>
      <c r="G190" s="3724" t="n"/>
      <c r="H190" s="3725" t="n"/>
      <c r="I190">
        <f>IF(E190="","", G190 * IFERROR(INDEX(Maquinaria_Inventario!$K$2:$K$100, MATCH(E190, Maquinaria_Inventario!$L$2:$L$100, 0)), 0))</f>
        <v/>
      </c>
      <c r="J190">
        <f>IF(B190="","", _xludf.WEEKNUM(B190, 2))</f>
        <v/>
      </c>
    </row>
    <row r="191">
      <c r="A191" s="3727">
        <f>IF(D191="","", "HT-" &amp; IFERROR(VLOOKUP(C191, Catalogos!$Z$4:$AA$20, 2, FALSE), "FOL") &amp; "-" &amp; IF(B191="","00", _xludf.WEEKNUM(B191, 2)) &amp; "-" &amp; TEXT(ROW(A188),"000"))</f>
        <v/>
      </c>
      <c r="B191" s="3726" t="n"/>
      <c r="C191" s="3728" t="n"/>
      <c r="D191" s="3729" t="n"/>
      <c r="E191" s="3730">
        <f>IF(D191="","", IFERROR(INDEX(Catalogos!$W$4:$W$100, MATCH(D191, Catalogos!$V$4:$V$100, 0)), ""))</f>
        <v/>
      </c>
      <c r="F191" s="3731">
        <f>IF(D191="","", IFERROR(INDEX(Catalogos!$Y$4:$Y$100, MATCH(D191, Catalogos!$V$4:$V$100, 0)), ""))</f>
        <v/>
      </c>
      <c r="G191" s="3732" t="n"/>
      <c r="H191" s="3733" t="n"/>
      <c r="I191">
        <f>IF(E191="","", G191 * IFERROR(INDEX(Maquinaria_Inventario!$K$2:$K$100, MATCH(E191, Maquinaria_Inventario!$L$2:$L$100, 0)), 0))</f>
        <v/>
      </c>
      <c r="J191">
        <f>IF(B191="","", _xludf.WEEKNUM(B191, 2))</f>
        <v/>
      </c>
    </row>
    <row r="192">
      <c r="A192" s="3735">
        <f>IF(D192="","", "HT-" &amp; IFERROR(VLOOKUP(C192, Catalogos!$Z$4:$AA$20, 2, FALSE), "FOL") &amp; "-" &amp; IF(B192="","00", _xludf.WEEKNUM(B192, 2)) &amp; "-" &amp; TEXT(ROW(A189),"000"))</f>
        <v/>
      </c>
      <c r="B192" s="3734" t="n"/>
      <c r="C192" s="3736" t="n"/>
      <c r="D192" s="3737" t="n"/>
      <c r="E192" s="3738">
        <f>IF(D192="","", IFERROR(INDEX(Catalogos!$W$4:$W$100, MATCH(D192, Catalogos!$V$4:$V$100, 0)), ""))</f>
        <v/>
      </c>
      <c r="F192" s="3739">
        <f>IF(D192="","", IFERROR(INDEX(Catalogos!$Y$4:$Y$100, MATCH(D192, Catalogos!$V$4:$V$100, 0)), ""))</f>
        <v/>
      </c>
      <c r="G192" s="3740" t="n"/>
      <c r="H192" s="3741" t="n"/>
      <c r="I192">
        <f>IF(E192="","", G192 * IFERROR(INDEX(Maquinaria_Inventario!$K$2:$K$100, MATCH(E192, Maquinaria_Inventario!$L$2:$L$100, 0)), 0))</f>
        <v/>
      </c>
      <c r="J192">
        <f>IF(B192="","", _xludf.WEEKNUM(B192, 2))</f>
        <v/>
      </c>
    </row>
    <row r="193">
      <c r="A193" s="3743">
        <f>IF(D193="","", "HT-" &amp; IFERROR(VLOOKUP(C193, Catalogos!$Z$4:$AA$20, 2, FALSE), "FOL") &amp; "-" &amp; IF(B193="","00", _xludf.WEEKNUM(B193, 2)) &amp; "-" &amp; TEXT(ROW(A190),"000"))</f>
        <v/>
      </c>
      <c r="B193" s="3742" t="n"/>
      <c r="C193" s="3744" t="n"/>
      <c r="D193" s="3745" t="n"/>
      <c r="E193" s="3746">
        <f>IF(D193="","", IFERROR(INDEX(Catalogos!$W$4:$W$100, MATCH(D193, Catalogos!$V$4:$V$100, 0)), ""))</f>
        <v/>
      </c>
      <c r="F193" s="3747">
        <f>IF(D193="","", IFERROR(INDEX(Catalogos!$Y$4:$Y$100, MATCH(D193, Catalogos!$V$4:$V$100, 0)), ""))</f>
        <v/>
      </c>
      <c r="G193" s="3748" t="n"/>
      <c r="H193" s="3749" t="n"/>
      <c r="I193">
        <f>IF(E193="","", G193 * IFERROR(INDEX(Maquinaria_Inventario!$K$2:$K$100, MATCH(E193, Maquinaria_Inventario!$L$2:$L$100, 0)), 0))</f>
        <v/>
      </c>
      <c r="J193">
        <f>IF(B193="","", _xludf.WEEKNUM(B193, 2))</f>
        <v/>
      </c>
    </row>
    <row r="194">
      <c r="A194" s="3751">
        <f>IF(D194="","", "HT-" &amp; IFERROR(VLOOKUP(C194, Catalogos!$Z$4:$AA$20, 2, FALSE), "FOL") &amp; "-" &amp; IF(B194="","00", _xludf.WEEKNUM(B194, 2)) &amp; "-" &amp; TEXT(ROW(A191),"000"))</f>
        <v/>
      </c>
      <c r="B194" s="3750" t="n"/>
      <c r="C194" s="3752" t="n"/>
      <c r="D194" s="3753" t="n"/>
      <c r="E194" s="3754">
        <f>IF(D194="","", IFERROR(INDEX(Catalogos!$W$4:$W$100, MATCH(D194, Catalogos!$V$4:$V$100, 0)), ""))</f>
        <v/>
      </c>
      <c r="F194" s="3755">
        <f>IF(D194="","", IFERROR(INDEX(Catalogos!$Y$4:$Y$100, MATCH(D194, Catalogos!$V$4:$V$100, 0)), ""))</f>
        <v/>
      </c>
      <c r="G194" s="3756" t="n"/>
      <c r="H194" s="3757" t="n"/>
      <c r="I194">
        <f>IF(E194="","", G194 * IFERROR(INDEX(Maquinaria_Inventario!$K$2:$K$100, MATCH(E194, Maquinaria_Inventario!$L$2:$L$100, 0)), 0))</f>
        <v/>
      </c>
      <c r="J194">
        <f>IF(B194="","", _xludf.WEEKNUM(B194, 2))</f>
        <v/>
      </c>
    </row>
    <row r="195">
      <c r="A195" s="3759">
        <f>IF(D195="","", "HT-" &amp; IFERROR(VLOOKUP(C195, Catalogos!$Z$4:$AA$20, 2, FALSE), "FOL") &amp; "-" &amp; IF(B195="","00", _xludf.WEEKNUM(B195, 2)) &amp; "-" &amp; TEXT(ROW(A192),"000"))</f>
        <v/>
      </c>
      <c r="B195" s="3758" t="n"/>
      <c r="C195" s="3760" t="n"/>
      <c r="D195" s="3761" t="n"/>
      <c r="E195" s="3762">
        <f>IF(D195="","", IFERROR(INDEX(Catalogos!$W$4:$W$100, MATCH(D195, Catalogos!$V$4:$V$100, 0)), ""))</f>
        <v/>
      </c>
      <c r="F195" s="3763">
        <f>IF(D195="","", IFERROR(INDEX(Catalogos!$Y$4:$Y$100, MATCH(D195, Catalogos!$V$4:$V$100, 0)), ""))</f>
        <v/>
      </c>
      <c r="G195" s="3764" t="n"/>
      <c r="H195" s="3765" t="n"/>
      <c r="I195">
        <f>IF(E195="","", G195 * IFERROR(INDEX(Maquinaria_Inventario!$K$2:$K$100, MATCH(E195, Maquinaria_Inventario!$L$2:$L$100, 0)), 0))</f>
        <v/>
      </c>
      <c r="J195">
        <f>IF(B195="","", _xludf.WEEKNUM(B195, 2))</f>
        <v/>
      </c>
    </row>
    <row r="196">
      <c r="A196" s="3767">
        <f>IF(D196="","", "HT-" &amp; IFERROR(VLOOKUP(C196, Catalogos!$Z$4:$AA$20, 2, FALSE), "FOL") &amp; "-" &amp; IF(B196="","00", _xludf.WEEKNUM(B196, 2)) &amp; "-" &amp; TEXT(ROW(A193),"000"))</f>
        <v/>
      </c>
      <c r="B196" s="3766" t="n"/>
      <c r="C196" s="3768" t="n"/>
      <c r="D196" s="3769" t="n"/>
      <c r="E196" s="3770">
        <f>IF(D196="","", IFERROR(INDEX(Catalogos!$W$4:$W$100, MATCH(D196, Catalogos!$V$4:$V$100, 0)), ""))</f>
        <v/>
      </c>
      <c r="F196" s="3771">
        <f>IF(D196="","", IFERROR(INDEX(Catalogos!$Y$4:$Y$100, MATCH(D196, Catalogos!$V$4:$V$100, 0)), ""))</f>
        <v/>
      </c>
      <c r="G196" s="3772" t="n"/>
      <c r="H196" s="3773" t="n"/>
      <c r="I196">
        <f>IF(E196="","", G196 * IFERROR(INDEX(Maquinaria_Inventario!$K$2:$K$100, MATCH(E196, Maquinaria_Inventario!$L$2:$L$100, 0)), 0))</f>
        <v/>
      </c>
      <c r="J196">
        <f>IF(B196="","", _xludf.WEEKNUM(B196, 2))</f>
        <v/>
      </c>
    </row>
    <row r="197">
      <c r="A197" s="3775">
        <f>IF(D197="","", "HT-" &amp; IFERROR(VLOOKUP(C197, Catalogos!$Z$4:$AA$20, 2, FALSE), "FOL") &amp; "-" &amp; IF(B197="","00", _xludf.WEEKNUM(B197, 2)) &amp; "-" &amp; TEXT(ROW(A194),"000"))</f>
        <v/>
      </c>
      <c r="B197" s="3774" t="n"/>
      <c r="C197" s="3776" t="n"/>
      <c r="D197" s="3777" t="n"/>
      <c r="E197" s="3778">
        <f>IF(D197="","", IFERROR(INDEX(Catalogos!$W$4:$W$100, MATCH(D197, Catalogos!$V$4:$V$100, 0)), ""))</f>
        <v/>
      </c>
      <c r="F197" s="3779">
        <f>IF(D197="","", IFERROR(INDEX(Catalogos!$Y$4:$Y$100, MATCH(D197, Catalogos!$V$4:$V$100, 0)), ""))</f>
        <v/>
      </c>
      <c r="G197" s="3780" t="n"/>
      <c r="H197" s="3781" t="n"/>
      <c r="I197">
        <f>IF(E197="","", G197 * IFERROR(INDEX(Maquinaria_Inventario!$K$2:$K$100, MATCH(E197, Maquinaria_Inventario!$L$2:$L$100, 0)), 0))</f>
        <v/>
      </c>
      <c r="J197">
        <f>IF(B197="","", _xludf.WEEKNUM(B197, 2))</f>
        <v/>
      </c>
    </row>
    <row r="198">
      <c r="A198" s="3783">
        <f>IF(D198="","", "HT-" &amp; IFERROR(VLOOKUP(C198, Catalogos!$Z$4:$AA$20, 2, FALSE), "FOL") &amp; "-" &amp; IF(B198="","00", _xludf.WEEKNUM(B198, 2)) &amp; "-" &amp; TEXT(ROW(A195),"000"))</f>
        <v/>
      </c>
      <c r="B198" s="3782" t="n"/>
      <c r="C198" s="3784" t="n"/>
      <c r="D198" s="3785" t="n"/>
      <c r="E198" s="3786">
        <f>IF(D198="","", IFERROR(INDEX(Catalogos!$W$4:$W$100, MATCH(D198, Catalogos!$V$4:$V$100, 0)), ""))</f>
        <v/>
      </c>
      <c r="F198" s="3787">
        <f>IF(D198="","", IFERROR(INDEX(Catalogos!$Y$4:$Y$100, MATCH(D198, Catalogos!$V$4:$V$100, 0)), ""))</f>
        <v/>
      </c>
      <c r="G198" s="3788" t="n"/>
      <c r="H198" s="3789" t="n"/>
      <c r="I198">
        <f>IF(E198="","", G198 * IFERROR(INDEX(Maquinaria_Inventario!$K$2:$K$100, MATCH(E198, Maquinaria_Inventario!$L$2:$L$100, 0)), 0))</f>
        <v/>
      </c>
      <c r="J198">
        <f>IF(B198="","", _xludf.WEEKNUM(B198, 2))</f>
        <v/>
      </c>
    </row>
    <row r="199">
      <c r="A199" s="3791">
        <f>IF(D199="","", "HT-" &amp; IFERROR(VLOOKUP(C199, Catalogos!$Z$4:$AA$20, 2, FALSE), "FOL") &amp; "-" &amp; IF(B199="","00", _xludf.WEEKNUM(B199, 2)) &amp; "-" &amp; TEXT(ROW(A196),"000"))</f>
        <v/>
      </c>
      <c r="B199" s="3790" t="n"/>
      <c r="C199" s="3792" t="n"/>
      <c r="D199" s="3793" t="n"/>
      <c r="E199" s="3794">
        <f>IF(D199="","", IFERROR(INDEX(Catalogos!$W$4:$W$100, MATCH(D199, Catalogos!$V$4:$V$100, 0)), ""))</f>
        <v/>
      </c>
      <c r="F199" s="3795">
        <f>IF(D199="","", IFERROR(INDEX(Catalogos!$Y$4:$Y$100, MATCH(D199, Catalogos!$V$4:$V$100, 0)), ""))</f>
        <v/>
      </c>
      <c r="G199" s="3796" t="n"/>
      <c r="H199" s="3797" t="n"/>
      <c r="I199">
        <f>IF(E199="","", G199 * IFERROR(INDEX(Maquinaria_Inventario!$K$2:$K$100, MATCH(E199, Maquinaria_Inventario!$L$2:$L$100, 0)), 0))</f>
        <v/>
      </c>
      <c r="J199">
        <f>IF(B199="","", _xludf.WEEKNUM(B199, 2))</f>
        <v/>
      </c>
    </row>
    <row r="200">
      <c r="A200" s="3799">
        <f>IF(D200="","", "HT-" &amp; IFERROR(VLOOKUP(C200, Catalogos!$Z$4:$AA$20, 2, FALSE), "FOL") &amp; "-" &amp; IF(B200="","00", _xludf.WEEKNUM(B200, 2)) &amp; "-" &amp; TEXT(ROW(A197),"000"))</f>
        <v/>
      </c>
      <c r="B200" s="3798" t="n"/>
      <c r="C200" s="3800" t="n"/>
      <c r="D200" s="3801" t="n"/>
      <c r="E200" s="3802">
        <f>IF(D200="","", IFERROR(INDEX(Catalogos!$W$4:$W$100, MATCH(D200, Catalogos!$V$4:$V$100, 0)), ""))</f>
        <v/>
      </c>
      <c r="F200" s="3803">
        <f>IF(D200="","", IFERROR(INDEX(Catalogos!$Y$4:$Y$100, MATCH(D200, Catalogos!$V$4:$V$100, 0)), ""))</f>
        <v/>
      </c>
      <c r="G200" s="3804" t="n"/>
      <c r="H200" s="3805" t="n"/>
      <c r="I200">
        <f>IF(E200="","", G200 * IFERROR(INDEX(Maquinaria_Inventario!$K$2:$K$100, MATCH(E200, Maquinaria_Inventario!$L$2:$L$100, 0)), 0))</f>
        <v/>
      </c>
      <c r="J200">
        <f>IF(B200="","", _xludf.WEEKNUM(B200, 2))</f>
        <v/>
      </c>
    </row>
    <row r="201">
      <c r="J201">
        <f>IF(B201="","", _xludf.WEEKNUM(B201, 2))</f>
        <v/>
      </c>
    </row>
    <row r="202">
      <c r="J202">
        <f>IF(B202="","", _xludf.WEEKNUM(B202, 2))</f>
        <v/>
      </c>
    </row>
    <row r="203">
      <c r="J203">
        <f>IF(B203="","", _xludf.WEEKNUM(B203, 2))</f>
        <v/>
      </c>
    </row>
    <row r="204">
      <c r="J204">
        <f>IF(B204="","", _xludf.WEEKNUM(B204, 2))</f>
        <v/>
      </c>
    </row>
    <row r="205">
      <c r="J205">
        <f>IF(B205="","", _xludf.WEEKNUM(B205, 2))</f>
        <v/>
      </c>
    </row>
    <row r="206">
      <c r="J206">
        <f>IF(B206="","", _xludf.WEEKNUM(B206, 2))</f>
        <v/>
      </c>
    </row>
    <row r="207">
      <c r="J207">
        <f>IF(B207="","", _xludf.WEEKNUM(B207, 2))</f>
        <v/>
      </c>
    </row>
    <row r="208">
      <c r="J208">
        <f>IF(B208="","", _xludf.WEEKNUM(B208, 2))</f>
        <v/>
      </c>
    </row>
    <row r="209">
      <c r="J209">
        <f>IF(B209="","", _xludf.WEEKNUM(B209, 2))</f>
        <v/>
      </c>
    </row>
    <row r="210">
      <c r="J210">
        <f>IF(B210="","", _xludf.WEEKNUM(B210, 2))</f>
        <v/>
      </c>
    </row>
    <row r="211">
      <c r="J211">
        <f>IF(B211="","", _xludf.WEEKNUM(B211, 2))</f>
        <v/>
      </c>
    </row>
    <row r="212">
      <c r="J212">
        <f>IF(B212="","", _xludf.WEEKNUM(B212, 2))</f>
        <v/>
      </c>
    </row>
    <row r="213">
      <c r="J213">
        <f>IF(B213="","", _xludf.WEEKNUM(B213, 2))</f>
        <v/>
      </c>
    </row>
    <row r="214">
      <c r="J214">
        <f>IF(B214="","", _xludf.WEEKNUM(B214, 2))</f>
        <v/>
      </c>
    </row>
    <row r="215">
      <c r="J215">
        <f>IF(B215="","", _xludf.WEEKNUM(B215, 2))</f>
        <v/>
      </c>
    </row>
    <row r="216">
      <c r="J216">
        <f>IF(B216="","", _xludf.WEEKNUM(B216, 2))</f>
        <v/>
      </c>
    </row>
    <row r="217">
      <c r="J217">
        <f>IF(B217="","", _xludf.WEEKNUM(B217, 2))</f>
        <v/>
      </c>
    </row>
    <row r="218">
      <c r="J218">
        <f>IF(B218="","", _xludf.WEEKNUM(B218, 2))</f>
        <v/>
      </c>
    </row>
    <row r="219">
      <c r="J219">
        <f>IF(B219="","", _xludf.WEEKNUM(B219, 2))</f>
        <v/>
      </c>
    </row>
    <row r="220">
      <c r="J220">
        <f>IF(B220="","", _xludf.WEEKNUM(B220, 2))</f>
        <v/>
      </c>
    </row>
    <row r="221">
      <c r="J221">
        <f>IF(B221="","", _xludf.WEEKNUM(B221, 2))</f>
        <v/>
      </c>
    </row>
    <row r="222">
      <c r="J222">
        <f>IF(B222="","", _xludf.WEEKNUM(B222, 2))</f>
        <v/>
      </c>
    </row>
    <row r="223">
      <c r="J223">
        <f>IF(B223="","", _xludf.WEEKNUM(B223, 2))</f>
        <v/>
      </c>
    </row>
    <row r="224">
      <c r="J224">
        <f>IF(B224="","", _xludf.WEEKNUM(B224, 2))</f>
        <v/>
      </c>
    </row>
    <row r="225">
      <c r="J225">
        <f>IF(B225="","", _xludf.WEEKNUM(B225, 2))</f>
        <v/>
      </c>
    </row>
    <row r="226">
      <c r="J226">
        <f>IF(B226="","", _xludf.WEEKNUM(B226, 2))</f>
        <v/>
      </c>
    </row>
    <row r="227">
      <c r="J227">
        <f>IF(B227="","", _xludf.WEEKNUM(B227, 2))</f>
        <v/>
      </c>
    </row>
    <row r="228">
      <c r="J228">
        <f>IF(B228="","", _xludf.WEEKNUM(B228, 2))</f>
        <v/>
      </c>
    </row>
    <row r="229">
      <c r="J229">
        <f>IF(B229="","", _xludf.WEEKNUM(B229, 2))</f>
        <v/>
      </c>
    </row>
    <row r="230">
      <c r="J230">
        <f>IF(B230="","", _xludf.WEEKNUM(B230, 2))</f>
        <v/>
      </c>
    </row>
    <row r="231">
      <c r="J231">
        <f>IF(B231="","", _xludf.WEEKNUM(B231, 2))</f>
        <v/>
      </c>
    </row>
    <row r="232">
      <c r="J232">
        <f>IF(B232="","", _xludf.WEEKNUM(B232, 2))</f>
        <v/>
      </c>
    </row>
    <row r="233">
      <c r="J233">
        <f>IF(B233="","", _xludf.WEEKNUM(B233, 2))</f>
        <v/>
      </c>
    </row>
    <row r="234">
      <c r="J234">
        <f>IF(B234="","", _xludf.WEEKNUM(B234, 2))</f>
        <v/>
      </c>
    </row>
    <row r="235">
      <c r="J235">
        <f>IF(B235="","", _xludf.WEEKNUM(B235, 2))</f>
        <v/>
      </c>
    </row>
    <row r="236">
      <c r="J236">
        <f>IF(B236="","", _xludf.WEEKNUM(B236, 2))</f>
        <v/>
      </c>
    </row>
    <row r="237">
      <c r="J237">
        <f>IF(B237="","", _xludf.WEEKNUM(B237, 2))</f>
        <v/>
      </c>
    </row>
    <row r="238">
      <c r="J238">
        <f>IF(B238="","", _xludf.WEEKNUM(B238, 2))</f>
        <v/>
      </c>
    </row>
    <row r="239">
      <c r="J239">
        <f>IF(B239="","", _xludf.WEEKNUM(B239, 2))</f>
        <v/>
      </c>
    </row>
    <row r="240">
      <c r="J240">
        <f>IF(B240="","", _xludf.WEEKNUM(B240, 2))</f>
        <v/>
      </c>
    </row>
    <row r="241">
      <c r="J241">
        <f>IF(B241="","", _xludf.WEEKNUM(B241, 2))</f>
        <v/>
      </c>
    </row>
    <row r="242">
      <c r="J242">
        <f>IF(B242="","", _xludf.WEEKNUM(B242, 2))</f>
        <v/>
      </c>
    </row>
    <row r="243">
      <c r="J243">
        <f>IF(B243="","", _xludf.WEEKNUM(B243, 2))</f>
        <v/>
      </c>
    </row>
    <row r="244">
      <c r="J244">
        <f>IF(B244="","", _xludf.WEEKNUM(B244, 2))</f>
        <v/>
      </c>
    </row>
    <row r="245">
      <c r="J245">
        <f>IF(B245="","", _xludf.WEEKNUM(B245, 2))</f>
        <v/>
      </c>
    </row>
    <row r="246">
      <c r="J246">
        <f>IF(B246="","", _xludf.WEEKNUM(B246, 2))</f>
        <v/>
      </c>
    </row>
    <row r="247">
      <c r="J247">
        <f>IF(B247="","", _xludf.WEEKNUM(B247, 2))</f>
        <v/>
      </c>
    </row>
    <row r="248">
      <c r="J248">
        <f>IF(B248="","", _xludf.WEEKNUM(B248, 2))</f>
        <v/>
      </c>
    </row>
    <row r="249">
      <c r="J249">
        <f>IF(B249="","", _xludf.WEEKNUM(B249, 2))</f>
        <v/>
      </c>
    </row>
    <row r="250">
      <c r="J250">
        <f>IF(B250="","", _xludf.WEEKNUM(B250, 2))</f>
        <v/>
      </c>
    </row>
    <row r="251">
      <c r="J251">
        <f>IF(B251="","", _xludf.WEEKNUM(B251, 2))</f>
        <v/>
      </c>
    </row>
    <row r="252">
      <c r="J252">
        <f>IF(B252="","", _xludf.WEEKNUM(B252, 2))</f>
        <v/>
      </c>
    </row>
    <row r="253">
      <c r="J253">
        <f>IF(B253="","", _xludf.WEEKNUM(B253, 2))</f>
        <v/>
      </c>
    </row>
    <row r="254">
      <c r="J254">
        <f>IF(B254="","", _xludf.WEEKNUM(B254, 2))</f>
        <v/>
      </c>
    </row>
    <row r="255">
      <c r="J255">
        <f>IF(B255="","", _xludf.WEEKNUM(B255, 2))</f>
        <v/>
      </c>
    </row>
    <row r="256">
      <c r="J256">
        <f>IF(B256="","", _xludf.WEEKNUM(B256, 2))</f>
        <v/>
      </c>
    </row>
    <row r="257">
      <c r="J257">
        <f>IF(B257="","", _xludf.WEEKNUM(B257, 2))</f>
        <v/>
      </c>
    </row>
    <row r="258">
      <c r="J258">
        <f>IF(B258="","", _xludf.WEEKNUM(B258, 2))</f>
        <v/>
      </c>
    </row>
    <row r="259">
      <c r="J259">
        <f>IF(B259="","", _xludf.WEEKNUM(B259, 2))</f>
        <v/>
      </c>
    </row>
    <row r="260">
      <c r="J260">
        <f>IF(B260="","", _xludf.WEEKNUM(B260, 2))</f>
        <v/>
      </c>
    </row>
    <row r="261">
      <c r="J261">
        <f>IF(B261="","", _xludf.WEEKNUM(B261, 2))</f>
        <v/>
      </c>
    </row>
    <row r="262">
      <c r="J262">
        <f>IF(B262="","", _xludf.WEEKNUM(B262, 2))</f>
        <v/>
      </c>
    </row>
    <row r="263">
      <c r="J263">
        <f>IF(B263="","", _xludf.WEEKNUM(B263, 2))</f>
        <v/>
      </c>
    </row>
    <row r="264">
      <c r="J264">
        <f>IF(B264="","", _xludf.WEEKNUM(B264, 2))</f>
        <v/>
      </c>
    </row>
    <row r="265">
      <c r="J265">
        <f>IF(B265="","", _xludf.WEEKNUM(B265, 2))</f>
        <v/>
      </c>
    </row>
    <row r="266">
      <c r="J266">
        <f>IF(B266="","", _xludf.WEEKNUM(B266, 2))</f>
        <v/>
      </c>
    </row>
    <row r="267">
      <c r="J267">
        <f>IF(B267="","", _xludf.WEEKNUM(B267, 2))</f>
        <v/>
      </c>
    </row>
    <row r="268">
      <c r="J268">
        <f>IF(B268="","", _xludf.WEEKNUM(B268, 2))</f>
        <v/>
      </c>
    </row>
    <row r="269">
      <c r="J269">
        <f>IF(B269="","", _xludf.WEEKNUM(B269, 2))</f>
        <v/>
      </c>
    </row>
    <row r="270">
      <c r="J270">
        <f>IF(B270="","", _xludf.WEEKNUM(B270, 2))</f>
        <v/>
      </c>
    </row>
    <row r="271">
      <c r="J271">
        <f>IF(B271="","", _xludf.WEEKNUM(B271, 2))</f>
        <v/>
      </c>
    </row>
    <row r="272">
      <c r="J272">
        <f>IF(B272="","", _xludf.WEEKNUM(B272, 2))</f>
        <v/>
      </c>
    </row>
    <row r="273">
      <c r="J273">
        <f>IF(B273="","", _xludf.WEEKNUM(B273, 2))</f>
        <v/>
      </c>
    </row>
    <row r="274">
      <c r="J274">
        <f>IF(B274="","", _xludf.WEEKNUM(B274, 2))</f>
        <v/>
      </c>
    </row>
    <row r="275">
      <c r="J275">
        <f>IF(B275="","", _xludf.WEEKNUM(B275, 2))</f>
        <v/>
      </c>
    </row>
    <row r="276">
      <c r="J276">
        <f>IF(B276="","", _xludf.WEEKNUM(B276, 2))</f>
        <v/>
      </c>
    </row>
    <row r="277">
      <c r="J277">
        <f>IF(B277="","", _xludf.WEEKNUM(B277, 2))</f>
        <v/>
      </c>
    </row>
    <row r="278">
      <c r="J278">
        <f>IF(B278="","", _xludf.WEEKNUM(B278, 2))</f>
        <v/>
      </c>
    </row>
    <row r="279">
      <c r="J279">
        <f>IF(B279="","", _xludf.WEEKNUM(B279, 2))</f>
        <v/>
      </c>
    </row>
    <row r="280">
      <c r="J280">
        <f>IF(B280="","", _xludf.WEEKNUM(B280, 2))</f>
        <v/>
      </c>
    </row>
    <row r="281">
      <c r="J281">
        <f>IF(B281="","", _xludf.WEEKNUM(B281, 2))</f>
        <v/>
      </c>
    </row>
    <row r="282">
      <c r="J282">
        <f>IF(B282="","", _xludf.WEEKNUM(B282, 2))</f>
        <v/>
      </c>
    </row>
    <row r="283">
      <c r="J283">
        <f>IF(B283="","", _xludf.WEEKNUM(B283, 2))</f>
        <v/>
      </c>
    </row>
    <row r="284">
      <c r="J284">
        <f>IF(B284="","", _xludf.WEEKNUM(B284, 2))</f>
        <v/>
      </c>
    </row>
    <row r="285">
      <c r="J285">
        <f>IF(B285="","", _xludf.WEEKNUM(B285, 2))</f>
        <v/>
      </c>
    </row>
    <row r="286">
      <c r="J286">
        <f>IF(B286="","", _xludf.WEEKNUM(B286, 2))</f>
        <v/>
      </c>
    </row>
    <row r="287">
      <c r="J287">
        <f>IF(B287="","", _xludf.WEEKNUM(B287, 2))</f>
        <v/>
      </c>
    </row>
    <row r="288">
      <c r="J288">
        <f>IF(B288="","", _xludf.WEEKNUM(B288, 2))</f>
        <v/>
      </c>
    </row>
    <row r="289">
      <c r="J289">
        <f>IF(B289="","", _xludf.WEEKNUM(B289, 2))</f>
        <v/>
      </c>
    </row>
    <row r="290">
      <c r="J290">
        <f>IF(B290="","", _xludf.WEEKNUM(B290, 2))</f>
        <v/>
      </c>
    </row>
    <row r="291">
      <c r="J291">
        <f>IF(B291="","", _xludf.WEEKNUM(B291, 2))</f>
        <v/>
      </c>
    </row>
    <row r="292">
      <c r="J292">
        <f>IF(B292="","", _xludf.WEEKNUM(B292, 2))</f>
        <v/>
      </c>
    </row>
    <row r="293">
      <c r="J293">
        <f>IF(B293="","", _xludf.WEEKNUM(B293, 2))</f>
        <v/>
      </c>
    </row>
    <row r="294">
      <c r="J294">
        <f>IF(B294="","", _xludf.WEEKNUM(B294, 2))</f>
        <v/>
      </c>
    </row>
    <row r="295">
      <c r="J295">
        <f>IF(B295="","", _xludf.WEEKNUM(B295, 2))</f>
        <v/>
      </c>
    </row>
    <row r="296">
      <c r="J296">
        <f>IF(B296="","", _xludf.WEEKNUM(B296, 2))</f>
        <v/>
      </c>
    </row>
    <row r="297">
      <c r="J297">
        <f>IF(B297="","", _xludf.WEEKNUM(B297, 2))</f>
        <v/>
      </c>
    </row>
    <row r="298">
      <c r="J298">
        <f>IF(B298="","", _xludf.WEEKNUM(B298, 2))</f>
        <v/>
      </c>
    </row>
    <row r="299">
      <c r="J299">
        <f>IF(B299="","", _xludf.WEEKNUM(B299, 2))</f>
        <v/>
      </c>
    </row>
    <row r="300">
      <c r="J300">
        <f>IF(B300="","", _xludf.WEEKNUM(B300, 2))</f>
        <v/>
      </c>
    </row>
    <row r="301">
      <c r="J301">
        <f>IF(B301="","", _xludf.WEEKNUM(B301, 2))</f>
        <v/>
      </c>
    </row>
    <row r="302">
      <c r="J302">
        <f>IF(B302="","", _xludf.WEEKNUM(B302, 2))</f>
        <v/>
      </c>
    </row>
    <row r="303">
      <c r="J303">
        <f>IF(B303="","", _xludf.WEEKNUM(B303, 2))</f>
        <v/>
      </c>
    </row>
    <row r="304">
      <c r="J304">
        <f>IF(B304="","", _xludf.WEEKNUM(B304, 2))</f>
        <v/>
      </c>
    </row>
    <row r="305">
      <c r="J305">
        <f>IF(B305="","", _xludf.WEEKNUM(B305, 2))</f>
        <v/>
      </c>
    </row>
    <row r="306">
      <c r="J306">
        <f>IF(B306="","", _xludf.WEEKNUM(B306, 2))</f>
        <v/>
      </c>
    </row>
    <row r="307">
      <c r="J307">
        <f>IF(B307="","", _xludf.WEEKNUM(B307, 2))</f>
        <v/>
      </c>
    </row>
    <row r="308">
      <c r="J308">
        <f>IF(B308="","", _xludf.WEEKNUM(B308, 2))</f>
        <v/>
      </c>
    </row>
    <row r="309">
      <c r="J309">
        <f>IF(B309="","", _xludf.WEEKNUM(B309, 2))</f>
        <v/>
      </c>
    </row>
    <row r="310">
      <c r="J310">
        <f>IF(B310="","", _xludf.WEEKNUM(B310, 2))</f>
        <v/>
      </c>
    </row>
    <row r="311">
      <c r="J311">
        <f>IF(B311="","", _xludf.WEEKNUM(B311, 2))</f>
        <v/>
      </c>
    </row>
    <row r="312">
      <c r="J312">
        <f>IF(B312="","", _xludf.WEEKNUM(B312, 2))</f>
        <v/>
      </c>
    </row>
    <row r="313">
      <c r="J313">
        <f>IF(B313="","", _xludf.WEEKNUM(B313, 2))</f>
        <v/>
      </c>
    </row>
    <row r="314">
      <c r="J314">
        <f>IF(B314="","", _xludf.WEEKNUM(B314, 2))</f>
        <v/>
      </c>
    </row>
    <row r="315">
      <c r="J315">
        <f>IF(B315="","", _xludf.WEEKNUM(B315, 2))</f>
        <v/>
      </c>
    </row>
    <row r="316">
      <c r="J316">
        <f>IF(B316="","", _xludf.WEEKNUM(B316, 2))</f>
        <v/>
      </c>
    </row>
    <row r="317">
      <c r="J317">
        <f>IF(B317="","", _xludf.WEEKNUM(B317, 2))</f>
        <v/>
      </c>
    </row>
    <row r="318">
      <c r="J318">
        <f>IF(B318="","", _xludf.WEEKNUM(B318, 2))</f>
        <v/>
      </c>
    </row>
    <row r="319">
      <c r="J319">
        <f>IF(B319="","", _xludf.WEEKNUM(B319, 2))</f>
        <v/>
      </c>
    </row>
    <row r="320">
      <c r="J320">
        <f>IF(B320="","", _xludf.WEEKNUM(B320, 2))</f>
        <v/>
      </c>
    </row>
    <row r="321">
      <c r="J321">
        <f>IF(B321="","", _xludf.WEEKNUM(B321, 2))</f>
        <v/>
      </c>
    </row>
    <row r="322">
      <c r="J322">
        <f>IF(B322="","", _xludf.WEEKNUM(B322, 2))</f>
        <v/>
      </c>
    </row>
    <row r="323">
      <c r="J323">
        <f>IF(B323="","", _xludf.WEEKNUM(B323, 2))</f>
        <v/>
      </c>
    </row>
    <row r="324">
      <c r="J324">
        <f>IF(B324="","", _xludf.WEEKNUM(B324, 2))</f>
        <v/>
      </c>
    </row>
    <row r="325">
      <c r="J325">
        <f>IF(B325="","", _xludf.WEEKNUM(B325, 2))</f>
        <v/>
      </c>
    </row>
    <row r="326">
      <c r="J326">
        <f>IF(B326="","", _xludf.WEEKNUM(B326, 2))</f>
        <v/>
      </c>
    </row>
    <row r="327">
      <c r="J327">
        <f>IF(B327="","", _xludf.WEEKNUM(B327, 2))</f>
        <v/>
      </c>
    </row>
    <row r="328">
      <c r="J328">
        <f>IF(B328="","", _xludf.WEEKNUM(B328, 2))</f>
        <v/>
      </c>
    </row>
    <row r="329">
      <c r="J329">
        <f>IF(B329="","", _xludf.WEEKNUM(B329, 2))</f>
        <v/>
      </c>
    </row>
    <row r="330">
      <c r="J330">
        <f>IF(B330="","", _xludf.WEEKNUM(B330, 2))</f>
        <v/>
      </c>
    </row>
    <row r="331">
      <c r="J331">
        <f>IF(B331="","", _xludf.WEEKNUM(B331, 2))</f>
        <v/>
      </c>
    </row>
    <row r="332">
      <c r="J332">
        <f>IF(B332="","", _xludf.WEEKNUM(B332, 2))</f>
        <v/>
      </c>
    </row>
    <row r="333">
      <c r="J333">
        <f>IF(B333="","", _xludf.WEEKNUM(B333, 2))</f>
        <v/>
      </c>
    </row>
    <row r="334">
      <c r="J334">
        <f>IF(B334="","", _xludf.WEEKNUM(B334, 2))</f>
        <v/>
      </c>
    </row>
    <row r="335">
      <c r="J335">
        <f>IF(B335="","", _xludf.WEEKNUM(B335, 2))</f>
        <v/>
      </c>
    </row>
    <row r="336">
      <c r="J336">
        <f>IF(B336="","", _xludf.WEEKNUM(B336, 2))</f>
        <v/>
      </c>
    </row>
    <row r="337">
      <c r="J337">
        <f>IF(B337="","", _xludf.WEEKNUM(B337, 2))</f>
        <v/>
      </c>
    </row>
    <row r="338">
      <c r="J338">
        <f>IF(B338="","", _xludf.WEEKNUM(B338, 2))</f>
        <v/>
      </c>
    </row>
    <row r="339">
      <c r="J339">
        <f>IF(B339="","", _xludf.WEEKNUM(B339, 2))</f>
        <v/>
      </c>
    </row>
    <row r="340">
      <c r="J340">
        <f>IF(B340="","", _xludf.WEEKNUM(B340, 2))</f>
        <v/>
      </c>
    </row>
    <row r="341">
      <c r="J341">
        <f>IF(B341="","", _xludf.WEEKNUM(B341, 2))</f>
        <v/>
      </c>
    </row>
    <row r="342">
      <c r="J342">
        <f>IF(B342="","", _xludf.WEEKNUM(B342, 2))</f>
        <v/>
      </c>
    </row>
    <row r="343">
      <c r="J343">
        <f>IF(B343="","", _xludf.WEEKNUM(B343, 2))</f>
        <v/>
      </c>
    </row>
    <row r="344">
      <c r="J344">
        <f>IF(B344="","", _xludf.WEEKNUM(B344, 2))</f>
        <v/>
      </c>
    </row>
    <row r="345">
      <c r="J345">
        <f>IF(B345="","", _xludf.WEEKNUM(B345, 2))</f>
        <v/>
      </c>
    </row>
    <row r="346">
      <c r="J346">
        <f>IF(B346="","", _xludf.WEEKNUM(B346, 2))</f>
        <v/>
      </c>
    </row>
    <row r="347">
      <c r="J347">
        <f>IF(B347="","", _xludf.WEEKNUM(B347, 2))</f>
        <v/>
      </c>
    </row>
    <row r="348">
      <c r="J348">
        <f>IF(B348="","", _xludf.WEEKNUM(B348, 2))</f>
        <v/>
      </c>
    </row>
    <row r="349">
      <c r="J349">
        <f>IF(B349="","", _xludf.WEEKNUM(B349, 2))</f>
        <v/>
      </c>
    </row>
    <row r="350">
      <c r="J350">
        <f>IF(B350="","", _xludf.WEEKNUM(B350, 2))</f>
        <v/>
      </c>
    </row>
    <row r="351">
      <c r="J351">
        <f>IF(B351="","", _xludf.WEEKNUM(B351, 2))</f>
        <v/>
      </c>
    </row>
    <row r="352">
      <c r="J352">
        <f>IF(B352="","", _xludf.WEEKNUM(B352, 2))</f>
        <v/>
      </c>
    </row>
    <row r="353">
      <c r="J353">
        <f>IF(B353="","", _xludf.WEEKNUM(B353, 2))</f>
        <v/>
      </c>
    </row>
    <row r="354">
      <c r="J354">
        <f>IF(B354="","", _xludf.WEEKNUM(B354, 2))</f>
        <v/>
      </c>
    </row>
    <row r="355">
      <c r="J355">
        <f>IF(B355="","", _xludf.WEEKNUM(B355, 2))</f>
        <v/>
      </c>
    </row>
    <row r="356">
      <c r="J356">
        <f>IF(B356="","", _xludf.WEEKNUM(B356, 2))</f>
        <v/>
      </c>
    </row>
    <row r="357">
      <c r="J357">
        <f>IF(B357="","", _xludf.WEEKNUM(B357, 2))</f>
        <v/>
      </c>
    </row>
    <row r="358">
      <c r="J358">
        <f>IF(B358="","", _xludf.WEEKNUM(B358, 2))</f>
        <v/>
      </c>
    </row>
    <row r="359">
      <c r="J359">
        <f>IF(B359="","", _xludf.WEEKNUM(B359, 2))</f>
        <v/>
      </c>
    </row>
    <row r="360">
      <c r="J360">
        <f>IF(B360="","", _xludf.WEEKNUM(B360, 2))</f>
        <v/>
      </c>
    </row>
    <row r="361">
      <c r="J361">
        <f>IF(B361="","", _xludf.WEEKNUM(B361, 2))</f>
        <v/>
      </c>
    </row>
    <row r="362">
      <c r="J362">
        <f>IF(B362="","", _xludf.WEEKNUM(B362, 2))</f>
        <v/>
      </c>
    </row>
    <row r="363">
      <c r="J363">
        <f>IF(B363="","", _xludf.WEEKNUM(B363, 2))</f>
        <v/>
      </c>
    </row>
    <row r="364">
      <c r="J364">
        <f>IF(B364="","", _xludf.WEEKNUM(B364, 2))</f>
        <v/>
      </c>
    </row>
    <row r="365">
      <c r="J365">
        <f>IF(B365="","", _xludf.WEEKNUM(B365, 2))</f>
        <v/>
      </c>
    </row>
    <row r="366">
      <c r="J366">
        <f>IF(B366="","", _xludf.WEEKNUM(B366, 2))</f>
        <v/>
      </c>
    </row>
    <row r="367">
      <c r="J367">
        <f>IF(B367="","", _xludf.WEEKNUM(B367, 2))</f>
        <v/>
      </c>
    </row>
    <row r="368">
      <c r="J368">
        <f>IF(B368="","", _xludf.WEEKNUM(B368, 2))</f>
        <v/>
      </c>
    </row>
    <row r="369">
      <c r="J369">
        <f>IF(B369="","", _xludf.WEEKNUM(B369, 2))</f>
        <v/>
      </c>
    </row>
    <row r="370">
      <c r="J370">
        <f>IF(B370="","", _xludf.WEEKNUM(B370, 2))</f>
        <v/>
      </c>
    </row>
    <row r="371">
      <c r="J371">
        <f>IF(B371="","", _xludf.WEEKNUM(B371, 2))</f>
        <v/>
      </c>
    </row>
    <row r="372">
      <c r="J372">
        <f>IF(B372="","", _xludf.WEEKNUM(B372, 2))</f>
        <v/>
      </c>
    </row>
    <row r="373">
      <c r="J373">
        <f>IF(B373="","", _xludf.WEEKNUM(B373, 2))</f>
        <v/>
      </c>
    </row>
    <row r="374">
      <c r="J374">
        <f>IF(B374="","", _xludf.WEEKNUM(B374, 2))</f>
        <v/>
      </c>
    </row>
    <row r="375">
      <c r="J375">
        <f>IF(B375="","", _xludf.WEEKNUM(B375, 2))</f>
        <v/>
      </c>
    </row>
    <row r="376">
      <c r="J376">
        <f>IF(B376="","", _xludf.WEEKNUM(B376, 2))</f>
        <v/>
      </c>
    </row>
    <row r="377">
      <c r="J377">
        <f>IF(B377="","", _xludf.WEEKNUM(B377, 2))</f>
        <v/>
      </c>
    </row>
    <row r="378">
      <c r="J378">
        <f>IF(B378="","", _xludf.WEEKNUM(B378, 2))</f>
        <v/>
      </c>
    </row>
    <row r="379">
      <c r="J379">
        <f>IF(B379="","", _xludf.WEEKNUM(B379, 2))</f>
        <v/>
      </c>
    </row>
    <row r="380">
      <c r="J380">
        <f>IF(B380="","", _xludf.WEEKNUM(B380, 2))</f>
        <v/>
      </c>
    </row>
    <row r="381">
      <c r="J381">
        <f>IF(B381="","", _xludf.WEEKNUM(B381, 2))</f>
        <v/>
      </c>
    </row>
    <row r="382">
      <c r="J382">
        <f>IF(B382="","", _xludf.WEEKNUM(B382, 2))</f>
        <v/>
      </c>
    </row>
    <row r="383">
      <c r="J383">
        <f>IF(B383="","", _xludf.WEEKNUM(B383, 2))</f>
        <v/>
      </c>
    </row>
    <row r="384">
      <c r="J384">
        <f>IF(B384="","", _xludf.WEEKNUM(B384, 2))</f>
        <v/>
      </c>
    </row>
    <row r="385">
      <c r="J385">
        <f>IF(B385="","", _xludf.WEEKNUM(B385, 2))</f>
        <v/>
      </c>
    </row>
    <row r="386">
      <c r="J386">
        <f>IF(B386="","", _xludf.WEEKNUM(B386, 2))</f>
        <v/>
      </c>
    </row>
    <row r="387">
      <c r="J387">
        <f>IF(B387="","", _xludf.WEEKNUM(B387, 2))</f>
        <v/>
      </c>
    </row>
    <row r="388">
      <c r="J388">
        <f>IF(B388="","", _xludf.WEEKNUM(B388, 2))</f>
        <v/>
      </c>
    </row>
    <row r="389">
      <c r="J389">
        <f>IF(B389="","", _xludf.WEEKNUM(B389, 2))</f>
        <v/>
      </c>
    </row>
    <row r="390">
      <c r="J390">
        <f>IF(B390="","", _xludf.WEEKNUM(B390, 2))</f>
        <v/>
      </c>
    </row>
    <row r="391">
      <c r="J391">
        <f>IF(B391="","", _xludf.WEEKNUM(B391, 2))</f>
        <v/>
      </c>
    </row>
    <row r="392">
      <c r="J392">
        <f>IF(B392="","", _xludf.WEEKNUM(B392, 2))</f>
        <v/>
      </c>
    </row>
    <row r="393">
      <c r="J393">
        <f>IF(B393="","", _xludf.WEEKNUM(B393, 2))</f>
        <v/>
      </c>
    </row>
    <row r="394">
      <c r="J394">
        <f>IF(B394="","", _xludf.WEEKNUM(B394, 2))</f>
        <v/>
      </c>
    </row>
    <row r="395">
      <c r="J395">
        <f>IF(B395="","", _xludf.WEEKNUM(B395, 2))</f>
        <v/>
      </c>
    </row>
    <row r="396">
      <c r="J396">
        <f>IF(B396="","", _xludf.WEEKNUM(B396, 2))</f>
        <v/>
      </c>
    </row>
    <row r="397">
      <c r="J397">
        <f>IF(B397="","", _xludf.WEEKNUM(B397, 2))</f>
        <v/>
      </c>
    </row>
    <row r="398">
      <c r="J398">
        <f>IF(B398="","", _xludf.WEEKNUM(B398, 2))</f>
        <v/>
      </c>
    </row>
    <row r="399">
      <c r="J399">
        <f>IF(B399="","", _xludf.WEEKNUM(B399, 2))</f>
        <v/>
      </c>
    </row>
    <row r="400">
      <c r="J400">
        <f>IF(B400="","", _xludf.WEEKNUM(B400, 2))</f>
        <v/>
      </c>
    </row>
    <row r="401">
      <c r="J401">
        <f>IF(B401="","", _xludf.WEEKNUM(B401, 2))</f>
        <v/>
      </c>
    </row>
    <row r="402">
      <c r="J402">
        <f>IF(B402="","", _xludf.WEEKNUM(B402, 2))</f>
        <v/>
      </c>
    </row>
    <row r="403">
      <c r="J403">
        <f>IF(B403="","", _xludf.WEEKNUM(B403, 2))</f>
        <v/>
      </c>
    </row>
    <row r="404">
      <c r="J404">
        <f>IF(B404="","", _xludf.WEEKNUM(B404, 2))</f>
        <v/>
      </c>
    </row>
    <row r="405">
      <c r="J405">
        <f>IF(B405="","", _xludf.WEEKNUM(B405, 2))</f>
        <v/>
      </c>
    </row>
    <row r="406">
      <c r="J406">
        <f>IF(B406="","", _xludf.WEEKNUM(B406, 2))</f>
        <v/>
      </c>
    </row>
    <row r="407">
      <c r="J407">
        <f>IF(B407="","", _xludf.WEEKNUM(B407, 2))</f>
        <v/>
      </c>
    </row>
    <row r="408">
      <c r="J408">
        <f>IF(B408="","", _xludf.WEEKNUM(B408, 2))</f>
        <v/>
      </c>
    </row>
    <row r="409">
      <c r="J409">
        <f>IF(B409="","", _xludf.WEEKNUM(B409, 2))</f>
        <v/>
      </c>
    </row>
    <row r="410">
      <c r="J410">
        <f>IF(B410="","", _xludf.WEEKNUM(B410, 2))</f>
        <v/>
      </c>
    </row>
    <row r="411">
      <c r="J411">
        <f>IF(B411="","", _xludf.WEEKNUM(B411, 2))</f>
        <v/>
      </c>
    </row>
    <row r="412">
      <c r="J412">
        <f>IF(B412="","", _xludf.WEEKNUM(B412, 2))</f>
        <v/>
      </c>
    </row>
    <row r="413">
      <c r="J413">
        <f>IF(B413="","", _xludf.WEEKNUM(B413, 2))</f>
        <v/>
      </c>
    </row>
    <row r="414">
      <c r="J414">
        <f>IF(B414="","", _xludf.WEEKNUM(B414, 2))</f>
        <v/>
      </c>
    </row>
    <row r="415">
      <c r="J415">
        <f>IF(B415="","", _xludf.WEEKNUM(B415, 2))</f>
        <v/>
      </c>
    </row>
    <row r="416">
      <c r="J416">
        <f>IF(B416="","", _xludf.WEEKNUM(B416, 2))</f>
        <v/>
      </c>
    </row>
    <row r="417">
      <c r="J417">
        <f>IF(B417="","", _xludf.WEEKNUM(B417, 2))</f>
        <v/>
      </c>
    </row>
    <row r="418">
      <c r="J418">
        <f>IF(B418="","", _xludf.WEEKNUM(B418, 2))</f>
        <v/>
      </c>
    </row>
    <row r="419">
      <c r="J419">
        <f>IF(B419="","", _xludf.WEEKNUM(B419, 2))</f>
        <v/>
      </c>
    </row>
    <row r="420">
      <c r="J420">
        <f>IF(B420="","", _xludf.WEEKNUM(B420, 2))</f>
        <v/>
      </c>
    </row>
    <row r="421">
      <c r="J421">
        <f>IF(B421="","", _xludf.WEEKNUM(B421, 2))</f>
        <v/>
      </c>
    </row>
    <row r="422">
      <c r="J422">
        <f>IF(B422="","", _xludf.WEEKNUM(B422, 2))</f>
        <v/>
      </c>
    </row>
    <row r="423">
      <c r="J423">
        <f>IF(B423="","", _xludf.WEEKNUM(B423, 2))</f>
        <v/>
      </c>
    </row>
    <row r="424">
      <c r="J424">
        <f>IF(B424="","", _xludf.WEEKNUM(B424, 2))</f>
        <v/>
      </c>
    </row>
    <row r="425">
      <c r="J425">
        <f>IF(B425="","", _xludf.WEEKNUM(B425, 2))</f>
        <v/>
      </c>
    </row>
    <row r="426">
      <c r="J426">
        <f>IF(B426="","", _xludf.WEEKNUM(B426, 2))</f>
        <v/>
      </c>
    </row>
    <row r="427">
      <c r="J427">
        <f>IF(B427="","", _xludf.WEEKNUM(B427, 2))</f>
        <v/>
      </c>
    </row>
    <row r="428">
      <c r="J428">
        <f>IF(B428="","", _xludf.WEEKNUM(B428, 2))</f>
        <v/>
      </c>
    </row>
    <row r="429">
      <c r="J429">
        <f>IF(B429="","", _xludf.WEEKNUM(B429, 2))</f>
        <v/>
      </c>
    </row>
    <row r="430">
      <c r="J430">
        <f>IF(B430="","", _xludf.WEEKNUM(B430, 2))</f>
        <v/>
      </c>
    </row>
    <row r="431">
      <c r="J431">
        <f>IF(B431="","", _xludf.WEEKNUM(B431, 2))</f>
        <v/>
      </c>
    </row>
    <row r="432">
      <c r="J432">
        <f>IF(B432="","", _xludf.WEEKNUM(B432, 2))</f>
        <v/>
      </c>
    </row>
    <row r="433">
      <c r="J433">
        <f>IF(B433="","", _xludf.WEEKNUM(B433, 2))</f>
        <v/>
      </c>
    </row>
    <row r="434">
      <c r="J434">
        <f>IF(B434="","", _xludf.WEEKNUM(B434, 2))</f>
        <v/>
      </c>
    </row>
    <row r="435">
      <c r="J435">
        <f>IF(B435="","", _xludf.WEEKNUM(B435, 2))</f>
        <v/>
      </c>
    </row>
    <row r="436">
      <c r="J436">
        <f>IF(B436="","", _xludf.WEEKNUM(B436, 2))</f>
        <v/>
      </c>
    </row>
    <row r="437">
      <c r="J437">
        <f>IF(B437="","", _xludf.WEEKNUM(B437, 2))</f>
        <v/>
      </c>
    </row>
    <row r="438">
      <c r="J438">
        <f>IF(B438="","", _xludf.WEEKNUM(B438, 2))</f>
        <v/>
      </c>
    </row>
    <row r="439">
      <c r="J439">
        <f>IF(B439="","", _xludf.WEEKNUM(B439, 2))</f>
        <v/>
      </c>
    </row>
    <row r="440">
      <c r="J440">
        <f>IF(B440="","", _xludf.WEEKNUM(B440, 2))</f>
        <v/>
      </c>
    </row>
    <row r="441">
      <c r="J441">
        <f>IF(B441="","", _xludf.WEEKNUM(B441, 2))</f>
        <v/>
      </c>
    </row>
    <row r="442">
      <c r="J442">
        <f>IF(B442="","", _xludf.WEEKNUM(B442, 2))</f>
        <v/>
      </c>
    </row>
    <row r="443">
      <c r="J443">
        <f>IF(B443="","", _xludf.WEEKNUM(B443, 2))</f>
        <v/>
      </c>
    </row>
    <row r="444">
      <c r="J444">
        <f>IF(B444="","", _xludf.WEEKNUM(B444, 2))</f>
        <v/>
      </c>
    </row>
    <row r="445">
      <c r="J445">
        <f>IF(B445="","", _xludf.WEEKNUM(B445, 2))</f>
        <v/>
      </c>
    </row>
    <row r="446">
      <c r="J446">
        <f>IF(B446="","", _xludf.WEEKNUM(B446, 2))</f>
        <v/>
      </c>
    </row>
    <row r="447">
      <c r="J447">
        <f>IF(B447="","", _xludf.WEEKNUM(B447, 2))</f>
        <v/>
      </c>
    </row>
    <row r="448">
      <c r="J448">
        <f>IF(B448="","", _xludf.WEEKNUM(B448, 2))</f>
        <v/>
      </c>
    </row>
    <row r="449">
      <c r="J449">
        <f>IF(B449="","", _xludf.WEEKNUM(B449, 2))</f>
        <v/>
      </c>
    </row>
    <row r="450">
      <c r="J450">
        <f>IF(B450="","", _xludf.WEEKNUM(B450, 2))</f>
        <v/>
      </c>
    </row>
    <row r="451">
      <c r="J451">
        <f>IF(B451="","", _xludf.WEEKNUM(B451, 2))</f>
        <v/>
      </c>
    </row>
    <row r="452">
      <c r="J452">
        <f>IF(B452="","", _xludf.WEEKNUM(B452, 2))</f>
        <v/>
      </c>
    </row>
    <row r="453">
      <c r="J453">
        <f>IF(B453="","", _xludf.WEEKNUM(B453, 2))</f>
        <v/>
      </c>
    </row>
    <row r="454">
      <c r="J454">
        <f>IF(B454="","", _xludf.WEEKNUM(B454, 2))</f>
        <v/>
      </c>
    </row>
    <row r="455">
      <c r="J455">
        <f>IF(B455="","", _xludf.WEEKNUM(B455, 2))</f>
        <v/>
      </c>
    </row>
    <row r="456">
      <c r="J456">
        <f>IF(B456="","", _xludf.WEEKNUM(B456, 2))</f>
        <v/>
      </c>
    </row>
    <row r="457">
      <c r="J457">
        <f>IF(B457="","", _xludf.WEEKNUM(B457, 2))</f>
        <v/>
      </c>
    </row>
    <row r="458">
      <c r="J458">
        <f>IF(B458="","", _xludf.WEEKNUM(B458, 2))</f>
        <v/>
      </c>
    </row>
    <row r="459">
      <c r="J459">
        <f>IF(B459="","", _xludf.WEEKNUM(B459, 2))</f>
        <v/>
      </c>
    </row>
    <row r="460">
      <c r="J460">
        <f>IF(B460="","", _xludf.WEEKNUM(B460, 2))</f>
        <v/>
      </c>
    </row>
    <row r="461">
      <c r="J461">
        <f>IF(B461="","", _xludf.WEEKNUM(B461, 2))</f>
        <v/>
      </c>
    </row>
    <row r="462">
      <c r="J462">
        <f>IF(B462="","", _xludf.WEEKNUM(B462, 2))</f>
        <v/>
      </c>
    </row>
    <row r="463">
      <c r="J463">
        <f>IF(B463="","", _xludf.WEEKNUM(B463, 2))</f>
        <v/>
      </c>
    </row>
    <row r="464">
      <c r="J464">
        <f>IF(B464="","", _xludf.WEEKNUM(B464, 2))</f>
        <v/>
      </c>
    </row>
    <row r="465">
      <c r="J465">
        <f>IF(B465="","", _xludf.WEEKNUM(B465, 2))</f>
        <v/>
      </c>
    </row>
    <row r="466">
      <c r="J466">
        <f>IF(B466="","", _xludf.WEEKNUM(B466, 2))</f>
        <v/>
      </c>
    </row>
    <row r="467">
      <c r="J467">
        <f>IF(B467="","", _xludf.WEEKNUM(B467, 2))</f>
        <v/>
      </c>
    </row>
    <row r="468">
      <c r="J468">
        <f>IF(B468="","", _xludf.WEEKNUM(B468, 2))</f>
        <v/>
      </c>
    </row>
    <row r="469">
      <c r="J469">
        <f>IF(B469="","", _xludf.WEEKNUM(B469, 2))</f>
        <v/>
      </c>
    </row>
    <row r="470">
      <c r="J470">
        <f>IF(B470="","", _xludf.WEEKNUM(B470, 2))</f>
        <v/>
      </c>
    </row>
    <row r="471">
      <c r="J471">
        <f>IF(B471="","", _xludf.WEEKNUM(B471, 2))</f>
        <v/>
      </c>
    </row>
    <row r="472">
      <c r="J472">
        <f>IF(B472="","", _xludf.WEEKNUM(B472, 2))</f>
        <v/>
      </c>
    </row>
    <row r="473">
      <c r="J473">
        <f>IF(B473="","", _xludf.WEEKNUM(B473, 2))</f>
        <v/>
      </c>
    </row>
    <row r="474">
      <c r="J474">
        <f>IF(B474="","", _xludf.WEEKNUM(B474, 2))</f>
        <v/>
      </c>
    </row>
    <row r="475">
      <c r="J475">
        <f>IF(B475="","", _xludf.WEEKNUM(B475, 2))</f>
        <v/>
      </c>
    </row>
    <row r="476">
      <c r="J476">
        <f>IF(B476="","", _xludf.WEEKNUM(B476, 2))</f>
        <v/>
      </c>
    </row>
    <row r="477">
      <c r="J477">
        <f>IF(B477="","", _xludf.WEEKNUM(B477, 2))</f>
        <v/>
      </c>
    </row>
    <row r="478">
      <c r="J478">
        <f>IF(B478="","", _xludf.WEEKNUM(B478, 2))</f>
        <v/>
      </c>
    </row>
    <row r="479">
      <c r="J479">
        <f>IF(B479="","", _xludf.WEEKNUM(B479, 2))</f>
        <v/>
      </c>
    </row>
    <row r="480">
      <c r="J480">
        <f>IF(B480="","", _xludf.WEEKNUM(B480, 2))</f>
        <v/>
      </c>
    </row>
    <row r="481">
      <c r="J481">
        <f>IF(B481="","", _xludf.WEEKNUM(B481, 2))</f>
        <v/>
      </c>
    </row>
    <row r="482">
      <c r="J482">
        <f>IF(B482="","", _xludf.WEEKNUM(B482, 2))</f>
        <v/>
      </c>
    </row>
    <row r="483">
      <c r="J483">
        <f>IF(B483="","", _xludf.WEEKNUM(B483, 2))</f>
        <v/>
      </c>
    </row>
    <row r="484">
      <c r="J484">
        <f>IF(B484="","", _xludf.WEEKNUM(B484, 2))</f>
        <v/>
      </c>
    </row>
    <row r="485">
      <c r="J485">
        <f>IF(B485="","", _xludf.WEEKNUM(B485, 2))</f>
        <v/>
      </c>
    </row>
    <row r="486">
      <c r="J486">
        <f>IF(B486="","", _xludf.WEEKNUM(B486, 2))</f>
        <v/>
      </c>
    </row>
    <row r="487">
      <c r="J487">
        <f>IF(B487="","", _xludf.WEEKNUM(B487, 2))</f>
        <v/>
      </c>
    </row>
    <row r="488">
      <c r="J488">
        <f>IF(B488="","", _xludf.WEEKNUM(B488, 2))</f>
        <v/>
      </c>
    </row>
    <row r="489">
      <c r="J489">
        <f>IF(B489="","", _xludf.WEEKNUM(B489, 2))</f>
        <v/>
      </c>
    </row>
    <row r="490">
      <c r="J490">
        <f>IF(B490="","", _xludf.WEEKNUM(B490, 2))</f>
        <v/>
      </c>
    </row>
    <row r="491">
      <c r="J491">
        <f>IF(B491="","", _xludf.WEEKNUM(B491, 2))</f>
        <v/>
      </c>
    </row>
    <row r="492">
      <c r="J492">
        <f>IF(B492="","", _xludf.WEEKNUM(B492, 2))</f>
        <v/>
      </c>
    </row>
    <row r="493">
      <c r="J493">
        <f>IF(B493="","", _xludf.WEEKNUM(B493, 2))</f>
        <v/>
      </c>
    </row>
    <row r="494">
      <c r="J494">
        <f>IF(B494="","", _xludf.WEEKNUM(B494, 2))</f>
        <v/>
      </c>
    </row>
    <row r="495">
      <c r="J495">
        <f>IF(B495="","", _xludf.WEEKNUM(B495, 2))</f>
        <v/>
      </c>
    </row>
    <row r="496">
      <c r="J496">
        <f>IF(B496="","", _xludf.WEEKNUM(B496, 2))</f>
        <v/>
      </c>
    </row>
    <row r="497">
      <c r="J497">
        <f>IF(B497="","", _xludf.WEEKNUM(B497, 2))</f>
        <v/>
      </c>
    </row>
    <row r="498">
      <c r="J498">
        <f>IF(B498="","", _xludf.WEEKNUM(B498, 2))</f>
        <v/>
      </c>
    </row>
    <row r="499">
      <c r="J499">
        <f>IF(B499="","", _xludf.WEEKNUM(B499, 2))</f>
        <v/>
      </c>
    </row>
    <row r="500">
      <c r="J500">
        <f>IF(B500="","", _xludf.WEEKNUM(B500, 2))</f>
        <v/>
      </c>
    </row>
    <row r="501">
      <c r="J501">
        <f>IF(B501="","", _xludf.WEEKNUM(B501, 2))</f>
        <v/>
      </c>
    </row>
    <row r="502">
      <c r="J502">
        <f>IF(B502="","", _xludf.WEEKNUM(B502, 2))</f>
        <v/>
      </c>
    </row>
    <row r="503">
      <c r="J503">
        <f>IF(B503="","", _xludf.WEEKNUM(B503, 2))</f>
        <v/>
      </c>
    </row>
    <row r="504">
      <c r="J504">
        <f>IF(B504="","", _xludf.WEEKNUM(B504, 2))</f>
        <v/>
      </c>
    </row>
    <row r="505">
      <c r="J505">
        <f>IF(B505="","", _xludf.WEEKNUM(B505, 2))</f>
        <v/>
      </c>
    </row>
    <row r="506">
      <c r="J506">
        <f>IF(B506="","", _xludf.WEEKNUM(B506, 2))</f>
        <v/>
      </c>
    </row>
    <row r="507">
      <c r="J507">
        <f>IF(B507="","", _xludf.WEEKNUM(B507, 2))</f>
        <v/>
      </c>
    </row>
    <row r="508">
      <c r="J508">
        <f>IF(B508="","", _xludf.WEEKNUM(B508, 2))</f>
        <v/>
      </c>
    </row>
    <row r="509">
      <c r="J509">
        <f>IF(B509="","", _xludf.WEEKNUM(B509, 2))</f>
        <v/>
      </c>
    </row>
    <row r="510">
      <c r="J510">
        <f>IF(B510="","", _xludf.WEEKNUM(B510, 2))</f>
        <v/>
      </c>
    </row>
    <row r="511">
      <c r="J511">
        <f>IF(B511="","", _xludf.WEEKNUM(B511, 2))</f>
        <v/>
      </c>
    </row>
    <row r="512">
      <c r="J512">
        <f>IF(B512="","", _xludf.WEEKNUM(B512, 2))</f>
        <v/>
      </c>
    </row>
    <row r="513">
      <c r="J513">
        <f>IF(B513="","", _xludf.WEEKNUM(B513, 2))</f>
        <v/>
      </c>
    </row>
    <row r="514">
      <c r="J514">
        <f>IF(B514="","", _xludf.WEEKNUM(B514, 2))</f>
        <v/>
      </c>
    </row>
    <row r="515">
      <c r="J515">
        <f>IF(B515="","", _xludf.WEEKNUM(B515, 2))</f>
        <v/>
      </c>
    </row>
    <row r="516">
      <c r="J516">
        <f>IF(B516="","", _xludf.WEEKNUM(B516, 2))</f>
        <v/>
      </c>
    </row>
    <row r="517">
      <c r="J517">
        <f>IF(B517="","", _xludf.WEEKNUM(B517, 2))</f>
        <v/>
      </c>
    </row>
    <row r="518">
      <c r="J518">
        <f>IF(B518="","", _xludf.WEEKNUM(B518, 2))</f>
        <v/>
      </c>
    </row>
    <row r="519">
      <c r="J519">
        <f>IF(B519="","", _xludf.WEEKNUM(B519, 2))</f>
        <v/>
      </c>
    </row>
    <row r="520">
      <c r="J520">
        <f>IF(B520="","", _xludf.WEEKNUM(B520, 2))</f>
        <v/>
      </c>
    </row>
    <row r="521">
      <c r="J521">
        <f>IF(B521="","", _xludf.WEEKNUM(B521, 2))</f>
        <v/>
      </c>
    </row>
    <row r="522">
      <c r="J522">
        <f>IF(B522="","", _xludf.WEEKNUM(B522, 2))</f>
        <v/>
      </c>
    </row>
    <row r="523">
      <c r="J523">
        <f>IF(B523="","", _xludf.WEEKNUM(B523, 2))</f>
        <v/>
      </c>
    </row>
    <row r="524">
      <c r="J524">
        <f>IF(B524="","", _xludf.WEEKNUM(B524, 2))</f>
        <v/>
      </c>
    </row>
    <row r="525">
      <c r="J525">
        <f>IF(B525="","", _xludf.WEEKNUM(B525, 2))</f>
        <v/>
      </c>
    </row>
    <row r="526">
      <c r="J526">
        <f>IF(B526="","", _xludf.WEEKNUM(B526, 2))</f>
        <v/>
      </c>
    </row>
    <row r="527">
      <c r="J527">
        <f>IF(B527="","", _xludf.WEEKNUM(B527, 2))</f>
        <v/>
      </c>
    </row>
    <row r="528">
      <c r="J528">
        <f>IF(B528="","", _xludf.WEEKNUM(B528, 2))</f>
        <v/>
      </c>
    </row>
    <row r="529">
      <c r="J529">
        <f>IF(B529="","", _xludf.WEEKNUM(B529, 2))</f>
        <v/>
      </c>
    </row>
    <row r="530">
      <c r="J530">
        <f>IF(B530="","", _xludf.WEEKNUM(B530, 2))</f>
        <v/>
      </c>
    </row>
    <row r="531">
      <c r="J531">
        <f>IF(B531="","", _xludf.WEEKNUM(B531, 2))</f>
        <v/>
      </c>
    </row>
    <row r="532">
      <c r="J532">
        <f>IF(B532="","", _xludf.WEEKNUM(B532, 2))</f>
        <v/>
      </c>
    </row>
    <row r="533">
      <c r="J533">
        <f>IF(B533="","", _xludf.WEEKNUM(B533, 2))</f>
        <v/>
      </c>
    </row>
    <row r="534">
      <c r="J534">
        <f>IF(B534="","", _xludf.WEEKNUM(B534, 2))</f>
        <v/>
      </c>
    </row>
    <row r="535">
      <c r="J535">
        <f>IF(B535="","", _xludf.WEEKNUM(B535, 2))</f>
        <v/>
      </c>
    </row>
    <row r="536">
      <c r="J536">
        <f>IF(B536="","", _xludf.WEEKNUM(B536, 2))</f>
        <v/>
      </c>
    </row>
    <row r="537">
      <c r="J537">
        <f>IF(B537="","", _xludf.WEEKNUM(B537, 2))</f>
        <v/>
      </c>
    </row>
    <row r="538">
      <c r="J538">
        <f>IF(B538="","", _xludf.WEEKNUM(B538, 2))</f>
        <v/>
      </c>
    </row>
    <row r="539">
      <c r="J539">
        <f>IF(B539="","", _xludf.WEEKNUM(B539, 2))</f>
        <v/>
      </c>
    </row>
    <row r="540">
      <c r="J540">
        <f>IF(B540="","", _xludf.WEEKNUM(B540, 2))</f>
        <v/>
      </c>
    </row>
    <row r="541">
      <c r="J541">
        <f>IF(B541="","", _xludf.WEEKNUM(B541, 2))</f>
        <v/>
      </c>
    </row>
    <row r="542">
      <c r="J542">
        <f>IF(B542="","", _xludf.WEEKNUM(B542, 2))</f>
        <v/>
      </c>
    </row>
    <row r="543">
      <c r="J543">
        <f>IF(B543="","", _xludf.WEEKNUM(B543, 2))</f>
        <v/>
      </c>
    </row>
    <row r="544">
      <c r="J544">
        <f>IF(B544="","", _xludf.WEEKNUM(B544, 2))</f>
        <v/>
      </c>
    </row>
    <row r="545">
      <c r="J545">
        <f>IF(B545="","", _xludf.WEEKNUM(B545, 2))</f>
        <v/>
      </c>
    </row>
    <row r="546">
      <c r="J546">
        <f>IF(B546="","", _xludf.WEEKNUM(B546, 2))</f>
        <v/>
      </c>
    </row>
    <row r="547">
      <c r="J547">
        <f>IF(B547="","", _xludf.WEEKNUM(B547, 2))</f>
        <v/>
      </c>
    </row>
    <row r="548">
      <c r="J548">
        <f>IF(B548="","", _xludf.WEEKNUM(B548, 2))</f>
        <v/>
      </c>
    </row>
    <row r="549">
      <c r="J549">
        <f>IF(B549="","", _xludf.WEEKNUM(B549, 2))</f>
        <v/>
      </c>
    </row>
    <row r="550">
      <c r="J550">
        <f>IF(B550="","", _xludf.WEEKNUM(B550, 2))</f>
        <v/>
      </c>
    </row>
    <row r="551">
      <c r="J551">
        <f>IF(B551="","", _xludf.WEEKNUM(B551, 2))</f>
        <v/>
      </c>
    </row>
    <row r="552">
      <c r="J552">
        <f>IF(B552="","", _xludf.WEEKNUM(B552, 2))</f>
        <v/>
      </c>
    </row>
    <row r="553">
      <c r="J553">
        <f>IF(B553="","", _xludf.WEEKNUM(B553, 2))</f>
        <v/>
      </c>
    </row>
    <row r="554">
      <c r="J554">
        <f>IF(B554="","", _xludf.WEEKNUM(B554, 2))</f>
        <v/>
      </c>
    </row>
    <row r="555">
      <c r="J555">
        <f>IF(B555="","", _xludf.WEEKNUM(B555, 2))</f>
        <v/>
      </c>
    </row>
    <row r="556">
      <c r="J556">
        <f>IF(B556="","", _xludf.WEEKNUM(B556, 2))</f>
        <v/>
      </c>
    </row>
    <row r="557">
      <c r="J557">
        <f>IF(B557="","", _xludf.WEEKNUM(B557, 2))</f>
        <v/>
      </c>
    </row>
    <row r="558">
      <c r="J558">
        <f>IF(B558="","", _xludf.WEEKNUM(B558, 2))</f>
        <v/>
      </c>
    </row>
    <row r="559">
      <c r="J559">
        <f>IF(B559="","", _xludf.WEEKNUM(B559, 2))</f>
        <v/>
      </c>
    </row>
    <row r="560">
      <c r="J560">
        <f>IF(B560="","", _xludf.WEEKNUM(B560, 2))</f>
        <v/>
      </c>
    </row>
    <row r="561">
      <c r="J561">
        <f>IF(B561="","", _xludf.WEEKNUM(B561, 2))</f>
        <v/>
      </c>
    </row>
    <row r="562">
      <c r="J562">
        <f>IF(B562="","", _xludf.WEEKNUM(B562, 2))</f>
        <v/>
      </c>
    </row>
    <row r="563">
      <c r="J563">
        <f>IF(B563="","", _xludf.WEEKNUM(B563, 2))</f>
        <v/>
      </c>
    </row>
    <row r="564">
      <c r="J564">
        <f>IF(B564="","", _xludf.WEEKNUM(B564, 2))</f>
        <v/>
      </c>
    </row>
    <row r="565">
      <c r="J565">
        <f>IF(B565="","", _xludf.WEEKNUM(B565, 2))</f>
        <v/>
      </c>
    </row>
    <row r="566">
      <c r="J566">
        <f>IF(B566="","", _xludf.WEEKNUM(B566, 2))</f>
        <v/>
      </c>
    </row>
    <row r="567">
      <c r="J567">
        <f>IF(B567="","", _xludf.WEEKNUM(B567, 2))</f>
        <v/>
      </c>
    </row>
    <row r="568">
      <c r="J568">
        <f>IF(B568="","", _xludf.WEEKNUM(B568, 2))</f>
        <v/>
      </c>
    </row>
    <row r="569">
      <c r="J569">
        <f>IF(B569="","", _xludf.WEEKNUM(B569, 2))</f>
        <v/>
      </c>
    </row>
    <row r="570">
      <c r="J570">
        <f>IF(B570="","", _xludf.WEEKNUM(B570, 2))</f>
        <v/>
      </c>
    </row>
    <row r="571">
      <c r="J571">
        <f>IF(B571="","", _xludf.WEEKNUM(B571, 2))</f>
        <v/>
      </c>
    </row>
    <row r="572">
      <c r="J572">
        <f>IF(B572="","", _xludf.WEEKNUM(B572, 2))</f>
        <v/>
      </c>
    </row>
    <row r="573">
      <c r="J573">
        <f>IF(B573="","", _xludf.WEEKNUM(B573, 2))</f>
        <v/>
      </c>
    </row>
    <row r="574">
      <c r="J574">
        <f>IF(B574="","", _xludf.WEEKNUM(B574, 2))</f>
        <v/>
      </c>
    </row>
    <row r="575">
      <c r="J575">
        <f>IF(B575="","", _xludf.WEEKNUM(B575, 2))</f>
        <v/>
      </c>
    </row>
    <row r="576">
      <c r="J576">
        <f>IF(B576="","", _xludf.WEEKNUM(B576, 2))</f>
        <v/>
      </c>
    </row>
    <row r="577">
      <c r="J577">
        <f>IF(B577="","", _xludf.WEEKNUM(B577, 2))</f>
        <v/>
      </c>
    </row>
    <row r="578">
      <c r="J578">
        <f>IF(B578="","", _xludf.WEEKNUM(B578, 2))</f>
        <v/>
      </c>
    </row>
    <row r="579">
      <c r="J579">
        <f>IF(B579="","", _xludf.WEEKNUM(B579, 2))</f>
        <v/>
      </c>
    </row>
    <row r="580">
      <c r="J580">
        <f>IF(B580="","", _xludf.WEEKNUM(B580, 2))</f>
        <v/>
      </c>
    </row>
    <row r="581">
      <c r="J581">
        <f>IF(B581="","", _xludf.WEEKNUM(B581, 2))</f>
        <v/>
      </c>
    </row>
    <row r="582">
      <c r="J582">
        <f>IF(B582="","", _xludf.WEEKNUM(B582, 2))</f>
        <v/>
      </c>
    </row>
    <row r="583">
      <c r="J583">
        <f>IF(B583="","", _xludf.WEEKNUM(B583, 2))</f>
        <v/>
      </c>
    </row>
    <row r="584">
      <c r="J584">
        <f>IF(B584="","", _xludf.WEEKNUM(B584, 2))</f>
        <v/>
      </c>
    </row>
    <row r="585">
      <c r="J585">
        <f>IF(B585="","", _xludf.WEEKNUM(B585, 2))</f>
        <v/>
      </c>
    </row>
    <row r="586">
      <c r="J586">
        <f>IF(B586="","", _xludf.WEEKNUM(B586, 2))</f>
        <v/>
      </c>
    </row>
    <row r="587">
      <c r="J587">
        <f>IF(B587="","", _xludf.WEEKNUM(B587, 2))</f>
        <v/>
      </c>
    </row>
    <row r="588">
      <c r="J588">
        <f>IF(B588="","", _xludf.WEEKNUM(B588, 2))</f>
        <v/>
      </c>
    </row>
    <row r="589">
      <c r="J589">
        <f>IF(B589="","", _xludf.WEEKNUM(B589, 2))</f>
        <v/>
      </c>
    </row>
    <row r="590">
      <c r="J590">
        <f>IF(B590="","", _xludf.WEEKNUM(B590, 2))</f>
        <v/>
      </c>
    </row>
    <row r="591">
      <c r="J591">
        <f>IF(B591="","", _xludf.WEEKNUM(B591, 2))</f>
        <v/>
      </c>
    </row>
    <row r="592">
      <c r="J592">
        <f>IF(B592="","", _xludf.WEEKNUM(B592, 2))</f>
        <v/>
      </c>
    </row>
    <row r="593">
      <c r="J593">
        <f>IF(B593="","", _xludf.WEEKNUM(B593, 2))</f>
        <v/>
      </c>
    </row>
    <row r="594">
      <c r="J594">
        <f>IF(B594="","", _xludf.WEEKNUM(B594, 2))</f>
        <v/>
      </c>
    </row>
    <row r="595">
      <c r="J595">
        <f>IF(B595="","", _xludf.WEEKNUM(B595, 2))</f>
        <v/>
      </c>
    </row>
    <row r="596">
      <c r="J596">
        <f>IF(B596="","", _xludf.WEEKNUM(B596, 2))</f>
        <v/>
      </c>
    </row>
    <row r="597">
      <c r="J597">
        <f>IF(B597="","", _xludf.WEEKNUM(B597, 2))</f>
        <v/>
      </c>
    </row>
    <row r="598">
      <c r="J598">
        <f>IF(B598="","", _xludf.WEEKNUM(B598, 2))</f>
        <v/>
      </c>
    </row>
    <row r="599">
      <c r="J599">
        <f>IF(B599="","", _xludf.WEEKNUM(B599, 2))</f>
        <v/>
      </c>
    </row>
    <row r="600">
      <c r="J600">
        <f>IF(B600="","", _xludf.WEEKNUM(B600, 2))</f>
        <v/>
      </c>
    </row>
    <row r="601">
      <c r="J601">
        <f>IF(B601="","", _xludf.WEEKNUM(B601, 2))</f>
        <v/>
      </c>
    </row>
    <row r="602">
      <c r="J602">
        <f>IF(B602="","", _xludf.WEEKNUM(B602, 2))</f>
        <v/>
      </c>
    </row>
    <row r="603">
      <c r="J603">
        <f>IF(B603="","", _xludf.WEEKNUM(B603, 2))</f>
        <v/>
      </c>
    </row>
    <row r="604">
      <c r="J604">
        <f>IF(B604="","", _xludf.WEEKNUM(B604, 2))</f>
        <v/>
      </c>
    </row>
    <row r="605">
      <c r="J605">
        <f>IF(B605="","", _xludf.WEEKNUM(B605, 2))</f>
        <v/>
      </c>
    </row>
    <row r="606">
      <c r="J606">
        <f>IF(B606="","", _xludf.WEEKNUM(B606, 2))</f>
        <v/>
      </c>
    </row>
    <row r="607">
      <c r="J607">
        <f>IF(B607="","", _xludf.WEEKNUM(B607, 2))</f>
        <v/>
      </c>
    </row>
    <row r="608">
      <c r="J608">
        <f>IF(B608="","", _xludf.WEEKNUM(B608, 2))</f>
        <v/>
      </c>
    </row>
    <row r="609">
      <c r="J609">
        <f>IF(B609="","", _xludf.WEEKNUM(B609, 2))</f>
        <v/>
      </c>
    </row>
    <row r="610">
      <c r="J610">
        <f>IF(B610="","", _xludf.WEEKNUM(B610, 2))</f>
        <v/>
      </c>
    </row>
    <row r="611">
      <c r="J611">
        <f>IF(B611="","", _xludf.WEEKNUM(B611, 2))</f>
        <v/>
      </c>
    </row>
    <row r="612">
      <c r="J612">
        <f>IF(B612="","", _xludf.WEEKNUM(B612, 2))</f>
        <v/>
      </c>
    </row>
    <row r="613">
      <c r="J613">
        <f>IF(B613="","", _xludf.WEEKNUM(B613, 2))</f>
        <v/>
      </c>
    </row>
    <row r="614">
      <c r="J614">
        <f>IF(B614="","", _xludf.WEEKNUM(B614, 2))</f>
        <v/>
      </c>
    </row>
    <row r="615">
      <c r="J615">
        <f>IF(B615="","", _xludf.WEEKNUM(B615, 2))</f>
        <v/>
      </c>
    </row>
    <row r="616">
      <c r="J616">
        <f>IF(B616="","", _xludf.WEEKNUM(B616, 2))</f>
        <v/>
      </c>
    </row>
    <row r="617">
      <c r="J617">
        <f>IF(B617="","", _xludf.WEEKNUM(B617, 2))</f>
        <v/>
      </c>
    </row>
    <row r="618">
      <c r="J618">
        <f>IF(B618="","", _xludf.WEEKNUM(B618, 2))</f>
        <v/>
      </c>
    </row>
    <row r="619">
      <c r="J619">
        <f>IF(B619="","", _xludf.WEEKNUM(B619, 2))</f>
        <v/>
      </c>
    </row>
    <row r="620">
      <c r="J620">
        <f>IF(B620="","", _xludf.WEEKNUM(B620, 2))</f>
        <v/>
      </c>
    </row>
    <row r="621">
      <c r="J621">
        <f>IF(B621="","", _xludf.WEEKNUM(B621, 2))</f>
        <v/>
      </c>
    </row>
    <row r="622">
      <c r="J622">
        <f>IF(B622="","", _xludf.WEEKNUM(B622, 2))</f>
        <v/>
      </c>
    </row>
    <row r="623">
      <c r="J623">
        <f>IF(B623="","", _xludf.WEEKNUM(B623, 2))</f>
        <v/>
      </c>
    </row>
    <row r="624">
      <c r="J624">
        <f>IF(B624="","", _xludf.WEEKNUM(B624, 2))</f>
        <v/>
      </c>
    </row>
    <row r="625">
      <c r="J625">
        <f>IF(B625="","", _xludf.WEEKNUM(B625, 2))</f>
        <v/>
      </c>
    </row>
    <row r="626">
      <c r="J626">
        <f>IF(B626="","", _xludf.WEEKNUM(B626, 2))</f>
        <v/>
      </c>
    </row>
    <row r="627">
      <c r="J627">
        <f>IF(B627="","", _xludf.WEEKNUM(B627, 2))</f>
        <v/>
      </c>
    </row>
    <row r="628">
      <c r="J628">
        <f>IF(B628="","", _xludf.WEEKNUM(B628, 2))</f>
        <v/>
      </c>
    </row>
    <row r="629">
      <c r="J629">
        <f>IF(B629="","", _xludf.WEEKNUM(B629, 2))</f>
        <v/>
      </c>
    </row>
    <row r="630">
      <c r="J630">
        <f>IF(B630="","", _xludf.WEEKNUM(B630, 2))</f>
        <v/>
      </c>
    </row>
    <row r="631">
      <c r="J631">
        <f>IF(B631="","", _xludf.WEEKNUM(B631, 2))</f>
        <v/>
      </c>
    </row>
    <row r="632">
      <c r="J632">
        <f>IF(B632="","", _xludf.WEEKNUM(B632, 2))</f>
        <v/>
      </c>
    </row>
    <row r="633">
      <c r="J633">
        <f>IF(B633="","", _xludf.WEEKNUM(B633, 2))</f>
        <v/>
      </c>
    </row>
    <row r="634">
      <c r="J634">
        <f>IF(B634="","", _xludf.WEEKNUM(B634, 2))</f>
        <v/>
      </c>
    </row>
    <row r="635">
      <c r="J635">
        <f>IF(B635="","", _xludf.WEEKNUM(B635, 2))</f>
        <v/>
      </c>
    </row>
    <row r="636">
      <c r="J636">
        <f>IF(B636="","", _xludf.WEEKNUM(B636, 2))</f>
        <v/>
      </c>
    </row>
    <row r="637">
      <c r="J637">
        <f>IF(B637="","", _xludf.WEEKNUM(B637, 2))</f>
        <v/>
      </c>
    </row>
    <row r="638">
      <c r="J638">
        <f>IF(B638="","", _xludf.WEEKNUM(B638, 2))</f>
        <v/>
      </c>
    </row>
    <row r="639">
      <c r="J639">
        <f>IF(B639="","", _xludf.WEEKNUM(B639, 2))</f>
        <v/>
      </c>
    </row>
    <row r="640">
      <c r="J640">
        <f>IF(B640="","", _xludf.WEEKNUM(B640, 2))</f>
        <v/>
      </c>
    </row>
    <row r="641">
      <c r="J641">
        <f>IF(B641="","", _xludf.WEEKNUM(B641, 2))</f>
        <v/>
      </c>
    </row>
    <row r="642">
      <c r="J642">
        <f>IF(B642="","", _xludf.WEEKNUM(B642, 2))</f>
        <v/>
      </c>
    </row>
    <row r="643">
      <c r="J643">
        <f>IF(B643="","", _xludf.WEEKNUM(B643, 2))</f>
        <v/>
      </c>
    </row>
    <row r="644">
      <c r="J644">
        <f>IF(B644="","", _xludf.WEEKNUM(B644, 2))</f>
        <v/>
      </c>
    </row>
    <row r="645">
      <c r="J645">
        <f>IF(B645="","", _xludf.WEEKNUM(B645, 2))</f>
        <v/>
      </c>
    </row>
    <row r="646">
      <c r="J646">
        <f>IF(B646="","", _xludf.WEEKNUM(B646, 2))</f>
        <v/>
      </c>
    </row>
    <row r="647">
      <c r="J647">
        <f>IF(B647="","", _xludf.WEEKNUM(B647, 2))</f>
        <v/>
      </c>
    </row>
    <row r="648">
      <c r="J648">
        <f>IF(B648="","", _xludf.WEEKNUM(B648, 2))</f>
        <v/>
      </c>
    </row>
    <row r="649">
      <c r="J649">
        <f>IF(B649="","", _xludf.WEEKNUM(B649, 2))</f>
        <v/>
      </c>
    </row>
    <row r="650">
      <c r="J650">
        <f>IF(B650="","", _xludf.WEEKNUM(B650, 2))</f>
        <v/>
      </c>
    </row>
    <row r="651">
      <c r="J651">
        <f>IF(B651="","", _xludf.WEEKNUM(B651, 2))</f>
        <v/>
      </c>
    </row>
    <row r="652">
      <c r="J652">
        <f>IF(B652="","", _xludf.WEEKNUM(B652, 2))</f>
        <v/>
      </c>
    </row>
    <row r="653">
      <c r="J653">
        <f>IF(B653="","", _xludf.WEEKNUM(B653, 2))</f>
        <v/>
      </c>
    </row>
    <row r="654">
      <c r="J654">
        <f>IF(B654="","", _xludf.WEEKNUM(B654, 2))</f>
        <v/>
      </c>
    </row>
    <row r="655">
      <c r="J655">
        <f>IF(B655="","", _xludf.WEEKNUM(B655, 2))</f>
        <v/>
      </c>
    </row>
    <row r="656">
      <c r="J656">
        <f>IF(B656="","", _xludf.WEEKNUM(B656, 2))</f>
        <v/>
      </c>
    </row>
    <row r="657">
      <c r="J657">
        <f>IF(B657="","", _xludf.WEEKNUM(B657, 2))</f>
        <v/>
      </c>
    </row>
    <row r="658">
      <c r="J658">
        <f>IF(B658="","", _xludf.WEEKNUM(B658, 2))</f>
        <v/>
      </c>
    </row>
    <row r="659">
      <c r="J659">
        <f>IF(B659="","", _xludf.WEEKNUM(B659, 2))</f>
        <v/>
      </c>
    </row>
    <row r="660">
      <c r="J660">
        <f>IF(B660="","", _xludf.WEEKNUM(B660, 2))</f>
        <v/>
      </c>
    </row>
    <row r="661">
      <c r="J661">
        <f>IF(B661="","", _xludf.WEEKNUM(B661, 2))</f>
        <v/>
      </c>
    </row>
    <row r="662">
      <c r="J662">
        <f>IF(B662="","", _xludf.WEEKNUM(B662, 2))</f>
        <v/>
      </c>
    </row>
    <row r="663">
      <c r="J663">
        <f>IF(B663="","", _xludf.WEEKNUM(B663, 2))</f>
        <v/>
      </c>
    </row>
    <row r="664">
      <c r="J664">
        <f>IF(B664="","", _xludf.WEEKNUM(B664, 2))</f>
        <v/>
      </c>
    </row>
    <row r="665">
      <c r="J665">
        <f>IF(B665="","", _xludf.WEEKNUM(B665, 2))</f>
        <v/>
      </c>
    </row>
    <row r="666">
      <c r="J666">
        <f>IF(B666="","", _xludf.WEEKNUM(B666, 2))</f>
        <v/>
      </c>
    </row>
    <row r="667">
      <c r="J667">
        <f>IF(B667="","", _xludf.WEEKNUM(B667, 2))</f>
        <v/>
      </c>
    </row>
    <row r="668">
      <c r="J668">
        <f>IF(B668="","", _xludf.WEEKNUM(B668, 2))</f>
        <v/>
      </c>
    </row>
    <row r="669">
      <c r="J669">
        <f>IF(B669="","", _xludf.WEEKNUM(B669, 2))</f>
        <v/>
      </c>
    </row>
    <row r="670">
      <c r="J670">
        <f>IF(B670="","", _xludf.WEEKNUM(B670, 2))</f>
        <v/>
      </c>
    </row>
    <row r="671">
      <c r="J671">
        <f>IF(B671="","", _xludf.WEEKNUM(B671, 2))</f>
        <v/>
      </c>
    </row>
    <row r="672">
      <c r="J672">
        <f>IF(B672="","", _xludf.WEEKNUM(B672, 2))</f>
        <v/>
      </c>
    </row>
    <row r="673">
      <c r="J673">
        <f>IF(B673="","", _xludf.WEEKNUM(B673, 2))</f>
        <v/>
      </c>
    </row>
    <row r="674">
      <c r="J674">
        <f>IF(B674="","", _xludf.WEEKNUM(B674, 2))</f>
        <v/>
      </c>
    </row>
    <row r="675">
      <c r="J675">
        <f>IF(B675="","", _xludf.WEEKNUM(B675, 2))</f>
        <v/>
      </c>
    </row>
    <row r="676">
      <c r="J676">
        <f>IF(B676="","", _xludf.WEEKNUM(B676, 2))</f>
        <v/>
      </c>
    </row>
    <row r="677">
      <c r="J677">
        <f>IF(B677="","", _xludf.WEEKNUM(B677, 2))</f>
        <v/>
      </c>
    </row>
    <row r="678">
      <c r="J678">
        <f>IF(B678="","", _xludf.WEEKNUM(B678, 2))</f>
        <v/>
      </c>
    </row>
    <row r="679">
      <c r="J679">
        <f>IF(B679="","", _xludf.WEEKNUM(B679, 2))</f>
        <v/>
      </c>
    </row>
    <row r="680">
      <c r="J680">
        <f>IF(B680="","", _xludf.WEEKNUM(B680, 2))</f>
        <v/>
      </c>
    </row>
    <row r="681">
      <c r="J681">
        <f>IF(B681="","", _xludf.WEEKNUM(B681, 2))</f>
        <v/>
      </c>
    </row>
    <row r="682">
      <c r="J682">
        <f>IF(B682="","", _xludf.WEEKNUM(B682, 2))</f>
        <v/>
      </c>
    </row>
    <row r="683">
      <c r="J683">
        <f>IF(B683="","", _xludf.WEEKNUM(B683, 2))</f>
        <v/>
      </c>
    </row>
    <row r="684">
      <c r="J684">
        <f>IF(B684="","", _xludf.WEEKNUM(B684, 2))</f>
        <v/>
      </c>
    </row>
    <row r="685">
      <c r="J685">
        <f>IF(B685="","", _xludf.WEEKNUM(B685, 2))</f>
        <v/>
      </c>
    </row>
    <row r="686">
      <c r="J686">
        <f>IF(B686="","", _xludf.WEEKNUM(B686, 2))</f>
        <v/>
      </c>
    </row>
    <row r="687">
      <c r="J687">
        <f>IF(B687="","", _xludf.WEEKNUM(B687, 2))</f>
        <v/>
      </c>
    </row>
    <row r="688">
      <c r="J688">
        <f>IF(B688="","", _xludf.WEEKNUM(B688, 2))</f>
        <v/>
      </c>
    </row>
    <row r="689">
      <c r="J689">
        <f>IF(B689="","", _xludf.WEEKNUM(B689, 2))</f>
        <v/>
      </c>
    </row>
    <row r="690">
      <c r="J690">
        <f>IF(B690="","", _xludf.WEEKNUM(B690, 2))</f>
        <v/>
      </c>
    </row>
    <row r="691">
      <c r="J691">
        <f>IF(B691="","", _xludf.WEEKNUM(B691, 2))</f>
        <v/>
      </c>
    </row>
    <row r="692">
      <c r="J692">
        <f>IF(B692="","", _xludf.WEEKNUM(B692, 2))</f>
        <v/>
      </c>
    </row>
    <row r="693">
      <c r="J693">
        <f>IF(B693="","", _xludf.WEEKNUM(B693, 2))</f>
        <v/>
      </c>
    </row>
    <row r="694">
      <c r="J694">
        <f>IF(B694="","", _xludf.WEEKNUM(B694, 2))</f>
        <v/>
      </c>
    </row>
    <row r="695">
      <c r="J695">
        <f>IF(B695="","", _xludf.WEEKNUM(B695, 2))</f>
        <v/>
      </c>
    </row>
    <row r="696">
      <c r="J696">
        <f>IF(B696="","", _xludf.WEEKNUM(B696, 2))</f>
        <v/>
      </c>
    </row>
    <row r="697">
      <c r="J697">
        <f>IF(B697="","", _xludf.WEEKNUM(B697, 2))</f>
        <v/>
      </c>
    </row>
    <row r="698">
      <c r="J698">
        <f>IF(B698="","", _xludf.WEEKNUM(B698, 2))</f>
        <v/>
      </c>
    </row>
    <row r="699">
      <c r="J699">
        <f>IF(B699="","", _xludf.WEEKNUM(B699, 2))</f>
        <v/>
      </c>
    </row>
    <row r="700">
      <c r="J700">
        <f>IF(B700="","", _xludf.WEEKNUM(B700, 2))</f>
        <v/>
      </c>
    </row>
    <row r="701">
      <c r="J701">
        <f>IF(B701="","", _xludf.WEEKNUM(B701, 2))</f>
        <v/>
      </c>
    </row>
    <row r="702">
      <c r="J702">
        <f>IF(B702="","", _xludf.WEEKNUM(B702, 2))</f>
        <v/>
      </c>
    </row>
    <row r="703">
      <c r="J703">
        <f>IF(B703="","", _xludf.WEEKNUM(B703, 2))</f>
        <v/>
      </c>
    </row>
    <row r="704">
      <c r="J704">
        <f>IF(B704="","", _xludf.WEEKNUM(B704, 2))</f>
        <v/>
      </c>
    </row>
    <row r="705">
      <c r="J705">
        <f>IF(B705="","", _xludf.WEEKNUM(B705, 2))</f>
        <v/>
      </c>
    </row>
    <row r="706">
      <c r="J706">
        <f>IF(B706="","", _xludf.WEEKNUM(B706, 2))</f>
        <v/>
      </c>
    </row>
    <row r="707">
      <c r="J707">
        <f>IF(B707="","", _xludf.WEEKNUM(B707, 2))</f>
        <v/>
      </c>
    </row>
    <row r="708">
      <c r="J708">
        <f>IF(B708="","", _xludf.WEEKNUM(B708, 2))</f>
        <v/>
      </c>
    </row>
    <row r="709">
      <c r="J709">
        <f>IF(B709="","", _xludf.WEEKNUM(B709, 2))</f>
        <v/>
      </c>
    </row>
    <row r="710">
      <c r="J710">
        <f>IF(B710="","", _xludf.WEEKNUM(B710, 2))</f>
        <v/>
      </c>
    </row>
    <row r="711">
      <c r="J711">
        <f>IF(B711="","", _xludf.WEEKNUM(B711, 2))</f>
        <v/>
      </c>
    </row>
    <row r="712">
      <c r="J712">
        <f>IF(B712="","", _xludf.WEEKNUM(B712, 2))</f>
        <v/>
      </c>
    </row>
    <row r="713">
      <c r="J713">
        <f>IF(B713="","", _xludf.WEEKNUM(B713, 2))</f>
        <v/>
      </c>
    </row>
    <row r="714">
      <c r="J714">
        <f>IF(B714="","", _xludf.WEEKNUM(B714, 2))</f>
        <v/>
      </c>
    </row>
    <row r="715">
      <c r="J715">
        <f>IF(B715="","", _xludf.WEEKNUM(B715, 2))</f>
        <v/>
      </c>
    </row>
    <row r="716">
      <c r="J716">
        <f>IF(B716="","", _xludf.WEEKNUM(B716, 2))</f>
        <v/>
      </c>
    </row>
    <row r="717">
      <c r="J717">
        <f>IF(B717="","", _xludf.WEEKNUM(B717, 2))</f>
        <v/>
      </c>
    </row>
    <row r="718">
      <c r="J718">
        <f>IF(B718="","", _xludf.WEEKNUM(B718, 2))</f>
        <v/>
      </c>
    </row>
    <row r="719">
      <c r="J719">
        <f>IF(B719="","", _xludf.WEEKNUM(B719, 2))</f>
        <v/>
      </c>
    </row>
    <row r="720">
      <c r="J720">
        <f>IF(B720="","", _xludf.WEEKNUM(B720, 2))</f>
        <v/>
      </c>
    </row>
    <row r="721">
      <c r="J721">
        <f>IF(B721="","", _xludf.WEEKNUM(B721, 2))</f>
        <v/>
      </c>
    </row>
    <row r="722">
      <c r="J722">
        <f>IF(B722="","", _xludf.WEEKNUM(B722, 2))</f>
        <v/>
      </c>
    </row>
    <row r="723">
      <c r="J723">
        <f>IF(B723="","", _xludf.WEEKNUM(B723, 2))</f>
        <v/>
      </c>
    </row>
    <row r="724">
      <c r="J724">
        <f>IF(B724="","", _xludf.WEEKNUM(B724, 2))</f>
        <v/>
      </c>
    </row>
    <row r="725">
      <c r="J725">
        <f>IF(B725="","", _xludf.WEEKNUM(B725, 2))</f>
        <v/>
      </c>
    </row>
    <row r="726">
      <c r="J726">
        <f>IF(B726="","", _xludf.WEEKNUM(B726, 2))</f>
        <v/>
      </c>
    </row>
    <row r="727">
      <c r="J727">
        <f>IF(B727="","", _xludf.WEEKNUM(B727, 2))</f>
        <v/>
      </c>
    </row>
    <row r="728">
      <c r="J728">
        <f>IF(B728="","", _xludf.WEEKNUM(B728, 2))</f>
        <v/>
      </c>
    </row>
    <row r="729">
      <c r="J729">
        <f>IF(B729="","", _xludf.WEEKNUM(B729, 2))</f>
        <v/>
      </c>
    </row>
    <row r="730">
      <c r="J730">
        <f>IF(B730="","", _xludf.WEEKNUM(B730, 2))</f>
        <v/>
      </c>
    </row>
    <row r="731">
      <c r="J731">
        <f>IF(B731="","", _xludf.WEEKNUM(B731, 2))</f>
        <v/>
      </c>
    </row>
    <row r="732">
      <c r="J732">
        <f>IF(B732="","", _xludf.WEEKNUM(B732, 2))</f>
        <v/>
      </c>
    </row>
    <row r="733">
      <c r="J733">
        <f>IF(B733="","", _xludf.WEEKNUM(B733, 2))</f>
        <v/>
      </c>
    </row>
    <row r="734">
      <c r="J734">
        <f>IF(B734="","", _xludf.WEEKNUM(B734, 2))</f>
        <v/>
      </c>
    </row>
    <row r="735">
      <c r="J735">
        <f>IF(B735="","", _xludf.WEEKNUM(B735, 2))</f>
        <v/>
      </c>
    </row>
    <row r="736">
      <c r="J736">
        <f>IF(B736="","", _xludf.WEEKNUM(B736, 2))</f>
        <v/>
      </c>
    </row>
    <row r="737">
      <c r="J737">
        <f>IF(B737="","", _xludf.WEEKNUM(B737, 2))</f>
        <v/>
      </c>
    </row>
    <row r="738">
      <c r="J738">
        <f>IF(B738="","", _xludf.WEEKNUM(B738, 2))</f>
        <v/>
      </c>
    </row>
    <row r="739">
      <c r="J739">
        <f>IF(B739="","", _xludf.WEEKNUM(B739, 2))</f>
        <v/>
      </c>
    </row>
    <row r="740">
      <c r="J740">
        <f>IF(B740="","", _xludf.WEEKNUM(B740, 2))</f>
        <v/>
      </c>
    </row>
    <row r="741">
      <c r="J741">
        <f>IF(B741="","", _xludf.WEEKNUM(B741, 2))</f>
        <v/>
      </c>
    </row>
    <row r="742">
      <c r="J742">
        <f>IF(B742="","", _xludf.WEEKNUM(B742, 2))</f>
        <v/>
      </c>
    </row>
    <row r="743">
      <c r="J743">
        <f>IF(B743="","", _xludf.WEEKNUM(B743, 2))</f>
        <v/>
      </c>
    </row>
    <row r="744">
      <c r="J744">
        <f>IF(B744="","", _xludf.WEEKNUM(B744, 2))</f>
        <v/>
      </c>
    </row>
    <row r="745">
      <c r="J745">
        <f>IF(B745="","", _xludf.WEEKNUM(B745, 2))</f>
        <v/>
      </c>
    </row>
    <row r="746">
      <c r="J746">
        <f>IF(B746="","", _xludf.WEEKNUM(B746, 2))</f>
        <v/>
      </c>
    </row>
    <row r="747">
      <c r="J747">
        <f>IF(B747="","", _xludf.WEEKNUM(B747, 2))</f>
        <v/>
      </c>
    </row>
    <row r="748">
      <c r="J748">
        <f>IF(B748="","", _xludf.WEEKNUM(B748, 2))</f>
        <v/>
      </c>
    </row>
    <row r="749">
      <c r="J749">
        <f>IF(B749="","", _xludf.WEEKNUM(B749, 2))</f>
        <v/>
      </c>
    </row>
    <row r="750">
      <c r="J750">
        <f>IF(B750="","", _xludf.WEEKNUM(B750, 2))</f>
        <v/>
      </c>
    </row>
    <row r="751">
      <c r="J751">
        <f>IF(B751="","", _xludf.WEEKNUM(B751, 2))</f>
        <v/>
      </c>
    </row>
    <row r="752">
      <c r="J752">
        <f>IF(B752="","", _xludf.WEEKNUM(B752, 2))</f>
        <v/>
      </c>
    </row>
    <row r="753">
      <c r="J753">
        <f>IF(B753="","", _xludf.WEEKNUM(B753, 2))</f>
        <v/>
      </c>
    </row>
    <row r="754">
      <c r="J754">
        <f>IF(B754="","", _xludf.WEEKNUM(B754, 2))</f>
        <v/>
      </c>
    </row>
    <row r="755">
      <c r="J755">
        <f>IF(B755="","", _xludf.WEEKNUM(B755, 2))</f>
        <v/>
      </c>
    </row>
    <row r="756">
      <c r="J756">
        <f>IF(B756="","", _xludf.WEEKNUM(B756, 2))</f>
        <v/>
      </c>
    </row>
    <row r="757">
      <c r="J757">
        <f>IF(B757="","", _xludf.WEEKNUM(B757, 2))</f>
        <v/>
      </c>
    </row>
    <row r="758">
      <c r="J758">
        <f>IF(B758="","", _xludf.WEEKNUM(B758, 2))</f>
        <v/>
      </c>
    </row>
    <row r="759">
      <c r="J759">
        <f>IF(B759="","", _xludf.WEEKNUM(B759, 2))</f>
        <v/>
      </c>
    </row>
    <row r="760">
      <c r="J760">
        <f>IF(B760="","", _xludf.WEEKNUM(B760, 2))</f>
        <v/>
      </c>
    </row>
    <row r="761">
      <c r="J761">
        <f>IF(B761="","", _xludf.WEEKNUM(B761, 2))</f>
        <v/>
      </c>
    </row>
    <row r="762">
      <c r="J762">
        <f>IF(B762="","", _xludf.WEEKNUM(B762, 2))</f>
        <v/>
      </c>
    </row>
    <row r="763">
      <c r="J763">
        <f>IF(B763="","", _xludf.WEEKNUM(B763, 2))</f>
        <v/>
      </c>
    </row>
    <row r="764">
      <c r="J764">
        <f>IF(B764="","", _xludf.WEEKNUM(B764, 2))</f>
        <v/>
      </c>
    </row>
    <row r="765">
      <c r="J765">
        <f>IF(B765="","", _xludf.WEEKNUM(B765, 2))</f>
        <v/>
      </c>
    </row>
    <row r="766">
      <c r="J766">
        <f>IF(B766="","", _xludf.WEEKNUM(B766, 2))</f>
        <v/>
      </c>
    </row>
    <row r="767">
      <c r="J767">
        <f>IF(B767="","", _xludf.WEEKNUM(B767, 2))</f>
        <v/>
      </c>
    </row>
    <row r="768">
      <c r="J768">
        <f>IF(B768="","", _xludf.WEEKNUM(B768, 2))</f>
        <v/>
      </c>
    </row>
    <row r="769">
      <c r="J769">
        <f>IF(B769="","", _xludf.WEEKNUM(B769, 2))</f>
        <v/>
      </c>
    </row>
    <row r="770">
      <c r="J770">
        <f>IF(B770="","", _xludf.WEEKNUM(B770, 2))</f>
        <v/>
      </c>
    </row>
    <row r="771">
      <c r="J771">
        <f>IF(B771="","", _xludf.WEEKNUM(B771, 2))</f>
        <v/>
      </c>
    </row>
    <row r="772">
      <c r="J772">
        <f>IF(B772="","", _xludf.WEEKNUM(B772, 2))</f>
        <v/>
      </c>
    </row>
    <row r="773">
      <c r="J773">
        <f>IF(B773="","", _xludf.WEEKNUM(B773, 2))</f>
        <v/>
      </c>
    </row>
    <row r="774">
      <c r="J774">
        <f>IF(B774="","", _xludf.WEEKNUM(B774, 2))</f>
        <v/>
      </c>
    </row>
    <row r="775">
      <c r="J775">
        <f>IF(B775="","", _xludf.WEEKNUM(B775, 2))</f>
        <v/>
      </c>
    </row>
    <row r="776">
      <c r="J776">
        <f>IF(B776="","", _xludf.WEEKNUM(B776, 2))</f>
        <v/>
      </c>
    </row>
    <row r="777">
      <c r="J777">
        <f>IF(B777="","", _xludf.WEEKNUM(B777, 2))</f>
        <v/>
      </c>
    </row>
    <row r="778">
      <c r="J778">
        <f>IF(B778="","", _xludf.WEEKNUM(B778, 2))</f>
        <v/>
      </c>
    </row>
    <row r="779">
      <c r="J779">
        <f>IF(B779="","", _xludf.WEEKNUM(B779, 2))</f>
        <v/>
      </c>
    </row>
    <row r="780">
      <c r="J780">
        <f>IF(B780="","", _xludf.WEEKNUM(B780, 2))</f>
        <v/>
      </c>
    </row>
    <row r="781">
      <c r="J781">
        <f>IF(B781="","", _xludf.WEEKNUM(B781, 2))</f>
        <v/>
      </c>
    </row>
    <row r="782">
      <c r="J782">
        <f>IF(B782="","", _xludf.WEEKNUM(B782, 2))</f>
        <v/>
      </c>
    </row>
    <row r="783">
      <c r="J783">
        <f>IF(B783="","", _xludf.WEEKNUM(B783, 2))</f>
        <v/>
      </c>
    </row>
    <row r="784">
      <c r="J784">
        <f>IF(B784="","", _xludf.WEEKNUM(B784, 2))</f>
        <v/>
      </c>
    </row>
    <row r="785">
      <c r="J785">
        <f>IF(B785="","", _xludf.WEEKNUM(B785, 2))</f>
        <v/>
      </c>
    </row>
    <row r="786">
      <c r="J786">
        <f>IF(B786="","", _xludf.WEEKNUM(B786, 2))</f>
        <v/>
      </c>
    </row>
    <row r="787">
      <c r="J787">
        <f>IF(B787="","", _xludf.WEEKNUM(B787, 2))</f>
        <v/>
      </c>
    </row>
    <row r="788">
      <c r="J788">
        <f>IF(B788="","", _xludf.WEEKNUM(B788, 2))</f>
        <v/>
      </c>
    </row>
    <row r="789">
      <c r="J789">
        <f>IF(B789="","", _xludf.WEEKNUM(B789, 2))</f>
        <v/>
      </c>
    </row>
    <row r="790">
      <c r="J790">
        <f>IF(B790="","", _xludf.WEEKNUM(B790, 2))</f>
        <v/>
      </c>
    </row>
    <row r="791">
      <c r="J791">
        <f>IF(B791="","", _xludf.WEEKNUM(B791, 2))</f>
        <v/>
      </c>
    </row>
    <row r="792">
      <c r="J792">
        <f>IF(B792="","", _xludf.WEEKNUM(B792, 2))</f>
        <v/>
      </c>
    </row>
    <row r="793">
      <c r="J793">
        <f>IF(B793="","", _xludf.WEEKNUM(B793, 2))</f>
        <v/>
      </c>
    </row>
    <row r="794">
      <c r="J794">
        <f>IF(B794="","", _xludf.WEEKNUM(B794, 2))</f>
        <v/>
      </c>
    </row>
    <row r="795">
      <c r="J795">
        <f>IF(B795="","", _xludf.WEEKNUM(B795, 2))</f>
        <v/>
      </c>
    </row>
    <row r="796">
      <c r="J796">
        <f>IF(B796="","", _xludf.WEEKNUM(B796, 2))</f>
        <v/>
      </c>
    </row>
    <row r="797">
      <c r="J797">
        <f>IF(B797="","", _xludf.WEEKNUM(B797, 2))</f>
        <v/>
      </c>
    </row>
    <row r="798">
      <c r="J798">
        <f>IF(B798="","", _xludf.WEEKNUM(B798, 2))</f>
        <v/>
      </c>
    </row>
    <row r="799">
      <c r="J799">
        <f>IF(B799="","", _xludf.WEEKNUM(B799, 2))</f>
        <v/>
      </c>
    </row>
    <row r="800">
      <c r="J800">
        <f>IF(B800="","", _xludf.WEEKNUM(B800, 2))</f>
        <v/>
      </c>
    </row>
    <row r="801">
      <c r="J801">
        <f>IF(B801="","", _xludf.WEEKNUM(B801, 2))</f>
        <v/>
      </c>
    </row>
    <row r="802">
      <c r="J802">
        <f>IF(B802="","", _xludf.WEEKNUM(B802, 2))</f>
        <v/>
      </c>
    </row>
    <row r="803">
      <c r="J803">
        <f>IF(B803="","", _xludf.WEEKNUM(B803, 2))</f>
        <v/>
      </c>
    </row>
    <row r="804">
      <c r="J804">
        <f>IF(B804="","", _xludf.WEEKNUM(B804, 2))</f>
        <v/>
      </c>
    </row>
    <row r="805">
      <c r="J805">
        <f>IF(B805="","", _xludf.WEEKNUM(B805, 2))</f>
        <v/>
      </c>
    </row>
    <row r="806">
      <c r="J806">
        <f>IF(B806="","", _xludf.WEEKNUM(B806, 2))</f>
        <v/>
      </c>
    </row>
    <row r="807">
      <c r="J807">
        <f>IF(B807="","", _xludf.WEEKNUM(B807, 2))</f>
        <v/>
      </c>
    </row>
    <row r="808">
      <c r="J808">
        <f>IF(B808="","", _xludf.WEEKNUM(B808, 2))</f>
        <v/>
      </c>
    </row>
    <row r="809">
      <c r="J809">
        <f>IF(B809="","", _xludf.WEEKNUM(B809, 2))</f>
        <v/>
      </c>
    </row>
    <row r="810">
      <c r="J810">
        <f>IF(B810="","", _xludf.WEEKNUM(B810, 2))</f>
        <v/>
      </c>
    </row>
    <row r="811">
      <c r="J811">
        <f>IF(B811="","", _xludf.WEEKNUM(B811, 2))</f>
        <v/>
      </c>
    </row>
    <row r="812">
      <c r="J812">
        <f>IF(B812="","", _xludf.WEEKNUM(B812, 2))</f>
        <v/>
      </c>
    </row>
    <row r="813">
      <c r="J813">
        <f>IF(B813="","", _xludf.WEEKNUM(B813, 2))</f>
        <v/>
      </c>
    </row>
    <row r="814">
      <c r="J814">
        <f>IF(B814="","", _xludf.WEEKNUM(B814, 2))</f>
        <v/>
      </c>
    </row>
    <row r="815">
      <c r="J815">
        <f>IF(B815="","", _xludf.WEEKNUM(B815, 2))</f>
        <v/>
      </c>
    </row>
    <row r="816">
      <c r="J816">
        <f>IF(B816="","", _xludf.WEEKNUM(B816, 2))</f>
        <v/>
      </c>
    </row>
    <row r="817">
      <c r="J817">
        <f>IF(B817="","", _xludf.WEEKNUM(B817, 2))</f>
        <v/>
      </c>
    </row>
    <row r="818">
      <c r="J818">
        <f>IF(B818="","", _xludf.WEEKNUM(B818, 2))</f>
        <v/>
      </c>
    </row>
    <row r="819">
      <c r="J819">
        <f>IF(B819="","", _xludf.WEEKNUM(B819, 2))</f>
        <v/>
      </c>
    </row>
    <row r="820">
      <c r="J820">
        <f>IF(B820="","", _xludf.WEEKNUM(B820, 2))</f>
        <v/>
      </c>
    </row>
    <row r="821">
      <c r="J821">
        <f>IF(B821="","", _xludf.WEEKNUM(B821, 2))</f>
        <v/>
      </c>
    </row>
    <row r="822">
      <c r="J822">
        <f>IF(B822="","", _xludf.WEEKNUM(B822, 2))</f>
        <v/>
      </c>
    </row>
    <row r="823">
      <c r="J823">
        <f>IF(B823="","", _xludf.WEEKNUM(B823, 2))</f>
        <v/>
      </c>
    </row>
    <row r="824">
      <c r="J824">
        <f>IF(B824="","", _xludf.WEEKNUM(B824, 2))</f>
        <v/>
      </c>
    </row>
    <row r="825">
      <c r="J825">
        <f>IF(B825="","", _xludf.WEEKNUM(B825, 2))</f>
        <v/>
      </c>
    </row>
    <row r="826">
      <c r="J826">
        <f>IF(B826="","", _xludf.WEEKNUM(B826, 2))</f>
        <v/>
      </c>
    </row>
    <row r="827">
      <c r="J827">
        <f>IF(B827="","", _xludf.WEEKNUM(B827, 2))</f>
        <v/>
      </c>
    </row>
    <row r="828">
      <c r="J828">
        <f>IF(B828="","", _xludf.WEEKNUM(B828, 2))</f>
        <v/>
      </c>
    </row>
    <row r="829">
      <c r="J829">
        <f>IF(B829="","", _xludf.WEEKNUM(B829, 2))</f>
        <v/>
      </c>
    </row>
    <row r="830">
      <c r="J830">
        <f>IF(B830="","", _xludf.WEEKNUM(B830, 2))</f>
        <v/>
      </c>
    </row>
    <row r="831">
      <c r="J831">
        <f>IF(B831="","", _xludf.WEEKNUM(B831, 2))</f>
        <v/>
      </c>
    </row>
    <row r="832">
      <c r="J832">
        <f>IF(B832="","", _xludf.WEEKNUM(B832, 2))</f>
        <v/>
      </c>
    </row>
    <row r="833">
      <c r="J833">
        <f>IF(B833="","", _xludf.WEEKNUM(B833, 2))</f>
        <v/>
      </c>
    </row>
    <row r="834">
      <c r="J834">
        <f>IF(B834="","", _xludf.WEEKNUM(B834, 2))</f>
        <v/>
      </c>
    </row>
    <row r="835">
      <c r="J835">
        <f>IF(B835="","", _xludf.WEEKNUM(B835, 2))</f>
        <v/>
      </c>
    </row>
    <row r="836">
      <c r="J836">
        <f>IF(B836="","", _xludf.WEEKNUM(B836, 2))</f>
        <v/>
      </c>
    </row>
    <row r="837">
      <c r="J837">
        <f>IF(B837="","", _xludf.WEEKNUM(B837, 2))</f>
        <v/>
      </c>
    </row>
    <row r="838">
      <c r="J838">
        <f>IF(B838="","", _xludf.WEEKNUM(B838, 2))</f>
        <v/>
      </c>
    </row>
    <row r="839">
      <c r="J839">
        <f>IF(B839="","", _xludf.WEEKNUM(B839, 2))</f>
        <v/>
      </c>
    </row>
    <row r="840">
      <c r="J840">
        <f>IF(B840="","", _xludf.WEEKNUM(B840, 2))</f>
        <v/>
      </c>
    </row>
    <row r="841">
      <c r="J841">
        <f>IF(B841="","", _xludf.WEEKNUM(B841, 2))</f>
        <v/>
      </c>
    </row>
    <row r="842">
      <c r="J842">
        <f>IF(B842="","", _xludf.WEEKNUM(B842, 2))</f>
        <v/>
      </c>
    </row>
    <row r="843">
      <c r="J843">
        <f>IF(B843="","", _xludf.WEEKNUM(B843, 2))</f>
        <v/>
      </c>
    </row>
    <row r="844">
      <c r="J844">
        <f>IF(B844="","", _xludf.WEEKNUM(B844, 2))</f>
        <v/>
      </c>
    </row>
    <row r="845">
      <c r="J845">
        <f>IF(B845="","", _xludf.WEEKNUM(B845, 2))</f>
        <v/>
      </c>
    </row>
    <row r="846">
      <c r="J846">
        <f>IF(B846="","", _xludf.WEEKNUM(B846, 2))</f>
        <v/>
      </c>
    </row>
    <row r="847">
      <c r="J847">
        <f>IF(B847="","", _xludf.WEEKNUM(B847, 2))</f>
        <v/>
      </c>
    </row>
    <row r="848">
      <c r="J848">
        <f>IF(B848="","", _xludf.WEEKNUM(B848, 2))</f>
        <v/>
      </c>
    </row>
    <row r="849">
      <c r="J849">
        <f>IF(B849="","", _xludf.WEEKNUM(B849, 2))</f>
        <v/>
      </c>
    </row>
    <row r="850">
      <c r="J850">
        <f>IF(B850="","", _xludf.WEEKNUM(B850, 2))</f>
        <v/>
      </c>
    </row>
    <row r="851">
      <c r="J851">
        <f>IF(B851="","", _xludf.WEEKNUM(B851, 2))</f>
        <v/>
      </c>
    </row>
    <row r="852">
      <c r="J852">
        <f>IF(B852="","", _xludf.WEEKNUM(B852, 2))</f>
        <v/>
      </c>
    </row>
    <row r="853">
      <c r="J853">
        <f>IF(B853="","", _xludf.WEEKNUM(B853, 2))</f>
        <v/>
      </c>
    </row>
    <row r="854">
      <c r="J854">
        <f>IF(B854="","", _xludf.WEEKNUM(B854, 2))</f>
        <v/>
      </c>
    </row>
    <row r="855">
      <c r="J855">
        <f>IF(B855="","", _xludf.WEEKNUM(B855, 2))</f>
        <v/>
      </c>
    </row>
    <row r="856">
      <c r="J856">
        <f>IF(B856="","", _xludf.WEEKNUM(B856, 2))</f>
        <v/>
      </c>
    </row>
    <row r="857">
      <c r="J857">
        <f>IF(B857="","", _xludf.WEEKNUM(B857, 2))</f>
        <v/>
      </c>
    </row>
    <row r="858">
      <c r="J858">
        <f>IF(B858="","", _xludf.WEEKNUM(B858, 2))</f>
        <v/>
      </c>
    </row>
    <row r="859">
      <c r="J859">
        <f>IF(B859="","", _xludf.WEEKNUM(B859, 2))</f>
        <v/>
      </c>
    </row>
    <row r="860">
      <c r="J860">
        <f>IF(B860="","", _xludf.WEEKNUM(B860, 2))</f>
        <v/>
      </c>
    </row>
    <row r="861">
      <c r="J861">
        <f>IF(B861="","", _xludf.WEEKNUM(B861, 2))</f>
        <v/>
      </c>
    </row>
    <row r="862">
      <c r="J862">
        <f>IF(B862="","", _xludf.WEEKNUM(B862, 2))</f>
        <v/>
      </c>
    </row>
    <row r="863">
      <c r="J863">
        <f>IF(B863="","", _xludf.WEEKNUM(B863, 2))</f>
        <v/>
      </c>
    </row>
    <row r="864">
      <c r="J864">
        <f>IF(B864="","", _xludf.WEEKNUM(B864, 2))</f>
        <v/>
      </c>
    </row>
    <row r="865">
      <c r="J865">
        <f>IF(B865="","", _xludf.WEEKNUM(B865, 2))</f>
        <v/>
      </c>
    </row>
    <row r="866">
      <c r="J866">
        <f>IF(B866="","", _xludf.WEEKNUM(B866, 2))</f>
        <v/>
      </c>
    </row>
    <row r="867">
      <c r="J867">
        <f>IF(B867="","", _xludf.WEEKNUM(B867, 2))</f>
        <v/>
      </c>
    </row>
    <row r="868">
      <c r="J868">
        <f>IF(B868="","", _xludf.WEEKNUM(B868, 2))</f>
        <v/>
      </c>
    </row>
    <row r="869">
      <c r="J869">
        <f>IF(B869="","", _xludf.WEEKNUM(B869, 2))</f>
        <v/>
      </c>
    </row>
    <row r="870">
      <c r="J870">
        <f>IF(B870="","", _xludf.WEEKNUM(B870, 2))</f>
        <v/>
      </c>
    </row>
    <row r="871">
      <c r="J871">
        <f>IF(B871="","", _xludf.WEEKNUM(B871, 2))</f>
        <v/>
      </c>
    </row>
    <row r="872">
      <c r="J872">
        <f>IF(B872="","", _xludf.WEEKNUM(B872, 2))</f>
        <v/>
      </c>
    </row>
    <row r="873">
      <c r="J873">
        <f>IF(B873="","", _xludf.WEEKNUM(B873, 2))</f>
        <v/>
      </c>
    </row>
    <row r="874">
      <c r="J874">
        <f>IF(B874="","", _xludf.WEEKNUM(B874, 2))</f>
        <v/>
      </c>
    </row>
    <row r="875">
      <c r="J875">
        <f>IF(B875="","", _xludf.WEEKNUM(B875, 2))</f>
        <v/>
      </c>
    </row>
    <row r="876">
      <c r="J876">
        <f>IF(B876="","", _xludf.WEEKNUM(B876, 2))</f>
        <v/>
      </c>
    </row>
    <row r="877">
      <c r="J877">
        <f>IF(B877="","", _xludf.WEEKNUM(B877, 2))</f>
        <v/>
      </c>
    </row>
    <row r="878">
      <c r="J878">
        <f>IF(B878="","", _xludf.WEEKNUM(B878, 2))</f>
        <v/>
      </c>
    </row>
    <row r="879">
      <c r="J879">
        <f>IF(B879="","", _xludf.WEEKNUM(B879, 2))</f>
        <v/>
      </c>
    </row>
    <row r="880">
      <c r="J880">
        <f>IF(B880="","", _xludf.WEEKNUM(B880, 2))</f>
        <v/>
      </c>
    </row>
    <row r="881">
      <c r="J881">
        <f>IF(B881="","", _xludf.WEEKNUM(B881, 2))</f>
        <v/>
      </c>
    </row>
    <row r="882">
      <c r="J882">
        <f>IF(B882="","", _xludf.WEEKNUM(B882, 2))</f>
        <v/>
      </c>
    </row>
    <row r="883">
      <c r="J883">
        <f>IF(B883="","", _xludf.WEEKNUM(B883, 2))</f>
        <v/>
      </c>
    </row>
    <row r="884">
      <c r="J884">
        <f>IF(B884="","", _xludf.WEEKNUM(B884, 2))</f>
        <v/>
      </c>
    </row>
    <row r="885">
      <c r="J885">
        <f>IF(B885="","", _xludf.WEEKNUM(B885, 2))</f>
        <v/>
      </c>
    </row>
    <row r="886">
      <c r="J886">
        <f>IF(B886="","", _xludf.WEEKNUM(B886, 2))</f>
        <v/>
      </c>
    </row>
    <row r="887">
      <c r="J887">
        <f>IF(B887="","", _xludf.WEEKNUM(B887, 2))</f>
        <v/>
      </c>
    </row>
    <row r="888">
      <c r="J888">
        <f>IF(B888="","", _xludf.WEEKNUM(B888, 2))</f>
        <v/>
      </c>
    </row>
    <row r="889">
      <c r="J889">
        <f>IF(B889="","", _xludf.WEEKNUM(B889, 2))</f>
        <v/>
      </c>
    </row>
    <row r="890">
      <c r="J890">
        <f>IF(B890="","", _xludf.WEEKNUM(B890, 2))</f>
        <v/>
      </c>
    </row>
    <row r="891">
      <c r="J891">
        <f>IF(B891="","", _xludf.WEEKNUM(B891, 2))</f>
        <v/>
      </c>
    </row>
    <row r="892">
      <c r="J892">
        <f>IF(B892="","", _xludf.WEEKNUM(B892, 2))</f>
        <v/>
      </c>
    </row>
    <row r="893">
      <c r="J893">
        <f>IF(B893="","", _xludf.WEEKNUM(B893, 2))</f>
        <v/>
      </c>
    </row>
    <row r="894">
      <c r="J894">
        <f>IF(B894="","", _xludf.WEEKNUM(B894, 2))</f>
        <v/>
      </c>
    </row>
    <row r="895">
      <c r="J895">
        <f>IF(B895="","", _xludf.WEEKNUM(B895, 2))</f>
        <v/>
      </c>
    </row>
    <row r="896">
      <c r="J896">
        <f>IF(B896="","", _xludf.WEEKNUM(B896, 2))</f>
        <v/>
      </c>
    </row>
    <row r="897">
      <c r="J897">
        <f>IF(B897="","", _xludf.WEEKNUM(B897, 2))</f>
        <v/>
      </c>
    </row>
    <row r="898">
      <c r="J898">
        <f>IF(B898="","", _xludf.WEEKNUM(B898, 2))</f>
        <v/>
      </c>
    </row>
    <row r="899">
      <c r="J899">
        <f>IF(B899="","", _xludf.WEEKNUM(B899, 2))</f>
        <v/>
      </c>
    </row>
    <row r="900">
      <c r="J900">
        <f>IF(B900="","", _xludf.WEEKNUM(B900, 2))</f>
        <v/>
      </c>
    </row>
    <row r="901">
      <c r="J901">
        <f>IF(B901="","", _xludf.WEEKNUM(B901, 2))</f>
        <v/>
      </c>
    </row>
    <row r="902">
      <c r="J902">
        <f>IF(B902="","", _xludf.WEEKNUM(B902, 2))</f>
        <v/>
      </c>
    </row>
    <row r="903">
      <c r="J903">
        <f>IF(B903="","", _xludf.WEEKNUM(B903, 2))</f>
        <v/>
      </c>
    </row>
    <row r="904">
      <c r="J904">
        <f>IF(B904="","", _xludf.WEEKNUM(B904, 2))</f>
        <v/>
      </c>
    </row>
    <row r="905">
      <c r="J905">
        <f>IF(B905="","", _xludf.WEEKNUM(B905, 2))</f>
        <v/>
      </c>
    </row>
    <row r="906">
      <c r="J906">
        <f>IF(B906="","", _xludf.WEEKNUM(B906, 2))</f>
        <v/>
      </c>
    </row>
    <row r="907">
      <c r="J907">
        <f>IF(B907="","", _xludf.WEEKNUM(B907, 2))</f>
        <v/>
      </c>
    </row>
    <row r="908">
      <c r="J908">
        <f>IF(B908="","", _xludf.WEEKNUM(B908, 2))</f>
        <v/>
      </c>
    </row>
    <row r="909">
      <c r="J909">
        <f>IF(B909="","", _xludf.WEEKNUM(B909, 2))</f>
        <v/>
      </c>
    </row>
    <row r="910">
      <c r="J910">
        <f>IF(B910="","", _xludf.WEEKNUM(B910, 2))</f>
        <v/>
      </c>
    </row>
    <row r="911">
      <c r="J911">
        <f>IF(B911="","", _xludf.WEEKNUM(B911, 2))</f>
        <v/>
      </c>
    </row>
    <row r="912">
      <c r="J912">
        <f>IF(B912="","", _xludf.WEEKNUM(B912, 2))</f>
        <v/>
      </c>
    </row>
    <row r="913">
      <c r="J913">
        <f>IF(B913="","", _xludf.WEEKNUM(B913, 2))</f>
        <v/>
      </c>
    </row>
    <row r="914">
      <c r="J914">
        <f>IF(B914="","", _xludf.WEEKNUM(B914, 2))</f>
        <v/>
      </c>
    </row>
    <row r="915">
      <c r="J915">
        <f>IF(B915="","", _xludf.WEEKNUM(B915, 2))</f>
        <v/>
      </c>
    </row>
    <row r="916">
      <c r="J916">
        <f>IF(B916="","", _xludf.WEEKNUM(B916, 2))</f>
        <v/>
      </c>
    </row>
    <row r="917">
      <c r="J917">
        <f>IF(B917="","", _xludf.WEEKNUM(B917, 2))</f>
        <v/>
      </c>
    </row>
    <row r="918">
      <c r="J918">
        <f>IF(B918="","", _xludf.WEEKNUM(B918, 2))</f>
        <v/>
      </c>
    </row>
    <row r="919">
      <c r="J919">
        <f>IF(B919="","", _xludf.WEEKNUM(B919, 2))</f>
        <v/>
      </c>
    </row>
    <row r="920">
      <c r="J920">
        <f>IF(B920="","", _xludf.WEEKNUM(B920, 2))</f>
        <v/>
      </c>
    </row>
    <row r="921">
      <c r="J921">
        <f>IF(B921="","", _xludf.WEEKNUM(B921, 2))</f>
        <v/>
      </c>
    </row>
    <row r="922">
      <c r="J922">
        <f>IF(B922="","", _xludf.WEEKNUM(B922, 2))</f>
        <v/>
      </c>
    </row>
    <row r="923">
      <c r="J923">
        <f>IF(B923="","", _xludf.WEEKNUM(B923, 2))</f>
        <v/>
      </c>
    </row>
    <row r="924">
      <c r="J924">
        <f>IF(B924="","", _xludf.WEEKNUM(B924, 2))</f>
        <v/>
      </c>
    </row>
    <row r="925">
      <c r="J925">
        <f>IF(B925="","", _xludf.WEEKNUM(B925, 2))</f>
        <v/>
      </c>
    </row>
    <row r="926">
      <c r="J926">
        <f>IF(B926="","", _xludf.WEEKNUM(B926, 2))</f>
        <v/>
      </c>
    </row>
    <row r="927">
      <c r="J927">
        <f>IF(B927="","", _xludf.WEEKNUM(B927, 2))</f>
        <v/>
      </c>
    </row>
    <row r="928">
      <c r="J928">
        <f>IF(B928="","", _xludf.WEEKNUM(B928, 2))</f>
        <v/>
      </c>
    </row>
    <row r="929">
      <c r="J929">
        <f>IF(B929="","", _xludf.WEEKNUM(B929, 2))</f>
        <v/>
      </c>
    </row>
    <row r="930">
      <c r="J930">
        <f>IF(B930="","", _xludf.WEEKNUM(B930, 2))</f>
        <v/>
      </c>
    </row>
    <row r="931">
      <c r="J931">
        <f>IF(B931="","", _xludf.WEEKNUM(B931, 2))</f>
        <v/>
      </c>
    </row>
    <row r="932">
      <c r="J932">
        <f>IF(B932="","", _xludf.WEEKNUM(B932, 2))</f>
        <v/>
      </c>
    </row>
    <row r="933">
      <c r="J933">
        <f>IF(B933="","", _xludf.WEEKNUM(B933, 2))</f>
        <v/>
      </c>
    </row>
    <row r="934">
      <c r="J934">
        <f>IF(B934="","", _xludf.WEEKNUM(B934, 2))</f>
        <v/>
      </c>
    </row>
    <row r="935">
      <c r="J935">
        <f>IF(B935="","", _xludf.WEEKNUM(B935, 2))</f>
        <v/>
      </c>
    </row>
    <row r="936">
      <c r="J936">
        <f>IF(B936="","", _xludf.WEEKNUM(B936, 2))</f>
        <v/>
      </c>
    </row>
    <row r="937">
      <c r="J937">
        <f>IF(B937="","", _xludf.WEEKNUM(B937, 2))</f>
        <v/>
      </c>
    </row>
    <row r="938">
      <c r="J938">
        <f>IF(B938="","", _xludf.WEEKNUM(B938, 2))</f>
        <v/>
      </c>
    </row>
    <row r="939">
      <c r="J939">
        <f>IF(B939="","", _xludf.WEEKNUM(B939, 2))</f>
        <v/>
      </c>
    </row>
    <row r="940">
      <c r="J940">
        <f>IF(B940="","", _xludf.WEEKNUM(B940, 2))</f>
        <v/>
      </c>
    </row>
    <row r="941">
      <c r="J941">
        <f>IF(B941="","", _xludf.WEEKNUM(B941, 2))</f>
        <v/>
      </c>
    </row>
    <row r="942">
      <c r="J942">
        <f>IF(B942="","", _xludf.WEEKNUM(B942, 2))</f>
        <v/>
      </c>
    </row>
    <row r="943">
      <c r="J943">
        <f>IF(B943="","", _xludf.WEEKNUM(B943, 2))</f>
        <v/>
      </c>
    </row>
    <row r="944">
      <c r="J944">
        <f>IF(B944="","", _xludf.WEEKNUM(B944, 2))</f>
        <v/>
      </c>
    </row>
    <row r="945">
      <c r="J945">
        <f>IF(B945="","", _xludf.WEEKNUM(B945, 2))</f>
        <v/>
      </c>
    </row>
    <row r="946">
      <c r="J946">
        <f>IF(B946="","", _xludf.WEEKNUM(B946, 2))</f>
        <v/>
      </c>
    </row>
    <row r="947">
      <c r="J947">
        <f>IF(B947="","", _xludf.WEEKNUM(B947, 2))</f>
        <v/>
      </c>
    </row>
    <row r="948">
      <c r="J948">
        <f>IF(B948="","", _xludf.WEEKNUM(B948, 2))</f>
        <v/>
      </c>
    </row>
    <row r="949">
      <c r="J949">
        <f>IF(B949="","", _xludf.WEEKNUM(B949, 2))</f>
        <v/>
      </c>
    </row>
    <row r="950">
      <c r="J950">
        <f>IF(B950="","", _xludf.WEEKNUM(B950, 2))</f>
        <v/>
      </c>
    </row>
    <row r="951">
      <c r="J951">
        <f>IF(B951="","", _xludf.WEEKNUM(B951, 2))</f>
        <v/>
      </c>
    </row>
    <row r="952">
      <c r="J952">
        <f>IF(B952="","", _xludf.WEEKNUM(B952, 2))</f>
        <v/>
      </c>
    </row>
    <row r="953">
      <c r="J953">
        <f>IF(B953="","", _xludf.WEEKNUM(B953, 2))</f>
        <v/>
      </c>
    </row>
    <row r="954">
      <c r="J954">
        <f>IF(B954="","", _xludf.WEEKNUM(B954, 2))</f>
        <v/>
      </c>
    </row>
    <row r="955">
      <c r="J955">
        <f>IF(B955="","", _xludf.WEEKNUM(B955, 2))</f>
        <v/>
      </c>
    </row>
    <row r="956">
      <c r="J956">
        <f>IF(B956="","", _xludf.WEEKNUM(B956, 2))</f>
        <v/>
      </c>
    </row>
    <row r="957">
      <c r="J957">
        <f>IF(B957="","", _xludf.WEEKNUM(B957, 2))</f>
        <v/>
      </c>
    </row>
    <row r="958">
      <c r="J958">
        <f>IF(B958="","", _xludf.WEEKNUM(B958, 2))</f>
        <v/>
      </c>
    </row>
    <row r="959">
      <c r="J959">
        <f>IF(B959="","", _xludf.WEEKNUM(B959, 2))</f>
        <v/>
      </c>
    </row>
    <row r="960">
      <c r="J960">
        <f>IF(B960="","", _xludf.WEEKNUM(B960, 2))</f>
        <v/>
      </c>
    </row>
    <row r="961">
      <c r="J961">
        <f>IF(B961="","", _xludf.WEEKNUM(B961, 2))</f>
        <v/>
      </c>
    </row>
    <row r="962">
      <c r="J962">
        <f>IF(B962="","", _xludf.WEEKNUM(B962, 2))</f>
        <v/>
      </c>
    </row>
    <row r="963">
      <c r="J963">
        <f>IF(B963="","", _xludf.WEEKNUM(B963, 2))</f>
        <v/>
      </c>
    </row>
    <row r="964">
      <c r="J964">
        <f>IF(B964="","", _xludf.WEEKNUM(B964, 2))</f>
        <v/>
      </c>
    </row>
    <row r="965">
      <c r="J965">
        <f>IF(B965="","", _xludf.WEEKNUM(B965, 2))</f>
        <v/>
      </c>
    </row>
    <row r="966">
      <c r="J966">
        <f>IF(B966="","", _xludf.WEEKNUM(B966, 2))</f>
        <v/>
      </c>
    </row>
    <row r="967">
      <c r="J967">
        <f>IF(B967="","", _xludf.WEEKNUM(B967, 2))</f>
        <v/>
      </c>
    </row>
    <row r="968">
      <c r="J968">
        <f>IF(B968="","", _xludf.WEEKNUM(B968, 2))</f>
        <v/>
      </c>
    </row>
    <row r="969">
      <c r="J969">
        <f>IF(B969="","", _xludf.WEEKNUM(B969, 2))</f>
        <v/>
      </c>
    </row>
    <row r="970">
      <c r="J970">
        <f>IF(B970="","", _xludf.WEEKNUM(B970, 2))</f>
        <v/>
      </c>
    </row>
    <row r="971">
      <c r="J971">
        <f>IF(B971="","", _xludf.WEEKNUM(B971, 2))</f>
        <v/>
      </c>
    </row>
    <row r="972">
      <c r="J972">
        <f>IF(B972="","", _xludf.WEEKNUM(B972, 2))</f>
        <v/>
      </c>
    </row>
    <row r="973">
      <c r="J973">
        <f>IF(B973="","", _xludf.WEEKNUM(B973, 2))</f>
        <v/>
      </c>
    </row>
    <row r="974">
      <c r="J974">
        <f>IF(B974="","", _xludf.WEEKNUM(B974, 2))</f>
        <v/>
      </c>
    </row>
    <row r="975">
      <c r="J975">
        <f>IF(B975="","", _xludf.WEEKNUM(B975, 2))</f>
        <v/>
      </c>
    </row>
    <row r="976">
      <c r="J976">
        <f>IF(B976="","", _xludf.WEEKNUM(B976, 2))</f>
        <v/>
      </c>
    </row>
    <row r="977">
      <c r="J977">
        <f>IF(B977="","", _xludf.WEEKNUM(B977, 2))</f>
        <v/>
      </c>
    </row>
    <row r="978">
      <c r="J978">
        <f>IF(B978="","", _xludf.WEEKNUM(B978, 2))</f>
        <v/>
      </c>
    </row>
    <row r="979">
      <c r="J979">
        <f>IF(B979="","", _xludf.WEEKNUM(B979, 2))</f>
        <v/>
      </c>
    </row>
    <row r="980">
      <c r="J980">
        <f>IF(B980="","", _xludf.WEEKNUM(B980, 2))</f>
        <v/>
      </c>
    </row>
    <row r="981">
      <c r="J981">
        <f>IF(B981="","", _xludf.WEEKNUM(B981, 2))</f>
        <v/>
      </c>
    </row>
    <row r="982">
      <c r="J982">
        <f>IF(B982="","", _xludf.WEEKNUM(B982, 2))</f>
        <v/>
      </c>
    </row>
    <row r="983">
      <c r="J983">
        <f>IF(B983="","", _xludf.WEEKNUM(B983, 2))</f>
        <v/>
      </c>
    </row>
    <row r="984">
      <c r="J984">
        <f>IF(B984="","", _xludf.WEEKNUM(B984, 2))</f>
        <v/>
      </c>
    </row>
    <row r="985">
      <c r="J985">
        <f>IF(B985="","", _xludf.WEEKNUM(B985, 2))</f>
        <v/>
      </c>
    </row>
    <row r="986">
      <c r="J986">
        <f>IF(B986="","", _xludf.WEEKNUM(B986, 2))</f>
        <v/>
      </c>
    </row>
    <row r="987">
      <c r="J987">
        <f>IF(B987="","", _xludf.WEEKNUM(B987, 2))</f>
        <v/>
      </c>
    </row>
    <row r="988">
      <c r="J988">
        <f>IF(B988="","", _xludf.WEEKNUM(B988, 2))</f>
        <v/>
      </c>
    </row>
    <row r="989">
      <c r="J989">
        <f>IF(B989="","", _xludf.WEEKNUM(B989, 2))</f>
        <v/>
      </c>
    </row>
    <row r="990">
      <c r="J990">
        <f>IF(B990="","", _xludf.WEEKNUM(B990, 2))</f>
        <v/>
      </c>
    </row>
    <row r="991">
      <c r="J991">
        <f>IF(B991="","", _xludf.WEEKNUM(B991, 2))</f>
        <v/>
      </c>
    </row>
    <row r="992">
      <c r="J992">
        <f>IF(B992="","", _xludf.WEEKNUM(B992, 2))</f>
        <v/>
      </c>
    </row>
    <row r="993">
      <c r="J993">
        <f>IF(B993="","", _xludf.WEEKNUM(B993, 2))</f>
        <v/>
      </c>
    </row>
    <row r="994">
      <c r="J994">
        <f>IF(B994="","", _xludf.WEEKNUM(B994, 2))</f>
        <v/>
      </c>
    </row>
    <row r="995">
      <c r="J995">
        <f>IF(B995="","", _xludf.WEEKNUM(B995, 2))</f>
        <v/>
      </c>
    </row>
    <row r="996">
      <c r="J996">
        <f>IF(B996="","", _xludf.WEEKNUM(B996, 2))</f>
        <v/>
      </c>
    </row>
    <row r="997">
      <c r="J997">
        <f>IF(B997="","", _xludf.WEEKNUM(B997, 2))</f>
        <v/>
      </c>
    </row>
    <row r="998">
      <c r="J998">
        <f>IF(B998="","", _xludf.WEEKNUM(B998, 2))</f>
        <v/>
      </c>
    </row>
    <row r="999">
      <c r="J999">
        <f>IF(B999="","", _xludf.WEEKNUM(B999, 2))</f>
        <v/>
      </c>
    </row>
    <row r="1000">
      <c r="J1000">
        <f>IF(B1000="","", _xludf.WEEKNUM(B1000, 2))</f>
        <v/>
      </c>
    </row>
    <row r="1001">
      <c r="J1001">
        <f>IF(B1001="","", _xludf.WEEKNUM(B1001, 2))</f>
        <v/>
      </c>
    </row>
    <row r="1002">
      <c r="J1002">
        <f>IF(B1002="","", _xludf.WEEKNUM(B1002, 2))</f>
        <v/>
      </c>
    </row>
    <row r="1003">
      <c r="J1003">
        <f>IF(B1003="","", _xludf.WEEKNUM(B1003, 2))</f>
        <v/>
      </c>
    </row>
    <row r="1004">
      <c r="J1004">
        <f>IF(B1004="","", _xludf.WEEKNUM(B1004, 2))</f>
        <v/>
      </c>
    </row>
    <row r="1005">
      <c r="J1005">
        <f>IF(B1005="","", _xludf.WEEKNUM(B1005, 2))</f>
        <v/>
      </c>
    </row>
    <row r="1006">
      <c r="J1006">
        <f>IF(B1006="","", _xludf.WEEKNUM(B1006, 2))</f>
        <v/>
      </c>
    </row>
    <row r="1007">
      <c r="J1007">
        <f>IF(B1007="","", _xludf.WEEKNUM(B1007, 2))</f>
        <v/>
      </c>
    </row>
    <row r="1008">
      <c r="J1008">
        <f>IF(B1008="","", _xludf.WEEKNUM(B1008, 2))</f>
        <v/>
      </c>
    </row>
    <row r="1009">
      <c r="J1009">
        <f>IF(B1009="","", _xludf.WEEKNUM(B1009, 2))</f>
        <v/>
      </c>
    </row>
    <row r="1010">
      <c r="J1010">
        <f>IF(B1010="","", _xludf.WEEKNUM(B1010, 2))</f>
        <v/>
      </c>
    </row>
    <row r="1011">
      <c r="J1011">
        <f>IF(B1011="","", _xludf.WEEKNUM(B1011, 2))</f>
        <v/>
      </c>
    </row>
    <row r="1012">
      <c r="J1012">
        <f>IF(B1012="","", _xludf.WEEKNUM(B1012, 2))</f>
        <v/>
      </c>
    </row>
    <row r="1013">
      <c r="J1013">
        <f>IF(B1013="","", _xludf.WEEKNUM(B1013, 2))</f>
        <v/>
      </c>
    </row>
    <row r="1014">
      <c r="J1014">
        <f>IF(B1014="","", _xludf.WEEKNUM(B1014, 2))</f>
        <v/>
      </c>
    </row>
    <row r="1015">
      <c r="J1015">
        <f>IF(B1015="","", _xludf.WEEKNUM(B1015, 2))</f>
        <v/>
      </c>
    </row>
    <row r="1016">
      <c r="J1016">
        <f>IF(B1016="","", _xludf.WEEKNUM(B1016, 2))</f>
        <v/>
      </c>
    </row>
    <row r="1017">
      <c r="J1017">
        <f>IF(B1017="","", _xludf.WEEKNUM(B1017, 2))</f>
        <v/>
      </c>
    </row>
    <row r="1018">
      <c r="J1018">
        <f>IF(B1018="","", _xludf.WEEKNUM(B1018, 2))</f>
        <v/>
      </c>
    </row>
    <row r="1019">
      <c r="J1019">
        <f>IF(B1019="","", _xludf.WEEKNUM(B1019, 2))</f>
        <v/>
      </c>
    </row>
    <row r="1020">
      <c r="J1020">
        <f>IF(B1020="","", _xludf.WEEKNUM(B1020, 2))</f>
        <v/>
      </c>
    </row>
    <row r="1021">
      <c r="J1021">
        <f>IF(B1021="","", _xludf.WEEKNUM(B1021, 2))</f>
        <v/>
      </c>
    </row>
    <row r="1022">
      <c r="J1022">
        <f>IF(B1022="","", _xludf.WEEKNUM(B1022, 2))</f>
        <v/>
      </c>
    </row>
    <row r="1023">
      <c r="J1023">
        <f>IF(B1023="","", _xludf.WEEKNUM(B1023, 2))</f>
        <v/>
      </c>
    </row>
    <row r="1024">
      <c r="J1024">
        <f>IF(B1024="","", _xludf.WEEKNUM(B1024, 2))</f>
        <v/>
      </c>
    </row>
    <row r="1025">
      <c r="J1025">
        <f>IF(B1025="","", _xludf.WEEKNUM(B1025, 2))</f>
        <v/>
      </c>
    </row>
    <row r="1026">
      <c r="J1026">
        <f>IF(B1026="","", _xludf.WEEKNUM(B1026, 2))</f>
        <v/>
      </c>
    </row>
    <row r="1027">
      <c r="J1027">
        <f>IF(B1027="","", _xludf.WEEKNUM(B1027, 2))</f>
        <v/>
      </c>
    </row>
    <row r="1028">
      <c r="J1028">
        <f>IF(B1028="","", _xludf.WEEKNUM(B1028, 2))</f>
        <v/>
      </c>
    </row>
    <row r="1029">
      <c r="J1029">
        <f>IF(B1029="","", _xludf.WEEKNUM(B1029, 2))</f>
        <v/>
      </c>
    </row>
    <row r="1030">
      <c r="J1030">
        <f>IF(B1030="","", _xludf.WEEKNUM(B1030, 2))</f>
        <v/>
      </c>
    </row>
    <row r="1031">
      <c r="J1031">
        <f>IF(B1031="","", _xludf.WEEKNUM(B1031, 2))</f>
        <v/>
      </c>
    </row>
    <row r="1032">
      <c r="J1032">
        <f>IF(B1032="","", _xludf.WEEKNUM(B1032, 2))</f>
        <v/>
      </c>
    </row>
    <row r="1033">
      <c r="J1033">
        <f>IF(B1033="","", _xludf.WEEKNUM(B1033, 2))</f>
        <v/>
      </c>
    </row>
    <row r="1034">
      <c r="J1034">
        <f>IF(B1034="","", _xludf.WEEKNUM(B1034, 2))</f>
        <v/>
      </c>
    </row>
    <row r="1035">
      <c r="J1035">
        <f>IF(B1035="","", _xludf.WEEKNUM(B1035, 2))</f>
        <v/>
      </c>
    </row>
    <row r="1036">
      <c r="J1036">
        <f>IF(B1036="","", _xludf.WEEKNUM(B1036, 2))</f>
        <v/>
      </c>
    </row>
    <row r="1037">
      <c r="J1037">
        <f>IF(B1037="","", _xludf.WEEKNUM(B1037, 2))</f>
        <v/>
      </c>
    </row>
    <row r="1038">
      <c r="J1038">
        <f>IF(B1038="","", _xludf.WEEKNUM(B1038, 2))</f>
        <v/>
      </c>
    </row>
    <row r="1039">
      <c r="J1039">
        <f>IF(B1039="","", _xludf.WEEKNUM(B1039, 2))</f>
        <v/>
      </c>
    </row>
    <row r="1040">
      <c r="J1040">
        <f>IF(B1040="","", _xludf.WEEKNUM(B1040, 2))</f>
        <v/>
      </c>
    </row>
    <row r="1041">
      <c r="J1041">
        <f>IF(B1041="","", _xludf.WEEKNUM(B1041, 2))</f>
        <v/>
      </c>
    </row>
    <row r="1042">
      <c r="J1042">
        <f>IF(B1042="","", _xludf.WEEKNUM(B1042, 2))</f>
        <v/>
      </c>
    </row>
    <row r="1043">
      <c r="J1043">
        <f>IF(B1043="","", _xludf.WEEKNUM(B1043, 2))</f>
        <v/>
      </c>
    </row>
    <row r="1044">
      <c r="J1044">
        <f>IF(B1044="","", _xludf.WEEKNUM(B1044, 2))</f>
        <v/>
      </c>
    </row>
    <row r="1045">
      <c r="J1045">
        <f>IF(B1045="","", _xludf.WEEKNUM(B1045, 2))</f>
        <v/>
      </c>
    </row>
    <row r="1046">
      <c r="J1046">
        <f>IF(B1046="","", _xludf.WEEKNUM(B1046, 2))</f>
        <v/>
      </c>
    </row>
    <row r="1047">
      <c r="J1047">
        <f>IF(B1047="","", _xludf.WEEKNUM(B1047, 2))</f>
        <v/>
      </c>
    </row>
    <row r="1048">
      <c r="J1048">
        <f>IF(B1048="","", _xludf.WEEKNUM(B1048, 2))</f>
        <v/>
      </c>
    </row>
    <row r="1049">
      <c r="J1049">
        <f>IF(B1049="","", _xludf.WEEKNUM(B1049, 2))</f>
        <v/>
      </c>
    </row>
    <row r="1050">
      <c r="J1050">
        <f>IF(B1050="","", _xludf.WEEKNUM(B1050, 2))</f>
        <v/>
      </c>
    </row>
    <row r="1051">
      <c r="J1051">
        <f>IF(B1051="","", _xludf.WEEKNUM(B1051, 2))</f>
        <v/>
      </c>
    </row>
    <row r="1052">
      <c r="J1052">
        <f>IF(B1052="","", _xludf.WEEKNUM(B1052, 2))</f>
        <v/>
      </c>
    </row>
    <row r="1053">
      <c r="J1053">
        <f>IF(B1053="","", _xludf.WEEKNUM(B1053, 2))</f>
        <v/>
      </c>
    </row>
    <row r="1054">
      <c r="J1054">
        <f>IF(B1054="","", _xludf.WEEKNUM(B1054, 2))</f>
        <v/>
      </c>
    </row>
    <row r="1055">
      <c r="J1055">
        <f>IF(B1055="","", _xludf.WEEKNUM(B1055, 2))</f>
        <v/>
      </c>
    </row>
    <row r="1056">
      <c r="J1056">
        <f>IF(B1056="","", _xludf.WEEKNUM(B1056, 2))</f>
        <v/>
      </c>
    </row>
    <row r="1057">
      <c r="J1057">
        <f>IF(B1057="","", _xludf.WEEKNUM(B1057, 2))</f>
        <v/>
      </c>
    </row>
    <row r="1058">
      <c r="J1058">
        <f>IF(B1058="","", _xludf.WEEKNUM(B1058, 2))</f>
        <v/>
      </c>
    </row>
    <row r="1059">
      <c r="J1059">
        <f>IF(B1059="","", _xludf.WEEKNUM(B1059, 2))</f>
        <v/>
      </c>
    </row>
    <row r="1060">
      <c r="J1060">
        <f>IF(B1060="","", _xludf.WEEKNUM(B1060, 2))</f>
        <v/>
      </c>
    </row>
    <row r="1061">
      <c r="J1061">
        <f>IF(B1061="","", _xludf.WEEKNUM(B1061, 2))</f>
        <v/>
      </c>
    </row>
    <row r="1062">
      <c r="J1062">
        <f>IF(B1062="","", _xludf.WEEKNUM(B1062, 2))</f>
        <v/>
      </c>
    </row>
    <row r="1063">
      <c r="J1063">
        <f>IF(B1063="","", _xludf.WEEKNUM(B1063, 2))</f>
        <v/>
      </c>
    </row>
    <row r="1064">
      <c r="J1064">
        <f>IF(B1064="","", _xludf.WEEKNUM(B1064, 2))</f>
        <v/>
      </c>
    </row>
    <row r="1065">
      <c r="J1065">
        <f>IF(B1065="","", _xludf.WEEKNUM(B1065, 2))</f>
        <v/>
      </c>
    </row>
    <row r="1066">
      <c r="J1066">
        <f>IF(B1066="","", _xludf.WEEKNUM(B1066, 2))</f>
        <v/>
      </c>
    </row>
    <row r="1067">
      <c r="J1067">
        <f>IF(B1067="","", _xludf.WEEKNUM(B1067, 2))</f>
        <v/>
      </c>
    </row>
    <row r="1068">
      <c r="J1068">
        <f>IF(B1068="","", _xludf.WEEKNUM(B1068, 2))</f>
        <v/>
      </c>
    </row>
    <row r="1069">
      <c r="J1069">
        <f>IF(B1069="","", _xludf.WEEKNUM(B1069, 2))</f>
        <v/>
      </c>
    </row>
    <row r="1070">
      <c r="J1070">
        <f>IF(B1070="","", _xludf.WEEKNUM(B1070, 2))</f>
        <v/>
      </c>
    </row>
    <row r="1071">
      <c r="J1071">
        <f>IF(B1071="","", _xludf.WEEKNUM(B1071, 2))</f>
        <v/>
      </c>
    </row>
    <row r="1072">
      <c r="J1072">
        <f>IF(B1072="","", _xludf.WEEKNUM(B1072, 2))</f>
        <v/>
      </c>
    </row>
    <row r="1073">
      <c r="J1073">
        <f>IF(B1073="","", _xludf.WEEKNUM(B1073, 2))</f>
        <v/>
      </c>
    </row>
    <row r="1074">
      <c r="J1074">
        <f>IF(B1074="","", _xludf.WEEKNUM(B1074, 2))</f>
        <v/>
      </c>
    </row>
    <row r="1075">
      <c r="J1075">
        <f>IF(B1075="","", _xludf.WEEKNUM(B1075, 2))</f>
        <v/>
      </c>
    </row>
    <row r="1076">
      <c r="J1076">
        <f>IF(B1076="","", _xludf.WEEKNUM(B1076, 2))</f>
        <v/>
      </c>
    </row>
    <row r="1077">
      <c r="J1077">
        <f>IF(B1077="","", _xludf.WEEKNUM(B1077, 2))</f>
        <v/>
      </c>
    </row>
    <row r="1078">
      <c r="J1078">
        <f>IF(B1078="","", _xludf.WEEKNUM(B1078, 2))</f>
        <v/>
      </c>
    </row>
    <row r="1079">
      <c r="J1079">
        <f>IF(B1079="","", _xludf.WEEKNUM(B1079, 2))</f>
        <v/>
      </c>
    </row>
    <row r="1080">
      <c r="J1080">
        <f>IF(B1080="","", _xludf.WEEKNUM(B1080, 2))</f>
        <v/>
      </c>
    </row>
    <row r="1081">
      <c r="J1081">
        <f>IF(B1081="","", _xludf.WEEKNUM(B1081, 2))</f>
        <v/>
      </c>
    </row>
    <row r="1082">
      <c r="J1082">
        <f>IF(B1082="","", _xludf.WEEKNUM(B1082, 2))</f>
        <v/>
      </c>
    </row>
    <row r="1083">
      <c r="J1083">
        <f>IF(B1083="","", _xludf.WEEKNUM(B1083, 2))</f>
        <v/>
      </c>
    </row>
    <row r="1084">
      <c r="J1084">
        <f>IF(B1084="","", _xludf.WEEKNUM(B1084, 2))</f>
        <v/>
      </c>
    </row>
    <row r="1085">
      <c r="J1085">
        <f>IF(B1085="","", _xludf.WEEKNUM(B1085, 2))</f>
        <v/>
      </c>
    </row>
    <row r="1086">
      <c r="J1086">
        <f>IF(B1086="","", _xludf.WEEKNUM(B1086, 2))</f>
        <v/>
      </c>
    </row>
    <row r="1087">
      <c r="J1087">
        <f>IF(B1087="","", _xludf.WEEKNUM(B1087, 2))</f>
        <v/>
      </c>
    </row>
    <row r="1088">
      <c r="J1088">
        <f>IF(B1088="","", _xludf.WEEKNUM(B1088, 2))</f>
        <v/>
      </c>
    </row>
    <row r="1089">
      <c r="J1089">
        <f>IF(B1089="","", _xludf.WEEKNUM(B1089, 2))</f>
        <v/>
      </c>
    </row>
    <row r="1090">
      <c r="J1090">
        <f>IF(B1090="","", _xludf.WEEKNUM(B1090, 2))</f>
        <v/>
      </c>
    </row>
    <row r="1091">
      <c r="J1091">
        <f>IF(B1091="","", _xludf.WEEKNUM(B1091, 2))</f>
        <v/>
      </c>
    </row>
    <row r="1092">
      <c r="J1092">
        <f>IF(B1092="","", _xludf.WEEKNUM(B1092, 2))</f>
        <v/>
      </c>
    </row>
    <row r="1093">
      <c r="J1093">
        <f>IF(B1093="","", _xludf.WEEKNUM(B1093, 2))</f>
        <v/>
      </c>
    </row>
    <row r="1094">
      <c r="J1094">
        <f>IF(B1094="","", _xludf.WEEKNUM(B1094, 2))</f>
        <v/>
      </c>
    </row>
    <row r="1095">
      <c r="J1095">
        <f>IF(B1095="","", _xludf.WEEKNUM(B1095, 2))</f>
        <v/>
      </c>
    </row>
    <row r="1096">
      <c r="J1096">
        <f>IF(B1096="","", _xludf.WEEKNUM(B1096, 2))</f>
        <v/>
      </c>
    </row>
    <row r="1097">
      <c r="J1097">
        <f>IF(B1097="","", _xludf.WEEKNUM(B1097, 2))</f>
        <v/>
      </c>
    </row>
    <row r="1098">
      <c r="J1098">
        <f>IF(B1098="","", _xludf.WEEKNUM(B1098, 2))</f>
        <v/>
      </c>
    </row>
    <row r="1099">
      <c r="J1099">
        <f>IF(B1099="","", _xludf.WEEKNUM(B1099, 2))</f>
        <v/>
      </c>
    </row>
    <row r="1100">
      <c r="J1100">
        <f>IF(B1100="","", _xludf.WEEKNUM(B1100, 2))</f>
        <v/>
      </c>
    </row>
    <row r="1101">
      <c r="J1101">
        <f>IF(B1101="","", _xludf.WEEKNUM(B1101, 2))</f>
        <v/>
      </c>
    </row>
    <row r="1102">
      <c r="J1102">
        <f>IF(B1102="","", _xludf.WEEKNUM(B1102, 2))</f>
        <v/>
      </c>
    </row>
    <row r="1103">
      <c r="J1103">
        <f>IF(B1103="","", _xludf.WEEKNUM(B1103, 2))</f>
        <v/>
      </c>
    </row>
    <row r="1104">
      <c r="J1104">
        <f>IF(B1104="","", _xludf.WEEKNUM(B1104, 2))</f>
        <v/>
      </c>
    </row>
    <row r="1105">
      <c r="J1105">
        <f>IF(B1105="","", _xludf.WEEKNUM(B1105, 2))</f>
        <v/>
      </c>
    </row>
    <row r="1106">
      <c r="J1106">
        <f>IF(B1106="","", _xludf.WEEKNUM(B1106, 2))</f>
        <v/>
      </c>
    </row>
    <row r="1107">
      <c r="J1107">
        <f>IF(B1107="","", _xludf.WEEKNUM(B1107, 2))</f>
        <v/>
      </c>
    </row>
    <row r="1108">
      <c r="J1108">
        <f>IF(B1108="","", _xludf.WEEKNUM(B1108, 2))</f>
        <v/>
      </c>
    </row>
    <row r="1109">
      <c r="J1109">
        <f>IF(B1109="","", _xludf.WEEKNUM(B1109, 2))</f>
        <v/>
      </c>
    </row>
    <row r="1110">
      <c r="J1110">
        <f>IF(B1110="","", _xludf.WEEKNUM(B1110, 2))</f>
        <v/>
      </c>
    </row>
    <row r="1111">
      <c r="J1111">
        <f>IF(B1111="","", _xludf.WEEKNUM(B1111, 2))</f>
        <v/>
      </c>
    </row>
    <row r="1112">
      <c r="J1112">
        <f>IF(B1112="","", _xludf.WEEKNUM(B1112, 2))</f>
        <v/>
      </c>
    </row>
    <row r="1113">
      <c r="J1113">
        <f>IF(B1113="","", _xludf.WEEKNUM(B1113, 2))</f>
        <v/>
      </c>
    </row>
    <row r="1114">
      <c r="J1114">
        <f>IF(B1114="","", _xludf.WEEKNUM(B1114, 2))</f>
        <v/>
      </c>
    </row>
    <row r="1115">
      <c r="J1115">
        <f>IF(B1115="","", _xludf.WEEKNUM(B1115, 2))</f>
        <v/>
      </c>
    </row>
    <row r="1116">
      <c r="J1116">
        <f>IF(B1116="","", _xludf.WEEKNUM(B1116, 2))</f>
        <v/>
      </c>
    </row>
    <row r="1117">
      <c r="J1117">
        <f>IF(B1117="","", _xludf.WEEKNUM(B1117, 2))</f>
        <v/>
      </c>
    </row>
    <row r="1118">
      <c r="J1118">
        <f>IF(B1118="","", _xludf.WEEKNUM(B1118, 2))</f>
        <v/>
      </c>
    </row>
    <row r="1119">
      <c r="J1119">
        <f>IF(B1119="","", _xludf.WEEKNUM(B1119, 2))</f>
        <v/>
      </c>
    </row>
    <row r="1120">
      <c r="J1120">
        <f>IF(B1120="","", _xludf.WEEKNUM(B1120, 2))</f>
        <v/>
      </c>
    </row>
    <row r="1121">
      <c r="J1121">
        <f>IF(B1121="","", _xludf.WEEKNUM(B1121, 2))</f>
        <v/>
      </c>
    </row>
    <row r="1122">
      <c r="J1122">
        <f>IF(B1122="","", _xludf.WEEKNUM(B1122, 2))</f>
        <v/>
      </c>
    </row>
    <row r="1123">
      <c r="J1123">
        <f>IF(B1123="","", _xludf.WEEKNUM(B1123, 2))</f>
        <v/>
      </c>
    </row>
    <row r="1124">
      <c r="J1124">
        <f>IF(B1124="","", _xludf.WEEKNUM(B1124, 2))</f>
        <v/>
      </c>
    </row>
    <row r="1125">
      <c r="J1125">
        <f>IF(B1125="","", _xludf.WEEKNUM(B1125, 2))</f>
        <v/>
      </c>
    </row>
    <row r="1126">
      <c r="J1126">
        <f>IF(B1126="","", _xludf.WEEKNUM(B1126, 2))</f>
        <v/>
      </c>
    </row>
    <row r="1127">
      <c r="J1127">
        <f>IF(B1127="","", _xludf.WEEKNUM(B1127, 2))</f>
        <v/>
      </c>
    </row>
    <row r="1128">
      <c r="J1128">
        <f>IF(B1128="","", _xludf.WEEKNUM(B1128, 2))</f>
        <v/>
      </c>
    </row>
    <row r="1129">
      <c r="J1129">
        <f>IF(B1129="","", _xludf.WEEKNUM(B1129, 2))</f>
        <v/>
      </c>
    </row>
    <row r="1130">
      <c r="J1130">
        <f>IF(B1130="","", _xludf.WEEKNUM(B1130, 2))</f>
        <v/>
      </c>
    </row>
    <row r="1131">
      <c r="J1131">
        <f>IF(B1131="","", _xludf.WEEKNUM(B1131, 2))</f>
        <v/>
      </c>
    </row>
    <row r="1132">
      <c r="J1132">
        <f>IF(B1132="","", _xludf.WEEKNUM(B1132, 2))</f>
        <v/>
      </c>
    </row>
    <row r="1133">
      <c r="J1133">
        <f>IF(B1133="","", _xludf.WEEKNUM(B1133, 2))</f>
        <v/>
      </c>
    </row>
    <row r="1134">
      <c r="J1134">
        <f>IF(B1134="","", _xludf.WEEKNUM(B1134, 2))</f>
        <v/>
      </c>
    </row>
    <row r="1135">
      <c r="J1135">
        <f>IF(B1135="","", _xludf.WEEKNUM(B1135, 2))</f>
        <v/>
      </c>
    </row>
    <row r="1136">
      <c r="J1136">
        <f>IF(B1136="","", _xludf.WEEKNUM(B1136, 2))</f>
        <v/>
      </c>
    </row>
    <row r="1137">
      <c r="J1137">
        <f>IF(B1137="","", _xludf.WEEKNUM(B1137, 2))</f>
        <v/>
      </c>
    </row>
    <row r="1138">
      <c r="J1138">
        <f>IF(B1138="","", _xludf.WEEKNUM(B1138, 2))</f>
        <v/>
      </c>
    </row>
    <row r="1139">
      <c r="J1139">
        <f>IF(B1139="","", _xludf.WEEKNUM(B1139, 2))</f>
        <v/>
      </c>
    </row>
    <row r="1140">
      <c r="J1140">
        <f>IF(B1140="","", _xludf.WEEKNUM(B1140, 2))</f>
        <v/>
      </c>
    </row>
    <row r="1141">
      <c r="J1141">
        <f>IF(B1141="","", _xludf.WEEKNUM(B1141, 2))</f>
        <v/>
      </c>
    </row>
    <row r="1142">
      <c r="J1142">
        <f>IF(B1142="","", _xludf.WEEKNUM(B1142, 2))</f>
        <v/>
      </c>
    </row>
    <row r="1143">
      <c r="J1143">
        <f>IF(B1143="","", _xludf.WEEKNUM(B1143, 2))</f>
        <v/>
      </c>
    </row>
    <row r="1144">
      <c r="J1144">
        <f>IF(B1144="","", _xludf.WEEKNUM(B1144, 2))</f>
        <v/>
      </c>
    </row>
    <row r="1145">
      <c r="J1145">
        <f>IF(B1145="","", _xludf.WEEKNUM(B1145, 2))</f>
        <v/>
      </c>
    </row>
    <row r="1146">
      <c r="J1146">
        <f>IF(B1146="","", _xludf.WEEKNUM(B1146, 2))</f>
        <v/>
      </c>
    </row>
    <row r="1147">
      <c r="J1147">
        <f>IF(B1147="","", _xludf.WEEKNUM(B1147, 2))</f>
        <v/>
      </c>
    </row>
    <row r="1148">
      <c r="J1148">
        <f>IF(B1148="","", _xludf.WEEKNUM(B1148, 2))</f>
        <v/>
      </c>
    </row>
    <row r="1149">
      <c r="J1149">
        <f>IF(B1149="","", _xludf.WEEKNUM(B1149, 2))</f>
        <v/>
      </c>
    </row>
    <row r="1150">
      <c r="J1150">
        <f>IF(B1150="","", _xludf.WEEKNUM(B1150, 2))</f>
        <v/>
      </c>
    </row>
    <row r="1151">
      <c r="J1151">
        <f>IF(B1151="","", _xludf.WEEKNUM(B1151, 2))</f>
        <v/>
      </c>
    </row>
    <row r="1152">
      <c r="J1152">
        <f>IF(B1152="","", _xludf.WEEKNUM(B1152, 2))</f>
        <v/>
      </c>
    </row>
    <row r="1153">
      <c r="J1153">
        <f>IF(B1153="","", _xludf.WEEKNUM(B1153, 2))</f>
        <v/>
      </c>
    </row>
    <row r="1154">
      <c r="J1154">
        <f>IF(B1154="","", _xludf.WEEKNUM(B1154, 2))</f>
        <v/>
      </c>
    </row>
    <row r="1155">
      <c r="J1155">
        <f>IF(B1155="","", _xludf.WEEKNUM(B1155, 2))</f>
        <v/>
      </c>
    </row>
    <row r="1156">
      <c r="J1156">
        <f>IF(B1156="","", _xludf.WEEKNUM(B1156, 2))</f>
        <v/>
      </c>
    </row>
    <row r="1157">
      <c r="J1157">
        <f>IF(B1157="","", _xludf.WEEKNUM(B1157, 2))</f>
        <v/>
      </c>
    </row>
    <row r="1158">
      <c r="J1158">
        <f>IF(B1158="","", _xludf.WEEKNUM(B1158, 2))</f>
        <v/>
      </c>
    </row>
    <row r="1159">
      <c r="J1159">
        <f>IF(B1159="","", _xludf.WEEKNUM(B1159, 2))</f>
        <v/>
      </c>
    </row>
    <row r="1160">
      <c r="J1160">
        <f>IF(B1160="","", _xludf.WEEKNUM(B1160, 2))</f>
        <v/>
      </c>
    </row>
    <row r="1161">
      <c r="J1161">
        <f>IF(B1161="","", _xludf.WEEKNUM(B1161, 2))</f>
        <v/>
      </c>
    </row>
    <row r="1162">
      <c r="J1162">
        <f>IF(B1162="","", _xludf.WEEKNUM(B1162, 2))</f>
        <v/>
      </c>
    </row>
    <row r="1163">
      <c r="J1163">
        <f>IF(B1163="","", _xludf.WEEKNUM(B1163, 2))</f>
        <v/>
      </c>
    </row>
    <row r="1164">
      <c r="J1164">
        <f>IF(B1164="","", _xludf.WEEKNUM(B1164, 2))</f>
        <v/>
      </c>
    </row>
    <row r="1165">
      <c r="J1165">
        <f>IF(B1165="","", _xludf.WEEKNUM(B1165, 2))</f>
        <v/>
      </c>
    </row>
    <row r="1166">
      <c r="J1166">
        <f>IF(B1166="","", _xludf.WEEKNUM(B1166, 2))</f>
        <v/>
      </c>
    </row>
    <row r="1167">
      <c r="J1167">
        <f>IF(B1167="","", _xludf.WEEKNUM(B1167, 2))</f>
        <v/>
      </c>
    </row>
    <row r="1168">
      <c r="J1168">
        <f>IF(B1168="","", _xludf.WEEKNUM(B1168, 2))</f>
        <v/>
      </c>
    </row>
    <row r="1169">
      <c r="J1169">
        <f>IF(B1169="","", _xludf.WEEKNUM(B1169, 2))</f>
        <v/>
      </c>
    </row>
    <row r="1170">
      <c r="J1170">
        <f>IF(B1170="","", _xludf.WEEKNUM(B1170, 2))</f>
        <v/>
      </c>
    </row>
    <row r="1171">
      <c r="J1171">
        <f>IF(B1171="","", _xludf.WEEKNUM(B1171, 2))</f>
        <v/>
      </c>
    </row>
    <row r="1172">
      <c r="J1172">
        <f>IF(B1172="","", _xludf.WEEKNUM(B1172, 2))</f>
        <v/>
      </c>
    </row>
    <row r="1173">
      <c r="J1173">
        <f>IF(B1173="","", _xludf.WEEKNUM(B1173, 2))</f>
        <v/>
      </c>
    </row>
    <row r="1174">
      <c r="J1174">
        <f>IF(B1174="","", _xludf.WEEKNUM(B1174, 2))</f>
        <v/>
      </c>
    </row>
    <row r="1175">
      <c r="J1175">
        <f>IF(B1175="","", _xludf.WEEKNUM(B1175, 2))</f>
        <v/>
      </c>
    </row>
    <row r="1176">
      <c r="J1176">
        <f>IF(B1176="","", _xludf.WEEKNUM(B1176, 2))</f>
        <v/>
      </c>
    </row>
    <row r="1177">
      <c r="J1177">
        <f>IF(B1177="","", _xludf.WEEKNUM(B1177, 2))</f>
        <v/>
      </c>
    </row>
    <row r="1178">
      <c r="J1178">
        <f>IF(B1178="","", _xludf.WEEKNUM(B1178, 2))</f>
        <v/>
      </c>
    </row>
    <row r="1179">
      <c r="J1179">
        <f>IF(B1179="","", _xludf.WEEKNUM(B1179, 2))</f>
        <v/>
      </c>
    </row>
    <row r="1180">
      <c r="J1180">
        <f>IF(B1180="","", _xludf.WEEKNUM(B1180, 2))</f>
        <v/>
      </c>
    </row>
    <row r="1181">
      <c r="J1181">
        <f>IF(B1181="","", _xludf.WEEKNUM(B1181, 2))</f>
        <v/>
      </c>
    </row>
    <row r="1182">
      <c r="J1182">
        <f>IF(B1182="","", _xludf.WEEKNUM(B1182, 2))</f>
        <v/>
      </c>
    </row>
    <row r="1183">
      <c r="J1183">
        <f>IF(B1183="","", _xludf.WEEKNUM(B1183, 2))</f>
        <v/>
      </c>
    </row>
    <row r="1184">
      <c r="J1184">
        <f>IF(B1184="","", _xludf.WEEKNUM(B1184, 2))</f>
        <v/>
      </c>
    </row>
    <row r="1185">
      <c r="J1185">
        <f>IF(B1185="","", _xludf.WEEKNUM(B1185, 2))</f>
        <v/>
      </c>
    </row>
    <row r="1186">
      <c r="J1186">
        <f>IF(B1186="","", _xludf.WEEKNUM(B1186, 2))</f>
        <v/>
      </c>
    </row>
    <row r="1187">
      <c r="J1187">
        <f>IF(B1187="","", _xludf.WEEKNUM(B1187, 2))</f>
        <v/>
      </c>
    </row>
    <row r="1188">
      <c r="J1188">
        <f>IF(B1188="","", _xludf.WEEKNUM(B1188, 2))</f>
        <v/>
      </c>
    </row>
    <row r="1189">
      <c r="J1189">
        <f>IF(B1189="","", _xludf.WEEKNUM(B1189, 2))</f>
        <v/>
      </c>
    </row>
    <row r="1190">
      <c r="J1190">
        <f>IF(B1190="","", _xludf.WEEKNUM(B1190, 2))</f>
        <v/>
      </c>
    </row>
    <row r="1191">
      <c r="J1191">
        <f>IF(B1191="","", _xludf.WEEKNUM(B1191, 2))</f>
        <v/>
      </c>
    </row>
    <row r="1192">
      <c r="J1192">
        <f>IF(B1192="","", _xludf.WEEKNUM(B1192, 2))</f>
        <v/>
      </c>
    </row>
    <row r="1193">
      <c r="J1193">
        <f>IF(B1193="","", _xludf.WEEKNUM(B1193, 2))</f>
        <v/>
      </c>
    </row>
    <row r="1194">
      <c r="J1194">
        <f>IF(B1194="","", _xludf.WEEKNUM(B1194, 2))</f>
        <v/>
      </c>
    </row>
    <row r="1195">
      <c r="J1195">
        <f>IF(B1195="","", _xludf.WEEKNUM(B1195, 2))</f>
        <v/>
      </c>
    </row>
    <row r="1196">
      <c r="J1196">
        <f>IF(B1196="","", _xludf.WEEKNUM(B1196, 2))</f>
        <v/>
      </c>
    </row>
    <row r="1197">
      <c r="J1197">
        <f>IF(B1197="","", _xludf.WEEKNUM(B1197, 2))</f>
        <v/>
      </c>
    </row>
    <row r="1198">
      <c r="J1198">
        <f>IF(B1198="","", _xludf.WEEKNUM(B1198, 2))</f>
        <v/>
      </c>
    </row>
    <row r="1199">
      <c r="J1199">
        <f>IF(B1199="","", _xludf.WEEKNUM(B1199, 2))</f>
        <v/>
      </c>
    </row>
    <row r="1200">
      <c r="J1200">
        <f>IF(B1200="","", _xludf.WEEKNUM(B1200, 2))</f>
        <v/>
      </c>
    </row>
    <row r="1201">
      <c r="J1201">
        <f>IF(B1201="","", _xludf.WEEKNUM(B1201, 2))</f>
        <v/>
      </c>
    </row>
    <row r="1202">
      <c r="J1202">
        <f>IF(B1202="","", _xludf.WEEKNUM(B1202, 2))</f>
        <v/>
      </c>
    </row>
    <row r="1203">
      <c r="J1203">
        <f>IF(B1203="","", _xludf.WEEKNUM(B1203, 2))</f>
        <v/>
      </c>
    </row>
    <row r="1204">
      <c r="J1204">
        <f>IF(B1204="","", _xludf.WEEKNUM(B1204, 2))</f>
        <v/>
      </c>
    </row>
    <row r="1205">
      <c r="J1205">
        <f>IF(B1205="","", _xludf.WEEKNUM(B1205, 2))</f>
        <v/>
      </c>
    </row>
    <row r="1206">
      <c r="J1206">
        <f>IF(B1206="","", _xludf.WEEKNUM(B1206, 2))</f>
        <v/>
      </c>
    </row>
    <row r="1207">
      <c r="J1207">
        <f>IF(B1207="","", _xludf.WEEKNUM(B1207, 2))</f>
        <v/>
      </c>
    </row>
    <row r="1208">
      <c r="J1208">
        <f>IF(B1208="","", _xludf.WEEKNUM(B1208, 2))</f>
        <v/>
      </c>
    </row>
    <row r="1209">
      <c r="J1209">
        <f>IF(B1209="","", _xludf.WEEKNUM(B1209, 2))</f>
        <v/>
      </c>
    </row>
    <row r="1210">
      <c r="J1210">
        <f>IF(B1210="","", _xludf.WEEKNUM(B1210, 2))</f>
        <v/>
      </c>
    </row>
    <row r="1211">
      <c r="J1211">
        <f>IF(B1211="","", _xludf.WEEKNUM(B1211, 2))</f>
        <v/>
      </c>
    </row>
    <row r="1212">
      <c r="J1212">
        <f>IF(B1212="","", _xludf.WEEKNUM(B1212, 2))</f>
        <v/>
      </c>
    </row>
    <row r="1213">
      <c r="J1213">
        <f>IF(B1213="","", _xludf.WEEKNUM(B1213, 2))</f>
        <v/>
      </c>
    </row>
    <row r="1214">
      <c r="J1214">
        <f>IF(B1214="","", _xludf.WEEKNUM(B1214, 2))</f>
        <v/>
      </c>
    </row>
    <row r="1215">
      <c r="J1215">
        <f>IF(B1215="","", _xludf.WEEKNUM(B1215, 2))</f>
        <v/>
      </c>
    </row>
    <row r="1216">
      <c r="J1216">
        <f>IF(B1216="","", _xludf.WEEKNUM(B1216, 2))</f>
        <v/>
      </c>
    </row>
    <row r="1217">
      <c r="J1217">
        <f>IF(B1217="","", _xludf.WEEKNUM(B1217, 2))</f>
        <v/>
      </c>
    </row>
    <row r="1218">
      <c r="J1218">
        <f>IF(B1218="","", _xludf.WEEKNUM(B1218, 2))</f>
        <v/>
      </c>
    </row>
    <row r="1219">
      <c r="J1219">
        <f>IF(B1219="","", _xludf.WEEKNUM(B1219, 2))</f>
        <v/>
      </c>
    </row>
    <row r="1220">
      <c r="J1220">
        <f>IF(B1220="","", _xludf.WEEKNUM(B1220, 2))</f>
        <v/>
      </c>
    </row>
    <row r="1221">
      <c r="J1221">
        <f>IF(B1221="","", _xludf.WEEKNUM(B1221, 2))</f>
        <v/>
      </c>
    </row>
    <row r="1222">
      <c r="J1222">
        <f>IF(B1222="","", _xludf.WEEKNUM(B1222, 2))</f>
        <v/>
      </c>
    </row>
    <row r="1223">
      <c r="J1223">
        <f>IF(B1223="","", _xludf.WEEKNUM(B1223, 2))</f>
        <v/>
      </c>
    </row>
    <row r="1224">
      <c r="J1224">
        <f>IF(B1224="","", _xludf.WEEKNUM(B1224, 2))</f>
        <v/>
      </c>
    </row>
    <row r="1225">
      <c r="J1225">
        <f>IF(B1225="","", _xludf.WEEKNUM(B1225, 2))</f>
        <v/>
      </c>
    </row>
    <row r="1226">
      <c r="J1226">
        <f>IF(B1226="","", _xludf.WEEKNUM(B1226, 2))</f>
        <v/>
      </c>
    </row>
    <row r="1227">
      <c r="J1227">
        <f>IF(B1227="","", _xludf.WEEKNUM(B1227, 2))</f>
        <v/>
      </c>
    </row>
    <row r="1228">
      <c r="J1228">
        <f>IF(B1228="","", _xludf.WEEKNUM(B1228, 2))</f>
        <v/>
      </c>
    </row>
    <row r="1229">
      <c r="J1229">
        <f>IF(B1229="","", _xludf.WEEKNUM(B1229, 2))</f>
        <v/>
      </c>
    </row>
    <row r="1230">
      <c r="J1230">
        <f>IF(B1230="","", _xludf.WEEKNUM(B1230, 2))</f>
        <v/>
      </c>
    </row>
    <row r="1231">
      <c r="J1231">
        <f>IF(B1231="","", _xludf.WEEKNUM(B1231, 2))</f>
        <v/>
      </c>
    </row>
    <row r="1232">
      <c r="J1232">
        <f>IF(B1232="","", _xludf.WEEKNUM(B1232, 2))</f>
        <v/>
      </c>
    </row>
    <row r="1233">
      <c r="J1233">
        <f>IF(B1233="","", _xludf.WEEKNUM(B1233, 2))</f>
        <v/>
      </c>
    </row>
    <row r="1234">
      <c r="J1234">
        <f>IF(B1234="","", _xludf.WEEKNUM(B1234, 2))</f>
        <v/>
      </c>
    </row>
    <row r="1235">
      <c r="J1235">
        <f>IF(B1235="","", _xludf.WEEKNUM(B1235, 2))</f>
        <v/>
      </c>
    </row>
    <row r="1236">
      <c r="J1236">
        <f>IF(B1236="","", _xludf.WEEKNUM(B1236, 2))</f>
        <v/>
      </c>
    </row>
    <row r="1237">
      <c r="J1237">
        <f>IF(B1237="","", _xludf.WEEKNUM(B1237, 2))</f>
        <v/>
      </c>
    </row>
    <row r="1238">
      <c r="J1238">
        <f>IF(B1238="","", _xludf.WEEKNUM(B1238, 2))</f>
        <v/>
      </c>
    </row>
    <row r="1239">
      <c r="J1239">
        <f>IF(B1239="","", _xludf.WEEKNUM(B1239, 2))</f>
        <v/>
      </c>
    </row>
    <row r="1240">
      <c r="J1240">
        <f>IF(B1240="","", _xludf.WEEKNUM(B1240, 2))</f>
        <v/>
      </c>
    </row>
    <row r="1241">
      <c r="J1241">
        <f>IF(B1241="","", _xludf.WEEKNUM(B1241, 2))</f>
        <v/>
      </c>
    </row>
    <row r="1242">
      <c r="J1242">
        <f>IF(B1242="","", _xludf.WEEKNUM(B1242, 2))</f>
        <v/>
      </c>
    </row>
    <row r="1243">
      <c r="J1243">
        <f>IF(B1243="","", _xludf.WEEKNUM(B1243, 2))</f>
        <v/>
      </c>
    </row>
    <row r="1244">
      <c r="J1244">
        <f>IF(B1244="","", _xludf.WEEKNUM(B1244, 2))</f>
        <v/>
      </c>
    </row>
    <row r="1245">
      <c r="J1245">
        <f>IF(B1245="","", _xludf.WEEKNUM(B1245, 2))</f>
        <v/>
      </c>
    </row>
    <row r="1246">
      <c r="J1246">
        <f>IF(B1246="","", _xludf.WEEKNUM(B1246, 2))</f>
        <v/>
      </c>
    </row>
    <row r="1247">
      <c r="J1247">
        <f>IF(B1247="","", _xludf.WEEKNUM(B1247, 2))</f>
        <v/>
      </c>
    </row>
    <row r="1248">
      <c r="J1248">
        <f>IF(B1248="","", _xludf.WEEKNUM(B1248, 2))</f>
        <v/>
      </c>
    </row>
    <row r="1249">
      <c r="J1249">
        <f>IF(B1249="","", _xludf.WEEKNUM(B1249, 2))</f>
        <v/>
      </c>
    </row>
    <row r="1250">
      <c r="J1250">
        <f>IF(B1250="","", _xludf.WEEKNUM(B1250, 2))</f>
        <v/>
      </c>
    </row>
    <row r="1251">
      <c r="J1251">
        <f>IF(B1251="","", _xludf.WEEKNUM(B1251, 2))</f>
        <v/>
      </c>
    </row>
    <row r="1252">
      <c r="J1252">
        <f>IF(B1252="","", _xludf.WEEKNUM(B1252, 2))</f>
        <v/>
      </c>
    </row>
    <row r="1253">
      <c r="J1253">
        <f>IF(B1253="","", _xludf.WEEKNUM(B1253, 2))</f>
        <v/>
      </c>
    </row>
    <row r="1254">
      <c r="J1254">
        <f>IF(B1254="","", _xludf.WEEKNUM(B1254, 2))</f>
        <v/>
      </c>
    </row>
    <row r="1255">
      <c r="J1255">
        <f>IF(B1255="","", _xludf.WEEKNUM(B1255, 2))</f>
        <v/>
      </c>
    </row>
    <row r="1256">
      <c r="J1256">
        <f>IF(B1256="","", _xludf.WEEKNUM(B1256, 2))</f>
        <v/>
      </c>
    </row>
    <row r="1257">
      <c r="J1257">
        <f>IF(B1257="","", _xludf.WEEKNUM(B1257, 2))</f>
        <v/>
      </c>
    </row>
    <row r="1258">
      <c r="J1258">
        <f>IF(B1258="","", _xludf.WEEKNUM(B1258, 2))</f>
        <v/>
      </c>
    </row>
    <row r="1259">
      <c r="J1259">
        <f>IF(B1259="","", _xludf.WEEKNUM(B1259, 2))</f>
        <v/>
      </c>
    </row>
    <row r="1260">
      <c r="J1260">
        <f>IF(B1260="","", _xludf.WEEKNUM(B1260, 2))</f>
        <v/>
      </c>
    </row>
    <row r="1261">
      <c r="J1261">
        <f>IF(B1261="","", _xludf.WEEKNUM(B1261, 2))</f>
        <v/>
      </c>
    </row>
    <row r="1262">
      <c r="J1262">
        <f>IF(B1262="","", _xludf.WEEKNUM(B1262, 2))</f>
        <v/>
      </c>
    </row>
    <row r="1263">
      <c r="J1263">
        <f>IF(B1263="","", _xludf.WEEKNUM(B1263, 2))</f>
        <v/>
      </c>
    </row>
    <row r="1264">
      <c r="J1264">
        <f>IF(B1264="","", _xludf.WEEKNUM(B1264, 2))</f>
        <v/>
      </c>
    </row>
    <row r="1265">
      <c r="J1265">
        <f>IF(B1265="","", _xludf.WEEKNUM(B1265, 2))</f>
        <v/>
      </c>
    </row>
    <row r="1266">
      <c r="J1266">
        <f>IF(B1266="","", _xludf.WEEKNUM(B1266, 2))</f>
        <v/>
      </c>
    </row>
    <row r="1267">
      <c r="J1267">
        <f>IF(B1267="","", _xludf.WEEKNUM(B1267, 2))</f>
        <v/>
      </c>
    </row>
    <row r="1268">
      <c r="J1268">
        <f>IF(B1268="","", _xludf.WEEKNUM(B1268, 2))</f>
        <v/>
      </c>
    </row>
    <row r="1269">
      <c r="J1269">
        <f>IF(B1269="","", _xludf.WEEKNUM(B1269, 2))</f>
        <v/>
      </c>
    </row>
    <row r="1270">
      <c r="J1270">
        <f>IF(B1270="","", _xludf.WEEKNUM(B1270, 2))</f>
        <v/>
      </c>
    </row>
    <row r="1271">
      <c r="J1271">
        <f>IF(B1271="","", _xludf.WEEKNUM(B1271, 2))</f>
        <v/>
      </c>
    </row>
    <row r="1272">
      <c r="J1272">
        <f>IF(B1272="","", _xludf.WEEKNUM(B1272, 2))</f>
        <v/>
      </c>
    </row>
    <row r="1273">
      <c r="J1273">
        <f>IF(B1273="","", _xludf.WEEKNUM(B1273, 2))</f>
        <v/>
      </c>
    </row>
    <row r="1274">
      <c r="J1274">
        <f>IF(B1274="","", _xludf.WEEKNUM(B1274, 2))</f>
        <v/>
      </c>
    </row>
    <row r="1275">
      <c r="J1275">
        <f>IF(B1275="","", _xludf.WEEKNUM(B1275, 2))</f>
        <v/>
      </c>
    </row>
    <row r="1276">
      <c r="J1276">
        <f>IF(B1276="","", _xludf.WEEKNUM(B1276, 2))</f>
        <v/>
      </c>
    </row>
    <row r="1277">
      <c r="J1277">
        <f>IF(B1277="","", _xludf.WEEKNUM(B1277, 2))</f>
        <v/>
      </c>
    </row>
    <row r="1278">
      <c r="J1278">
        <f>IF(B1278="","", _xludf.WEEKNUM(B1278, 2))</f>
        <v/>
      </c>
    </row>
    <row r="1279">
      <c r="J1279">
        <f>IF(B1279="","", _xludf.WEEKNUM(B1279, 2))</f>
        <v/>
      </c>
    </row>
    <row r="1280">
      <c r="J1280">
        <f>IF(B1280="","", _xludf.WEEKNUM(B1280, 2))</f>
        <v/>
      </c>
    </row>
    <row r="1281">
      <c r="J1281">
        <f>IF(B1281="","", _xludf.WEEKNUM(B1281, 2))</f>
        <v/>
      </c>
    </row>
    <row r="1282">
      <c r="J1282">
        <f>IF(B1282="","", _xludf.WEEKNUM(B1282, 2))</f>
        <v/>
      </c>
    </row>
    <row r="1283">
      <c r="J1283">
        <f>IF(B1283="","", _xludf.WEEKNUM(B1283, 2))</f>
        <v/>
      </c>
    </row>
    <row r="1284">
      <c r="J1284">
        <f>IF(B1284="","", _xludf.WEEKNUM(B1284, 2))</f>
        <v/>
      </c>
    </row>
    <row r="1285">
      <c r="J1285">
        <f>IF(B1285="","", _xludf.WEEKNUM(B1285, 2))</f>
        <v/>
      </c>
    </row>
    <row r="1286">
      <c r="J1286">
        <f>IF(B1286="","", _xludf.WEEKNUM(B1286, 2))</f>
        <v/>
      </c>
    </row>
    <row r="1287">
      <c r="J1287">
        <f>IF(B1287="","", _xludf.WEEKNUM(B1287, 2))</f>
        <v/>
      </c>
    </row>
    <row r="1288">
      <c r="J1288">
        <f>IF(B1288="","", _xludf.WEEKNUM(B1288, 2))</f>
        <v/>
      </c>
    </row>
    <row r="1289">
      <c r="J1289">
        <f>IF(B1289="","", _xludf.WEEKNUM(B1289, 2))</f>
        <v/>
      </c>
    </row>
    <row r="1290">
      <c r="J1290">
        <f>IF(B1290="","", _xludf.WEEKNUM(B1290, 2))</f>
        <v/>
      </c>
    </row>
    <row r="1291">
      <c r="J1291">
        <f>IF(B1291="","", _xludf.WEEKNUM(B1291, 2))</f>
        <v/>
      </c>
    </row>
    <row r="1292">
      <c r="J1292">
        <f>IF(B1292="","", _xludf.WEEKNUM(B1292, 2))</f>
        <v/>
      </c>
    </row>
    <row r="1293">
      <c r="J1293">
        <f>IF(B1293="","", _xludf.WEEKNUM(B1293, 2))</f>
        <v/>
      </c>
    </row>
    <row r="1294">
      <c r="J1294">
        <f>IF(B1294="","", _xludf.WEEKNUM(B1294, 2))</f>
        <v/>
      </c>
    </row>
    <row r="1295">
      <c r="J1295">
        <f>IF(B1295="","", _xludf.WEEKNUM(B1295, 2))</f>
        <v/>
      </c>
    </row>
    <row r="1296">
      <c r="J1296">
        <f>IF(B1296="","", _xludf.WEEKNUM(B1296, 2))</f>
        <v/>
      </c>
    </row>
    <row r="1297">
      <c r="J1297">
        <f>IF(B1297="","", _xludf.WEEKNUM(B1297, 2))</f>
        <v/>
      </c>
    </row>
    <row r="1298">
      <c r="J1298">
        <f>IF(B1298="","", _xludf.WEEKNUM(B1298, 2))</f>
        <v/>
      </c>
    </row>
    <row r="1299">
      <c r="J1299">
        <f>IF(B1299="","", _xludf.WEEKNUM(B1299, 2))</f>
        <v/>
      </c>
    </row>
    <row r="1300">
      <c r="J1300">
        <f>IF(B1300="","", _xludf.WEEKNUM(B1300, 2))</f>
        <v/>
      </c>
    </row>
    <row r="1301">
      <c r="J1301">
        <f>IF(B1301="","", _xludf.WEEKNUM(B1301, 2))</f>
        <v/>
      </c>
    </row>
    <row r="1302">
      <c r="J1302">
        <f>IF(B1302="","", _xludf.WEEKNUM(B1302, 2))</f>
        <v/>
      </c>
    </row>
    <row r="1303">
      <c r="J1303">
        <f>IF(B1303="","", _xludf.WEEKNUM(B1303, 2))</f>
        <v/>
      </c>
    </row>
    <row r="1304">
      <c r="J1304">
        <f>IF(B1304="","", _xludf.WEEKNUM(B1304, 2))</f>
        <v/>
      </c>
    </row>
    <row r="1305">
      <c r="J1305">
        <f>IF(B1305="","", _xludf.WEEKNUM(B1305, 2))</f>
        <v/>
      </c>
    </row>
    <row r="1306">
      <c r="J1306">
        <f>IF(B1306="","", _xludf.WEEKNUM(B1306, 2))</f>
        <v/>
      </c>
    </row>
    <row r="1307">
      <c r="J1307">
        <f>IF(B1307="","", _xludf.WEEKNUM(B1307, 2))</f>
        <v/>
      </c>
    </row>
    <row r="1308">
      <c r="J1308">
        <f>IF(B1308="","", _xludf.WEEKNUM(B1308, 2))</f>
        <v/>
      </c>
    </row>
    <row r="1309">
      <c r="J1309">
        <f>IF(B1309="","", _xludf.WEEKNUM(B1309, 2))</f>
        <v/>
      </c>
    </row>
    <row r="1310">
      <c r="J1310">
        <f>IF(B1310="","", _xludf.WEEKNUM(B1310, 2))</f>
        <v/>
      </c>
    </row>
    <row r="1311">
      <c r="J1311">
        <f>IF(B1311="","", _xludf.WEEKNUM(B1311, 2))</f>
        <v/>
      </c>
    </row>
    <row r="1312">
      <c r="J1312">
        <f>IF(B1312="","", _xludf.WEEKNUM(B1312, 2))</f>
        <v/>
      </c>
    </row>
    <row r="1313">
      <c r="J1313">
        <f>IF(B1313="","", _xludf.WEEKNUM(B1313, 2))</f>
        <v/>
      </c>
    </row>
    <row r="1314">
      <c r="J1314">
        <f>IF(B1314="","", _xludf.WEEKNUM(B1314, 2))</f>
        <v/>
      </c>
    </row>
    <row r="1315">
      <c r="J1315">
        <f>IF(B1315="","", _xludf.WEEKNUM(B1315, 2))</f>
        <v/>
      </c>
    </row>
    <row r="1316">
      <c r="J1316">
        <f>IF(B1316="","", _xludf.WEEKNUM(B1316, 2))</f>
        <v/>
      </c>
    </row>
    <row r="1317">
      <c r="J1317">
        <f>IF(B1317="","", _xludf.WEEKNUM(B1317, 2))</f>
        <v/>
      </c>
    </row>
    <row r="1318">
      <c r="J1318">
        <f>IF(B1318="","", _xludf.WEEKNUM(B1318, 2))</f>
        <v/>
      </c>
    </row>
    <row r="1319">
      <c r="J1319">
        <f>IF(B1319="","", _xludf.WEEKNUM(B1319, 2))</f>
        <v/>
      </c>
    </row>
    <row r="1320">
      <c r="J1320">
        <f>IF(B1320="","", _xludf.WEEKNUM(B1320, 2))</f>
        <v/>
      </c>
    </row>
    <row r="1321">
      <c r="J1321">
        <f>IF(B1321="","", _xludf.WEEKNUM(B1321, 2))</f>
        <v/>
      </c>
    </row>
    <row r="1322">
      <c r="J1322">
        <f>IF(B1322="","", _xludf.WEEKNUM(B1322, 2))</f>
        <v/>
      </c>
    </row>
    <row r="1323">
      <c r="J1323">
        <f>IF(B1323="","", _xludf.WEEKNUM(B1323, 2))</f>
        <v/>
      </c>
    </row>
    <row r="1324">
      <c r="J1324">
        <f>IF(B1324="","", _xludf.WEEKNUM(B1324, 2))</f>
        <v/>
      </c>
    </row>
    <row r="1325">
      <c r="J1325">
        <f>IF(B1325="","", _xludf.WEEKNUM(B1325, 2))</f>
        <v/>
      </c>
    </row>
    <row r="1326">
      <c r="J1326">
        <f>IF(B1326="","", _xludf.WEEKNUM(B1326, 2))</f>
        <v/>
      </c>
    </row>
    <row r="1327">
      <c r="J1327">
        <f>IF(B1327="","", _xludf.WEEKNUM(B1327, 2))</f>
        <v/>
      </c>
    </row>
    <row r="1328">
      <c r="J1328">
        <f>IF(B1328="","", _xludf.WEEKNUM(B1328, 2))</f>
        <v/>
      </c>
    </row>
    <row r="1329">
      <c r="J1329">
        <f>IF(B1329="","", _xludf.WEEKNUM(B1329, 2))</f>
        <v/>
      </c>
    </row>
    <row r="1330">
      <c r="J1330">
        <f>IF(B1330="","", _xludf.WEEKNUM(B1330, 2))</f>
        <v/>
      </c>
    </row>
    <row r="1331">
      <c r="J1331">
        <f>IF(B1331="","", _xludf.WEEKNUM(B1331, 2))</f>
        <v/>
      </c>
    </row>
    <row r="1332">
      <c r="J1332">
        <f>IF(B1332="","", _xludf.WEEKNUM(B1332, 2))</f>
        <v/>
      </c>
    </row>
    <row r="1333">
      <c r="J1333">
        <f>IF(B1333="","", _xludf.WEEKNUM(B1333, 2))</f>
        <v/>
      </c>
    </row>
    <row r="1334">
      <c r="J1334">
        <f>IF(B1334="","", _xludf.WEEKNUM(B1334, 2))</f>
        <v/>
      </c>
    </row>
    <row r="1335">
      <c r="J1335">
        <f>IF(B1335="","", _xludf.WEEKNUM(B1335, 2))</f>
        <v/>
      </c>
    </row>
    <row r="1336">
      <c r="J1336">
        <f>IF(B1336="","", _xludf.WEEKNUM(B1336, 2))</f>
        <v/>
      </c>
    </row>
    <row r="1337">
      <c r="J1337">
        <f>IF(B1337="","", _xludf.WEEKNUM(B1337, 2))</f>
        <v/>
      </c>
    </row>
    <row r="1338">
      <c r="J1338">
        <f>IF(B1338="","", _xludf.WEEKNUM(B1338, 2))</f>
        <v/>
      </c>
    </row>
    <row r="1339">
      <c r="J1339">
        <f>IF(B1339="","", _xludf.WEEKNUM(B1339, 2))</f>
        <v/>
      </c>
    </row>
    <row r="1340">
      <c r="J1340">
        <f>IF(B1340="","", _xludf.WEEKNUM(B1340, 2))</f>
        <v/>
      </c>
    </row>
    <row r="1341">
      <c r="J1341">
        <f>IF(B1341="","", _xludf.WEEKNUM(B1341, 2))</f>
        <v/>
      </c>
    </row>
    <row r="1342">
      <c r="J1342">
        <f>IF(B1342="","", _xludf.WEEKNUM(B1342, 2))</f>
        <v/>
      </c>
    </row>
    <row r="1343">
      <c r="J1343">
        <f>IF(B1343="","", _xludf.WEEKNUM(B1343, 2))</f>
        <v/>
      </c>
    </row>
    <row r="1344">
      <c r="J1344">
        <f>IF(B1344="","", _xludf.WEEKNUM(B1344, 2))</f>
        <v/>
      </c>
    </row>
    <row r="1345">
      <c r="J1345">
        <f>IF(B1345="","", _xludf.WEEKNUM(B1345, 2))</f>
        <v/>
      </c>
    </row>
    <row r="1346">
      <c r="J1346">
        <f>IF(B1346="","", _xludf.WEEKNUM(B1346, 2))</f>
        <v/>
      </c>
    </row>
    <row r="1347">
      <c r="J1347">
        <f>IF(B1347="","", _xludf.WEEKNUM(B1347, 2))</f>
        <v/>
      </c>
    </row>
    <row r="1348">
      <c r="J1348">
        <f>IF(B1348="","", _xludf.WEEKNUM(B1348, 2))</f>
        <v/>
      </c>
    </row>
    <row r="1349">
      <c r="J1349">
        <f>IF(B1349="","", _xludf.WEEKNUM(B1349, 2))</f>
        <v/>
      </c>
    </row>
    <row r="1350">
      <c r="J1350">
        <f>IF(B1350="","", _xludf.WEEKNUM(B1350, 2))</f>
        <v/>
      </c>
    </row>
    <row r="1351">
      <c r="J1351">
        <f>IF(B1351="","", _xludf.WEEKNUM(B1351, 2))</f>
        <v/>
      </c>
    </row>
    <row r="1352">
      <c r="J1352">
        <f>IF(B1352="","", _xludf.WEEKNUM(B1352, 2))</f>
        <v/>
      </c>
    </row>
    <row r="1353">
      <c r="J1353">
        <f>IF(B1353="","", _xludf.WEEKNUM(B1353, 2))</f>
        <v/>
      </c>
    </row>
    <row r="1354">
      <c r="J1354">
        <f>IF(B1354="","", _xludf.WEEKNUM(B1354, 2))</f>
        <v/>
      </c>
    </row>
    <row r="1355">
      <c r="J1355">
        <f>IF(B1355="","", _xludf.WEEKNUM(B1355, 2))</f>
        <v/>
      </c>
    </row>
    <row r="1356">
      <c r="J1356">
        <f>IF(B1356="","", _xludf.WEEKNUM(B1356, 2))</f>
        <v/>
      </c>
    </row>
    <row r="1357">
      <c r="J1357">
        <f>IF(B1357="","", _xludf.WEEKNUM(B1357, 2))</f>
        <v/>
      </c>
    </row>
    <row r="1358">
      <c r="J1358">
        <f>IF(B1358="","", _xludf.WEEKNUM(B1358, 2))</f>
        <v/>
      </c>
    </row>
    <row r="1359">
      <c r="J1359">
        <f>IF(B1359="","", _xludf.WEEKNUM(B1359, 2))</f>
        <v/>
      </c>
    </row>
    <row r="1360">
      <c r="J1360">
        <f>IF(B1360="","", _xludf.WEEKNUM(B1360, 2))</f>
        <v/>
      </c>
    </row>
    <row r="1361">
      <c r="J1361">
        <f>IF(B1361="","", _xludf.WEEKNUM(B1361, 2))</f>
        <v/>
      </c>
    </row>
    <row r="1362">
      <c r="J1362">
        <f>IF(B1362="","", _xludf.WEEKNUM(B1362, 2))</f>
        <v/>
      </c>
    </row>
    <row r="1363">
      <c r="J1363">
        <f>IF(B1363="","", _xludf.WEEKNUM(B1363, 2))</f>
        <v/>
      </c>
    </row>
    <row r="1364">
      <c r="J1364">
        <f>IF(B1364="","", _xludf.WEEKNUM(B1364, 2))</f>
        <v/>
      </c>
    </row>
    <row r="1365">
      <c r="J1365">
        <f>IF(B1365="","", _xludf.WEEKNUM(B1365, 2))</f>
        <v/>
      </c>
    </row>
    <row r="1366">
      <c r="J1366">
        <f>IF(B1366="","", _xludf.WEEKNUM(B1366, 2))</f>
        <v/>
      </c>
    </row>
    <row r="1367">
      <c r="J1367">
        <f>IF(B1367="","", _xludf.WEEKNUM(B1367, 2))</f>
        <v/>
      </c>
    </row>
    <row r="1368">
      <c r="J1368">
        <f>IF(B1368="","", _xludf.WEEKNUM(B1368, 2))</f>
        <v/>
      </c>
    </row>
    <row r="1369">
      <c r="J1369">
        <f>IF(B1369="","", _xludf.WEEKNUM(B1369, 2))</f>
        <v/>
      </c>
    </row>
    <row r="1370">
      <c r="J1370">
        <f>IF(B1370="","", _xludf.WEEKNUM(B1370, 2))</f>
        <v/>
      </c>
    </row>
    <row r="1371">
      <c r="J1371">
        <f>IF(B1371="","", _xludf.WEEKNUM(B1371, 2))</f>
        <v/>
      </c>
    </row>
    <row r="1372">
      <c r="J1372">
        <f>IF(B1372="","", _xludf.WEEKNUM(B1372, 2))</f>
        <v/>
      </c>
    </row>
    <row r="1373">
      <c r="J1373">
        <f>IF(B1373="","", _xludf.WEEKNUM(B1373, 2))</f>
        <v/>
      </c>
    </row>
    <row r="1374">
      <c r="J1374">
        <f>IF(B1374="","", _xludf.WEEKNUM(B1374, 2))</f>
        <v/>
      </c>
    </row>
    <row r="1375">
      <c r="J1375">
        <f>IF(B1375="","", _xludf.WEEKNUM(B1375, 2))</f>
        <v/>
      </c>
    </row>
    <row r="1376">
      <c r="J1376">
        <f>IF(B1376="","", _xludf.WEEKNUM(B1376, 2))</f>
        <v/>
      </c>
    </row>
    <row r="1377">
      <c r="J1377">
        <f>IF(B1377="","", _xludf.WEEKNUM(B1377, 2))</f>
        <v/>
      </c>
    </row>
    <row r="1378">
      <c r="J1378">
        <f>IF(B1378="","", _xludf.WEEKNUM(B1378, 2))</f>
        <v/>
      </c>
    </row>
    <row r="1379">
      <c r="J1379">
        <f>IF(B1379="","", _xludf.WEEKNUM(B1379, 2))</f>
        <v/>
      </c>
    </row>
    <row r="1380">
      <c r="J1380">
        <f>IF(B1380="","", _xludf.WEEKNUM(B1380, 2))</f>
        <v/>
      </c>
    </row>
    <row r="1381">
      <c r="J1381">
        <f>IF(B1381="","", _xludf.WEEKNUM(B1381, 2))</f>
        <v/>
      </c>
    </row>
    <row r="1382">
      <c r="J1382">
        <f>IF(B1382="","", _xludf.WEEKNUM(B1382, 2))</f>
        <v/>
      </c>
    </row>
    <row r="1383">
      <c r="J1383">
        <f>IF(B1383="","", _xludf.WEEKNUM(B1383, 2))</f>
        <v/>
      </c>
    </row>
    <row r="1384">
      <c r="J1384">
        <f>IF(B1384="","", _xludf.WEEKNUM(B1384, 2))</f>
        <v/>
      </c>
    </row>
    <row r="1385">
      <c r="J1385">
        <f>IF(B1385="","", _xludf.WEEKNUM(B1385, 2))</f>
        <v/>
      </c>
    </row>
    <row r="1386">
      <c r="J1386">
        <f>IF(B1386="","", _xludf.WEEKNUM(B1386, 2))</f>
        <v/>
      </c>
    </row>
    <row r="1387">
      <c r="J1387">
        <f>IF(B1387="","", _xludf.WEEKNUM(B1387, 2))</f>
        <v/>
      </c>
    </row>
    <row r="1388">
      <c r="J1388">
        <f>IF(B1388="","", _xludf.WEEKNUM(B1388, 2))</f>
        <v/>
      </c>
    </row>
    <row r="1389">
      <c r="J1389">
        <f>IF(B1389="","", _xludf.WEEKNUM(B1389, 2))</f>
        <v/>
      </c>
    </row>
    <row r="1390">
      <c r="J1390">
        <f>IF(B1390="","", _xludf.WEEKNUM(B1390, 2))</f>
        <v/>
      </c>
    </row>
    <row r="1391">
      <c r="J1391">
        <f>IF(B1391="","", _xludf.WEEKNUM(B1391, 2))</f>
        <v/>
      </c>
    </row>
    <row r="1392">
      <c r="J1392">
        <f>IF(B1392="","", _xludf.WEEKNUM(B1392, 2))</f>
        <v/>
      </c>
    </row>
    <row r="1393">
      <c r="J1393">
        <f>IF(B1393="","", _xludf.WEEKNUM(B1393, 2))</f>
        <v/>
      </c>
    </row>
    <row r="1394">
      <c r="J1394">
        <f>IF(B1394="","", _xludf.WEEKNUM(B1394, 2))</f>
        <v/>
      </c>
    </row>
    <row r="1395">
      <c r="J1395">
        <f>IF(B1395="","", _xludf.WEEKNUM(B1395, 2))</f>
        <v/>
      </c>
    </row>
    <row r="1396">
      <c r="J1396">
        <f>IF(B1396="","", _xludf.WEEKNUM(B1396, 2))</f>
        <v/>
      </c>
    </row>
    <row r="1397">
      <c r="J1397">
        <f>IF(B1397="","", _xludf.WEEKNUM(B1397, 2))</f>
        <v/>
      </c>
    </row>
    <row r="1398">
      <c r="J1398">
        <f>IF(B1398="","", _xludf.WEEKNUM(B1398, 2))</f>
        <v/>
      </c>
    </row>
    <row r="1399">
      <c r="J1399">
        <f>IF(B1399="","", _xludf.WEEKNUM(B1399, 2))</f>
        <v/>
      </c>
    </row>
    <row r="1400">
      <c r="J1400">
        <f>IF(B1400="","", _xludf.WEEKNUM(B1400, 2))</f>
        <v/>
      </c>
    </row>
    <row r="1401">
      <c r="J1401">
        <f>IF(B1401="","", _xludf.WEEKNUM(B1401, 2))</f>
        <v/>
      </c>
    </row>
    <row r="1402">
      <c r="J1402">
        <f>IF(B1402="","", _xludf.WEEKNUM(B1402, 2))</f>
        <v/>
      </c>
    </row>
    <row r="1403">
      <c r="J1403">
        <f>IF(B1403="","", _xludf.WEEKNUM(B1403, 2))</f>
        <v/>
      </c>
    </row>
    <row r="1404">
      <c r="J1404">
        <f>IF(B1404="","", _xludf.WEEKNUM(B1404, 2))</f>
        <v/>
      </c>
    </row>
    <row r="1405">
      <c r="J1405">
        <f>IF(B1405="","", _xludf.WEEKNUM(B1405, 2))</f>
        <v/>
      </c>
    </row>
    <row r="1406">
      <c r="J1406">
        <f>IF(B1406="","", _xludf.WEEKNUM(B1406, 2))</f>
        <v/>
      </c>
    </row>
    <row r="1407">
      <c r="J1407">
        <f>IF(B1407="","", _xludf.WEEKNUM(B1407, 2))</f>
        <v/>
      </c>
    </row>
    <row r="1408">
      <c r="J1408">
        <f>IF(B1408="","", _xludf.WEEKNUM(B1408, 2))</f>
        <v/>
      </c>
    </row>
    <row r="1409">
      <c r="J1409">
        <f>IF(B1409="","", _xludf.WEEKNUM(B1409, 2))</f>
        <v/>
      </c>
    </row>
    <row r="1410">
      <c r="J1410">
        <f>IF(B1410="","", _xludf.WEEKNUM(B1410, 2))</f>
        <v/>
      </c>
    </row>
    <row r="1411">
      <c r="J1411">
        <f>IF(B1411="","", _xludf.WEEKNUM(B1411, 2))</f>
        <v/>
      </c>
    </row>
    <row r="1412">
      <c r="J1412">
        <f>IF(B1412="","", _xludf.WEEKNUM(B1412, 2))</f>
        <v/>
      </c>
    </row>
    <row r="1413">
      <c r="J1413">
        <f>IF(B1413="","", _xludf.WEEKNUM(B1413, 2))</f>
        <v/>
      </c>
    </row>
    <row r="1414">
      <c r="J1414">
        <f>IF(B1414="","", _xludf.WEEKNUM(B1414, 2))</f>
        <v/>
      </c>
    </row>
    <row r="1415">
      <c r="J1415">
        <f>IF(B1415="","", _xludf.WEEKNUM(B1415, 2))</f>
        <v/>
      </c>
    </row>
    <row r="1416">
      <c r="J1416">
        <f>IF(B1416="","", _xludf.WEEKNUM(B1416, 2))</f>
        <v/>
      </c>
    </row>
    <row r="1417">
      <c r="J1417">
        <f>IF(B1417="","", _xludf.WEEKNUM(B1417, 2))</f>
        <v/>
      </c>
    </row>
    <row r="1418">
      <c r="J1418">
        <f>IF(B1418="","", _xludf.WEEKNUM(B1418, 2))</f>
        <v/>
      </c>
    </row>
    <row r="1419">
      <c r="J1419">
        <f>IF(B1419="","", _xludf.WEEKNUM(B1419, 2))</f>
        <v/>
      </c>
    </row>
    <row r="1420">
      <c r="J1420">
        <f>IF(B1420="","", _xludf.WEEKNUM(B1420, 2))</f>
        <v/>
      </c>
    </row>
    <row r="1421">
      <c r="J1421">
        <f>IF(B1421="","", _xludf.WEEKNUM(B1421, 2))</f>
        <v/>
      </c>
    </row>
    <row r="1422">
      <c r="J1422">
        <f>IF(B1422="","", _xludf.WEEKNUM(B1422, 2))</f>
        <v/>
      </c>
    </row>
    <row r="1423">
      <c r="J1423">
        <f>IF(B1423="","", _xludf.WEEKNUM(B1423, 2))</f>
        <v/>
      </c>
    </row>
    <row r="1424">
      <c r="J1424">
        <f>IF(B1424="","", _xludf.WEEKNUM(B1424, 2))</f>
        <v/>
      </c>
    </row>
    <row r="1425">
      <c r="J1425">
        <f>IF(B1425="","", _xludf.WEEKNUM(B1425, 2))</f>
        <v/>
      </c>
    </row>
    <row r="1426">
      <c r="J1426">
        <f>IF(B1426="","", _xludf.WEEKNUM(B1426, 2))</f>
        <v/>
      </c>
    </row>
    <row r="1427">
      <c r="J1427">
        <f>IF(B1427="","", _xludf.WEEKNUM(B1427, 2))</f>
        <v/>
      </c>
    </row>
    <row r="1428">
      <c r="J1428">
        <f>IF(B1428="","", _xludf.WEEKNUM(B1428, 2))</f>
        <v/>
      </c>
    </row>
    <row r="1429">
      <c r="J1429">
        <f>IF(B1429="","", _xludf.WEEKNUM(B1429, 2))</f>
        <v/>
      </c>
    </row>
    <row r="1430">
      <c r="J1430">
        <f>IF(B1430="","", _xludf.WEEKNUM(B1430, 2))</f>
        <v/>
      </c>
    </row>
    <row r="1431">
      <c r="J1431">
        <f>IF(B1431="","", _xludf.WEEKNUM(B1431, 2))</f>
        <v/>
      </c>
    </row>
    <row r="1432">
      <c r="J1432">
        <f>IF(B1432="","", _xludf.WEEKNUM(B1432, 2))</f>
        <v/>
      </c>
    </row>
    <row r="1433">
      <c r="J1433">
        <f>IF(B1433="","", _xludf.WEEKNUM(B1433, 2))</f>
        <v/>
      </c>
    </row>
    <row r="1434">
      <c r="J1434">
        <f>IF(B1434="","", _xludf.WEEKNUM(B1434, 2))</f>
        <v/>
      </c>
    </row>
    <row r="1435">
      <c r="J1435">
        <f>IF(B1435="","", _xludf.WEEKNUM(B1435, 2))</f>
        <v/>
      </c>
    </row>
    <row r="1436">
      <c r="J1436">
        <f>IF(B1436="","", _xludf.WEEKNUM(B1436, 2))</f>
        <v/>
      </c>
    </row>
    <row r="1437">
      <c r="J1437">
        <f>IF(B1437="","", _xludf.WEEKNUM(B1437, 2))</f>
        <v/>
      </c>
    </row>
    <row r="1438">
      <c r="J1438">
        <f>IF(B1438="","", _xludf.WEEKNUM(B1438, 2))</f>
        <v/>
      </c>
    </row>
    <row r="1439">
      <c r="J1439">
        <f>IF(B1439="","", _xludf.WEEKNUM(B1439, 2))</f>
        <v/>
      </c>
    </row>
    <row r="1440">
      <c r="J1440">
        <f>IF(B1440="","", _xludf.WEEKNUM(B1440, 2))</f>
        <v/>
      </c>
    </row>
    <row r="1441">
      <c r="J1441">
        <f>IF(B1441="","", _xludf.WEEKNUM(B1441, 2))</f>
        <v/>
      </c>
    </row>
    <row r="1442">
      <c r="J1442">
        <f>IF(B1442="","", _xludf.WEEKNUM(B1442, 2))</f>
        <v/>
      </c>
    </row>
    <row r="1443">
      <c r="J1443">
        <f>IF(B1443="","", _xludf.WEEKNUM(B1443, 2))</f>
        <v/>
      </c>
    </row>
    <row r="1444">
      <c r="J1444">
        <f>IF(B1444="","", _xludf.WEEKNUM(B1444, 2))</f>
        <v/>
      </c>
    </row>
    <row r="1445">
      <c r="J1445">
        <f>IF(B1445="","", _xludf.WEEKNUM(B1445, 2))</f>
        <v/>
      </c>
    </row>
    <row r="1446">
      <c r="J1446">
        <f>IF(B1446="","", _xludf.WEEKNUM(B1446, 2))</f>
        <v/>
      </c>
    </row>
    <row r="1447">
      <c r="J1447">
        <f>IF(B1447="","", _xludf.WEEKNUM(B1447, 2))</f>
        <v/>
      </c>
    </row>
    <row r="1448">
      <c r="J1448">
        <f>IF(B1448="","", _xludf.WEEKNUM(B1448, 2))</f>
        <v/>
      </c>
    </row>
    <row r="1449">
      <c r="J1449">
        <f>IF(B1449="","", _xludf.WEEKNUM(B1449, 2))</f>
        <v/>
      </c>
    </row>
    <row r="1450">
      <c r="J1450">
        <f>IF(B1450="","", _xludf.WEEKNUM(B1450, 2))</f>
        <v/>
      </c>
    </row>
    <row r="1451">
      <c r="J1451">
        <f>IF(B1451="","", _xludf.WEEKNUM(B1451, 2))</f>
        <v/>
      </c>
    </row>
    <row r="1452">
      <c r="J1452">
        <f>IF(B1452="","", _xludf.WEEKNUM(B1452, 2))</f>
        <v/>
      </c>
    </row>
    <row r="1453">
      <c r="J1453">
        <f>IF(B1453="","", _xludf.WEEKNUM(B1453, 2))</f>
        <v/>
      </c>
    </row>
    <row r="1454">
      <c r="J1454">
        <f>IF(B1454="","", _xludf.WEEKNUM(B1454, 2))</f>
        <v/>
      </c>
    </row>
    <row r="1455">
      <c r="J1455">
        <f>IF(B1455="","", _xludf.WEEKNUM(B1455, 2))</f>
        <v/>
      </c>
    </row>
    <row r="1456">
      <c r="J1456">
        <f>IF(B1456="","", _xludf.WEEKNUM(B1456, 2))</f>
        <v/>
      </c>
    </row>
    <row r="1457">
      <c r="J1457">
        <f>IF(B1457="","", _xludf.WEEKNUM(B1457, 2))</f>
        <v/>
      </c>
    </row>
    <row r="1458">
      <c r="J1458">
        <f>IF(B1458="","", _xludf.WEEKNUM(B1458, 2))</f>
        <v/>
      </c>
    </row>
    <row r="1459">
      <c r="J1459">
        <f>IF(B1459="","", _xludf.WEEKNUM(B1459, 2))</f>
        <v/>
      </c>
    </row>
    <row r="1460">
      <c r="J1460">
        <f>IF(B1460="","", _xludf.WEEKNUM(B1460, 2))</f>
        <v/>
      </c>
    </row>
    <row r="1461">
      <c r="J1461">
        <f>IF(B1461="","", _xludf.WEEKNUM(B1461, 2))</f>
        <v/>
      </c>
    </row>
    <row r="1462">
      <c r="J1462">
        <f>IF(B1462="","", _xludf.WEEKNUM(B1462, 2))</f>
        <v/>
      </c>
    </row>
    <row r="1463">
      <c r="J1463">
        <f>IF(B1463="","", _xludf.WEEKNUM(B1463, 2))</f>
        <v/>
      </c>
    </row>
    <row r="1464">
      <c r="J1464">
        <f>IF(B1464="","", _xludf.WEEKNUM(B1464, 2))</f>
        <v/>
      </c>
    </row>
    <row r="1465">
      <c r="J1465">
        <f>IF(B1465="","", _xludf.WEEKNUM(B1465, 2))</f>
        <v/>
      </c>
    </row>
    <row r="1466">
      <c r="J1466">
        <f>IF(B1466="","", _xludf.WEEKNUM(B1466, 2))</f>
        <v/>
      </c>
    </row>
    <row r="1467">
      <c r="J1467">
        <f>IF(B1467="","", _xludf.WEEKNUM(B1467, 2))</f>
        <v/>
      </c>
    </row>
    <row r="1468">
      <c r="J1468">
        <f>IF(B1468="","", _xludf.WEEKNUM(B1468, 2))</f>
        <v/>
      </c>
    </row>
    <row r="1469">
      <c r="J1469">
        <f>IF(B1469="","", _xludf.WEEKNUM(B1469, 2))</f>
        <v/>
      </c>
    </row>
    <row r="1470">
      <c r="J1470">
        <f>IF(B1470="","", _xludf.WEEKNUM(B1470, 2))</f>
        <v/>
      </c>
    </row>
    <row r="1471">
      <c r="J1471">
        <f>IF(B1471="","", _xludf.WEEKNUM(B1471, 2))</f>
        <v/>
      </c>
    </row>
    <row r="1472">
      <c r="J1472">
        <f>IF(B1472="","", _xludf.WEEKNUM(B1472, 2))</f>
        <v/>
      </c>
    </row>
    <row r="1473">
      <c r="J1473">
        <f>IF(B1473="","", _xludf.WEEKNUM(B1473, 2))</f>
        <v/>
      </c>
    </row>
    <row r="1474">
      <c r="J1474">
        <f>IF(B1474="","", _xludf.WEEKNUM(B1474, 2))</f>
        <v/>
      </c>
    </row>
    <row r="1475">
      <c r="J1475">
        <f>IF(B1475="","", _xludf.WEEKNUM(B1475, 2))</f>
        <v/>
      </c>
    </row>
    <row r="1476">
      <c r="J1476">
        <f>IF(B1476="","", _xludf.WEEKNUM(B1476, 2))</f>
        <v/>
      </c>
    </row>
    <row r="1477">
      <c r="J1477">
        <f>IF(B1477="","", _xludf.WEEKNUM(B1477, 2))</f>
        <v/>
      </c>
    </row>
    <row r="1478">
      <c r="J1478">
        <f>IF(B1478="","", _xludf.WEEKNUM(B1478, 2))</f>
        <v/>
      </c>
    </row>
    <row r="1479">
      <c r="J1479">
        <f>IF(B1479="","", _xludf.WEEKNUM(B1479, 2))</f>
        <v/>
      </c>
    </row>
    <row r="1480">
      <c r="J1480">
        <f>IF(B1480="","", _xludf.WEEKNUM(B1480, 2))</f>
        <v/>
      </c>
    </row>
    <row r="1481">
      <c r="J1481">
        <f>IF(B1481="","", _xludf.WEEKNUM(B1481, 2))</f>
        <v/>
      </c>
    </row>
    <row r="1482">
      <c r="J1482">
        <f>IF(B1482="","", _xludf.WEEKNUM(B1482, 2))</f>
        <v/>
      </c>
    </row>
    <row r="1483">
      <c r="J1483">
        <f>IF(B1483="","", _xludf.WEEKNUM(B1483, 2))</f>
        <v/>
      </c>
    </row>
    <row r="1484">
      <c r="J1484">
        <f>IF(B1484="","", _xludf.WEEKNUM(B1484, 2))</f>
        <v/>
      </c>
    </row>
    <row r="1485">
      <c r="J1485">
        <f>IF(B1485="","", _xludf.WEEKNUM(B1485, 2))</f>
        <v/>
      </c>
    </row>
    <row r="1486">
      <c r="J1486">
        <f>IF(B1486="","", _xludf.WEEKNUM(B1486, 2))</f>
        <v/>
      </c>
    </row>
    <row r="1487">
      <c r="J1487">
        <f>IF(B1487="","", _xludf.WEEKNUM(B1487, 2))</f>
        <v/>
      </c>
    </row>
    <row r="1488">
      <c r="J1488">
        <f>IF(B1488="","", _xludf.WEEKNUM(B1488, 2))</f>
        <v/>
      </c>
    </row>
    <row r="1489">
      <c r="J1489">
        <f>IF(B1489="","", _xludf.WEEKNUM(B1489, 2))</f>
        <v/>
      </c>
    </row>
    <row r="1490">
      <c r="J1490">
        <f>IF(B1490="","", _xludf.WEEKNUM(B1490, 2))</f>
        <v/>
      </c>
    </row>
    <row r="1491">
      <c r="J1491">
        <f>IF(B1491="","", _xludf.WEEKNUM(B1491, 2))</f>
        <v/>
      </c>
    </row>
    <row r="1492">
      <c r="J1492">
        <f>IF(B1492="","", _xludf.WEEKNUM(B1492, 2))</f>
        <v/>
      </c>
    </row>
    <row r="1493">
      <c r="J1493">
        <f>IF(B1493="","", _xludf.WEEKNUM(B1493, 2))</f>
        <v/>
      </c>
    </row>
    <row r="1494">
      <c r="J1494">
        <f>IF(B1494="","", _xludf.WEEKNUM(B1494, 2))</f>
        <v/>
      </c>
    </row>
    <row r="1495">
      <c r="J1495">
        <f>IF(B1495="","", _xludf.WEEKNUM(B1495, 2))</f>
        <v/>
      </c>
    </row>
    <row r="1496">
      <c r="J1496">
        <f>IF(B1496="","", _xludf.WEEKNUM(B1496, 2))</f>
        <v/>
      </c>
    </row>
    <row r="1497">
      <c r="J1497">
        <f>IF(B1497="","", _xludf.WEEKNUM(B1497, 2))</f>
        <v/>
      </c>
    </row>
    <row r="1498">
      <c r="J1498">
        <f>IF(B1498="","", _xludf.WEEKNUM(B1498, 2))</f>
        <v/>
      </c>
    </row>
    <row r="1499">
      <c r="J1499">
        <f>IF(B1499="","", _xludf.WEEKNUM(B1499, 2))</f>
        <v/>
      </c>
    </row>
    <row r="1500">
      <c r="J1500">
        <f>IF(B1500="","", _xludf.WEEKNUM(B1500, 2))</f>
        <v/>
      </c>
    </row>
    <row r="1501">
      <c r="J1501">
        <f>IF(B1501="","", _xludf.WEEKNUM(B1501, 2))</f>
        <v/>
      </c>
    </row>
    <row r="1502">
      <c r="J1502">
        <f>IF(B1502="","", _xludf.WEEKNUM(B1502, 2))</f>
        <v/>
      </c>
    </row>
    <row r="1503">
      <c r="J1503">
        <f>IF(B1503="","", _xludf.WEEKNUM(B1503, 2))</f>
        <v/>
      </c>
    </row>
    <row r="1504">
      <c r="J1504">
        <f>IF(B1504="","", _xludf.WEEKNUM(B1504, 2))</f>
        <v/>
      </c>
    </row>
    <row r="1505">
      <c r="J1505">
        <f>IF(B1505="","", _xludf.WEEKNUM(B1505, 2))</f>
        <v/>
      </c>
    </row>
    <row r="1506">
      <c r="J1506">
        <f>IF(B1506="","", _xludf.WEEKNUM(B1506, 2))</f>
        <v/>
      </c>
    </row>
    <row r="1507">
      <c r="J1507">
        <f>IF(B1507="","", _xludf.WEEKNUM(B1507, 2))</f>
        <v/>
      </c>
    </row>
    <row r="1508">
      <c r="J1508">
        <f>IF(B1508="","", _xludf.WEEKNUM(B1508, 2))</f>
        <v/>
      </c>
    </row>
    <row r="1509">
      <c r="J1509">
        <f>IF(B1509="","", _xludf.WEEKNUM(B1509, 2))</f>
        <v/>
      </c>
    </row>
    <row r="1510">
      <c r="J1510">
        <f>IF(B1510="","", _xludf.WEEKNUM(B1510, 2))</f>
        <v/>
      </c>
    </row>
    <row r="1511">
      <c r="J1511">
        <f>IF(B1511="","", _xludf.WEEKNUM(B1511, 2))</f>
        <v/>
      </c>
    </row>
    <row r="1512">
      <c r="J1512">
        <f>IF(B1512="","", _xludf.WEEKNUM(B1512, 2))</f>
        <v/>
      </c>
    </row>
    <row r="1513">
      <c r="J1513">
        <f>IF(B1513="","", _xludf.WEEKNUM(B1513, 2))</f>
        <v/>
      </c>
    </row>
    <row r="1514">
      <c r="J1514">
        <f>IF(B1514="","", _xludf.WEEKNUM(B1514, 2))</f>
        <v/>
      </c>
    </row>
    <row r="1515">
      <c r="J1515">
        <f>IF(B1515="","", _xludf.WEEKNUM(B1515, 2))</f>
        <v/>
      </c>
    </row>
    <row r="1516">
      <c r="J1516">
        <f>IF(B1516="","", _xludf.WEEKNUM(B1516, 2))</f>
        <v/>
      </c>
    </row>
    <row r="1517">
      <c r="J1517">
        <f>IF(B1517="","", _xludf.WEEKNUM(B1517, 2))</f>
        <v/>
      </c>
    </row>
    <row r="1518">
      <c r="J1518">
        <f>IF(B1518="","", _xludf.WEEKNUM(B1518, 2))</f>
        <v/>
      </c>
    </row>
    <row r="1519">
      <c r="J1519">
        <f>IF(B1519="","", _xludf.WEEKNUM(B1519, 2))</f>
        <v/>
      </c>
    </row>
    <row r="1520">
      <c r="J1520">
        <f>IF(B1520="","", _xludf.WEEKNUM(B1520, 2))</f>
        <v/>
      </c>
    </row>
    <row r="1521">
      <c r="J1521">
        <f>IF(B1521="","", _xludf.WEEKNUM(B1521, 2))</f>
        <v/>
      </c>
    </row>
    <row r="1522">
      <c r="J1522">
        <f>IF(B1522="","", _xludf.WEEKNUM(B1522, 2))</f>
        <v/>
      </c>
    </row>
    <row r="1523">
      <c r="J1523">
        <f>IF(B1523="","", _xludf.WEEKNUM(B1523, 2))</f>
        <v/>
      </c>
    </row>
    <row r="1524">
      <c r="J1524">
        <f>IF(B1524="","", _xludf.WEEKNUM(B1524, 2))</f>
        <v/>
      </c>
    </row>
    <row r="1525">
      <c r="J1525">
        <f>IF(B1525="","", _xludf.WEEKNUM(B1525, 2))</f>
        <v/>
      </c>
    </row>
    <row r="1526">
      <c r="J1526">
        <f>IF(B1526="","", _xludf.WEEKNUM(B1526, 2))</f>
        <v/>
      </c>
    </row>
    <row r="1527">
      <c r="J1527">
        <f>IF(B1527="","", _xludf.WEEKNUM(B1527, 2))</f>
        <v/>
      </c>
    </row>
    <row r="1528">
      <c r="J1528">
        <f>IF(B1528="","", _xludf.WEEKNUM(B1528, 2))</f>
        <v/>
      </c>
    </row>
    <row r="1529">
      <c r="J1529">
        <f>IF(B1529="","", _xludf.WEEKNUM(B1529, 2))</f>
        <v/>
      </c>
    </row>
    <row r="1530">
      <c r="J1530">
        <f>IF(B1530="","", _xludf.WEEKNUM(B1530, 2))</f>
        <v/>
      </c>
    </row>
    <row r="1531">
      <c r="J1531">
        <f>IF(B1531="","", _xludf.WEEKNUM(B1531, 2))</f>
        <v/>
      </c>
    </row>
    <row r="1532">
      <c r="J1532">
        <f>IF(B1532="","", _xludf.WEEKNUM(B1532, 2))</f>
        <v/>
      </c>
    </row>
    <row r="1533">
      <c r="J1533">
        <f>IF(B1533="","", _xludf.WEEKNUM(B1533, 2))</f>
        <v/>
      </c>
    </row>
    <row r="1534">
      <c r="J1534">
        <f>IF(B1534="","", _xludf.WEEKNUM(B1534, 2))</f>
        <v/>
      </c>
    </row>
    <row r="1535">
      <c r="J1535">
        <f>IF(B1535="","", _xludf.WEEKNUM(B1535, 2))</f>
        <v/>
      </c>
    </row>
    <row r="1536">
      <c r="J1536">
        <f>IF(B1536="","", _xludf.WEEKNUM(B1536, 2))</f>
        <v/>
      </c>
    </row>
    <row r="1537">
      <c r="J1537">
        <f>IF(B1537="","", _xludf.WEEKNUM(B1537, 2))</f>
        <v/>
      </c>
    </row>
    <row r="1538">
      <c r="J1538">
        <f>IF(B1538="","", _xludf.WEEKNUM(B1538, 2))</f>
        <v/>
      </c>
    </row>
    <row r="1539">
      <c r="J1539">
        <f>IF(B1539="","", _xludf.WEEKNUM(B1539, 2))</f>
        <v/>
      </c>
    </row>
    <row r="1540">
      <c r="J1540">
        <f>IF(B1540="","", _xludf.WEEKNUM(B1540, 2))</f>
        <v/>
      </c>
    </row>
    <row r="1541">
      <c r="J1541">
        <f>IF(B1541="","", _xludf.WEEKNUM(B1541, 2))</f>
        <v/>
      </c>
    </row>
    <row r="1542">
      <c r="J1542">
        <f>IF(B1542="","", _xludf.WEEKNUM(B1542, 2))</f>
        <v/>
      </c>
    </row>
    <row r="1543">
      <c r="J1543">
        <f>IF(B1543="","", _xludf.WEEKNUM(B1543, 2))</f>
        <v/>
      </c>
    </row>
    <row r="1544">
      <c r="J1544">
        <f>IF(B1544="","", _xludf.WEEKNUM(B1544, 2))</f>
        <v/>
      </c>
    </row>
    <row r="1545">
      <c r="J1545">
        <f>IF(B1545="","", _xludf.WEEKNUM(B1545, 2))</f>
        <v/>
      </c>
    </row>
    <row r="1546">
      <c r="J1546">
        <f>IF(B1546="","", _xludf.WEEKNUM(B1546, 2))</f>
        <v/>
      </c>
    </row>
    <row r="1547">
      <c r="J1547">
        <f>IF(B1547="","", _xludf.WEEKNUM(B1547, 2))</f>
        <v/>
      </c>
    </row>
    <row r="1548">
      <c r="J1548">
        <f>IF(B1548="","", _xludf.WEEKNUM(B1548, 2))</f>
        <v/>
      </c>
    </row>
    <row r="1549">
      <c r="J1549">
        <f>IF(B1549="","", _xludf.WEEKNUM(B1549, 2))</f>
        <v/>
      </c>
    </row>
    <row r="1550">
      <c r="J1550">
        <f>IF(B1550="","", _xludf.WEEKNUM(B1550, 2))</f>
        <v/>
      </c>
    </row>
    <row r="1551">
      <c r="J1551">
        <f>IF(B1551="","", _xludf.WEEKNUM(B1551, 2))</f>
        <v/>
      </c>
    </row>
    <row r="1552">
      <c r="J1552">
        <f>IF(B1552="","", _xludf.WEEKNUM(B1552, 2))</f>
        <v/>
      </c>
    </row>
    <row r="1553">
      <c r="J1553">
        <f>IF(B1553="","", _xludf.WEEKNUM(B1553, 2))</f>
        <v/>
      </c>
    </row>
    <row r="1554">
      <c r="J1554">
        <f>IF(B1554="","", _xludf.WEEKNUM(B1554, 2))</f>
        <v/>
      </c>
    </row>
    <row r="1555">
      <c r="J1555">
        <f>IF(B1555="","", _xludf.WEEKNUM(B1555, 2))</f>
        <v/>
      </c>
    </row>
    <row r="1556">
      <c r="J1556">
        <f>IF(B1556="","", _xludf.WEEKNUM(B1556, 2))</f>
        <v/>
      </c>
    </row>
    <row r="1557">
      <c r="J1557">
        <f>IF(B1557="","", _xludf.WEEKNUM(B1557, 2))</f>
        <v/>
      </c>
    </row>
    <row r="1558">
      <c r="J1558">
        <f>IF(B1558="","", _xludf.WEEKNUM(B1558, 2))</f>
        <v/>
      </c>
    </row>
    <row r="1559">
      <c r="J1559">
        <f>IF(B1559="","", _xludf.WEEKNUM(B1559, 2))</f>
        <v/>
      </c>
    </row>
    <row r="1560">
      <c r="J1560">
        <f>IF(B1560="","", _xludf.WEEKNUM(B1560, 2))</f>
        <v/>
      </c>
    </row>
    <row r="1561">
      <c r="J1561">
        <f>IF(B1561="","", _xludf.WEEKNUM(B1561, 2))</f>
        <v/>
      </c>
    </row>
    <row r="1562">
      <c r="J1562">
        <f>IF(B1562="","", _xludf.WEEKNUM(B1562, 2))</f>
        <v/>
      </c>
    </row>
    <row r="1563">
      <c r="J1563">
        <f>IF(B1563="","", _xludf.WEEKNUM(B1563, 2))</f>
        <v/>
      </c>
    </row>
    <row r="1564">
      <c r="J1564">
        <f>IF(B1564="","", _xludf.WEEKNUM(B1564, 2))</f>
        <v/>
      </c>
    </row>
    <row r="1565">
      <c r="J1565">
        <f>IF(B1565="","", _xludf.WEEKNUM(B1565, 2))</f>
        <v/>
      </c>
    </row>
    <row r="1566">
      <c r="J1566">
        <f>IF(B1566="","", _xludf.WEEKNUM(B1566, 2))</f>
        <v/>
      </c>
    </row>
    <row r="1567">
      <c r="J1567">
        <f>IF(B1567="","", _xludf.WEEKNUM(B1567, 2))</f>
        <v/>
      </c>
    </row>
    <row r="1568">
      <c r="J1568">
        <f>IF(B1568="","", _xludf.WEEKNUM(B1568, 2))</f>
        <v/>
      </c>
    </row>
    <row r="1569">
      <c r="J1569">
        <f>IF(B1569="","", _xludf.WEEKNUM(B1569, 2))</f>
        <v/>
      </c>
    </row>
    <row r="1570">
      <c r="J1570">
        <f>IF(B1570="","", _xludf.WEEKNUM(B1570, 2))</f>
        <v/>
      </c>
    </row>
    <row r="1571">
      <c r="J1571">
        <f>IF(B1571="","", _xludf.WEEKNUM(B1571, 2))</f>
        <v/>
      </c>
    </row>
    <row r="1572">
      <c r="J1572">
        <f>IF(B1572="","", _xludf.WEEKNUM(B1572, 2))</f>
        <v/>
      </c>
    </row>
    <row r="1573">
      <c r="J1573">
        <f>IF(B1573="","", _xludf.WEEKNUM(B1573, 2))</f>
        <v/>
      </c>
    </row>
    <row r="1574">
      <c r="J1574">
        <f>IF(B1574="","", _xludf.WEEKNUM(B1574, 2))</f>
        <v/>
      </c>
    </row>
    <row r="1575">
      <c r="J1575">
        <f>IF(B1575="","", _xludf.WEEKNUM(B1575, 2))</f>
        <v/>
      </c>
    </row>
    <row r="1576">
      <c r="J1576">
        <f>IF(B1576="","", _xludf.WEEKNUM(B1576, 2))</f>
        <v/>
      </c>
    </row>
    <row r="1577">
      <c r="J1577">
        <f>IF(B1577="","", _xludf.WEEKNUM(B1577, 2))</f>
        <v/>
      </c>
    </row>
    <row r="1578">
      <c r="J1578">
        <f>IF(B1578="","", _xludf.WEEKNUM(B1578, 2))</f>
        <v/>
      </c>
    </row>
    <row r="1579">
      <c r="J1579">
        <f>IF(B1579="","", _xludf.WEEKNUM(B1579, 2))</f>
        <v/>
      </c>
    </row>
    <row r="1580">
      <c r="J1580">
        <f>IF(B1580="","", _xludf.WEEKNUM(B1580, 2))</f>
        <v/>
      </c>
    </row>
    <row r="1581">
      <c r="J1581">
        <f>IF(B1581="","", _xludf.WEEKNUM(B1581, 2))</f>
        <v/>
      </c>
    </row>
    <row r="1582">
      <c r="J1582">
        <f>IF(B1582="","", _xludf.WEEKNUM(B1582, 2))</f>
        <v/>
      </c>
    </row>
    <row r="1583">
      <c r="J1583">
        <f>IF(B1583="","", _xludf.WEEKNUM(B1583, 2))</f>
        <v/>
      </c>
    </row>
    <row r="1584">
      <c r="J1584">
        <f>IF(B1584="","", _xludf.WEEKNUM(B1584, 2))</f>
        <v/>
      </c>
    </row>
    <row r="1585">
      <c r="J1585">
        <f>IF(B1585="","", _xludf.WEEKNUM(B1585, 2))</f>
        <v/>
      </c>
    </row>
    <row r="1586">
      <c r="J1586">
        <f>IF(B1586="","", _xludf.WEEKNUM(B1586, 2))</f>
        <v/>
      </c>
    </row>
    <row r="1587">
      <c r="J1587">
        <f>IF(B1587="","", _xludf.WEEKNUM(B1587, 2))</f>
        <v/>
      </c>
    </row>
    <row r="1588">
      <c r="J1588">
        <f>IF(B1588="","", _xludf.WEEKNUM(B1588, 2))</f>
        <v/>
      </c>
    </row>
    <row r="1589">
      <c r="J1589">
        <f>IF(B1589="","", _xludf.WEEKNUM(B1589, 2))</f>
        <v/>
      </c>
    </row>
    <row r="1590">
      <c r="J1590">
        <f>IF(B1590="","", _xludf.WEEKNUM(B1590, 2))</f>
        <v/>
      </c>
    </row>
    <row r="1591">
      <c r="J1591">
        <f>IF(B1591="","", _xludf.WEEKNUM(B1591, 2))</f>
        <v/>
      </c>
    </row>
    <row r="1592">
      <c r="J1592">
        <f>IF(B1592="","", _xludf.WEEKNUM(B1592, 2))</f>
        <v/>
      </c>
    </row>
    <row r="1593">
      <c r="J1593">
        <f>IF(B1593="","", _xludf.WEEKNUM(B1593, 2))</f>
        <v/>
      </c>
    </row>
    <row r="1594">
      <c r="J1594">
        <f>IF(B1594="","", _xludf.WEEKNUM(B1594, 2))</f>
        <v/>
      </c>
    </row>
    <row r="1595">
      <c r="J1595">
        <f>IF(B1595="","", _xludf.WEEKNUM(B1595, 2))</f>
        <v/>
      </c>
    </row>
    <row r="1596">
      <c r="J1596">
        <f>IF(B1596="","", _xludf.WEEKNUM(B1596, 2))</f>
        <v/>
      </c>
    </row>
    <row r="1597">
      <c r="J1597">
        <f>IF(B1597="","", _xludf.WEEKNUM(B1597, 2))</f>
        <v/>
      </c>
    </row>
    <row r="1598">
      <c r="J1598">
        <f>IF(B1598="","", _xludf.WEEKNUM(B1598, 2))</f>
        <v/>
      </c>
    </row>
    <row r="1599">
      <c r="J1599">
        <f>IF(B1599="","", _xludf.WEEKNUM(B1599, 2))</f>
        <v/>
      </c>
    </row>
    <row r="1600">
      <c r="J1600">
        <f>IF(B1600="","", _xludf.WEEKNUM(B1600, 2))</f>
        <v/>
      </c>
    </row>
    <row r="1601">
      <c r="J1601">
        <f>IF(B1601="","", _xludf.WEEKNUM(B1601, 2))</f>
        <v/>
      </c>
    </row>
    <row r="1602">
      <c r="J1602">
        <f>IF(B1602="","", _xludf.WEEKNUM(B1602, 2))</f>
        <v/>
      </c>
    </row>
    <row r="1603">
      <c r="J1603">
        <f>IF(B1603="","", _xludf.WEEKNUM(B1603, 2))</f>
        <v/>
      </c>
    </row>
    <row r="1604">
      <c r="J1604">
        <f>IF(B1604="","", _xludf.WEEKNUM(B1604, 2))</f>
        <v/>
      </c>
    </row>
    <row r="1605">
      <c r="J1605">
        <f>IF(B1605="","", _xludf.WEEKNUM(B1605, 2))</f>
        <v/>
      </c>
    </row>
    <row r="1606">
      <c r="J1606">
        <f>IF(B1606="","", _xludf.WEEKNUM(B1606, 2))</f>
        <v/>
      </c>
    </row>
    <row r="1607">
      <c r="J1607">
        <f>IF(B1607="","", _xludf.WEEKNUM(B1607, 2))</f>
        <v/>
      </c>
    </row>
    <row r="1608">
      <c r="J1608">
        <f>IF(B1608="","", _xludf.WEEKNUM(B1608, 2))</f>
        <v/>
      </c>
    </row>
    <row r="1609">
      <c r="J1609">
        <f>IF(B1609="","", _xludf.WEEKNUM(B1609, 2))</f>
        <v/>
      </c>
    </row>
    <row r="1610">
      <c r="J1610">
        <f>IF(B1610="","", _xludf.WEEKNUM(B1610, 2))</f>
        <v/>
      </c>
    </row>
    <row r="1611">
      <c r="J1611">
        <f>IF(B1611="","", _xludf.WEEKNUM(B1611, 2))</f>
        <v/>
      </c>
    </row>
    <row r="1612">
      <c r="J1612">
        <f>IF(B1612="","", _xludf.WEEKNUM(B1612, 2))</f>
        <v/>
      </c>
    </row>
    <row r="1613">
      <c r="J1613">
        <f>IF(B1613="","", _xludf.WEEKNUM(B1613, 2))</f>
        <v/>
      </c>
    </row>
    <row r="1614">
      <c r="J1614">
        <f>IF(B1614="","", _xludf.WEEKNUM(B1614, 2))</f>
        <v/>
      </c>
    </row>
    <row r="1615">
      <c r="J1615">
        <f>IF(B1615="","", _xludf.WEEKNUM(B1615, 2))</f>
        <v/>
      </c>
    </row>
    <row r="1616">
      <c r="J1616">
        <f>IF(B1616="","", _xludf.WEEKNUM(B1616, 2))</f>
        <v/>
      </c>
    </row>
    <row r="1617">
      <c r="J1617">
        <f>IF(B1617="","", _xludf.WEEKNUM(B1617, 2))</f>
        <v/>
      </c>
    </row>
    <row r="1618">
      <c r="J1618">
        <f>IF(B1618="","", _xludf.WEEKNUM(B1618, 2))</f>
        <v/>
      </c>
    </row>
    <row r="1619">
      <c r="J1619">
        <f>IF(B1619="","", _xludf.WEEKNUM(B1619, 2))</f>
        <v/>
      </c>
    </row>
    <row r="1620">
      <c r="J1620">
        <f>IF(B1620="","", _xludf.WEEKNUM(B1620, 2))</f>
        <v/>
      </c>
    </row>
    <row r="1621">
      <c r="J1621">
        <f>IF(B1621="","", _xludf.WEEKNUM(B1621, 2))</f>
        <v/>
      </c>
    </row>
    <row r="1622">
      <c r="J1622">
        <f>IF(B1622="","", _xludf.WEEKNUM(B1622, 2))</f>
        <v/>
      </c>
    </row>
    <row r="1623">
      <c r="J1623">
        <f>IF(B1623="","", _xludf.WEEKNUM(B1623, 2))</f>
        <v/>
      </c>
    </row>
    <row r="1624">
      <c r="J1624">
        <f>IF(B1624="","", _xludf.WEEKNUM(B1624, 2))</f>
        <v/>
      </c>
    </row>
    <row r="1625">
      <c r="J1625">
        <f>IF(B1625="","", _xludf.WEEKNUM(B1625, 2))</f>
        <v/>
      </c>
    </row>
    <row r="1626">
      <c r="J1626">
        <f>IF(B1626="","", _xludf.WEEKNUM(B1626, 2))</f>
        <v/>
      </c>
    </row>
    <row r="1627">
      <c r="J1627">
        <f>IF(B1627="","", _xludf.WEEKNUM(B1627, 2))</f>
        <v/>
      </c>
    </row>
    <row r="1628">
      <c r="J1628">
        <f>IF(B1628="","", _xludf.WEEKNUM(B1628, 2))</f>
        <v/>
      </c>
    </row>
    <row r="1629">
      <c r="J1629">
        <f>IF(B1629="","", _xludf.WEEKNUM(B1629, 2))</f>
        <v/>
      </c>
    </row>
    <row r="1630">
      <c r="J1630">
        <f>IF(B1630="","", _xludf.WEEKNUM(B1630, 2))</f>
        <v/>
      </c>
    </row>
    <row r="1631">
      <c r="J1631">
        <f>IF(B1631="","", _xludf.WEEKNUM(B1631, 2))</f>
        <v/>
      </c>
    </row>
    <row r="1632">
      <c r="J1632">
        <f>IF(B1632="","", _xludf.WEEKNUM(B1632, 2))</f>
        <v/>
      </c>
    </row>
    <row r="1633">
      <c r="J1633">
        <f>IF(B1633="","", _xludf.WEEKNUM(B1633, 2))</f>
        <v/>
      </c>
    </row>
    <row r="1634">
      <c r="J1634">
        <f>IF(B1634="","", _xludf.WEEKNUM(B1634, 2))</f>
        <v/>
      </c>
    </row>
    <row r="1635">
      <c r="J1635">
        <f>IF(B1635="","", _xludf.WEEKNUM(B1635, 2))</f>
        <v/>
      </c>
    </row>
    <row r="1636">
      <c r="J1636">
        <f>IF(B1636="","", _xludf.WEEKNUM(B1636, 2))</f>
        <v/>
      </c>
    </row>
    <row r="1637">
      <c r="J1637">
        <f>IF(B1637="","", _xludf.WEEKNUM(B1637, 2))</f>
        <v/>
      </c>
    </row>
    <row r="1638">
      <c r="J1638">
        <f>IF(B1638="","", _xludf.WEEKNUM(B1638, 2))</f>
        <v/>
      </c>
    </row>
    <row r="1639">
      <c r="J1639">
        <f>IF(B1639="","", _xludf.WEEKNUM(B1639, 2))</f>
        <v/>
      </c>
    </row>
    <row r="1640">
      <c r="J1640">
        <f>IF(B1640="","", _xludf.WEEKNUM(B1640, 2))</f>
        <v/>
      </c>
    </row>
    <row r="1641">
      <c r="J1641">
        <f>IF(B1641="","", _xludf.WEEKNUM(B1641, 2))</f>
        <v/>
      </c>
    </row>
    <row r="1642">
      <c r="J1642">
        <f>IF(B1642="","", _xludf.WEEKNUM(B1642, 2))</f>
        <v/>
      </c>
    </row>
    <row r="1643">
      <c r="J1643">
        <f>IF(B1643="","", _xludf.WEEKNUM(B1643, 2))</f>
        <v/>
      </c>
    </row>
    <row r="1644">
      <c r="J1644">
        <f>IF(B1644="","", _xludf.WEEKNUM(B1644, 2))</f>
        <v/>
      </c>
    </row>
    <row r="1645">
      <c r="J1645">
        <f>IF(B1645="","", _xludf.WEEKNUM(B1645, 2))</f>
        <v/>
      </c>
    </row>
    <row r="1646">
      <c r="J1646">
        <f>IF(B1646="","", _xludf.WEEKNUM(B1646, 2))</f>
        <v/>
      </c>
    </row>
    <row r="1647">
      <c r="J1647">
        <f>IF(B1647="","", _xludf.WEEKNUM(B1647, 2))</f>
        <v/>
      </c>
    </row>
    <row r="1648">
      <c r="J1648">
        <f>IF(B1648="","", _xludf.WEEKNUM(B1648, 2))</f>
        <v/>
      </c>
    </row>
    <row r="1649">
      <c r="J1649">
        <f>IF(B1649="","", _xludf.WEEKNUM(B1649, 2))</f>
        <v/>
      </c>
    </row>
    <row r="1650">
      <c r="J1650">
        <f>IF(B1650="","", _xludf.WEEKNUM(B1650, 2))</f>
        <v/>
      </c>
    </row>
    <row r="1651">
      <c r="J1651">
        <f>IF(B1651="","", _xludf.WEEKNUM(B1651, 2))</f>
        <v/>
      </c>
    </row>
    <row r="1652">
      <c r="J1652">
        <f>IF(B1652="","", _xludf.WEEKNUM(B1652, 2))</f>
        <v/>
      </c>
    </row>
    <row r="1653">
      <c r="J1653">
        <f>IF(B1653="","", _xludf.WEEKNUM(B1653, 2))</f>
        <v/>
      </c>
    </row>
    <row r="1654">
      <c r="J1654">
        <f>IF(B1654="","", _xludf.WEEKNUM(B1654, 2))</f>
        <v/>
      </c>
    </row>
    <row r="1655">
      <c r="J1655">
        <f>IF(B1655="","", _xludf.WEEKNUM(B1655, 2))</f>
        <v/>
      </c>
    </row>
    <row r="1656">
      <c r="J1656">
        <f>IF(B1656="","", _xludf.WEEKNUM(B1656, 2))</f>
        <v/>
      </c>
    </row>
    <row r="1657">
      <c r="J1657">
        <f>IF(B1657="","", _xludf.WEEKNUM(B1657, 2))</f>
        <v/>
      </c>
    </row>
    <row r="1658">
      <c r="J1658">
        <f>IF(B1658="","", _xludf.WEEKNUM(B1658, 2))</f>
        <v/>
      </c>
    </row>
    <row r="1659">
      <c r="J1659">
        <f>IF(B1659="","", _xludf.WEEKNUM(B1659, 2))</f>
        <v/>
      </c>
    </row>
    <row r="1660">
      <c r="J1660">
        <f>IF(B1660="","", _xludf.WEEKNUM(B1660, 2))</f>
        <v/>
      </c>
    </row>
    <row r="1661">
      <c r="J1661">
        <f>IF(B1661="","", _xludf.WEEKNUM(B1661, 2))</f>
        <v/>
      </c>
    </row>
    <row r="1662">
      <c r="J1662">
        <f>IF(B1662="","", _xludf.WEEKNUM(B1662, 2))</f>
        <v/>
      </c>
    </row>
    <row r="1663">
      <c r="J1663">
        <f>IF(B1663="","", _xludf.WEEKNUM(B1663, 2))</f>
        <v/>
      </c>
    </row>
    <row r="1664">
      <c r="J1664">
        <f>IF(B1664="","", _xludf.WEEKNUM(B1664, 2))</f>
        <v/>
      </c>
    </row>
    <row r="1665">
      <c r="J1665">
        <f>IF(B1665="","", _xludf.WEEKNUM(B1665, 2))</f>
        <v/>
      </c>
    </row>
    <row r="1666">
      <c r="J1666">
        <f>IF(B1666="","", _xludf.WEEKNUM(B1666, 2))</f>
        <v/>
      </c>
    </row>
    <row r="1667">
      <c r="J1667">
        <f>IF(B1667="","", _xludf.WEEKNUM(B1667, 2))</f>
        <v/>
      </c>
    </row>
    <row r="1668">
      <c r="J1668">
        <f>IF(B1668="","", _xludf.WEEKNUM(B1668, 2))</f>
        <v/>
      </c>
    </row>
    <row r="1669">
      <c r="J1669">
        <f>IF(B1669="","", _xludf.WEEKNUM(B1669, 2))</f>
        <v/>
      </c>
    </row>
    <row r="1670">
      <c r="J1670">
        <f>IF(B1670="","", _xludf.WEEKNUM(B1670, 2))</f>
        <v/>
      </c>
    </row>
    <row r="1671">
      <c r="J1671">
        <f>IF(B1671="","", _xludf.WEEKNUM(B1671, 2))</f>
        <v/>
      </c>
    </row>
    <row r="1672">
      <c r="J1672">
        <f>IF(B1672="","", _xludf.WEEKNUM(B1672, 2))</f>
        <v/>
      </c>
    </row>
    <row r="1673">
      <c r="J1673">
        <f>IF(B1673="","", _xludf.WEEKNUM(B1673, 2))</f>
        <v/>
      </c>
    </row>
    <row r="1674">
      <c r="J1674">
        <f>IF(B1674="","", _xludf.WEEKNUM(B1674, 2))</f>
        <v/>
      </c>
    </row>
    <row r="1675">
      <c r="J1675">
        <f>IF(B1675="","", _xludf.WEEKNUM(B1675, 2))</f>
        <v/>
      </c>
    </row>
    <row r="1676">
      <c r="J1676">
        <f>IF(B1676="","", _xludf.WEEKNUM(B1676, 2))</f>
        <v/>
      </c>
    </row>
    <row r="1677">
      <c r="J1677">
        <f>IF(B1677="","", _xludf.WEEKNUM(B1677, 2))</f>
        <v/>
      </c>
    </row>
    <row r="1678">
      <c r="J1678">
        <f>IF(B1678="","", _xludf.WEEKNUM(B1678, 2))</f>
        <v/>
      </c>
    </row>
    <row r="1679">
      <c r="J1679">
        <f>IF(B1679="","", _xludf.WEEKNUM(B1679, 2))</f>
        <v/>
      </c>
    </row>
    <row r="1680">
      <c r="J1680">
        <f>IF(B1680="","", _xludf.WEEKNUM(B1680, 2))</f>
        <v/>
      </c>
    </row>
    <row r="1681">
      <c r="J1681">
        <f>IF(B1681="","", _xludf.WEEKNUM(B1681, 2))</f>
        <v/>
      </c>
    </row>
    <row r="1682">
      <c r="J1682">
        <f>IF(B1682="","", _xludf.WEEKNUM(B1682, 2))</f>
        <v/>
      </c>
    </row>
    <row r="1683">
      <c r="J1683">
        <f>IF(B1683="","", _xludf.WEEKNUM(B1683, 2))</f>
        <v/>
      </c>
    </row>
    <row r="1684">
      <c r="J1684">
        <f>IF(B1684="","", _xludf.WEEKNUM(B1684, 2))</f>
        <v/>
      </c>
    </row>
    <row r="1685">
      <c r="J1685">
        <f>IF(B1685="","", _xludf.WEEKNUM(B1685, 2))</f>
        <v/>
      </c>
    </row>
    <row r="1686">
      <c r="J1686">
        <f>IF(B1686="","", _xludf.WEEKNUM(B1686, 2))</f>
        <v/>
      </c>
    </row>
    <row r="1687">
      <c r="J1687">
        <f>IF(B1687="","", _xludf.WEEKNUM(B1687, 2))</f>
        <v/>
      </c>
    </row>
    <row r="1688">
      <c r="J1688">
        <f>IF(B1688="","", _xludf.WEEKNUM(B1688, 2))</f>
        <v/>
      </c>
    </row>
    <row r="1689">
      <c r="J1689">
        <f>IF(B1689="","", _xludf.WEEKNUM(B1689, 2))</f>
        <v/>
      </c>
    </row>
    <row r="1690">
      <c r="J1690">
        <f>IF(B1690="","", _xludf.WEEKNUM(B1690, 2))</f>
        <v/>
      </c>
    </row>
    <row r="1691">
      <c r="J1691">
        <f>IF(B1691="","", _xludf.WEEKNUM(B1691, 2))</f>
        <v/>
      </c>
    </row>
    <row r="1692">
      <c r="J1692">
        <f>IF(B1692="","", _xludf.WEEKNUM(B1692, 2))</f>
        <v/>
      </c>
    </row>
    <row r="1693">
      <c r="J1693">
        <f>IF(B1693="","", _xludf.WEEKNUM(B1693, 2))</f>
        <v/>
      </c>
    </row>
    <row r="1694">
      <c r="J1694">
        <f>IF(B1694="","", _xludf.WEEKNUM(B1694, 2))</f>
        <v/>
      </c>
    </row>
    <row r="1695">
      <c r="J1695">
        <f>IF(B1695="","", _xludf.WEEKNUM(B1695, 2))</f>
        <v/>
      </c>
    </row>
    <row r="1696">
      <c r="J1696">
        <f>IF(B1696="","", _xludf.WEEKNUM(B1696, 2))</f>
        <v/>
      </c>
    </row>
    <row r="1697">
      <c r="J1697">
        <f>IF(B1697="","", _xludf.WEEKNUM(B1697, 2))</f>
        <v/>
      </c>
    </row>
    <row r="1698">
      <c r="J1698">
        <f>IF(B1698="","", _xludf.WEEKNUM(B1698, 2))</f>
        <v/>
      </c>
    </row>
    <row r="1699">
      <c r="J1699">
        <f>IF(B1699="","", _xludf.WEEKNUM(B1699, 2))</f>
        <v/>
      </c>
    </row>
    <row r="1700">
      <c r="J1700">
        <f>IF(B1700="","", _xludf.WEEKNUM(B1700, 2))</f>
        <v/>
      </c>
    </row>
    <row r="1701">
      <c r="J1701">
        <f>IF(B1701="","", _xludf.WEEKNUM(B1701, 2))</f>
        <v/>
      </c>
    </row>
    <row r="1702">
      <c r="J1702">
        <f>IF(B1702="","", _xludf.WEEKNUM(B1702, 2))</f>
        <v/>
      </c>
    </row>
    <row r="1703">
      <c r="J1703">
        <f>IF(B1703="","", _xludf.WEEKNUM(B1703, 2))</f>
        <v/>
      </c>
    </row>
    <row r="1704">
      <c r="J1704">
        <f>IF(B1704="","", _xludf.WEEKNUM(B1704, 2))</f>
        <v/>
      </c>
    </row>
    <row r="1705">
      <c r="J1705">
        <f>IF(B1705="","", _xludf.WEEKNUM(B1705, 2))</f>
        <v/>
      </c>
    </row>
    <row r="1706">
      <c r="J1706">
        <f>IF(B1706="","", _xludf.WEEKNUM(B1706, 2))</f>
        <v/>
      </c>
    </row>
    <row r="1707">
      <c r="J1707">
        <f>IF(B1707="","", _xludf.WEEKNUM(B1707, 2))</f>
        <v/>
      </c>
    </row>
    <row r="1708">
      <c r="J1708">
        <f>IF(B1708="","", _xludf.WEEKNUM(B1708, 2))</f>
        <v/>
      </c>
    </row>
    <row r="1709">
      <c r="J1709">
        <f>IF(B1709="","", _xludf.WEEKNUM(B1709, 2))</f>
        <v/>
      </c>
    </row>
    <row r="1710">
      <c r="J1710">
        <f>IF(B1710="","", _xludf.WEEKNUM(B1710, 2))</f>
        <v/>
      </c>
    </row>
    <row r="1711">
      <c r="J1711">
        <f>IF(B1711="","", _xludf.WEEKNUM(B1711, 2))</f>
        <v/>
      </c>
    </row>
    <row r="1712">
      <c r="J1712">
        <f>IF(B1712="","", _xludf.WEEKNUM(B1712, 2))</f>
        <v/>
      </c>
    </row>
    <row r="1713">
      <c r="J1713">
        <f>IF(B1713="","", _xludf.WEEKNUM(B1713, 2))</f>
        <v/>
      </c>
    </row>
    <row r="1714">
      <c r="J1714">
        <f>IF(B1714="","", _xludf.WEEKNUM(B1714, 2))</f>
        <v/>
      </c>
    </row>
    <row r="1715">
      <c r="J1715">
        <f>IF(B1715="","", _xludf.WEEKNUM(B1715, 2))</f>
        <v/>
      </c>
    </row>
    <row r="1716">
      <c r="J1716">
        <f>IF(B1716="","", _xludf.WEEKNUM(B1716, 2))</f>
        <v/>
      </c>
    </row>
    <row r="1717">
      <c r="J1717">
        <f>IF(B1717="","", _xludf.WEEKNUM(B1717, 2))</f>
        <v/>
      </c>
    </row>
    <row r="1718">
      <c r="J1718">
        <f>IF(B1718="","", _xludf.WEEKNUM(B1718, 2))</f>
        <v/>
      </c>
    </row>
    <row r="1719">
      <c r="J1719">
        <f>IF(B1719="","", _xludf.WEEKNUM(B1719, 2))</f>
        <v/>
      </c>
    </row>
    <row r="1720">
      <c r="J1720">
        <f>IF(B1720="","", _xludf.WEEKNUM(B1720, 2))</f>
        <v/>
      </c>
    </row>
    <row r="1721">
      <c r="J1721">
        <f>IF(B1721="","", _xludf.WEEKNUM(B1721, 2))</f>
        <v/>
      </c>
    </row>
    <row r="1722">
      <c r="J1722">
        <f>IF(B1722="","", _xludf.WEEKNUM(B1722, 2))</f>
        <v/>
      </c>
    </row>
    <row r="1723">
      <c r="J1723">
        <f>IF(B1723="","", _xludf.WEEKNUM(B1723, 2))</f>
        <v/>
      </c>
    </row>
    <row r="1724">
      <c r="J1724">
        <f>IF(B1724="","", _xludf.WEEKNUM(B1724, 2))</f>
        <v/>
      </c>
    </row>
    <row r="1725">
      <c r="J1725">
        <f>IF(B1725="","", _xludf.WEEKNUM(B1725, 2))</f>
        <v/>
      </c>
    </row>
    <row r="1726">
      <c r="J1726">
        <f>IF(B1726="","", _xludf.WEEKNUM(B1726, 2))</f>
        <v/>
      </c>
    </row>
    <row r="1727">
      <c r="J1727">
        <f>IF(B1727="","", _xludf.WEEKNUM(B1727, 2))</f>
        <v/>
      </c>
    </row>
    <row r="1728">
      <c r="J1728">
        <f>IF(B1728="","", _xludf.WEEKNUM(B1728, 2))</f>
        <v/>
      </c>
    </row>
    <row r="1729">
      <c r="J1729">
        <f>IF(B1729="","", _xludf.WEEKNUM(B1729, 2))</f>
        <v/>
      </c>
    </row>
    <row r="1730">
      <c r="J1730">
        <f>IF(B1730="","", _xludf.WEEKNUM(B1730, 2))</f>
        <v/>
      </c>
    </row>
    <row r="1731">
      <c r="J1731">
        <f>IF(B1731="","", _xludf.WEEKNUM(B1731, 2))</f>
        <v/>
      </c>
    </row>
    <row r="1732">
      <c r="J1732">
        <f>IF(B1732="","", _xludf.WEEKNUM(B1732, 2))</f>
        <v/>
      </c>
    </row>
    <row r="1733">
      <c r="J1733">
        <f>IF(B1733="","", _xludf.WEEKNUM(B1733, 2))</f>
        <v/>
      </c>
    </row>
    <row r="1734">
      <c r="J1734">
        <f>IF(B1734="","", _xludf.WEEKNUM(B1734, 2))</f>
        <v/>
      </c>
    </row>
    <row r="1735">
      <c r="J1735">
        <f>IF(B1735="","", _xludf.WEEKNUM(B1735, 2))</f>
        <v/>
      </c>
    </row>
    <row r="1736">
      <c r="J1736">
        <f>IF(B1736="","", _xludf.WEEKNUM(B1736, 2))</f>
        <v/>
      </c>
    </row>
    <row r="1737">
      <c r="J1737">
        <f>IF(B1737="","", _xludf.WEEKNUM(B1737, 2))</f>
        <v/>
      </c>
    </row>
    <row r="1738">
      <c r="J1738">
        <f>IF(B1738="","", _xludf.WEEKNUM(B1738, 2))</f>
        <v/>
      </c>
    </row>
    <row r="1739">
      <c r="J1739">
        <f>IF(B1739="","", _xludf.WEEKNUM(B1739, 2))</f>
        <v/>
      </c>
    </row>
    <row r="1740">
      <c r="J1740">
        <f>IF(B1740="","", _xludf.WEEKNUM(B1740, 2))</f>
        <v/>
      </c>
    </row>
    <row r="1741">
      <c r="J1741">
        <f>IF(B1741="","", _xludf.WEEKNUM(B1741, 2))</f>
        <v/>
      </c>
    </row>
    <row r="1742">
      <c r="J1742">
        <f>IF(B1742="","", _xludf.WEEKNUM(B1742, 2))</f>
        <v/>
      </c>
    </row>
    <row r="1743">
      <c r="J1743">
        <f>IF(B1743="","", _xludf.WEEKNUM(B1743, 2))</f>
        <v/>
      </c>
    </row>
    <row r="1744">
      <c r="J1744">
        <f>IF(B1744="","", _xludf.WEEKNUM(B1744, 2))</f>
        <v/>
      </c>
    </row>
    <row r="1745">
      <c r="J1745">
        <f>IF(B1745="","", _xludf.WEEKNUM(B1745, 2))</f>
        <v/>
      </c>
    </row>
    <row r="1746">
      <c r="J1746">
        <f>IF(B1746="","", _xludf.WEEKNUM(B1746, 2))</f>
        <v/>
      </c>
    </row>
    <row r="1747">
      <c r="J1747">
        <f>IF(B1747="","", _xludf.WEEKNUM(B1747, 2))</f>
        <v/>
      </c>
    </row>
    <row r="1748">
      <c r="J1748">
        <f>IF(B1748="","", _xludf.WEEKNUM(B1748, 2))</f>
        <v/>
      </c>
    </row>
    <row r="1749">
      <c r="J1749">
        <f>IF(B1749="","", _xludf.WEEKNUM(B1749, 2))</f>
        <v/>
      </c>
    </row>
    <row r="1750">
      <c r="J1750">
        <f>IF(B1750="","", _xludf.WEEKNUM(B1750, 2))</f>
        <v/>
      </c>
    </row>
    <row r="1751">
      <c r="J1751">
        <f>IF(B1751="","", _xludf.WEEKNUM(B1751, 2))</f>
        <v/>
      </c>
    </row>
    <row r="1752">
      <c r="J1752">
        <f>IF(B1752="","", _xludf.WEEKNUM(B1752, 2))</f>
        <v/>
      </c>
    </row>
    <row r="1753">
      <c r="J1753">
        <f>IF(B1753="","", _xludf.WEEKNUM(B1753, 2))</f>
        <v/>
      </c>
    </row>
    <row r="1754">
      <c r="J1754">
        <f>IF(B1754="","", _xludf.WEEKNUM(B1754, 2))</f>
        <v/>
      </c>
    </row>
    <row r="1755">
      <c r="J1755">
        <f>IF(B1755="","", _xludf.WEEKNUM(B1755, 2))</f>
        <v/>
      </c>
    </row>
    <row r="1756">
      <c r="J1756">
        <f>IF(B1756="","", _xludf.WEEKNUM(B1756, 2))</f>
        <v/>
      </c>
    </row>
    <row r="1757">
      <c r="J1757">
        <f>IF(B1757="","", _xludf.WEEKNUM(B1757, 2))</f>
        <v/>
      </c>
    </row>
    <row r="1758">
      <c r="J1758">
        <f>IF(B1758="","", _xludf.WEEKNUM(B1758, 2))</f>
        <v/>
      </c>
    </row>
    <row r="1759">
      <c r="J1759">
        <f>IF(B1759="","", _xludf.WEEKNUM(B1759, 2))</f>
        <v/>
      </c>
    </row>
    <row r="1760">
      <c r="J1760">
        <f>IF(B1760="","", _xludf.WEEKNUM(B1760, 2))</f>
        <v/>
      </c>
    </row>
    <row r="1761">
      <c r="J1761">
        <f>IF(B1761="","", _xludf.WEEKNUM(B1761, 2))</f>
        <v/>
      </c>
    </row>
    <row r="1762">
      <c r="J1762">
        <f>IF(B1762="","", _xludf.WEEKNUM(B1762, 2))</f>
        <v/>
      </c>
    </row>
    <row r="1763">
      <c r="J1763">
        <f>IF(B1763="","", _xludf.WEEKNUM(B1763, 2))</f>
        <v/>
      </c>
    </row>
    <row r="1764">
      <c r="J1764">
        <f>IF(B1764="","", _xludf.WEEKNUM(B1764, 2))</f>
        <v/>
      </c>
    </row>
    <row r="1765">
      <c r="J1765">
        <f>IF(B1765="","", _xludf.WEEKNUM(B1765, 2))</f>
        <v/>
      </c>
    </row>
    <row r="1766">
      <c r="J1766">
        <f>IF(B1766="","", _xludf.WEEKNUM(B1766, 2))</f>
        <v/>
      </c>
    </row>
    <row r="1767">
      <c r="J1767">
        <f>IF(B1767="","", _xludf.WEEKNUM(B1767, 2))</f>
        <v/>
      </c>
    </row>
    <row r="1768">
      <c r="J1768">
        <f>IF(B1768="","", _xludf.WEEKNUM(B1768, 2))</f>
        <v/>
      </c>
    </row>
    <row r="1769">
      <c r="J1769">
        <f>IF(B1769="","", _xludf.WEEKNUM(B1769, 2))</f>
        <v/>
      </c>
    </row>
    <row r="1770">
      <c r="J1770">
        <f>IF(B1770="","", _xludf.WEEKNUM(B1770, 2))</f>
        <v/>
      </c>
    </row>
    <row r="1771">
      <c r="J1771">
        <f>IF(B1771="","", _xludf.WEEKNUM(B1771, 2))</f>
        <v/>
      </c>
    </row>
    <row r="1772">
      <c r="J1772">
        <f>IF(B1772="","", _xludf.WEEKNUM(B1772, 2))</f>
        <v/>
      </c>
    </row>
    <row r="1773">
      <c r="J1773">
        <f>IF(B1773="","", _xludf.WEEKNUM(B1773, 2))</f>
        <v/>
      </c>
    </row>
    <row r="1774">
      <c r="J1774">
        <f>IF(B1774="","", _xludf.WEEKNUM(B1774, 2))</f>
        <v/>
      </c>
    </row>
    <row r="1775">
      <c r="J1775">
        <f>IF(B1775="","", _xludf.WEEKNUM(B1775, 2))</f>
        <v/>
      </c>
    </row>
    <row r="1776">
      <c r="J1776">
        <f>IF(B1776="","", _xludf.WEEKNUM(B1776, 2))</f>
        <v/>
      </c>
    </row>
    <row r="1777">
      <c r="J1777">
        <f>IF(B1777="","", _xludf.WEEKNUM(B1777, 2))</f>
        <v/>
      </c>
    </row>
    <row r="1778">
      <c r="J1778">
        <f>IF(B1778="","", _xludf.WEEKNUM(B1778, 2))</f>
        <v/>
      </c>
    </row>
    <row r="1779">
      <c r="J1779">
        <f>IF(B1779="","", _xludf.WEEKNUM(B1779, 2))</f>
        <v/>
      </c>
    </row>
    <row r="1780">
      <c r="J1780">
        <f>IF(B1780="","", _xludf.WEEKNUM(B1780, 2))</f>
        <v/>
      </c>
    </row>
    <row r="1781">
      <c r="J1781">
        <f>IF(B1781="","", _xludf.WEEKNUM(B1781, 2))</f>
        <v/>
      </c>
    </row>
    <row r="1782">
      <c r="J1782">
        <f>IF(B1782="","", _xludf.WEEKNUM(B1782, 2))</f>
        <v/>
      </c>
    </row>
    <row r="1783">
      <c r="J1783">
        <f>IF(B1783="","", _xludf.WEEKNUM(B1783, 2))</f>
        <v/>
      </c>
    </row>
    <row r="1784">
      <c r="J1784">
        <f>IF(B1784="","", _xludf.WEEKNUM(B1784, 2))</f>
        <v/>
      </c>
    </row>
    <row r="1785">
      <c r="J1785">
        <f>IF(B1785="","", _xludf.WEEKNUM(B1785, 2))</f>
        <v/>
      </c>
    </row>
    <row r="1786">
      <c r="J1786">
        <f>IF(B1786="","", _xludf.WEEKNUM(B1786, 2))</f>
        <v/>
      </c>
    </row>
    <row r="1787">
      <c r="J1787">
        <f>IF(B1787="","", _xludf.WEEKNUM(B1787, 2))</f>
        <v/>
      </c>
    </row>
    <row r="1788">
      <c r="J1788">
        <f>IF(B1788="","", _xludf.WEEKNUM(B1788, 2))</f>
        <v/>
      </c>
    </row>
    <row r="1789">
      <c r="J1789">
        <f>IF(B1789="","", _xludf.WEEKNUM(B1789, 2))</f>
        <v/>
      </c>
    </row>
    <row r="1790">
      <c r="J1790">
        <f>IF(B1790="","", _xludf.WEEKNUM(B1790, 2))</f>
        <v/>
      </c>
    </row>
    <row r="1791">
      <c r="J1791">
        <f>IF(B1791="","", _xludf.WEEKNUM(B1791, 2))</f>
        <v/>
      </c>
    </row>
    <row r="1792">
      <c r="J1792">
        <f>IF(B1792="","", _xludf.WEEKNUM(B1792, 2))</f>
        <v/>
      </c>
    </row>
    <row r="1793">
      <c r="J1793">
        <f>IF(B1793="","", _xludf.WEEKNUM(B1793, 2))</f>
        <v/>
      </c>
    </row>
    <row r="1794">
      <c r="J1794">
        <f>IF(B1794="","", _xludf.WEEKNUM(B1794, 2))</f>
        <v/>
      </c>
    </row>
    <row r="1795">
      <c r="J1795">
        <f>IF(B1795="","", _xludf.WEEKNUM(B1795, 2))</f>
        <v/>
      </c>
    </row>
    <row r="1796">
      <c r="J1796">
        <f>IF(B1796="","", _xludf.WEEKNUM(B1796, 2))</f>
        <v/>
      </c>
    </row>
    <row r="1797">
      <c r="J1797">
        <f>IF(B1797="","", _xludf.WEEKNUM(B1797, 2))</f>
        <v/>
      </c>
    </row>
    <row r="1798">
      <c r="J1798">
        <f>IF(B1798="","", _xludf.WEEKNUM(B1798, 2))</f>
        <v/>
      </c>
    </row>
    <row r="1799">
      <c r="J1799">
        <f>IF(B1799="","", _xludf.WEEKNUM(B1799, 2))</f>
        <v/>
      </c>
    </row>
    <row r="1800">
      <c r="J1800">
        <f>IF(B1800="","", _xludf.WEEKNUM(B1800, 2))</f>
        <v/>
      </c>
    </row>
    <row r="1801">
      <c r="J1801">
        <f>IF(B1801="","", _xludf.WEEKNUM(B1801, 2))</f>
        <v/>
      </c>
    </row>
    <row r="1802">
      <c r="J1802">
        <f>IF(B1802="","", _xludf.WEEKNUM(B1802, 2))</f>
        <v/>
      </c>
    </row>
    <row r="1803">
      <c r="J1803">
        <f>IF(B1803="","", _xludf.WEEKNUM(B1803, 2))</f>
        <v/>
      </c>
    </row>
    <row r="1804">
      <c r="J1804">
        <f>IF(B1804="","", _xludf.WEEKNUM(B1804, 2))</f>
        <v/>
      </c>
    </row>
    <row r="1805">
      <c r="J1805">
        <f>IF(B1805="","", _xludf.WEEKNUM(B1805, 2))</f>
        <v/>
      </c>
    </row>
    <row r="1806">
      <c r="J1806">
        <f>IF(B1806="","", _xludf.WEEKNUM(B1806, 2))</f>
        <v/>
      </c>
    </row>
    <row r="1807">
      <c r="J1807">
        <f>IF(B1807="","", _xludf.WEEKNUM(B1807, 2))</f>
        <v/>
      </c>
    </row>
    <row r="1808">
      <c r="J1808">
        <f>IF(B1808="","", _xludf.WEEKNUM(B1808, 2))</f>
        <v/>
      </c>
    </row>
    <row r="1809">
      <c r="J1809">
        <f>IF(B1809="","", _xludf.WEEKNUM(B1809, 2))</f>
        <v/>
      </c>
    </row>
    <row r="1810">
      <c r="J1810">
        <f>IF(B1810="","", _xludf.WEEKNUM(B1810, 2))</f>
        <v/>
      </c>
    </row>
    <row r="1811">
      <c r="J1811">
        <f>IF(B1811="","", _xludf.WEEKNUM(B1811, 2))</f>
        <v/>
      </c>
    </row>
    <row r="1812">
      <c r="J1812">
        <f>IF(B1812="","", _xludf.WEEKNUM(B1812, 2))</f>
        <v/>
      </c>
    </row>
    <row r="1813">
      <c r="J1813">
        <f>IF(B1813="","", _xludf.WEEKNUM(B1813, 2))</f>
        <v/>
      </c>
    </row>
    <row r="1814">
      <c r="J1814">
        <f>IF(B1814="","", _xludf.WEEKNUM(B1814, 2))</f>
        <v/>
      </c>
    </row>
    <row r="1815">
      <c r="J1815">
        <f>IF(B1815="","", _xludf.WEEKNUM(B1815, 2))</f>
        <v/>
      </c>
    </row>
    <row r="1816">
      <c r="J1816">
        <f>IF(B1816="","", _xludf.WEEKNUM(B1816, 2))</f>
        <v/>
      </c>
    </row>
    <row r="1817">
      <c r="J1817">
        <f>IF(B1817="","", _xludf.WEEKNUM(B1817, 2))</f>
        <v/>
      </c>
    </row>
    <row r="1818">
      <c r="J1818">
        <f>IF(B1818="","", _xludf.WEEKNUM(B1818, 2))</f>
        <v/>
      </c>
    </row>
    <row r="1819">
      <c r="J1819">
        <f>IF(B1819="","", _xludf.WEEKNUM(B1819, 2))</f>
        <v/>
      </c>
    </row>
    <row r="1820">
      <c r="J1820">
        <f>IF(B1820="","", _xludf.WEEKNUM(B1820, 2))</f>
        <v/>
      </c>
    </row>
    <row r="1821">
      <c r="J1821">
        <f>IF(B1821="","", _xludf.WEEKNUM(B1821, 2))</f>
        <v/>
      </c>
    </row>
    <row r="1822">
      <c r="J1822">
        <f>IF(B1822="","", _xludf.WEEKNUM(B1822, 2))</f>
        <v/>
      </c>
    </row>
    <row r="1823">
      <c r="J1823">
        <f>IF(B1823="","", _xludf.WEEKNUM(B1823, 2))</f>
        <v/>
      </c>
    </row>
    <row r="1824">
      <c r="J1824">
        <f>IF(B1824="","", _xludf.WEEKNUM(B1824, 2))</f>
        <v/>
      </c>
    </row>
    <row r="1825">
      <c r="J1825">
        <f>IF(B1825="","", _xludf.WEEKNUM(B1825, 2))</f>
        <v/>
      </c>
    </row>
    <row r="1826">
      <c r="J1826">
        <f>IF(B1826="","", _xludf.WEEKNUM(B1826, 2))</f>
        <v/>
      </c>
    </row>
    <row r="1827">
      <c r="J1827">
        <f>IF(B1827="","", _xludf.WEEKNUM(B1827, 2))</f>
        <v/>
      </c>
    </row>
    <row r="1828">
      <c r="J1828">
        <f>IF(B1828="","", _xludf.WEEKNUM(B1828, 2))</f>
        <v/>
      </c>
    </row>
    <row r="1829">
      <c r="J1829">
        <f>IF(B1829="","", _xludf.WEEKNUM(B1829, 2))</f>
        <v/>
      </c>
    </row>
    <row r="1830">
      <c r="J1830">
        <f>IF(B1830="","", _xludf.WEEKNUM(B1830, 2))</f>
        <v/>
      </c>
    </row>
    <row r="1831">
      <c r="J1831">
        <f>IF(B1831="","", _xludf.WEEKNUM(B1831, 2))</f>
        <v/>
      </c>
    </row>
    <row r="1832">
      <c r="J1832">
        <f>IF(B1832="","", _xludf.WEEKNUM(B1832, 2))</f>
        <v/>
      </c>
    </row>
    <row r="1833">
      <c r="J1833">
        <f>IF(B1833="","", _xludf.WEEKNUM(B1833, 2))</f>
        <v/>
      </c>
    </row>
    <row r="1834">
      <c r="J1834">
        <f>IF(B1834="","", _xludf.WEEKNUM(B1834, 2))</f>
        <v/>
      </c>
    </row>
    <row r="1835">
      <c r="J1835">
        <f>IF(B1835="","", _xludf.WEEKNUM(B1835, 2))</f>
        <v/>
      </c>
    </row>
    <row r="1836">
      <c r="J1836">
        <f>IF(B1836="","", _xludf.WEEKNUM(B1836, 2))</f>
        <v/>
      </c>
    </row>
    <row r="1837">
      <c r="J1837">
        <f>IF(B1837="","", _xludf.WEEKNUM(B1837, 2))</f>
        <v/>
      </c>
    </row>
    <row r="1838">
      <c r="J1838">
        <f>IF(B1838="","", _xludf.WEEKNUM(B1838, 2))</f>
        <v/>
      </c>
    </row>
    <row r="1839">
      <c r="J1839">
        <f>IF(B1839="","", _xludf.WEEKNUM(B1839, 2))</f>
        <v/>
      </c>
    </row>
    <row r="1840">
      <c r="J1840">
        <f>IF(B1840="","", _xludf.WEEKNUM(B1840, 2))</f>
        <v/>
      </c>
    </row>
    <row r="1841">
      <c r="J1841">
        <f>IF(B1841="","", _xludf.WEEKNUM(B1841, 2))</f>
        <v/>
      </c>
    </row>
    <row r="1842">
      <c r="J1842">
        <f>IF(B1842="","", _xludf.WEEKNUM(B1842, 2))</f>
        <v/>
      </c>
    </row>
    <row r="1843">
      <c r="J1843">
        <f>IF(B1843="","", _xludf.WEEKNUM(B1843, 2))</f>
        <v/>
      </c>
    </row>
    <row r="1844">
      <c r="J1844">
        <f>IF(B1844="","", _xludf.WEEKNUM(B1844, 2))</f>
        <v/>
      </c>
    </row>
    <row r="1845">
      <c r="J1845">
        <f>IF(B1845="","", _xludf.WEEKNUM(B1845, 2))</f>
        <v/>
      </c>
    </row>
    <row r="1846">
      <c r="J1846">
        <f>IF(B1846="","", _xludf.WEEKNUM(B1846, 2))</f>
        <v/>
      </c>
    </row>
    <row r="1847">
      <c r="J1847">
        <f>IF(B1847="","", _xludf.WEEKNUM(B1847, 2))</f>
        <v/>
      </c>
    </row>
    <row r="1848">
      <c r="J1848">
        <f>IF(B1848="","", _xludf.WEEKNUM(B1848, 2))</f>
        <v/>
      </c>
    </row>
    <row r="1849">
      <c r="J1849">
        <f>IF(B1849="","", _xludf.WEEKNUM(B1849, 2))</f>
        <v/>
      </c>
    </row>
    <row r="1850">
      <c r="J1850">
        <f>IF(B1850="","", _xludf.WEEKNUM(B1850, 2))</f>
        <v/>
      </c>
    </row>
    <row r="1851">
      <c r="J1851">
        <f>IF(B1851="","", _xludf.WEEKNUM(B1851, 2))</f>
        <v/>
      </c>
    </row>
    <row r="1852">
      <c r="J1852">
        <f>IF(B1852="","", _xludf.WEEKNUM(B1852, 2))</f>
        <v/>
      </c>
    </row>
    <row r="1853">
      <c r="J1853">
        <f>IF(B1853="","", _xludf.WEEKNUM(B1853, 2))</f>
        <v/>
      </c>
    </row>
    <row r="1854">
      <c r="J1854">
        <f>IF(B1854="","", _xludf.WEEKNUM(B1854, 2))</f>
        <v/>
      </c>
    </row>
    <row r="1855">
      <c r="J1855">
        <f>IF(B1855="","", _xludf.WEEKNUM(B1855, 2))</f>
        <v/>
      </c>
    </row>
    <row r="1856">
      <c r="J1856">
        <f>IF(B1856="","", _xludf.WEEKNUM(B1856, 2))</f>
        <v/>
      </c>
    </row>
    <row r="1857">
      <c r="J1857">
        <f>IF(B1857="","", _xludf.WEEKNUM(B1857, 2))</f>
        <v/>
      </c>
    </row>
    <row r="1858">
      <c r="J1858">
        <f>IF(B1858="","", _xludf.WEEKNUM(B1858, 2))</f>
        <v/>
      </c>
    </row>
    <row r="1859">
      <c r="J1859">
        <f>IF(B1859="","", _xludf.WEEKNUM(B1859, 2))</f>
        <v/>
      </c>
    </row>
    <row r="1860">
      <c r="J1860">
        <f>IF(B1860="","", _xludf.WEEKNUM(B1860, 2))</f>
        <v/>
      </c>
    </row>
    <row r="1861">
      <c r="J1861">
        <f>IF(B1861="","", _xludf.WEEKNUM(B1861, 2))</f>
        <v/>
      </c>
    </row>
    <row r="1862">
      <c r="J1862">
        <f>IF(B1862="","", _xludf.WEEKNUM(B1862, 2))</f>
        <v/>
      </c>
    </row>
    <row r="1863">
      <c r="J1863">
        <f>IF(B1863="","", _xludf.WEEKNUM(B1863, 2))</f>
        <v/>
      </c>
    </row>
    <row r="1864">
      <c r="J1864">
        <f>IF(B1864="","", _xludf.WEEKNUM(B1864, 2))</f>
        <v/>
      </c>
    </row>
    <row r="1865">
      <c r="J1865">
        <f>IF(B1865="","", _xludf.WEEKNUM(B1865, 2))</f>
        <v/>
      </c>
    </row>
    <row r="1866">
      <c r="J1866">
        <f>IF(B1866="","", _xludf.WEEKNUM(B1866, 2))</f>
        <v/>
      </c>
    </row>
    <row r="1867">
      <c r="J1867">
        <f>IF(B1867="","", _xludf.WEEKNUM(B1867, 2))</f>
        <v/>
      </c>
    </row>
    <row r="1868">
      <c r="J1868">
        <f>IF(B1868="","", _xludf.WEEKNUM(B1868, 2))</f>
        <v/>
      </c>
    </row>
    <row r="1869">
      <c r="J1869">
        <f>IF(B1869="","", _xludf.WEEKNUM(B1869, 2))</f>
        <v/>
      </c>
    </row>
    <row r="1870">
      <c r="J1870">
        <f>IF(B1870="","", _xludf.WEEKNUM(B1870, 2))</f>
        <v/>
      </c>
    </row>
    <row r="1871">
      <c r="J1871">
        <f>IF(B1871="","", _xludf.WEEKNUM(B1871, 2))</f>
        <v/>
      </c>
    </row>
    <row r="1872">
      <c r="J1872">
        <f>IF(B1872="","", _xludf.WEEKNUM(B1872, 2))</f>
        <v/>
      </c>
    </row>
    <row r="1873">
      <c r="J1873">
        <f>IF(B1873="","", _xludf.WEEKNUM(B1873, 2))</f>
        <v/>
      </c>
    </row>
    <row r="1874">
      <c r="J1874">
        <f>IF(B1874="","", _xludf.WEEKNUM(B1874, 2))</f>
        <v/>
      </c>
    </row>
    <row r="1875">
      <c r="J1875">
        <f>IF(B1875="","", _xludf.WEEKNUM(B1875, 2))</f>
        <v/>
      </c>
    </row>
    <row r="1876">
      <c r="J1876">
        <f>IF(B1876="","", _xludf.WEEKNUM(B1876, 2))</f>
        <v/>
      </c>
    </row>
    <row r="1877">
      <c r="J1877">
        <f>IF(B1877="","", _xludf.WEEKNUM(B1877, 2))</f>
        <v/>
      </c>
    </row>
    <row r="1878">
      <c r="J1878">
        <f>IF(B1878="","", _xludf.WEEKNUM(B1878, 2))</f>
        <v/>
      </c>
    </row>
    <row r="1879">
      <c r="J1879">
        <f>IF(B1879="","", _xludf.WEEKNUM(B1879, 2))</f>
        <v/>
      </c>
    </row>
    <row r="1880">
      <c r="J1880">
        <f>IF(B1880="","", _xludf.WEEKNUM(B1880, 2))</f>
        <v/>
      </c>
    </row>
    <row r="1881">
      <c r="J1881">
        <f>IF(B1881="","", _xludf.WEEKNUM(B1881, 2))</f>
        <v/>
      </c>
    </row>
    <row r="1882">
      <c r="J1882">
        <f>IF(B1882="","", _xludf.WEEKNUM(B1882, 2))</f>
        <v/>
      </c>
    </row>
    <row r="1883">
      <c r="J1883">
        <f>IF(B1883="","", _xludf.WEEKNUM(B1883, 2))</f>
        <v/>
      </c>
    </row>
    <row r="1884">
      <c r="J1884">
        <f>IF(B1884="","", _xludf.WEEKNUM(B1884, 2))</f>
        <v/>
      </c>
    </row>
    <row r="1885">
      <c r="J1885">
        <f>IF(B1885="","", _xludf.WEEKNUM(B1885, 2))</f>
        <v/>
      </c>
    </row>
    <row r="1886">
      <c r="J1886">
        <f>IF(B1886="","", _xludf.WEEKNUM(B1886, 2))</f>
        <v/>
      </c>
    </row>
    <row r="1887">
      <c r="J1887">
        <f>IF(B1887="","", _xludf.WEEKNUM(B1887, 2))</f>
        <v/>
      </c>
    </row>
    <row r="1888">
      <c r="J1888">
        <f>IF(B1888="","", _xludf.WEEKNUM(B1888, 2))</f>
        <v/>
      </c>
    </row>
    <row r="1889">
      <c r="J1889">
        <f>IF(B1889="","", _xludf.WEEKNUM(B1889, 2))</f>
        <v/>
      </c>
    </row>
    <row r="1890">
      <c r="J1890">
        <f>IF(B1890="","", _xludf.WEEKNUM(B1890, 2))</f>
        <v/>
      </c>
    </row>
    <row r="1891">
      <c r="J1891">
        <f>IF(B1891="","", _xludf.WEEKNUM(B1891, 2))</f>
        <v/>
      </c>
    </row>
    <row r="1892">
      <c r="J1892">
        <f>IF(B1892="","", _xludf.WEEKNUM(B1892, 2))</f>
        <v/>
      </c>
    </row>
    <row r="1893">
      <c r="J1893">
        <f>IF(B1893="","", _xludf.WEEKNUM(B1893, 2))</f>
        <v/>
      </c>
    </row>
    <row r="1894">
      <c r="J1894">
        <f>IF(B1894="","", _xludf.WEEKNUM(B1894, 2))</f>
        <v/>
      </c>
    </row>
    <row r="1895">
      <c r="J1895">
        <f>IF(B1895="","", _xludf.WEEKNUM(B1895, 2))</f>
        <v/>
      </c>
    </row>
    <row r="1896">
      <c r="J1896">
        <f>IF(B1896="","", _xludf.WEEKNUM(B1896, 2))</f>
        <v/>
      </c>
    </row>
    <row r="1897">
      <c r="J1897">
        <f>IF(B1897="","", _xludf.WEEKNUM(B1897, 2))</f>
        <v/>
      </c>
    </row>
    <row r="1898">
      <c r="J1898">
        <f>IF(B1898="","", _xludf.WEEKNUM(B1898, 2))</f>
        <v/>
      </c>
    </row>
    <row r="1899">
      <c r="J1899">
        <f>IF(B1899="","", _xludf.WEEKNUM(B1899, 2))</f>
        <v/>
      </c>
    </row>
    <row r="1900">
      <c r="J1900">
        <f>IF(B1900="","", _xludf.WEEKNUM(B1900, 2))</f>
        <v/>
      </c>
    </row>
    <row r="1901">
      <c r="J1901">
        <f>IF(B1901="","", _xludf.WEEKNUM(B1901, 2))</f>
        <v/>
      </c>
    </row>
    <row r="1902">
      <c r="J1902">
        <f>IF(B1902="","", _xludf.WEEKNUM(B1902, 2))</f>
        <v/>
      </c>
    </row>
    <row r="1903">
      <c r="J1903">
        <f>IF(B1903="","", _xludf.WEEKNUM(B1903, 2))</f>
        <v/>
      </c>
    </row>
    <row r="1904">
      <c r="J1904">
        <f>IF(B1904="","", _xludf.WEEKNUM(B1904, 2))</f>
        <v/>
      </c>
    </row>
    <row r="1905">
      <c r="J1905">
        <f>IF(B1905="","", _xludf.WEEKNUM(B1905, 2))</f>
        <v/>
      </c>
    </row>
    <row r="1906">
      <c r="J1906">
        <f>IF(B1906="","", _xludf.WEEKNUM(B1906, 2))</f>
        <v/>
      </c>
    </row>
    <row r="1907">
      <c r="J1907">
        <f>IF(B1907="","", _xludf.WEEKNUM(B1907, 2))</f>
        <v/>
      </c>
    </row>
    <row r="1908">
      <c r="J1908">
        <f>IF(B1908="","", _xludf.WEEKNUM(B1908, 2))</f>
        <v/>
      </c>
    </row>
    <row r="1909">
      <c r="J1909">
        <f>IF(B1909="","", _xludf.WEEKNUM(B1909, 2))</f>
        <v/>
      </c>
    </row>
    <row r="1910">
      <c r="J1910">
        <f>IF(B1910="","", _xludf.WEEKNUM(B1910, 2))</f>
        <v/>
      </c>
    </row>
    <row r="1911">
      <c r="J1911">
        <f>IF(B1911="","", _xludf.WEEKNUM(B1911, 2))</f>
        <v/>
      </c>
    </row>
    <row r="1912">
      <c r="J1912">
        <f>IF(B1912="","", _xludf.WEEKNUM(B1912, 2))</f>
        <v/>
      </c>
    </row>
    <row r="1913">
      <c r="J1913">
        <f>IF(B1913="","", _xludf.WEEKNUM(B1913, 2))</f>
        <v/>
      </c>
    </row>
    <row r="1914">
      <c r="J1914">
        <f>IF(B1914="","", _xludf.WEEKNUM(B1914, 2))</f>
        <v/>
      </c>
    </row>
    <row r="1915">
      <c r="J1915">
        <f>IF(B1915="","", _xludf.WEEKNUM(B1915, 2))</f>
        <v/>
      </c>
    </row>
    <row r="1916">
      <c r="J1916">
        <f>IF(B1916="","", _xludf.WEEKNUM(B1916, 2))</f>
        <v/>
      </c>
    </row>
    <row r="1917">
      <c r="J1917">
        <f>IF(B1917="","", _xludf.WEEKNUM(B1917, 2))</f>
        <v/>
      </c>
    </row>
    <row r="1918">
      <c r="J1918">
        <f>IF(B1918="","", _xludf.WEEKNUM(B1918, 2))</f>
        <v/>
      </c>
    </row>
    <row r="1919">
      <c r="J1919">
        <f>IF(B1919="","", _xludf.WEEKNUM(B1919, 2))</f>
        <v/>
      </c>
    </row>
    <row r="1920">
      <c r="J1920">
        <f>IF(B1920="","", _xludf.WEEKNUM(B1920, 2))</f>
        <v/>
      </c>
    </row>
    <row r="1921">
      <c r="J1921">
        <f>IF(B1921="","", _xludf.WEEKNUM(B1921, 2))</f>
        <v/>
      </c>
    </row>
    <row r="1922">
      <c r="J1922">
        <f>IF(B1922="","", _xludf.WEEKNUM(B1922, 2))</f>
        <v/>
      </c>
    </row>
    <row r="1923">
      <c r="J1923">
        <f>IF(B1923="","", _xludf.WEEKNUM(B1923, 2))</f>
        <v/>
      </c>
    </row>
    <row r="1924">
      <c r="J1924">
        <f>IF(B1924="","", _xludf.WEEKNUM(B1924, 2))</f>
        <v/>
      </c>
    </row>
    <row r="1925">
      <c r="J1925">
        <f>IF(B1925="","", _xludf.WEEKNUM(B1925, 2))</f>
        <v/>
      </c>
    </row>
    <row r="1926">
      <c r="J1926">
        <f>IF(B1926="","", _xludf.WEEKNUM(B1926, 2))</f>
        <v/>
      </c>
    </row>
    <row r="1927">
      <c r="J1927">
        <f>IF(B1927="","", _xludf.WEEKNUM(B1927, 2))</f>
        <v/>
      </c>
    </row>
    <row r="1928">
      <c r="J1928">
        <f>IF(B1928="","", _xludf.WEEKNUM(B1928, 2))</f>
        <v/>
      </c>
    </row>
    <row r="1929">
      <c r="J1929">
        <f>IF(B1929="","", _xludf.WEEKNUM(B1929, 2))</f>
        <v/>
      </c>
    </row>
    <row r="1930">
      <c r="J1930">
        <f>IF(B1930="","", _xludf.WEEKNUM(B1930, 2))</f>
        <v/>
      </c>
    </row>
    <row r="1931">
      <c r="J1931">
        <f>IF(B1931="","", _xludf.WEEKNUM(B1931, 2))</f>
        <v/>
      </c>
    </row>
    <row r="1932">
      <c r="J1932">
        <f>IF(B1932="","", _xludf.WEEKNUM(B1932, 2))</f>
        <v/>
      </c>
    </row>
    <row r="1933">
      <c r="J1933">
        <f>IF(B1933="","", _xludf.WEEKNUM(B1933, 2))</f>
        <v/>
      </c>
    </row>
    <row r="1934">
      <c r="J1934">
        <f>IF(B1934="","", _xludf.WEEKNUM(B1934, 2))</f>
        <v/>
      </c>
    </row>
    <row r="1935">
      <c r="J1935">
        <f>IF(B1935="","", _xludf.WEEKNUM(B1935, 2))</f>
        <v/>
      </c>
    </row>
    <row r="1936">
      <c r="J1936">
        <f>IF(B1936="","", _xludf.WEEKNUM(B1936, 2))</f>
        <v/>
      </c>
    </row>
    <row r="1937">
      <c r="J1937">
        <f>IF(B1937="","", _xludf.WEEKNUM(B1937, 2))</f>
        <v/>
      </c>
    </row>
    <row r="1938">
      <c r="J1938">
        <f>IF(B1938="","", _xludf.WEEKNUM(B1938, 2))</f>
        <v/>
      </c>
    </row>
    <row r="1939">
      <c r="J1939">
        <f>IF(B1939="","", _xludf.WEEKNUM(B1939, 2))</f>
        <v/>
      </c>
    </row>
    <row r="1940">
      <c r="J1940">
        <f>IF(B1940="","", _xludf.WEEKNUM(B1940, 2))</f>
        <v/>
      </c>
    </row>
    <row r="1941">
      <c r="J1941">
        <f>IF(B1941="","", _xludf.WEEKNUM(B1941, 2))</f>
        <v/>
      </c>
    </row>
    <row r="1942">
      <c r="J1942">
        <f>IF(B1942="","", _xludf.WEEKNUM(B1942, 2))</f>
        <v/>
      </c>
    </row>
    <row r="1943">
      <c r="J1943">
        <f>IF(B1943="","", _xludf.WEEKNUM(B1943, 2))</f>
        <v/>
      </c>
    </row>
    <row r="1944">
      <c r="J1944">
        <f>IF(B1944="","", _xludf.WEEKNUM(B1944, 2))</f>
        <v/>
      </c>
    </row>
    <row r="1945">
      <c r="J1945">
        <f>IF(B1945="","", _xludf.WEEKNUM(B1945, 2))</f>
        <v/>
      </c>
    </row>
    <row r="1946">
      <c r="J1946">
        <f>IF(B1946="","", _xludf.WEEKNUM(B1946, 2))</f>
        <v/>
      </c>
    </row>
    <row r="1947">
      <c r="J1947">
        <f>IF(B1947="","", _xludf.WEEKNUM(B1947, 2))</f>
        <v/>
      </c>
    </row>
    <row r="1948">
      <c r="J1948">
        <f>IF(B1948="","", _xludf.WEEKNUM(B1948, 2))</f>
        <v/>
      </c>
    </row>
    <row r="1949">
      <c r="J1949">
        <f>IF(B1949="","", _xludf.WEEKNUM(B1949, 2))</f>
        <v/>
      </c>
    </row>
    <row r="1950">
      <c r="J1950">
        <f>IF(B1950="","", _xludf.WEEKNUM(B1950, 2))</f>
        <v/>
      </c>
    </row>
    <row r="1951">
      <c r="J1951">
        <f>IF(B1951="","", _xludf.WEEKNUM(B1951, 2))</f>
        <v/>
      </c>
    </row>
    <row r="1952">
      <c r="J1952">
        <f>IF(B1952="","", _xludf.WEEKNUM(B1952, 2))</f>
        <v/>
      </c>
    </row>
    <row r="1953">
      <c r="J1953">
        <f>IF(B1953="","", _xludf.WEEKNUM(B1953, 2))</f>
        <v/>
      </c>
    </row>
    <row r="1954">
      <c r="J1954">
        <f>IF(B1954="","", _xludf.WEEKNUM(B1954, 2))</f>
        <v/>
      </c>
    </row>
    <row r="1955">
      <c r="J1955">
        <f>IF(B1955="","", _xludf.WEEKNUM(B1955, 2))</f>
        <v/>
      </c>
    </row>
    <row r="1956">
      <c r="J1956">
        <f>IF(B1956="","", _xludf.WEEKNUM(B1956, 2))</f>
        <v/>
      </c>
    </row>
    <row r="1957">
      <c r="J1957">
        <f>IF(B1957="","", _xludf.WEEKNUM(B1957, 2))</f>
        <v/>
      </c>
    </row>
    <row r="1958">
      <c r="J1958">
        <f>IF(B1958="","", _xludf.WEEKNUM(B1958, 2))</f>
        <v/>
      </c>
    </row>
    <row r="1959">
      <c r="J1959">
        <f>IF(B1959="","", _xludf.WEEKNUM(B1959, 2))</f>
        <v/>
      </c>
    </row>
    <row r="1960">
      <c r="J1960">
        <f>IF(B1960="","", _xludf.WEEKNUM(B1960, 2))</f>
        <v/>
      </c>
    </row>
    <row r="1961">
      <c r="J1961">
        <f>IF(B1961="","", _xludf.WEEKNUM(B1961, 2))</f>
        <v/>
      </c>
    </row>
    <row r="1962">
      <c r="J1962">
        <f>IF(B1962="","", _xludf.WEEKNUM(B1962, 2))</f>
        <v/>
      </c>
    </row>
    <row r="1963">
      <c r="J1963">
        <f>IF(B1963="","", _xludf.WEEKNUM(B1963, 2))</f>
        <v/>
      </c>
    </row>
    <row r="1964">
      <c r="J1964">
        <f>IF(B1964="","", _xludf.WEEKNUM(B1964, 2))</f>
        <v/>
      </c>
    </row>
    <row r="1965">
      <c r="J1965">
        <f>IF(B1965="","", _xludf.WEEKNUM(B1965, 2))</f>
        <v/>
      </c>
    </row>
    <row r="1966">
      <c r="J1966">
        <f>IF(B1966="","", _xludf.WEEKNUM(B1966, 2))</f>
        <v/>
      </c>
    </row>
    <row r="1967">
      <c r="J1967">
        <f>IF(B1967="","", _xludf.WEEKNUM(B1967, 2))</f>
        <v/>
      </c>
    </row>
    <row r="1968">
      <c r="J1968">
        <f>IF(B1968="","", _xludf.WEEKNUM(B1968, 2))</f>
        <v/>
      </c>
    </row>
    <row r="1969">
      <c r="J1969">
        <f>IF(B1969="","", _xludf.WEEKNUM(B1969, 2))</f>
        <v/>
      </c>
    </row>
    <row r="1970">
      <c r="J1970">
        <f>IF(B1970="","", _xludf.WEEKNUM(B1970, 2))</f>
        <v/>
      </c>
    </row>
    <row r="1971">
      <c r="J1971">
        <f>IF(B1971="","", _xludf.WEEKNUM(B1971, 2))</f>
        <v/>
      </c>
    </row>
    <row r="1972">
      <c r="J1972">
        <f>IF(B1972="","", _xludf.WEEKNUM(B1972, 2))</f>
        <v/>
      </c>
    </row>
    <row r="1973">
      <c r="J1973">
        <f>IF(B1973="","", _xludf.WEEKNUM(B1973, 2))</f>
        <v/>
      </c>
    </row>
    <row r="1974">
      <c r="J1974">
        <f>IF(B1974="","", _xludf.WEEKNUM(B1974, 2))</f>
        <v/>
      </c>
    </row>
    <row r="1975">
      <c r="J1975">
        <f>IF(B1975="","", _xludf.WEEKNUM(B1975, 2))</f>
        <v/>
      </c>
    </row>
    <row r="1976">
      <c r="J1976">
        <f>IF(B1976="","", _xludf.WEEKNUM(B1976, 2))</f>
        <v/>
      </c>
    </row>
    <row r="1977">
      <c r="J1977">
        <f>IF(B1977="","", _xludf.WEEKNUM(B1977, 2))</f>
        <v/>
      </c>
    </row>
    <row r="1978">
      <c r="J1978">
        <f>IF(B1978="","", _xludf.WEEKNUM(B1978, 2))</f>
        <v/>
      </c>
    </row>
    <row r="1979">
      <c r="J1979">
        <f>IF(B1979="","", _xludf.WEEKNUM(B1979, 2))</f>
        <v/>
      </c>
    </row>
    <row r="1980">
      <c r="J1980">
        <f>IF(B1980="","", _xludf.WEEKNUM(B1980, 2))</f>
        <v/>
      </c>
    </row>
    <row r="1981">
      <c r="J1981">
        <f>IF(B1981="","", _xludf.WEEKNUM(B1981, 2))</f>
        <v/>
      </c>
    </row>
    <row r="1982">
      <c r="J1982">
        <f>IF(B1982="","", _xludf.WEEKNUM(B1982, 2))</f>
        <v/>
      </c>
    </row>
    <row r="1983">
      <c r="J1983">
        <f>IF(B1983="","", _xludf.WEEKNUM(B1983, 2))</f>
        <v/>
      </c>
    </row>
    <row r="1984">
      <c r="J1984">
        <f>IF(B1984="","", _xludf.WEEKNUM(B1984, 2))</f>
        <v/>
      </c>
    </row>
    <row r="1985">
      <c r="J1985">
        <f>IF(B1985="","", _xludf.WEEKNUM(B1985, 2))</f>
        <v/>
      </c>
    </row>
    <row r="1986">
      <c r="J1986">
        <f>IF(B1986="","", _xludf.WEEKNUM(B1986, 2))</f>
        <v/>
      </c>
    </row>
    <row r="1987">
      <c r="J1987">
        <f>IF(B1987="","", _xludf.WEEKNUM(B1987, 2))</f>
        <v/>
      </c>
    </row>
    <row r="1988">
      <c r="J1988">
        <f>IF(B1988="","", _xludf.WEEKNUM(B1988, 2))</f>
        <v/>
      </c>
    </row>
    <row r="1989">
      <c r="J1989">
        <f>IF(B1989="","", _xludf.WEEKNUM(B1989, 2))</f>
        <v/>
      </c>
    </row>
    <row r="1990">
      <c r="J1990">
        <f>IF(B1990="","", _xludf.WEEKNUM(B1990, 2))</f>
        <v/>
      </c>
    </row>
    <row r="1991">
      <c r="J1991">
        <f>IF(B1991="","", _xludf.WEEKNUM(B1991, 2))</f>
        <v/>
      </c>
    </row>
    <row r="1992">
      <c r="J1992">
        <f>IF(B1992="","", _xludf.WEEKNUM(B1992, 2))</f>
        <v/>
      </c>
    </row>
    <row r="1993">
      <c r="J1993">
        <f>IF(B1993="","", _xludf.WEEKNUM(B1993, 2))</f>
        <v/>
      </c>
    </row>
    <row r="1994">
      <c r="J1994">
        <f>IF(B1994="","", _xludf.WEEKNUM(B1994, 2))</f>
        <v/>
      </c>
    </row>
    <row r="1995">
      <c r="J1995">
        <f>IF(B1995="","", _xludf.WEEKNUM(B1995, 2))</f>
        <v/>
      </c>
    </row>
    <row r="1996">
      <c r="J1996">
        <f>IF(B1996="","", _xludf.WEEKNUM(B1996, 2))</f>
        <v/>
      </c>
    </row>
    <row r="1997">
      <c r="J1997">
        <f>IF(B1997="","", _xludf.WEEKNUM(B1997, 2))</f>
        <v/>
      </c>
    </row>
    <row r="1998">
      <c r="J1998">
        <f>IF(B1998="","", _xludf.WEEKNUM(B1998, 2))</f>
        <v/>
      </c>
    </row>
    <row r="1999">
      <c r="J1999">
        <f>IF(B1999="","", _xludf.WEEKNUM(B1999, 2))</f>
        <v/>
      </c>
    </row>
    <row r="2000">
      <c r="J2000">
        <f>IF(B2000="","", _xludf.WEEKNUM(B2000, 2))</f>
        <v/>
      </c>
    </row>
  </sheetData>
  <mergeCells count="1">
    <mergeCell ref="A1:H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A100"/>
  <sheetViews>
    <sheetView topLeftCell="F1" workbookViewId="0">
      <selection activeCell="H14" sqref="H14"/>
    </sheetView>
  </sheetViews>
  <sheetFormatPr baseColWidth="10" defaultColWidth="8.796875" defaultRowHeight="13.8"/>
  <cols>
    <col width="14" customWidth="1" style="17580" min="1" max="1"/>
    <col width="24" customWidth="1" style="17580" min="2" max="3"/>
    <col width="14" customWidth="1" style="17580" min="5" max="5"/>
    <col width="28" customWidth="1" style="17580" min="6" max="6"/>
    <col width="14" customWidth="1" style="17580" min="8" max="8"/>
    <col width="63.5" bestFit="1" customWidth="1" style="17580" min="9" max="9"/>
    <col width="12.09765625" customWidth="1" style="17580" min="10" max="10"/>
    <col width="16.3984375" bestFit="1" customWidth="1" style="17580" min="11" max="11"/>
    <col width="17.8984375" bestFit="1" customWidth="1" style="17580" min="12" max="12"/>
    <col width="25.69921875" bestFit="1" customWidth="1" style="17580" min="13" max="13"/>
    <col width="15" customWidth="1" style="17580" min="21" max="21"/>
    <col width="45" customWidth="1" style="17580" min="22" max="23"/>
    <col width="25" customWidth="1" style="17580" min="24" max="24"/>
    <col width="35" customWidth="1" style="17580" min="25" max="25"/>
  </cols>
  <sheetData>
    <row r="1" ht="22.35" customHeight="1" s="17580">
      <c r="A1" s="17624" t="inlineStr">
        <is>
          <t>CATÁLOGOS OFICIALES - CONTROL DE COMBUSTIBLE</t>
        </is>
      </c>
      <c r="K1" s="39" t="n"/>
      <c r="L1" s="40" t="n"/>
    </row>
    <row r="2" ht="16.8" customHeight="1" s="17580">
      <c r="K2" s="7" t="inlineStr">
        <is>
          <t>Obras Dropdown</t>
        </is>
      </c>
      <c r="L2" s="8" t="inlineStr">
        <is>
          <t>Semanas Dropdown</t>
        </is>
      </c>
      <c r="U2" s="17628" t="inlineStr">
        <is>
          <t>ASIGNACIÓN DE MAQUINARIA A OBRAS Y OPERADORES</t>
        </is>
      </c>
      <c r="V2" s="17608" t="n"/>
      <c r="W2" s="17608" t="n"/>
      <c r="X2" s="17608" t="n"/>
      <c r="Y2" s="17609" t="n"/>
    </row>
    <row r="3" ht="16.8" customHeight="1" s="17580">
      <c r="A3" s="1" t="inlineStr">
        <is>
          <t>Código Obra</t>
        </is>
      </c>
      <c r="B3" s="1" t="inlineStr">
        <is>
          <t>Obra</t>
        </is>
      </c>
      <c r="C3" s="1" t="inlineStr">
        <is>
          <t>Ingeniero</t>
        </is>
      </c>
      <c r="E3" s="1" t="inlineStr">
        <is>
          <t>Código</t>
        </is>
      </c>
      <c r="F3" s="1" t="inlineStr">
        <is>
          <t>Fuente / Origen</t>
        </is>
      </c>
      <c r="I3" s="1" t="n"/>
      <c r="J3" s="1" t="n"/>
      <c r="K3" s="41" t="n"/>
      <c r="L3" s="42" t="n"/>
      <c r="M3" t="inlineStr">
        <is>
          <t>Total Lts (Semana Dashboard)</t>
        </is>
      </c>
      <c r="N3" t="n">
        <v>0</v>
      </c>
      <c r="Q3" t="inlineStr">
        <is>
          <t>Total Lts (Conciliacion)</t>
        </is>
      </c>
      <c r="R3" t="n">
        <v>0</v>
      </c>
      <c r="V3" s="2350" t="inlineStr">
        <is>
          <t>Tipo de Equipo</t>
        </is>
      </c>
      <c r="W3" s="2349" t="inlineStr">
        <is>
          <t>No. Económico</t>
        </is>
      </c>
      <c r="X3" s="2351" t="inlineStr">
        <is>
          <t>Obra Asignada</t>
        </is>
      </c>
      <c r="Y3" s="2352" t="inlineStr">
        <is>
          <t>Operador Asignado</t>
        </is>
      </c>
      <c r="Z3" t="inlineStr">
        <is>
          <t>Obra (Para Folio)</t>
        </is>
      </c>
      <c r="AA3" t="inlineStr">
        <is>
          <t>Iniciales</t>
        </is>
      </c>
    </row>
    <row r="4" ht="16.8" customHeight="1" s="17580">
      <c r="A4" t="inlineStr">
        <is>
          <t>MT</t>
        </is>
      </c>
      <c r="B4" t="inlineStr">
        <is>
          <t>México-Toluca</t>
        </is>
      </c>
      <c r="C4" t="inlineStr">
        <is>
          <t>Francisco Javier</t>
        </is>
      </c>
      <c r="E4" t="inlineStr">
        <is>
          <t>GAS</t>
        </is>
      </c>
      <c r="F4" t="inlineStr">
        <is>
          <t>Gasolinera Huixquilucan</t>
        </is>
      </c>
      <c r="K4" s="43" t="inlineStr">
        <is>
          <t>México-Toluca</t>
        </is>
      </c>
      <c r="L4" s="9" t="n">
        <v>46167</v>
      </c>
      <c r="M4">
        <f>SUMIFS(Solicitudes!$F:$F, Solicitudes!$B:$B, $B4, Solicitudes!$C:$C, "&gt;=" &amp; Dashboard!$C$55, Solicitudes!$C:$C, "&lt;=" &amp; (Dashboard!$C$55+6)) + IF($B4="Jalisco", SUMIFS(Captura_Jalisco!$G:$G, Captura_Jalisco!$A:$A, "&gt;=" &amp; Dashboard!$C$55, Captura_Jalisco!$A:$A, "&lt;=" &amp; (Dashboard!$C$55+6), Captura_Jalisco!$B:$B, "Salida"), SUMIFS(Captura_Obra!$F:$F, Captura_Obra!$B:$B, $B4, Captura_Obra!$A:$A, "&gt;=" &amp; Dashboard!$C$55, Captura_Obra!$A:$A, "&lt;=" &amp; (Dashboard!$C$55+6)))</f>
        <v/>
      </c>
      <c r="N4">
        <f>IF(M4&gt;0, MAX($N$3:N3)+1, "")</f>
        <v/>
      </c>
      <c r="Q4">
        <f>SUMIFS(Captura_Pegaso!$H:$H, Captura_Pegaso!$D:$D, $B4, Captura_Pegaso!$A:$A, "&gt;=" &amp;#REF!, Captura_Pegaso!$A:$A, "&lt;=" &amp; (#REF!+6)) + SUMIFS(Captura_Marimba_M01!$G:$G, Captura_Marimba_M01!$C:$C, $B4, Captura_Marimba_M01!$A:$A, "&gt;=" &amp;#REF!, Captura_Marimba_M01!$A:$A, "&lt;=" &amp; (#REF!+6)) + SUMIFS(Captura_Obra!$F:$F, Captura_Obra!$B:$B, $B4, Captura_Obra!$A:$A, "&gt;=" &amp;#REF!, Captura_Obra!$A:$A, "&lt;=" &amp; (#REF!+6))</f>
        <v/>
      </c>
      <c r="R4">
        <f>IF(Q4&gt;0, MAX($R$3:R3)+1, "")</f>
        <v/>
      </c>
      <c r="V4" s="2354" t="inlineStr">
        <is>
          <t>RETROEXCAVADORA CASE 580 N</t>
        </is>
      </c>
      <c r="W4" s="2353" t="inlineStr">
        <is>
          <t>RT-03</t>
        </is>
      </c>
      <c r="X4" s="2355" t="n"/>
      <c r="Y4" s="2356" t="n"/>
      <c r="Z4" t="inlineStr">
        <is>
          <t>México-Toluca</t>
        </is>
      </c>
      <c r="AA4" t="inlineStr">
        <is>
          <t>MT</t>
        </is>
      </c>
    </row>
    <row r="5" ht="16.8" customHeight="1" s="17580">
      <c r="A5" t="inlineStr">
        <is>
          <t>L3M</t>
        </is>
      </c>
      <c r="B5" t="inlineStr">
        <is>
          <t>Lerma - Tres Marías</t>
        </is>
      </c>
      <c r="C5" t="inlineStr">
        <is>
          <t>Apolinar</t>
        </is>
      </c>
      <c r="E5" t="inlineStr">
        <is>
          <t>PEG</t>
        </is>
      </c>
      <c r="F5" t="inlineStr">
        <is>
          <t>Tanque Pegaso</t>
        </is>
      </c>
      <c r="K5" s="44" t="inlineStr">
        <is>
          <t>Lerma - Tres Marías</t>
        </is>
      </c>
      <c r="L5" s="10" t="n">
        <v>46174</v>
      </c>
      <c r="M5">
        <f>SUMIFS(Solicitudes!$F:$F, Solicitudes!$B:$B, $B5, Solicitudes!$C:$C, "&gt;=" &amp; Dashboard!$C$55, Solicitudes!$C:$C, "&lt;=" &amp; (Dashboard!$C$55+6)) + IF($B5="Jalisco", SUMIFS(Captura_Jalisco!$G:$G, Captura_Jalisco!$A:$A, "&gt;=" &amp; Dashboard!$C$55, Captura_Jalisco!$A:$A, "&lt;=" &amp; (Dashboard!$C$55+6), Captura_Jalisco!$B:$B, "Salida"), SUMIFS(Captura_Obra!$F:$F, Captura_Obra!$B:$B, $B5, Captura_Obra!$A:$A, "&gt;=" &amp; Dashboard!$C$55, Captura_Obra!$A:$A, "&lt;=" &amp; (Dashboard!$C$55+6)))</f>
        <v/>
      </c>
      <c r="N5">
        <f>IF(M5&gt;0, MAX($N$3:N4)+1, "")</f>
        <v/>
      </c>
      <c r="Q5">
        <f>SUMIFS(Captura_Pegaso!$H:$H, Captura_Pegaso!$D:$D, $B5, Captura_Pegaso!$A:$A, "&gt;=" &amp;#REF!, Captura_Pegaso!$A:$A, "&lt;=" &amp; (#REF!+6)) + SUMIFS(Captura_Marimba_M01!$G:$G, Captura_Marimba_M01!$C:$C, $B5, Captura_Marimba_M01!$A:$A, "&gt;=" &amp;#REF!, Captura_Marimba_M01!$A:$A, "&lt;=" &amp; (#REF!+6)) + SUMIFS(Captura_Obra!$F:$F, Captura_Obra!$B:$B, $B5, Captura_Obra!$A:$A, "&gt;=" &amp;#REF!, Captura_Obra!$A:$A, "&lt;=" &amp; (#REF!+6))</f>
        <v/>
      </c>
      <c r="R5">
        <f>IF(Q5&gt;0, MAX($R$3:R4)+1, "")</f>
        <v/>
      </c>
      <c r="V5" s="2358" t="inlineStr">
        <is>
          <t>PAVIMENTADORA  VOGELE 1800-3 i</t>
        </is>
      </c>
      <c r="W5" s="2357" t="inlineStr">
        <is>
          <t>VG-01</t>
        </is>
      </c>
      <c r="X5" s="2359" t="inlineStr">
        <is>
          <t>México-Toluca</t>
        </is>
      </c>
      <c r="Y5" s="2360" t="inlineStr">
        <is>
          <t>Gerardo Ezequiel Piña Fernández</t>
        </is>
      </c>
      <c r="Z5" t="inlineStr">
        <is>
          <t>Lerma - Tres Marías</t>
        </is>
      </c>
      <c r="AA5" t="inlineStr">
        <is>
          <t>LT</t>
        </is>
      </c>
    </row>
    <row r="6" ht="16.8" customHeight="1" s="17580">
      <c r="A6" t="inlineStr">
        <is>
          <t>NP</t>
        </is>
      </c>
      <c r="B6" t="inlineStr">
        <is>
          <t>No aplica</t>
        </is>
      </c>
      <c r="E6" t="inlineStr">
        <is>
          <t>PAP</t>
        </is>
      </c>
      <c r="F6" t="inlineStr">
        <is>
          <t>Planta Asfalto Pegaso</t>
        </is>
      </c>
      <c r="K6" s="45" t="inlineStr">
        <is>
          <t>Chamapa-Lechería</t>
        </is>
      </c>
      <c r="L6" s="11" t="n">
        <v>46181</v>
      </c>
      <c r="M6">
        <f>SUMIFS(Solicitudes!$F:$F, Solicitudes!$B:$B, $B6, Solicitudes!$C:$C, "&gt;=" &amp; Dashboard!$C$55, Solicitudes!$C:$C, "&lt;=" &amp; (Dashboard!$C$55+6)) + IF($B6="Jalisco", SUMIFS(Captura_Jalisco!$G:$G, Captura_Jalisco!$A:$A, "&gt;=" &amp; Dashboard!$C$55, Captura_Jalisco!$A:$A, "&lt;=" &amp; (Dashboard!$C$55+6), Captura_Jalisco!$B:$B, "Salida"), SUMIFS(Captura_Obra!$F:$F, Captura_Obra!$B:$B, $B6, Captura_Obra!$A:$A, "&gt;=" &amp; Dashboard!$C$55, Captura_Obra!$A:$A, "&lt;=" &amp; (Dashboard!$C$55+6)))</f>
        <v/>
      </c>
      <c r="N6">
        <f>IF(M6&gt;0, MAX($N$3:N5)+1, "")</f>
        <v/>
      </c>
      <c r="Q6">
        <f>SUMIFS(Captura_Pegaso!$H:$H, Captura_Pegaso!$D:$D, $B6, Captura_Pegaso!$A:$A, "&gt;=" &amp;#REF!, Captura_Pegaso!$A:$A, "&lt;=" &amp; (#REF!+6)) + SUMIFS(Captura_Marimba_M01!$G:$G, Captura_Marimba_M01!$C:$C, $B6, Captura_Marimba_M01!$A:$A, "&gt;=" &amp;#REF!, Captura_Marimba_M01!$A:$A, "&lt;=" &amp; (#REF!+6)) + SUMIFS(Captura_Obra!$F:$F, Captura_Obra!$B:$B, $B6, Captura_Obra!$A:$A, "&gt;=" &amp;#REF!, Captura_Obra!$A:$A, "&lt;=" &amp; (#REF!+6))</f>
        <v/>
      </c>
      <c r="R6">
        <f>IF(Q6&gt;0, MAX($R$3:R5)+1, "")</f>
        <v/>
      </c>
      <c r="V6" s="2362" t="inlineStr">
        <is>
          <t>PAVIMENTADORA  VOGELE 1800-2 SJ</t>
        </is>
      </c>
      <c r="W6" s="2361" t="inlineStr">
        <is>
          <t>VG-02</t>
        </is>
      </c>
      <c r="X6" s="2363" t="n"/>
      <c r="Y6" s="2364" t="n"/>
      <c r="Z6" t="inlineStr">
        <is>
          <t>No aplica</t>
        </is>
      </c>
      <c r="AA6" t="inlineStr">
        <is>
          <t>NA</t>
        </is>
      </c>
    </row>
    <row r="7" ht="16.8" customHeight="1" s="17580">
      <c r="A7" t="inlineStr">
        <is>
          <t>CL</t>
        </is>
      </c>
      <c r="B7" t="inlineStr">
        <is>
          <t>Chamapa-Lechería</t>
        </is>
      </c>
      <c r="C7" t="inlineStr">
        <is>
          <t>Francisco Javier</t>
        </is>
      </c>
      <c r="E7" t="inlineStr">
        <is>
          <t>M01</t>
        </is>
      </c>
      <c r="F7" t="inlineStr">
        <is>
          <t>Marimba M-01</t>
        </is>
      </c>
      <c r="K7" s="46" t="inlineStr">
        <is>
          <t>Bacheo Toluca</t>
        </is>
      </c>
      <c r="L7" s="12" t="n">
        <v>46188</v>
      </c>
      <c r="M7">
        <f>SUMIFS(Solicitudes!$F:$F, Solicitudes!$B:$B, $B7, Solicitudes!$C:$C, "&gt;=" &amp; Dashboard!$C$55, Solicitudes!$C:$C, "&lt;=" &amp; (Dashboard!$C$55+6)) + IF($B7="Jalisco", SUMIFS(Captura_Jalisco!$G:$G, Captura_Jalisco!$A:$A, "&gt;=" &amp; Dashboard!$C$55, Captura_Jalisco!$A:$A, "&lt;=" &amp; (Dashboard!$C$55+6), Captura_Jalisco!$B:$B, "Salida"), SUMIFS(Captura_Obra!$F:$F, Captura_Obra!$B:$B, $B7, Captura_Obra!$A:$A, "&gt;=" &amp; Dashboard!$C$55, Captura_Obra!$A:$A, "&lt;=" &amp; (Dashboard!$C$55+6)))</f>
        <v/>
      </c>
      <c r="N7">
        <f>IF(M7&gt;0, MAX($N$3:N6)+1, "")</f>
        <v/>
      </c>
      <c r="Q7">
        <f>SUMIFS(Captura_Pegaso!$H:$H, Captura_Pegaso!$D:$D, $B7, Captura_Pegaso!$A:$A, "&gt;=" &amp;#REF!, Captura_Pegaso!$A:$A, "&lt;=" &amp; (#REF!+6)) + SUMIFS(Captura_Marimba_M01!$G:$G, Captura_Marimba_M01!$C:$C, $B7, Captura_Marimba_M01!$A:$A, "&gt;=" &amp;#REF!, Captura_Marimba_M01!$A:$A, "&lt;=" &amp; (#REF!+6)) + SUMIFS(Captura_Obra!$F:$F, Captura_Obra!$B:$B, $B7, Captura_Obra!$A:$A, "&gt;=" &amp;#REF!, Captura_Obra!$A:$A, "&lt;=" &amp; (#REF!+6))</f>
        <v/>
      </c>
      <c r="R7">
        <f>IF(Q7&gt;0, MAX($R$3:R6)+1, "")</f>
        <v/>
      </c>
      <c r="V7" s="2366" t="inlineStr">
        <is>
          <t>PAVIMENTADORA  VOGELE SJ 1800-3</t>
        </is>
      </c>
      <c r="W7" s="2365" t="inlineStr">
        <is>
          <t>VG-03</t>
        </is>
      </c>
      <c r="X7" s="2367" t="inlineStr">
        <is>
          <t>Lerma - Tres Marías</t>
        </is>
      </c>
      <c r="Y7" s="2368" t="inlineStr">
        <is>
          <t>Jose de Jesus Eusebio Martinez</t>
        </is>
      </c>
      <c r="Z7" t="inlineStr">
        <is>
          <t>Chamapa-Lechería</t>
        </is>
      </c>
      <c r="AA7" t="inlineStr">
        <is>
          <t>CL</t>
        </is>
      </c>
    </row>
    <row r="8" ht="16.8" customHeight="1" s="17580">
      <c r="A8" t="inlineStr">
        <is>
          <t>BT</t>
        </is>
      </c>
      <c r="B8" t="inlineStr">
        <is>
          <t>Bacheo Toluca</t>
        </is>
      </c>
      <c r="C8" t="inlineStr">
        <is>
          <t>Diego Carreola</t>
        </is>
      </c>
      <c r="E8" t="inlineStr">
        <is>
          <t>DIR</t>
        </is>
      </c>
      <c r="F8" t="inlineStr">
        <is>
          <t>Carga directa</t>
        </is>
      </c>
      <c r="K8" s="47" t="inlineStr">
        <is>
          <t>Planta Asfalto Pegaso</t>
        </is>
      </c>
      <c r="L8" s="13" t="n">
        <v>46195</v>
      </c>
      <c r="M8">
        <f>SUMIFS(Solicitudes!$F:$F, Solicitudes!$B:$B, $B8, Solicitudes!$C:$C, "&gt;=" &amp; Dashboard!$C$55, Solicitudes!$C:$C, "&lt;=" &amp; (Dashboard!$C$55+6)) + IF($B8="Jalisco", SUMIFS(Captura_Jalisco!$G:$G, Captura_Jalisco!$A:$A, "&gt;=" &amp; Dashboard!$C$55, Captura_Jalisco!$A:$A, "&lt;=" &amp; (Dashboard!$C$55+6), Captura_Jalisco!$B:$B, "Salida"), SUMIFS(Captura_Obra!$F:$F, Captura_Obra!$B:$B, $B8, Captura_Obra!$A:$A, "&gt;=" &amp; Dashboard!$C$55, Captura_Obra!$A:$A, "&lt;=" &amp; (Dashboard!$C$55+6)))</f>
        <v/>
      </c>
      <c r="N8">
        <f>IF(M8&gt;0, MAX($N$3:N7)+1, "")</f>
        <v/>
      </c>
      <c r="Q8">
        <f>SUMIFS(Captura_Pegaso!$H:$H, Captura_Pegaso!$D:$D, $B8, Captura_Pegaso!$A:$A, "&gt;=" &amp;#REF!, Captura_Pegaso!$A:$A, "&lt;=" &amp; (#REF!+6)) + SUMIFS(Captura_Marimba_M01!$G:$G, Captura_Marimba_M01!$C:$C, $B8, Captura_Marimba_M01!$A:$A, "&gt;=" &amp;#REF!, Captura_Marimba_M01!$A:$A, "&lt;=" &amp; (#REF!+6)) + SUMIFS(Captura_Obra!$F:$F, Captura_Obra!$B:$B, $B8, Captura_Obra!$A:$A, "&gt;=" &amp;#REF!, Captura_Obra!$A:$A, "&lt;=" &amp; (#REF!+6))</f>
        <v/>
      </c>
      <c r="R8">
        <f>IF(Q8&gt;0, MAX($R$3:R7)+1, "")</f>
        <v/>
      </c>
      <c r="V8" s="2370" t="inlineStr">
        <is>
          <t>PERFILADORA RODATEC RX600-4-4008</t>
        </is>
      </c>
      <c r="W8" s="2369" t="inlineStr">
        <is>
          <t>PR-01</t>
        </is>
      </c>
      <c r="X8" s="2371" t="n"/>
      <c r="Y8" s="2372" t="n"/>
      <c r="Z8" t="inlineStr">
        <is>
          <t>Bacheo Toluca</t>
        </is>
      </c>
      <c r="AA8" t="inlineStr">
        <is>
          <t>BT</t>
        </is>
      </c>
    </row>
    <row r="9" ht="16.8" customHeight="1" s="17580">
      <c r="A9" t="inlineStr">
        <is>
          <t>PAP</t>
        </is>
      </c>
      <c r="B9" t="inlineStr">
        <is>
          <t>Planta Asfalto Pegaso</t>
        </is>
      </c>
      <c r="C9" t="inlineStr">
        <is>
          <t>Janeth</t>
        </is>
      </c>
      <c r="E9" t="inlineStr">
        <is>
          <t>PAH</t>
        </is>
      </c>
      <c r="F9" t="inlineStr">
        <is>
          <t>Planta Asfaltos</t>
        </is>
      </c>
      <c r="K9" s="48" t="inlineStr">
        <is>
          <t>Planta Asflato Huixquilucan</t>
        </is>
      </c>
      <c r="L9" s="14" t="n">
        <v>46202</v>
      </c>
      <c r="M9">
        <f>SUMIFS(Solicitudes!$F:$F, Solicitudes!$B:$B, $B9, Solicitudes!$C:$C, "&gt;=" &amp; Dashboard!$C$55, Solicitudes!$C:$C, "&lt;=" &amp; (Dashboard!$C$55+6)) + IF($B9="Jalisco", SUMIFS(Captura_Jalisco!$G:$G, Captura_Jalisco!$A:$A, "&gt;=" &amp; Dashboard!$C$55, Captura_Jalisco!$A:$A, "&lt;=" &amp; (Dashboard!$C$55+6), Captura_Jalisco!$B:$B, "Salida"), SUMIFS(Captura_Obra!$F:$F, Captura_Obra!$B:$B, $B9, Captura_Obra!$A:$A, "&gt;=" &amp; Dashboard!$C$55, Captura_Obra!$A:$A, "&lt;=" &amp; (Dashboard!$C$55+6)))</f>
        <v/>
      </c>
      <c r="N9">
        <f>IF(M9&gt;0, MAX($N$3:N8)+1, "")</f>
        <v/>
      </c>
      <c r="Q9">
        <f>SUMIFS(Captura_Pegaso!$H:$H, Captura_Pegaso!$D:$D, $B9, Captura_Pegaso!$A:$A, "&gt;=" &amp;#REF!, Captura_Pegaso!$A:$A, "&lt;=" &amp; (#REF!+6)) + SUMIFS(Captura_Marimba_M01!$G:$G, Captura_Marimba_M01!$C:$C, $B9, Captura_Marimba_M01!$A:$A, "&gt;=" &amp;#REF!, Captura_Marimba_M01!$A:$A, "&lt;=" &amp; (#REF!+6)) + SUMIFS(Captura_Obra!$F:$F, Captura_Obra!$B:$B, $B9, Captura_Obra!$A:$A, "&gt;=" &amp;#REF!, Captura_Obra!$A:$A, "&lt;=" &amp; (#REF!+6))</f>
        <v/>
      </c>
      <c r="R9">
        <f>IF(Q9&gt;0, MAX($R$3:R8)+1, "")</f>
        <v/>
      </c>
      <c r="V9" s="2374" t="inlineStr">
        <is>
          <t>PERFILADORA RODATEC RX600E</t>
        </is>
      </c>
      <c r="W9" s="2373" t="inlineStr">
        <is>
          <t>PR-02</t>
        </is>
      </c>
      <c r="X9" s="2375" t="inlineStr">
        <is>
          <t>Lerma - Tres Marías</t>
        </is>
      </c>
      <c r="Y9" s="2376" t="inlineStr">
        <is>
          <t>Alan Alexis Gutierrez Flores</t>
        </is>
      </c>
      <c r="Z9" t="inlineStr">
        <is>
          <t>Planta Asfalto Pegaso</t>
        </is>
      </c>
      <c r="AA9" t="inlineStr">
        <is>
          <t>PAP</t>
        </is>
      </c>
    </row>
    <row r="10" ht="16.8" customHeight="1" s="17580">
      <c r="A10" s="5" t="inlineStr">
        <is>
          <t>PAH</t>
        </is>
      </c>
      <c r="B10" s="5" t="inlineStr">
        <is>
          <t>Planta Asflato Huixquilucan</t>
        </is>
      </c>
      <c r="C10" s="5" t="inlineStr">
        <is>
          <t>Luis</t>
        </is>
      </c>
      <c r="E10" s="5" t="inlineStr">
        <is>
          <t>BIDONES</t>
        </is>
      </c>
      <c r="F10" s="5" t="inlineStr">
        <is>
          <t>BIDONES</t>
        </is>
      </c>
      <c r="K10" s="49" t="inlineStr">
        <is>
          <t>Dragones</t>
        </is>
      </c>
      <c r="L10" s="15" t="n">
        <v>46209</v>
      </c>
      <c r="M10">
        <f>SUMIFS(Solicitudes!$F:$F, Solicitudes!$B:$B, $B10, Solicitudes!$C:$C, "&gt;=" &amp; Dashboard!$C$55, Solicitudes!$C:$C, "&lt;=" &amp; (Dashboard!$C$55+6)) + IF($B10="Jalisco", SUMIFS(Captura_Jalisco!$G:$G, Captura_Jalisco!$A:$A, "&gt;=" &amp; Dashboard!$C$55, Captura_Jalisco!$A:$A, "&lt;=" &amp; (Dashboard!$C$55+6), Captura_Jalisco!$B:$B, "Salida"), SUMIFS(Captura_Obra!$F:$F, Captura_Obra!$B:$B, $B10, Captura_Obra!$A:$A, "&gt;=" &amp; Dashboard!$C$55, Captura_Obra!$A:$A, "&lt;=" &amp; (Dashboard!$C$55+6)))</f>
        <v/>
      </c>
      <c r="N10">
        <f>IF(M10&gt;0, MAX($N$3:N9)+1, "")</f>
        <v/>
      </c>
      <c r="Q10">
        <f>SUMIFS(Captura_Pegaso!$H:$H, Captura_Pegaso!$D:$D, $B10, Captura_Pegaso!$A:$A, "&gt;=" &amp;#REF!, Captura_Pegaso!$A:$A, "&lt;=" &amp; (#REF!+6)) + SUMIFS(Captura_Marimba_M01!$G:$G, Captura_Marimba_M01!$C:$C, $B10, Captura_Marimba_M01!$A:$A, "&gt;=" &amp;#REF!, Captura_Marimba_M01!$A:$A, "&lt;=" &amp; (#REF!+6)) + SUMIFS(Captura_Obra!$F:$F, Captura_Obra!$B:$B, $B10, Captura_Obra!$A:$A, "&gt;=" &amp;#REF!, Captura_Obra!$A:$A, "&lt;=" &amp; (#REF!+6))</f>
        <v/>
      </c>
      <c r="R10">
        <f>IF(Q10&gt;0, MAX($R$3:R9)+1, "")</f>
        <v/>
      </c>
      <c r="V10" s="2378" t="inlineStr">
        <is>
          <t>BARREDORA BROCE RJ350</t>
        </is>
      </c>
      <c r="W10" s="2377" t="inlineStr">
        <is>
          <t>BR-01</t>
        </is>
      </c>
      <c r="X10" s="2379" t="inlineStr">
        <is>
          <t>México-Toluca</t>
        </is>
      </c>
      <c r="Y10" s="2380" t="inlineStr">
        <is>
          <t>Edgar Rosales Martinez</t>
        </is>
      </c>
      <c r="Z10" t="inlineStr">
        <is>
          <t>Planta Asflato Huixquilucan</t>
        </is>
      </c>
      <c r="AA10" t="inlineStr">
        <is>
          <t>PAH</t>
        </is>
      </c>
    </row>
    <row r="11" ht="16.8" customHeight="1" s="17580">
      <c r="B11" t="inlineStr">
        <is>
          <t>Dragones</t>
        </is>
      </c>
      <c r="K11" s="50" t="inlineStr">
        <is>
          <t>Jalisco</t>
        </is>
      </c>
      <c r="L11" s="16" t="n">
        <v>46216</v>
      </c>
      <c r="M11">
        <f>SUMIFS(Solicitudes!$F:$F, Solicitudes!$B:$B, $B11, Solicitudes!$C:$C, "&gt;=" &amp; Dashboard!$C$55, Solicitudes!$C:$C, "&lt;=" &amp; (Dashboard!$C$55+6)) + IF($B11="Jalisco", SUMIFS(Captura_Jalisco!$G:$G, Captura_Jalisco!$A:$A, "&gt;=" &amp; Dashboard!$C$55, Captura_Jalisco!$A:$A, "&lt;=" &amp; (Dashboard!$C$55+6), Captura_Jalisco!$B:$B, "Salida"), SUMIFS(Captura_Obra!$F:$F, Captura_Obra!$B:$B, $B11, Captura_Obra!$A:$A, "&gt;=" &amp; Dashboard!$C$55, Captura_Obra!$A:$A, "&lt;=" &amp; (Dashboard!$C$55+6)))</f>
        <v/>
      </c>
      <c r="N11">
        <f>IF(M11&gt;0, MAX($N$3:N10)+1, "")</f>
        <v/>
      </c>
      <c r="Q11">
        <f>SUMIFS(Captura_Pegaso!$H:$H, Captura_Pegaso!$D:$D, $B11, Captura_Pegaso!$A:$A, "&gt;=" &amp;#REF!, Captura_Pegaso!$A:$A, "&lt;=" &amp; (#REF!+6)) + SUMIFS(Captura_Marimba_M01!$G:$G, Captura_Marimba_M01!$C:$C, $B11, Captura_Marimba_M01!$A:$A, "&gt;=" &amp;#REF!, Captura_Marimba_M01!$A:$A, "&lt;=" &amp; (#REF!+6)) + SUMIFS(Captura_Obra!$F:$F, Captura_Obra!$B:$B, $B11, Captura_Obra!$A:$A, "&gt;=" &amp;#REF!, Captura_Obra!$A:$A, "&lt;=" &amp; (#REF!+6))</f>
        <v/>
      </c>
      <c r="R11">
        <f>IF(Q11&gt;0, MAX($R$3:R10)+1, "")</f>
        <v/>
      </c>
      <c r="V11" s="2382" t="inlineStr">
        <is>
          <t>BARREDORA LAYMOR SM400</t>
        </is>
      </c>
      <c r="W11" s="2381" t="inlineStr">
        <is>
          <t>BR-02</t>
        </is>
      </c>
      <c r="X11" s="2383" t="n"/>
      <c r="Y11" s="2384" t="n"/>
      <c r="Z11" t="inlineStr">
        <is>
          <t>Dragones</t>
        </is>
      </c>
      <c r="AA11" t="inlineStr">
        <is>
          <t>DR</t>
        </is>
      </c>
    </row>
    <row r="12" ht="16.8" customHeight="1" s="17580">
      <c r="B12" t="inlineStr">
        <is>
          <t>Jalisco</t>
        </is>
      </c>
      <c r="K12" s="51" t="inlineStr">
        <is>
          <t>Todas</t>
        </is>
      </c>
      <c r="L12" s="17" t="n">
        <v>46223</v>
      </c>
      <c r="V12" s="2386" t="inlineStr">
        <is>
          <t>BARREDORA SUPERIOR BROOM DT80J</t>
        </is>
      </c>
      <c r="W12" s="2385" t="inlineStr">
        <is>
          <t>BR-03</t>
        </is>
      </c>
      <c r="X12" s="2387" t="n"/>
      <c r="Y12" s="2388" t="n"/>
      <c r="Z12" t="inlineStr">
        <is>
          <t>Jalisco</t>
        </is>
      </c>
      <c r="AA12" t="inlineStr">
        <is>
          <t>JA</t>
        </is>
      </c>
    </row>
    <row r="13" ht="16.8" customHeight="1" s="17580">
      <c r="B13" t="inlineStr">
        <is>
          <t>Maquinaria Pegaso</t>
        </is>
      </c>
      <c r="K13" s="52" t="n"/>
      <c r="L13" s="18" t="n">
        <v>46230</v>
      </c>
      <c r="V13" s="2390" t="inlineStr">
        <is>
          <t>BARREDORA LAYMOR SM400</t>
        </is>
      </c>
      <c r="W13" s="2389" t="inlineStr">
        <is>
          <t>BR-04</t>
        </is>
      </c>
      <c r="X13" s="2391" t="inlineStr">
        <is>
          <t>Lerma - Tres Marías</t>
        </is>
      </c>
      <c r="Y13" s="2392" t="inlineStr">
        <is>
          <t>Fernando Angeles Reyes</t>
        </is>
      </c>
      <c r="Z13" t="inlineStr">
        <is>
          <t>Maquinaria Pegaso</t>
        </is>
      </c>
      <c r="AA13" t="inlineStr">
        <is>
          <t>MP</t>
        </is>
      </c>
    </row>
    <row r="14" ht="16.8" customHeight="1" s="17580">
      <c r="B14" t="inlineStr">
        <is>
          <t>Providencia</t>
        </is>
      </c>
      <c r="C14" t="inlineStr">
        <is>
          <t>Samuel</t>
        </is>
      </c>
      <c r="K14" s="53" t="n"/>
      <c r="L14" s="19" t="n">
        <v>46237</v>
      </c>
      <c r="V14" s="2394" t="inlineStr">
        <is>
          <t>DOBLE RODILLO/VIBROCOMPACTADOR DE RODILLOS HAMM 120HD VV</t>
        </is>
      </c>
      <c r="W14" s="2393" t="inlineStr">
        <is>
          <t>DR-01</t>
        </is>
      </c>
      <c r="X14" s="2395" t="inlineStr">
        <is>
          <t>México-Toluca</t>
        </is>
      </c>
      <c r="Y14" s="2396" t="inlineStr">
        <is>
          <t>POR ASIGNAR</t>
        </is>
      </c>
    </row>
    <row r="15" ht="16.8" customHeight="1" s="17580">
      <c r="K15" s="54" t="n"/>
      <c r="L15" s="20" t="n">
        <v>46244</v>
      </c>
      <c r="V15" s="2398" t="inlineStr">
        <is>
          <t>DOBLE RODILLO/VIBROCOMPACTADOR DE RODILLOS HAMM 140HD</t>
        </is>
      </c>
      <c r="W15" s="2397" t="inlineStr">
        <is>
          <t>DR-02</t>
        </is>
      </c>
      <c r="X15" s="2399" t="inlineStr">
        <is>
          <t>México-Toluca</t>
        </is>
      </c>
      <c r="Y15" s="2400" t="inlineStr">
        <is>
          <t>Julián Piña Hernández</t>
        </is>
      </c>
    </row>
    <row r="16" ht="16.8" customHeight="1" s="17580">
      <c r="K16" s="55" t="n"/>
      <c r="L16" s="21" t="n">
        <v>46251</v>
      </c>
      <c r="V16" s="2402" t="inlineStr">
        <is>
          <t>TANDEM DOBLE RODILLO / VIBROCOMPACTOR RODILLO CAT CB54</t>
        </is>
      </c>
      <c r="W16" s="2401" t="inlineStr">
        <is>
          <t>TD-01</t>
        </is>
      </c>
      <c r="X16" s="2403" t="n"/>
      <c r="Y16" s="2404" t="n"/>
    </row>
    <row r="17" ht="16.8" customHeight="1" s="17580">
      <c r="K17" s="56" t="n"/>
      <c r="L17" s="22" t="n">
        <v>46258</v>
      </c>
      <c r="V17" s="2406" t="inlineStr">
        <is>
          <t>VIBROCOMPACTADOR CATERPILLAR CB66B</t>
        </is>
      </c>
      <c r="W17" s="2405" t="inlineStr">
        <is>
          <t>VC-01</t>
        </is>
      </c>
      <c r="X17" s="2407" t="inlineStr">
        <is>
          <t>Lerma - Tres Marías</t>
        </is>
      </c>
      <c r="Y17" s="2408" t="inlineStr">
        <is>
          <t>Jose Manuel Reyes Flores</t>
        </is>
      </c>
    </row>
    <row r="18" ht="16.8" customHeight="1" s="17580">
      <c r="K18" s="57" t="n"/>
      <c r="L18" s="23" t="n">
        <v>46265</v>
      </c>
      <c r="V18" s="2410" t="inlineStr">
        <is>
          <t>NEUMATICO / COMPACTADOR DE NEUMATICOS DINAPAC CP271</t>
        </is>
      </c>
      <c r="W18" s="2409" t="inlineStr">
        <is>
          <t>NM-01</t>
        </is>
      </c>
      <c r="X18" s="2411" t="inlineStr">
        <is>
          <t>Lerma - Tres Marías</t>
        </is>
      </c>
      <c r="Y18" s="2412" t="inlineStr">
        <is>
          <t>Marco Antonio Estrada Arellano</t>
        </is>
      </c>
    </row>
    <row r="19" ht="16.8" customHeight="1" s="17580">
      <c r="K19" s="58" t="n"/>
      <c r="L19" s="24" t="n">
        <v>46272</v>
      </c>
      <c r="V19" s="2414" t="inlineStr">
        <is>
          <t>NEUMATICO VOLVO PT-240R</t>
        </is>
      </c>
      <c r="W19" s="2413" t="inlineStr">
        <is>
          <t>NM-02</t>
        </is>
      </c>
      <c r="X19" s="2415" t="inlineStr">
        <is>
          <t>México-Toluca</t>
        </is>
      </c>
      <c r="Y19" s="2416" t="inlineStr">
        <is>
          <t>Luis Fernando Mendiola Vivero</t>
        </is>
      </c>
    </row>
    <row r="20" ht="16.8" customHeight="1" s="17580">
      <c r="K20" s="59" t="n"/>
      <c r="L20" s="25" t="n">
        <v>46279</v>
      </c>
      <c r="V20" s="2418" t="inlineStr">
        <is>
          <t>COMPRESOR  SULLIVAN PALATEK D2010</t>
        </is>
      </c>
      <c r="W20" s="2417" t="inlineStr">
        <is>
          <t>CPR-01</t>
        </is>
      </c>
      <c r="X20" s="2419" t="inlineStr">
        <is>
          <t>Lerma - Tres Marías</t>
        </is>
      </c>
      <c r="Y20" s="2420" t="inlineStr">
        <is>
          <t>Eduardo Guadarrama Garcia</t>
        </is>
      </c>
    </row>
    <row r="21" ht="16.8" customHeight="1" s="17580">
      <c r="K21" s="60" t="n"/>
      <c r="L21" s="26" t="n">
        <v>46286</v>
      </c>
      <c r="V21" s="2422" t="inlineStr">
        <is>
          <t>COMPRESOR  SULLIVAN PALATEK D2010</t>
        </is>
      </c>
      <c r="W21" s="2421" t="inlineStr">
        <is>
          <t>CPR-02</t>
        </is>
      </c>
      <c r="X21" s="2423" t="n"/>
      <c r="Y21" s="2424" t="n"/>
    </row>
    <row r="22" ht="16.8" customHeight="1" s="17580">
      <c r="K22" s="61" t="n"/>
      <c r="L22" s="27" t="n">
        <v>46293</v>
      </c>
      <c r="V22" s="2426" t="inlineStr">
        <is>
          <t>RETROEXCAVADORA CASE 420DN</t>
        </is>
      </c>
      <c r="W22" s="2425" t="inlineStr">
        <is>
          <t>RT-04</t>
        </is>
      </c>
      <c r="X22" s="2427" t="n"/>
      <c r="Y22" s="2428" t="n"/>
    </row>
    <row r="23" ht="16.8" customHeight="1" s="17580">
      <c r="K23" s="62" t="n"/>
      <c r="L23" s="28" t="n">
        <v>46300</v>
      </c>
      <c r="V23" s="2430" t="inlineStr">
        <is>
          <t>BARREDORA BROCE BROOM KR350</t>
        </is>
      </c>
      <c r="W23" s="2429" t="inlineStr">
        <is>
          <t>BR-05</t>
        </is>
      </c>
      <c r="X23" s="2431" t="n"/>
      <c r="Y23" s="2432" t="n"/>
    </row>
    <row r="24" ht="16.8" customHeight="1" s="17580">
      <c r="K24" s="63" t="n"/>
      <c r="L24" s="29" t="n">
        <v>46307</v>
      </c>
      <c r="V24" s="2434" t="inlineStr">
        <is>
          <t>RETROEXCAVADORA JHONDEREE 310SK</t>
        </is>
      </c>
      <c r="W24" s="2433" t="inlineStr">
        <is>
          <t>RT-05</t>
        </is>
      </c>
      <c r="X24" s="2435" t="inlineStr">
        <is>
          <t>México-Toluca</t>
        </is>
      </c>
      <c r="Y24" s="2436" t="inlineStr">
        <is>
          <t>Adolfo Nava Lopez</t>
        </is>
      </c>
    </row>
    <row r="25" ht="16.8" customHeight="1" s="17580">
      <c r="K25" s="64" t="n"/>
      <c r="L25" s="30" t="n">
        <v>46314</v>
      </c>
      <c r="V25" s="2438" t="inlineStr">
        <is>
          <t>BARREDORA BROCE BROOM KR350</t>
        </is>
      </c>
      <c r="W25" s="2437" t="inlineStr">
        <is>
          <t>BR-06</t>
        </is>
      </c>
      <c r="X25" s="2439" t="n"/>
      <c r="Y25" s="2440" t="n"/>
    </row>
    <row r="26" ht="16.8" customHeight="1" s="17580">
      <c r="K26" s="65" t="n"/>
      <c r="L26" s="31" t="n">
        <v>46321</v>
      </c>
      <c r="V26" s="2442" t="inlineStr">
        <is>
          <t>DOBLE RODILLO   INGERSOLL RAND DD-108HF</t>
        </is>
      </c>
      <c r="W26" s="2441" t="inlineStr">
        <is>
          <t>DR-03</t>
        </is>
      </c>
      <c r="X26" s="2443" t="n"/>
      <c r="Y26" s="2444" t="n"/>
    </row>
    <row r="27" ht="16.8" customHeight="1" s="17580">
      <c r="K27" s="66" t="n"/>
      <c r="L27" s="32" t="n">
        <v>46328</v>
      </c>
      <c r="V27" s="2446" t="inlineStr">
        <is>
          <t>TRASFER BUGGI RODATEC</t>
        </is>
      </c>
      <c r="W27" s="2445" t="inlineStr">
        <is>
          <t>BG-01</t>
        </is>
      </c>
      <c r="X27" s="2447" t="n"/>
      <c r="Y27" s="2448" t="n"/>
    </row>
    <row r="28" ht="16.8" customHeight="1" s="17580">
      <c r="K28" s="67" t="n"/>
      <c r="L28" s="33" t="n">
        <v>46335</v>
      </c>
      <c r="V28" s="2450" t="inlineStr">
        <is>
          <t>IMPACTO FORD 4300</t>
        </is>
      </c>
      <c r="W28" s="2449" t="inlineStr">
        <is>
          <t>CI-01</t>
        </is>
      </c>
      <c r="X28" s="2451" t="n"/>
      <c r="Y28" s="2452" t="n"/>
    </row>
    <row r="29" ht="16.8" customHeight="1" s="17580">
      <c r="K29" s="68" t="n"/>
      <c r="L29" s="34" t="n">
        <v>46342</v>
      </c>
      <c r="V29" s="2454" t="inlineStr">
        <is>
          <t>IMPACTO FORD F800</t>
        </is>
      </c>
      <c r="W29" s="2453" t="inlineStr">
        <is>
          <t>CI-02</t>
        </is>
      </c>
      <c r="X29" s="2455" t="inlineStr">
        <is>
          <t>Lerma - Tres Marías</t>
        </is>
      </c>
      <c r="Y29" s="2456" t="inlineStr">
        <is>
          <t>Marco Antonio Millan Centeno</t>
        </is>
      </c>
    </row>
    <row r="30" ht="16.8" customHeight="1" s="17580">
      <c r="K30" s="69" t="n"/>
      <c r="L30" s="35" t="n">
        <v>46349</v>
      </c>
      <c r="V30" s="2458" t="inlineStr">
        <is>
          <t>PETROLIZADORA (IMPACTO 04) FORD F800</t>
        </is>
      </c>
      <c r="W30" s="2457" t="inlineStr">
        <is>
          <t>PT-01</t>
        </is>
      </c>
      <c r="X30" s="2459" t="n"/>
      <c r="Y30" s="2460" t="n"/>
    </row>
    <row r="31" ht="16.8" customHeight="1" s="17580">
      <c r="K31" s="70" t="n"/>
      <c r="L31" s="36" t="n">
        <v>46356</v>
      </c>
      <c r="V31" s="2462" t="inlineStr">
        <is>
          <t>PETROLIZADORA    INTERNATIONAL</t>
        </is>
      </c>
      <c r="W31" s="2461" t="inlineStr">
        <is>
          <t>PT-02</t>
        </is>
      </c>
      <c r="X31" s="2463" t="inlineStr">
        <is>
          <t>Lerma - Tres Marías</t>
        </is>
      </c>
      <c r="Y31" s="2464" t="inlineStr">
        <is>
          <t>Francisco Gomora Angeles / Elthon Eduardo</t>
        </is>
      </c>
    </row>
    <row r="32" ht="16.8" customHeight="1" s="17580">
      <c r="K32" s="71" t="n"/>
      <c r="L32" s="37" t="n">
        <v>46363</v>
      </c>
      <c r="V32" s="2466" t="inlineStr">
        <is>
          <t>PIPA DE AGUA (IMPACTO 01) FORD</t>
        </is>
      </c>
      <c r="W32" s="2465" t="inlineStr">
        <is>
          <t>PP-01</t>
        </is>
      </c>
      <c r="X32" s="2467" t="n"/>
      <c r="Y32" s="2468" t="n"/>
    </row>
    <row r="33" ht="16.8" customHeight="1" s="17580">
      <c r="K33" s="72" t="n"/>
      <c r="L33" s="38" t="n">
        <v>46370</v>
      </c>
      <c r="V33" s="2470" t="inlineStr">
        <is>
          <t>DOBLE RODILLO RAD ROLLER FILY-325 PRO</t>
        </is>
      </c>
      <c r="W33" s="2469" t="inlineStr">
        <is>
          <t>DR-04</t>
        </is>
      </c>
      <c r="X33" s="2471" t="n"/>
      <c r="Y33" s="2472" t="n"/>
    </row>
    <row r="34" ht="16.8" customHeight="1" s="17580">
      <c r="K34" s="73" t="n"/>
      <c r="L34" s="74" t="n"/>
      <c r="V34" s="2474" t="inlineStr">
        <is>
          <t>PERFILADORA WIRGENT-W200i</t>
        </is>
      </c>
      <c r="W34" s="2473" t="inlineStr">
        <is>
          <t>S/N (WIRGENT)</t>
        </is>
      </c>
      <c r="X34" s="2475" t="inlineStr">
        <is>
          <t>México-Toluca</t>
        </is>
      </c>
      <c r="Y34" s="2476" t="inlineStr">
        <is>
          <t>Alejandro de Jesus Fuentes Tapia</t>
        </is>
      </c>
    </row>
    <row r="35" ht="16.8" customHeight="1" s="17580">
      <c r="K35" s="75" t="n"/>
      <c r="L35" s="76" t="n"/>
      <c r="V35" s="2478" t="inlineStr">
        <is>
          <t>COMPRESOR INGERSOLL RAND IR185</t>
        </is>
      </c>
      <c r="W35" s="2477" t="inlineStr">
        <is>
          <t>S/N (IR185)</t>
        </is>
      </c>
      <c r="X35" s="2479" t="inlineStr">
        <is>
          <t>México-Toluca</t>
        </is>
      </c>
      <c r="Y35" s="2480" t="inlineStr">
        <is>
          <t>Jose Carlos Romero Tellez</t>
        </is>
      </c>
    </row>
    <row r="36" ht="16.8" customHeight="1" s="17580">
      <c r="K36" s="77" t="n"/>
      <c r="L36" s="78" t="n"/>
      <c r="V36" t="inlineStr">
        <is>
          <t>BIDONES</t>
        </is>
      </c>
      <c r="W36" t="inlineStr">
        <is>
          <t>BD-01</t>
        </is>
      </c>
    </row>
    <row r="37" ht="16.8" customHeight="1" s="17580">
      <c r="K37" s="79" t="n"/>
      <c r="L37" s="80" t="n"/>
      <c r="V37" t="inlineStr">
        <is>
          <t>OTRO</t>
        </is>
      </c>
      <c r="W37" t="inlineStr">
        <is>
          <t>OT-01</t>
        </is>
      </c>
    </row>
    <row r="38" ht="16.8" customHeight="1" s="17580">
      <c r="K38" s="81" t="n"/>
      <c r="L38" s="82" t="n"/>
      <c r="V38" t="inlineStr">
        <is>
          <t>MARIMBA</t>
        </is>
      </c>
      <c r="W38" t="inlineStr">
        <is>
          <t>MB-01</t>
        </is>
      </c>
    </row>
    <row r="39" ht="16.8" customHeight="1" s="17580">
      <c r="K39" s="83" t="n"/>
      <c r="L39" s="84" t="n"/>
      <c r="V39" t="inlineStr">
        <is>
          <t>GENERADOR</t>
        </is>
      </c>
      <c r="W39" t="inlineStr">
        <is>
          <t>GR-01</t>
        </is>
      </c>
    </row>
    <row r="40" ht="16.8" customHeight="1" s="17580">
      <c r="K40" s="85" t="n"/>
      <c r="L40" s="86" t="n"/>
      <c r="V40" t="inlineStr">
        <is>
          <t>CRIBA ROJA</t>
        </is>
      </c>
      <c r="W40" t="inlineStr">
        <is>
          <t>CR-01</t>
        </is>
      </c>
    </row>
    <row r="41" ht="16.8" customHeight="1" s="17580">
      <c r="K41" s="87" t="n"/>
      <c r="L41" s="88" t="n"/>
      <c r="V41" t="inlineStr">
        <is>
          <t>TANDEM CAT</t>
        </is>
      </c>
      <c r="W41" t="inlineStr">
        <is>
          <t>TC-01</t>
        </is>
      </c>
    </row>
    <row r="42" ht="16.8" customHeight="1" s="17580">
      <c r="K42" s="89" t="n"/>
      <c r="L42" s="90" t="n"/>
      <c r="V42" t="inlineStr">
        <is>
          <t>MOTOCONFORMADORA RENTADA</t>
        </is>
      </c>
      <c r="W42" t="inlineStr">
        <is>
          <t>MGR-01</t>
        </is>
      </c>
    </row>
    <row r="43" ht="16.8" customHeight="1" s="17580">
      <c r="K43" s="91" t="n"/>
      <c r="L43" s="92" t="n"/>
      <c r="V43" t="inlineStr">
        <is>
          <t>VIBRO COMPACTADOR</t>
        </is>
      </c>
      <c r="W43" t="inlineStr">
        <is>
          <t>VC-01</t>
        </is>
      </c>
    </row>
    <row r="44" ht="16.8" customHeight="1" s="17580">
      <c r="K44" s="93" t="n"/>
      <c r="L44" s="94" t="n"/>
      <c r="V44" t="inlineStr">
        <is>
          <t>PAYLODER</t>
        </is>
      </c>
      <c r="W44" t="inlineStr">
        <is>
          <t>PL-01</t>
        </is>
      </c>
    </row>
    <row r="45" ht="16.8" customHeight="1" s="17580">
      <c r="K45" s="95" t="n"/>
      <c r="L45" s="96" t="n"/>
      <c r="V45" t="inlineStr">
        <is>
          <t>LIMPIEZA</t>
        </is>
      </c>
      <c r="W45" t="inlineStr">
        <is>
          <t>LP-01</t>
        </is>
      </c>
    </row>
    <row r="46" ht="16.8" customHeight="1" s="17580">
      <c r="K46" s="97" t="n"/>
      <c r="L46" s="98" t="n"/>
      <c r="V46" t="inlineStr">
        <is>
          <t>RASTRILLADOR</t>
        </is>
      </c>
      <c r="W46" t="inlineStr">
        <is>
          <t>RS-01</t>
        </is>
      </c>
    </row>
    <row r="47" ht="16.8" customHeight="1" s="17580">
      <c r="K47" s="99" t="n"/>
      <c r="L47" s="100" t="n"/>
      <c r="V47" t="inlineStr">
        <is>
          <t>MAXILIGHT</t>
        </is>
      </c>
      <c r="W47" t="inlineStr">
        <is>
          <t>MX-01</t>
        </is>
      </c>
    </row>
    <row r="48" ht="16.8" customHeight="1" s="17580">
      <c r="K48" s="101" t="n"/>
      <c r="L48" s="102" t="n"/>
      <c r="V48" t="inlineStr">
        <is>
          <t>HOMBRE A BORDO</t>
        </is>
      </c>
      <c r="W48" t="inlineStr">
        <is>
          <t>HB-01</t>
        </is>
      </c>
    </row>
    <row r="49" ht="16.8" customHeight="1" s="17580">
      <c r="K49" s="103" t="n"/>
      <c r="L49" s="104" t="n"/>
      <c r="V49" t="inlineStr">
        <is>
          <t>EXCAVADORA</t>
        </is>
      </c>
      <c r="W49" t="inlineStr">
        <is>
          <t>EX-01</t>
        </is>
      </c>
    </row>
    <row r="50" ht="16.8" customHeight="1" s="17580">
      <c r="K50" s="105" t="n"/>
      <c r="L50" s="106" t="n"/>
      <c r="V50" t="inlineStr">
        <is>
          <t>CALDERA TECNO</t>
        </is>
      </c>
      <c r="W50" t="inlineStr">
        <is>
          <t>CT-01</t>
        </is>
      </c>
    </row>
    <row r="51" ht="16.8" customHeight="1" s="17580">
      <c r="K51" s="107" t="n"/>
      <c r="L51" s="108" t="n"/>
      <c r="V51" t="inlineStr">
        <is>
          <t>CALDERA TRIASO</t>
        </is>
      </c>
      <c r="W51" t="inlineStr">
        <is>
          <t>CTR-01</t>
        </is>
      </c>
    </row>
    <row r="52" ht="16.8" customHeight="1" s="17580">
      <c r="K52" s="109" t="n"/>
      <c r="L52" s="110" t="n"/>
      <c r="V52" t="inlineStr">
        <is>
          <t>TRACTOR</t>
        </is>
      </c>
      <c r="W52" t="inlineStr">
        <is>
          <t>TR-01</t>
        </is>
      </c>
    </row>
    <row r="53" ht="16.8" customHeight="1" s="17580">
      <c r="K53" s="111" t="n"/>
      <c r="L53" s="112" t="n"/>
      <c r="V53" t="inlineStr">
        <is>
          <t>GENERADOR AMMANN</t>
        </is>
      </c>
      <c r="W53" t="inlineStr">
        <is>
          <t>GA-01</t>
        </is>
      </c>
    </row>
    <row r="54" ht="16.8" customHeight="1" s="17580">
      <c r="K54" s="113" t="n"/>
      <c r="L54" s="114" t="n"/>
      <c r="V54" t="inlineStr">
        <is>
          <t>AUTOTANQUE(QUEMADOR)</t>
        </is>
      </c>
      <c r="W54" t="inlineStr">
        <is>
          <t>ATQ-01</t>
        </is>
      </c>
    </row>
    <row r="55" ht="16.8" customHeight="1" s="17580">
      <c r="K55" s="115" t="n"/>
      <c r="L55" s="116" t="n"/>
      <c r="V55" t="inlineStr">
        <is>
          <t>NEUMATICO VOLVO PT-125R</t>
        </is>
      </c>
      <c r="W55" t="inlineStr">
        <is>
          <t>NV-02</t>
        </is>
      </c>
    </row>
    <row r="56" ht="16.8" customHeight="1" s="17580">
      <c r="K56" s="117" t="n"/>
      <c r="L56" s="118" t="n"/>
      <c r="V56" t="inlineStr">
        <is>
          <t>CAMION DE SELLO</t>
        </is>
      </c>
      <c r="W56" t="inlineStr">
        <is>
          <t>CS-01</t>
        </is>
      </c>
    </row>
    <row r="57" ht="16.8" customHeight="1" s="17580">
      <c r="K57" s="119" t="n"/>
      <c r="L57" s="120" t="n"/>
    </row>
    <row r="58" ht="16.8" customHeight="1" s="17580">
      <c r="K58" s="121" t="n"/>
      <c r="L58" s="122" t="n"/>
    </row>
    <row r="59" ht="16.8" customHeight="1" s="17580">
      <c r="K59" s="123" t="n"/>
      <c r="L59" s="124" t="n"/>
    </row>
    <row r="60" ht="16.8" customHeight="1" s="17580">
      <c r="K60" s="125" t="n"/>
      <c r="L60" s="126" t="n"/>
    </row>
    <row r="61" ht="16.8" customHeight="1" s="17580">
      <c r="K61" s="127" t="n"/>
      <c r="L61" s="128" t="n"/>
    </row>
    <row r="62" ht="16.8" customHeight="1" s="17580">
      <c r="K62" s="129" t="n"/>
      <c r="L62" s="130" t="n"/>
    </row>
    <row r="63" ht="16.8" customHeight="1" s="17580">
      <c r="K63" s="131" t="n"/>
      <c r="L63" s="132" t="n"/>
    </row>
    <row r="64" ht="16.8" customHeight="1" s="17580">
      <c r="K64" s="133" t="n"/>
      <c r="L64" s="134" t="n"/>
    </row>
    <row r="65" ht="16.8" customHeight="1" s="17580">
      <c r="K65" s="135" t="n"/>
      <c r="L65" s="136" t="n"/>
    </row>
    <row r="66" ht="16.8" customHeight="1" s="17580">
      <c r="K66" s="137" t="n"/>
      <c r="L66" s="138" t="n"/>
    </row>
    <row r="67" ht="16.8" customHeight="1" s="17580">
      <c r="K67" s="139" t="n"/>
      <c r="L67" s="140" t="n"/>
    </row>
    <row r="68" ht="16.8" customHeight="1" s="17580">
      <c r="K68" s="141" t="n"/>
      <c r="L68" s="142" t="n"/>
    </row>
    <row r="69" ht="16.8" customHeight="1" s="17580">
      <c r="K69" s="143" t="n"/>
      <c r="L69" s="144" t="n"/>
    </row>
    <row r="70" ht="16.8" customHeight="1" s="17580">
      <c r="K70" s="145" t="n"/>
      <c r="L70" s="146" t="n"/>
    </row>
    <row r="71" ht="16.8" customHeight="1" s="17580">
      <c r="K71" s="147" t="n"/>
      <c r="L71" s="148" t="n"/>
    </row>
    <row r="72" ht="16.8" customHeight="1" s="17580">
      <c r="K72" s="149" t="n"/>
      <c r="L72" s="150" t="n"/>
    </row>
    <row r="73" ht="16.8" customHeight="1" s="17580">
      <c r="K73" s="151" t="n"/>
      <c r="L73" s="152" t="n"/>
    </row>
    <row r="74" ht="16.8" customHeight="1" s="17580">
      <c r="K74" s="153" t="n"/>
      <c r="L74" s="154" t="n"/>
    </row>
    <row r="75" ht="16.8" customHeight="1" s="17580">
      <c r="K75" s="155" t="n"/>
      <c r="L75" s="156" t="n"/>
    </row>
    <row r="76" ht="16.8" customHeight="1" s="17580">
      <c r="K76" s="157" t="n"/>
      <c r="L76" s="158" t="n"/>
    </row>
    <row r="77" ht="16.8" customHeight="1" s="17580">
      <c r="K77" s="159" t="n"/>
      <c r="L77" s="160" t="n"/>
    </row>
    <row r="78" ht="16.8" customHeight="1" s="17580">
      <c r="K78" s="161" t="n"/>
      <c r="L78" s="162" t="n"/>
    </row>
    <row r="79" ht="16.8" customHeight="1" s="17580">
      <c r="K79" s="163" t="n"/>
      <c r="L79" s="164" t="n"/>
    </row>
    <row r="80" ht="16.8" customHeight="1" s="17580">
      <c r="K80" s="165" t="n"/>
      <c r="L80" s="166" t="n"/>
    </row>
    <row r="81" ht="16.8" customHeight="1" s="17580">
      <c r="K81" s="167" t="n"/>
      <c r="L81" s="168" t="n"/>
    </row>
    <row r="82" ht="16.8" customHeight="1" s="17580">
      <c r="K82" s="169" t="n"/>
      <c r="L82" s="170" t="n"/>
    </row>
    <row r="83" ht="16.8" customHeight="1" s="17580">
      <c r="K83" s="171" t="n"/>
      <c r="L83" s="172" t="n"/>
    </row>
    <row r="84" ht="16.8" customHeight="1" s="17580">
      <c r="K84" s="173" t="n"/>
      <c r="L84" s="174" t="n"/>
    </row>
    <row r="85" ht="16.8" customHeight="1" s="17580">
      <c r="K85" s="175" t="n"/>
      <c r="L85" s="176" t="n"/>
    </row>
    <row r="86" ht="16.8" customHeight="1" s="17580">
      <c r="K86" s="177" t="n"/>
      <c r="L86" s="178" t="n"/>
    </row>
    <row r="87" ht="16.8" customHeight="1" s="17580">
      <c r="K87" s="179" t="n"/>
      <c r="L87" s="180" t="n"/>
    </row>
    <row r="88" ht="16.8" customHeight="1" s="17580">
      <c r="K88" s="181" t="n"/>
      <c r="L88" s="182" t="n"/>
    </row>
    <row r="89" ht="16.8" customHeight="1" s="17580">
      <c r="K89" s="183" t="n"/>
      <c r="L89" s="184" t="n"/>
    </row>
    <row r="90" ht="16.8" customHeight="1" s="17580">
      <c r="K90" s="185" t="n"/>
      <c r="L90" s="186" t="n"/>
    </row>
    <row r="91" ht="16.8" customHeight="1" s="17580">
      <c r="K91" s="187" t="n"/>
      <c r="L91" s="188" t="n"/>
    </row>
    <row r="92" ht="16.8" customHeight="1" s="17580">
      <c r="K92" s="189" t="n"/>
      <c r="L92" s="190" t="n"/>
    </row>
    <row r="93" ht="16.8" customHeight="1" s="17580">
      <c r="K93" s="191" t="n"/>
      <c r="L93" s="192" t="n"/>
    </row>
    <row r="94" ht="16.8" customHeight="1" s="17580">
      <c r="K94" s="193" t="n"/>
      <c r="L94" s="194" t="n"/>
    </row>
    <row r="95" ht="16.8" customHeight="1" s="17580">
      <c r="K95" s="195" t="n"/>
      <c r="L95" s="196" t="n"/>
    </row>
    <row r="96" ht="16.8" customHeight="1" s="17580">
      <c r="K96" s="197" t="n"/>
      <c r="L96" s="198" t="n"/>
    </row>
    <row r="97" ht="16.8" customHeight="1" s="17580">
      <c r="K97" s="199" t="n"/>
      <c r="L97" s="200" t="n"/>
    </row>
    <row r="98" ht="16.8" customHeight="1" s="17580">
      <c r="K98" s="201" t="n"/>
      <c r="L98" s="202" t="n"/>
    </row>
    <row r="99" ht="16.8" customHeight="1" s="17580">
      <c r="K99" s="203" t="n"/>
      <c r="L99" s="204" t="n"/>
    </row>
    <row r="100" ht="16.8" customHeight="1" s="17580">
      <c r="K100" s="205" t="n"/>
      <c r="L100" s="206" t="n"/>
    </row>
  </sheetData>
  <mergeCells count="2">
    <mergeCell ref="A1:I1"/>
    <mergeCell ref="U2:Y2"/>
  </mergeCells>
  <dataValidations count="1">
    <dataValidation sqref="X4:X35" showDropDown="0" showInputMessage="1" showErrorMessage="1" allowBlank="1" errorTitle="undefined" error="undefined" promptTitle="undefined" prompt="undefined" type="list">
      <formula1>$B$4:$B$11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98"/>
  <sheetViews>
    <sheetView topLeftCell="A20" workbookViewId="0">
      <selection activeCell="J14" sqref="J14"/>
    </sheetView>
  </sheetViews>
  <sheetFormatPr baseColWidth="10" defaultRowHeight="13.8"/>
  <cols>
    <col width="21" customWidth="1" style="17580" min="2" max="2"/>
    <col width="22.69921875" customWidth="1" style="17580" min="3" max="3"/>
    <col width="20.8984375" customWidth="1" style="17580" min="4" max="4"/>
    <col width="13.69921875" customWidth="1" style="17580" min="5" max="5"/>
    <col width="27" customWidth="1" style="17580" min="7" max="7"/>
    <col width="18" customWidth="1" style="17580" min="8" max="9"/>
    <col width="14" customWidth="1" style="17580" min="10" max="10"/>
    <col width="28" customWidth="1" style="17580" min="11" max="11"/>
    <col width="15" customWidth="1" style="17580" min="12" max="12"/>
  </cols>
  <sheetData>
    <row r="1" ht="15" customHeight="1" s="17580">
      <c r="A1" s="585" t="inlineStr">
        <is>
          <t xml:space="preserve">Número </t>
        </is>
      </c>
      <c r="B1" s="586" t="inlineStr">
        <is>
          <t>Unidad</t>
        </is>
      </c>
      <c r="C1" s="587" t="inlineStr">
        <is>
          <t>Dueño</t>
        </is>
      </c>
      <c r="D1" s="588" t="inlineStr">
        <is>
          <t>Marca</t>
        </is>
      </c>
      <c r="E1" s="589" t="inlineStr">
        <is>
          <t>Modelo</t>
        </is>
      </c>
      <c r="F1" s="590" t="inlineStr">
        <is>
          <t xml:space="preserve">Año </t>
        </is>
      </c>
      <c r="G1" s="591" t="inlineStr">
        <is>
          <t xml:space="preserve">No. Serie </t>
        </is>
      </c>
      <c r="H1" s="592" t="inlineStr">
        <is>
          <t>Rendimiento Nuevo</t>
        </is>
      </c>
      <c r="I1" s="593" t="inlineStr">
        <is>
          <t>Unidad de Medida</t>
        </is>
      </c>
      <c r="J1" s="594" t="inlineStr">
        <is>
          <t>Edad (Años)</t>
        </is>
      </c>
      <c r="K1" s="1990" t="inlineStr">
        <is>
          <t>Rendimiento Ajustado (2026)</t>
        </is>
      </c>
      <c r="L1" s="1989" t="inlineStr">
        <is>
          <t>Económico</t>
        </is>
      </c>
      <c r="M1" s="595" t="n"/>
      <c r="N1" s="596" t="n"/>
      <c r="O1" s="597" t="n"/>
    </row>
    <row r="2" ht="15" customHeight="1" s="17580">
      <c r="A2" s="598" t="n">
        <v>1</v>
      </c>
      <c r="B2" s="599" t="inlineStr">
        <is>
          <t>RETROEXCAVADORA</t>
        </is>
      </c>
      <c r="C2" s="600" t="inlineStr">
        <is>
          <t>TRITURADORA ROCA DURA SAN MIGUEL S.A. DE C.V.</t>
        </is>
      </c>
      <c r="D2" s="601" t="inlineStr">
        <is>
          <t>CASE</t>
        </is>
      </c>
      <c r="E2" s="602" t="inlineStr">
        <is>
          <t>580 N</t>
        </is>
      </c>
      <c r="F2" s="603" t="n">
        <v>2011</v>
      </c>
      <c r="G2" s="604" t="inlineStr">
        <is>
          <t>JJGN580NABC540211</t>
        </is>
      </c>
      <c r="H2" s="605" t="n">
        <v>6.5</v>
      </c>
      <c r="I2" s="606" t="inlineStr">
        <is>
          <t>L/h</t>
        </is>
      </c>
      <c r="J2" s="607">
        <f>IF(OR(ISBLANK(F2), F2=""),#REF!,#REF! - F2)</f>
        <v/>
      </c>
      <c r="K2" s="2317">
        <f>IF(I2="km/L", H2 / (1 + (J2 *#REF!)), H2 * (1 + (J2 *#REF!)))</f>
        <v/>
      </c>
      <c r="L2" s="1991" t="inlineStr">
        <is>
          <t>RT-01</t>
        </is>
      </c>
      <c r="M2" s="608" t="n"/>
      <c r="N2" s="609" t="n"/>
      <c r="O2" s="610" t="n"/>
    </row>
    <row r="3" ht="15" customHeight="1" s="17580">
      <c r="A3" s="611" t="n">
        <v>2</v>
      </c>
      <c r="B3" s="612" t="inlineStr">
        <is>
          <t>RETROEXCAVADORA</t>
        </is>
      </c>
      <c r="C3" s="613" t="n"/>
      <c r="D3" s="614" t="inlineStr">
        <is>
          <t>JHONDEREE</t>
        </is>
      </c>
      <c r="E3" s="615" t="inlineStr">
        <is>
          <t>310 K</t>
        </is>
      </c>
      <c r="F3" s="616" t="n">
        <v>2010</v>
      </c>
      <c r="G3" s="617" t="inlineStr">
        <is>
          <t>1T0231KXTEE258108</t>
        </is>
      </c>
      <c r="H3" s="618" t="n">
        <v>6.5</v>
      </c>
      <c r="I3" s="619" t="inlineStr">
        <is>
          <t>L/h</t>
        </is>
      </c>
      <c r="J3" s="620">
        <f>IF(OR(ISBLANK(F3), F3=""),#REF!,#REF! - F3)</f>
        <v/>
      </c>
      <c r="K3" s="2318">
        <f>IF(I3="km/L", H3 / (1 + (J3 *#REF!)), H3 * (1 + (J3 *#REF!)))</f>
        <v/>
      </c>
      <c r="L3" s="1992" t="inlineStr">
        <is>
          <t>RT-02</t>
        </is>
      </c>
      <c r="M3" s="621" t="n"/>
      <c r="N3" s="622" t="n"/>
      <c r="O3" s="623" t="n"/>
    </row>
    <row r="4" ht="15" customHeight="1" s="17580">
      <c r="A4" s="624" t="n">
        <v>3</v>
      </c>
      <c r="B4" s="625" t="inlineStr">
        <is>
          <t>RETROEXCAVADORA</t>
        </is>
      </c>
      <c r="C4" s="626" t="inlineStr">
        <is>
          <t>TRITURADORA ROCA DURA SAN MIGUEL S.A. DE C.V.</t>
        </is>
      </c>
      <c r="D4" s="627" t="inlineStr">
        <is>
          <t>CASE</t>
        </is>
      </c>
      <c r="E4" s="628" t="inlineStr">
        <is>
          <t>580 N</t>
        </is>
      </c>
      <c r="F4" s="629" t="n">
        <v>2010</v>
      </c>
      <c r="G4" s="630" t="inlineStr">
        <is>
          <t>JJGN58NHAC535026</t>
        </is>
      </c>
      <c r="H4" s="631" t="n">
        <v>6.5</v>
      </c>
      <c r="I4" s="632" t="inlineStr">
        <is>
          <t>L/h</t>
        </is>
      </c>
      <c r="J4" s="633">
        <f>IF(OR(ISBLANK(F4), F4=""),#REF!,#REF! - F4)</f>
        <v/>
      </c>
      <c r="K4" s="2319">
        <f>IF(I4="km/L", H4 / (1 + (J4 *#REF!)), H4 * (1 + (J4 *#REF!)))</f>
        <v/>
      </c>
      <c r="L4" s="1993" t="inlineStr">
        <is>
          <t>RT-03</t>
        </is>
      </c>
      <c r="M4" s="634" t="n"/>
      <c r="N4" s="635" t="n"/>
      <c r="O4" s="636" t="n"/>
    </row>
    <row r="5" ht="15" customHeight="1" s="17580">
      <c r="A5" s="637" t="n">
        <v>4</v>
      </c>
      <c r="B5" s="638" t="inlineStr">
        <is>
          <t xml:space="preserve">PAVIMENTADORA </t>
        </is>
      </c>
      <c r="C5" s="639" t="inlineStr">
        <is>
          <t>JDJ EQUIPO Y CONSTRUCCIONES S.A. DE C.V.</t>
        </is>
      </c>
      <c r="D5" s="640" t="inlineStr">
        <is>
          <t>VOGELE</t>
        </is>
      </c>
      <c r="E5" s="641" t="inlineStr">
        <is>
          <t>1800-3 i</t>
        </is>
      </c>
      <c r="F5" s="642" t="n">
        <v>2016</v>
      </c>
      <c r="G5" s="643" t="n">
        <v>14821687</v>
      </c>
      <c r="H5" s="644" t="n">
        <v>14.5</v>
      </c>
      <c r="I5" s="645" t="inlineStr">
        <is>
          <t>L/h</t>
        </is>
      </c>
      <c r="J5" s="646">
        <f>IF(OR(ISBLANK(F5), F5=""),#REF!,#REF! - F5)</f>
        <v/>
      </c>
      <c r="K5" s="2320">
        <f>IF(I5="km/L", H5 / (1 + (J5 *#REF!)), H5 * (1 + (J5 *#REF!)))</f>
        <v/>
      </c>
      <c r="L5" s="1994" t="inlineStr">
        <is>
          <t>VG-01</t>
        </is>
      </c>
      <c r="M5" s="647" t="n"/>
      <c r="N5" s="648" t="n"/>
      <c r="O5" s="649" t="n"/>
    </row>
    <row r="6" ht="15" customHeight="1" s="17580">
      <c r="A6" s="650" t="n">
        <v>5</v>
      </c>
      <c r="B6" s="651" t="inlineStr">
        <is>
          <t xml:space="preserve">PAVIMENTADORA </t>
        </is>
      </c>
      <c r="C6" s="652" t="inlineStr">
        <is>
          <t>TRITURADORA ROCA DURA SAN MIGUEL S.A. DE C.V.</t>
        </is>
      </c>
      <c r="D6" s="653" t="inlineStr">
        <is>
          <t>VOGELE</t>
        </is>
      </c>
      <c r="E6" s="654" t="inlineStr">
        <is>
          <t>1800-2 SJ</t>
        </is>
      </c>
      <c r="F6" s="655" t="n">
        <v>2009</v>
      </c>
      <c r="G6" s="656" t="n">
        <v>11821564</v>
      </c>
      <c r="H6" s="657" t="n">
        <v>14.5</v>
      </c>
      <c r="I6" s="658" t="inlineStr">
        <is>
          <t>L/h</t>
        </is>
      </c>
      <c r="J6" s="659">
        <f>IF(OR(ISBLANK(F6), F6=""),#REF!,#REF! - F6)</f>
        <v/>
      </c>
      <c r="K6" s="2321">
        <f>IF(I6="km/L", H6 / (1 + (J6 *#REF!)), H6 * (1 + (J6 *#REF!)))</f>
        <v/>
      </c>
      <c r="L6" s="1995" t="inlineStr">
        <is>
          <t>VG-02</t>
        </is>
      </c>
      <c r="M6" s="660" t="n"/>
      <c r="N6" s="661" t="n"/>
      <c r="O6" s="662" t="n"/>
    </row>
    <row r="7" ht="15" customHeight="1" s="17580">
      <c r="A7" s="663" t="n">
        <v>6</v>
      </c>
      <c r="B7" s="664" t="inlineStr">
        <is>
          <t xml:space="preserve">PAVIMENTADORA </t>
        </is>
      </c>
      <c r="C7" s="665" t="inlineStr">
        <is>
          <t>JDJ EQUIPO Y CONSTRUCCIONES S.A. DE C.V.</t>
        </is>
      </c>
      <c r="D7" s="666" t="inlineStr">
        <is>
          <t>VOGELE</t>
        </is>
      </c>
      <c r="E7" s="667" t="inlineStr">
        <is>
          <t>SJ 1800-3</t>
        </is>
      </c>
      <c r="F7" s="668" t="n">
        <v>2021</v>
      </c>
      <c r="G7" s="669" t="n">
        <v>14823977</v>
      </c>
      <c r="H7" s="670" t="n">
        <v>14.5</v>
      </c>
      <c r="I7" s="671" t="inlineStr">
        <is>
          <t>L/h</t>
        </is>
      </c>
      <c r="J7" s="672">
        <f>IF(OR(ISBLANK(F7), F7=""),#REF!,#REF! - F7)</f>
        <v/>
      </c>
      <c r="K7" s="2322">
        <f>IF(I7="km/L", H7 / (1 + (J7 *#REF!)), H7 * (1 + (J7 *#REF!)))</f>
        <v/>
      </c>
      <c r="L7" s="1996" t="inlineStr">
        <is>
          <t>VG-03</t>
        </is>
      </c>
      <c r="M7" s="673" t="n"/>
      <c r="N7" s="674" t="n"/>
      <c r="O7" s="675" t="n"/>
    </row>
    <row r="8" ht="15" customHeight="1" s="17580">
      <c r="A8" s="676" t="n">
        <v>7</v>
      </c>
      <c r="B8" s="677" t="inlineStr">
        <is>
          <t>PERFILADORA</t>
        </is>
      </c>
      <c r="C8" s="678" t="inlineStr">
        <is>
          <t>JDJ EQUIPO Y CONSTRUCCIONES S.A. DE C.V.</t>
        </is>
      </c>
      <c r="D8" s="679" t="inlineStr">
        <is>
          <t>RODATEC</t>
        </is>
      </c>
      <c r="E8" s="680" t="inlineStr">
        <is>
          <t>RX600-4-4008</t>
        </is>
      </c>
      <c r="F8" s="681" t="n">
        <v>2015</v>
      </c>
      <c r="G8" s="682" t="n">
        <v>79816538</v>
      </c>
      <c r="H8" s="683" t="n">
        <v>65</v>
      </c>
      <c r="I8" s="684" t="inlineStr">
        <is>
          <t>L/h</t>
        </is>
      </c>
      <c r="J8" s="685">
        <f>IF(OR(ISBLANK(F8), F8=""),#REF!,#REF! - F8)</f>
        <v/>
      </c>
      <c r="K8" s="2323">
        <f>IF(I8="km/L", H8 / (1 + (J8 *#REF!)), H8 * (1 + (J8 *#REF!)))</f>
        <v/>
      </c>
      <c r="L8" s="1997" t="inlineStr">
        <is>
          <t>PR-01</t>
        </is>
      </c>
      <c r="M8" s="686" t="n"/>
      <c r="N8" s="687" t="n"/>
      <c r="O8" s="688" t="n"/>
    </row>
    <row r="9" ht="26.4" customHeight="1" s="17580">
      <c r="A9" s="689" t="n">
        <v>8</v>
      </c>
      <c r="B9" s="690" t="inlineStr">
        <is>
          <t>PERFILADORA</t>
        </is>
      </c>
      <c r="C9" s="691" t="n"/>
      <c r="D9" s="692" t="inlineStr">
        <is>
          <t>RODATEC</t>
        </is>
      </c>
      <c r="E9" s="693" t="inlineStr">
        <is>
          <t>RX600E</t>
        </is>
      </c>
      <c r="F9" s="694" t="n">
        <v>2013</v>
      </c>
      <c r="G9" s="695" t="n">
        <v>79549560</v>
      </c>
      <c r="H9" s="696" t="n">
        <v>65</v>
      </c>
      <c r="I9" s="697" t="inlineStr">
        <is>
          <t>L/h</t>
        </is>
      </c>
      <c r="J9" s="698">
        <f>IF(OR(ISBLANK(F9), F9=""),#REF!,#REF! - F9)</f>
        <v/>
      </c>
      <c r="K9" s="2324">
        <f>IF(I9="km/L", H9 / (1 + (J9 *#REF!)), H9 * (1 + (J9 *#REF!)))</f>
        <v/>
      </c>
      <c r="L9" s="1998" t="inlineStr">
        <is>
          <t>PR-02</t>
        </is>
      </c>
      <c r="M9" s="699" t="n"/>
      <c r="N9" s="700" t="n"/>
      <c r="O9" s="701" t="n"/>
    </row>
    <row r="10" ht="15" customHeight="1" s="17580">
      <c r="A10" s="702" t="n">
        <v>9</v>
      </c>
      <c r="B10" s="703" t="inlineStr">
        <is>
          <t>BARREDORA</t>
        </is>
      </c>
      <c r="C10" s="704" t="inlineStr">
        <is>
          <t>JDJ EQUIPO Y CONSTRUCCIONES S.A. DE C.V.</t>
        </is>
      </c>
      <c r="D10" s="705" t="inlineStr">
        <is>
          <t>BROCE</t>
        </is>
      </c>
      <c r="E10" s="706" t="inlineStr">
        <is>
          <t>RJ350</t>
        </is>
      </c>
      <c r="F10" s="707" t="n">
        <v>2010</v>
      </c>
      <c r="G10" s="708" t="n">
        <v>89602</v>
      </c>
      <c r="H10" s="709" t="n">
        <v>7.5</v>
      </c>
      <c r="I10" s="710" t="inlineStr">
        <is>
          <t>L/h</t>
        </is>
      </c>
      <c r="J10" s="711">
        <f>IF(OR(ISBLANK(F10), F10=""),#REF!,#REF! - F10)</f>
        <v/>
      </c>
      <c r="K10" s="2325">
        <f>IF(I10="km/L", H10 / (1 + (J10 *#REF!)), H10 * (1 + (J10 *#REF!)))</f>
        <v/>
      </c>
      <c r="L10" s="1999" t="inlineStr">
        <is>
          <t>BR-01</t>
        </is>
      </c>
      <c r="M10" s="712" t="n"/>
      <c r="N10" s="713" t="n"/>
      <c r="O10" s="714" t="n"/>
    </row>
    <row r="11" ht="15" customHeight="1" s="17580">
      <c r="A11" s="715" t="n">
        <v>10</v>
      </c>
      <c r="B11" s="716" t="inlineStr">
        <is>
          <t>BARREDORA</t>
        </is>
      </c>
      <c r="C11" s="717" t="inlineStr">
        <is>
          <t>TRITURADORA ROCA DURA SAN MIGUEL S.A. DE C.V.</t>
        </is>
      </c>
      <c r="D11" s="718" t="inlineStr">
        <is>
          <t>LAYMOR</t>
        </is>
      </c>
      <c r="E11" s="719" t="inlineStr">
        <is>
          <t>SM400</t>
        </is>
      </c>
      <c r="F11" s="720" t="n">
        <v>2016</v>
      </c>
      <c r="G11" s="721" t="n">
        <v>36864</v>
      </c>
      <c r="H11" s="722" t="n">
        <v>7.5</v>
      </c>
      <c r="I11" s="723" t="inlineStr">
        <is>
          <t>L/h</t>
        </is>
      </c>
      <c r="J11" s="724">
        <f>IF(OR(ISBLANK(F11), F11=""),#REF!,#REF! - F11)</f>
        <v/>
      </c>
      <c r="K11" s="2326">
        <f>IF(I11="km/L", H11 / (1 + (J11 *#REF!)), H11 * (1 + (J11 *#REF!)))</f>
        <v/>
      </c>
      <c r="L11" s="2000" t="inlineStr">
        <is>
          <t>BR-02</t>
        </is>
      </c>
      <c r="M11" s="725" t="n"/>
      <c r="N11" s="726" t="n"/>
      <c r="O11" s="727" t="n"/>
    </row>
    <row r="12" ht="15" customHeight="1" s="17580">
      <c r="A12" s="728" t="n">
        <v>11</v>
      </c>
      <c r="B12" s="729" t="inlineStr">
        <is>
          <t>BARREDORA</t>
        </is>
      </c>
      <c r="C12" s="730" t="n"/>
      <c r="D12" s="731" t="inlineStr">
        <is>
          <t>SUPERIOR BROOM</t>
        </is>
      </c>
      <c r="E12" s="732" t="inlineStr">
        <is>
          <t>DT80J</t>
        </is>
      </c>
      <c r="F12" s="733" t="n">
        <v>2015</v>
      </c>
      <c r="G12" s="734" t="n">
        <v>804108</v>
      </c>
      <c r="H12" s="735" t="n">
        <v>7.5</v>
      </c>
      <c r="I12" s="736" t="inlineStr">
        <is>
          <t>L/h</t>
        </is>
      </c>
      <c r="J12" s="737">
        <f>IF(OR(ISBLANK(F12), F12=""),#REF!,#REF! - F12)</f>
        <v/>
      </c>
      <c r="K12" s="2327">
        <f>IF(I12="km/L", H12 / (1 + (J12 *#REF!)), H12 * (1 + (J12 *#REF!)))</f>
        <v/>
      </c>
      <c r="L12" s="2001" t="inlineStr">
        <is>
          <t>BR-03</t>
        </is>
      </c>
      <c r="M12" s="738" t="n"/>
      <c r="N12" s="739" t="n"/>
      <c r="O12" s="740" t="n"/>
    </row>
    <row r="13" ht="15" customHeight="1" s="17580">
      <c r="A13" s="741" t="n">
        <v>12</v>
      </c>
      <c r="B13" s="742" t="inlineStr">
        <is>
          <t>BARREDORA</t>
        </is>
      </c>
      <c r="C13" s="743" t="inlineStr">
        <is>
          <t>JDJ EQUIPO Y CONSTRUCCIONES S.A. DE C.V.</t>
        </is>
      </c>
      <c r="D13" s="744" t="inlineStr">
        <is>
          <t>LAYMOR</t>
        </is>
      </c>
      <c r="E13" s="745" t="inlineStr">
        <is>
          <t>SM400</t>
        </is>
      </c>
      <c r="F13" s="746" t="n">
        <v>2017</v>
      </c>
      <c r="G13" s="747" t="n">
        <v>34091</v>
      </c>
      <c r="H13" s="748" t="n">
        <v>7.5</v>
      </c>
      <c r="I13" s="749" t="inlineStr">
        <is>
          <t>L/h</t>
        </is>
      </c>
      <c r="J13" s="750">
        <f>IF(OR(ISBLANK(F13), F13=""),#REF!,#REF! - F13)</f>
        <v/>
      </c>
      <c r="K13" s="2328">
        <f>IF(I13="km/L", H13 / (1 + (J13 *#REF!)), H13 * (1 + (J13 *#REF!)))</f>
        <v/>
      </c>
      <c r="L13" s="2002" t="inlineStr">
        <is>
          <t>BR-04</t>
        </is>
      </c>
      <c r="M13" s="751" t="n"/>
      <c r="N13" s="752" t="n"/>
      <c r="O13" s="753" t="n"/>
    </row>
    <row r="14" ht="15" customHeight="1" s="17580">
      <c r="A14" s="754" t="n">
        <v>13</v>
      </c>
      <c r="B14" s="755" t="inlineStr">
        <is>
          <t>DOBLE RODILLO/VIBROCOMPACTADOR DE RODILLOS</t>
        </is>
      </c>
      <c r="C14" s="756" t="inlineStr">
        <is>
          <t>TRITURADORA ROCA DURA SAN MIGUEL S.A. DE C.V.</t>
        </is>
      </c>
      <c r="D14" s="757" t="inlineStr">
        <is>
          <t>HAMM</t>
        </is>
      </c>
      <c r="E14" s="758" t="inlineStr">
        <is>
          <t>120HD VV</t>
        </is>
      </c>
      <c r="F14" s="759" t="n">
        <v>2010</v>
      </c>
      <c r="G14" s="760" t="inlineStr">
        <is>
          <t>H1840093</t>
        </is>
      </c>
      <c r="H14" s="761" t="n">
        <v>12</v>
      </c>
      <c r="I14" s="762" t="inlineStr">
        <is>
          <t>L/h</t>
        </is>
      </c>
      <c r="J14" s="763">
        <f>IF(OR(ISBLANK(F14), F14=""),#REF!,#REF! - F14)</f>
        <v/>
      </c>
      <c r="K14" s="2329">
        <f>IF(I14="km/L", H14 / (1 + (J14 *#REF!)), H14 * (1 + (J14 *#REF!)))</f>
        <v/>
      </c>
      <c r="L14" s="2003" t="inlineStr">
        <is>
          <t>DR-01</t>
        </is>
      </c>
      <c r="M14" s="764" t="n"/>
      <c r="N14" s="765" t="n"/>
      <c r="O14" s="766" t="n"/>
    </row>
    <row r="15" ht="15" customHeight="1" s="17580">
      <c r="A15" s="767" t="n">
        <v>14</v>
      </c>
      <c r="B15" s="768" t="inlineStr">
        <is>
          <t>DOBLE RODILLO/VIBROCOMPACTADOR DE RODILLOS</t>
        </is>
      </c>
      <c r="C15" s="769" t="inlineStr">
        <is>
          <t>JDJ EQUIPO Y CONSTRUCCIONES S.A. DE C.V.</t>
        </is>
      </c>
      <c r="D15" s="770" t="inlineStr">
        <is>
          <t>HAMM</t>
        </is>
      </c>
      <c r="E15" s="771" t="inlineStr">
        <is>
          <t xml:space="preserve">140HD </t>
        </is>
      </c>
      <c r="F15" s="772" t="n">
        <v>2010</v>
      </c>
      <c r="G15" s="773" t="inlineStr">
        <is>
          <t>H1840234</t>
        </is>
      </c>
      <c r="H15" s="774" t="n">
        <v>12</v>
      </c>
      <c r="I15" s="775" t="inlineStr">
        <is>
          <t>L/h</t>
        </is>
      </c>
      <c r="J15" s="776">
        <f>IF(OR(ISBLANK(F15), F15=""),#REF!,#REF! - F15)</f>
        <v/>
      </c>
      <c r="K15" s="2330">
        <f>IF(I15="km/L", H15 / (1 + (J15 *#REF!)), H15 * (1 + (J15 *#REF!)))</f>
        <v/>
      </c>
      <c r="L15" s="2004" t="inlineStr">
        <is>
          <t>DR-02</t>
        </is>
      </c>
      <c r="M15" s="777" t="n"/>
      <c r="N15" s="778" t="n"/>
      <c r="O15" s="779" t="n"/>
    </row>
    <row r="16" ht="15" customHeight="1" s="17580">
      <c r="A16" s="780" t="n">
        <v>15</v>
      </c>
      <c r="B16" s="781" t="inlineStr">
        <is>
          <t>TANDEM DOBLE RODILLO / VIBROCOMPACTOR RODILLO</t>
        </is>
      </c>
      <c r="C16" s="782" t="inlineStr">
        <is>
          <t>TRITURADORA ROCA DURA SAN MIGUEL S.A. DE C.V.</t>
        </is>
      </c>
      <c r="D16" s="783" t="inlineStr">
        <is>
          <t>CAT</t>
        </is>
      </c>
      <c r="E16" s="784" t="inlineStr">
        <is>
          <t>CB54</t>
        </is>
      </c>
      <c r="F16" s="785" t="n">
        <v>2014</v>
      </c>
      <c r="G16" s="786" t="inlineStr">
        <is>
          <t>CAT0CB54PJLM00895</t>
        </is>
      </c>
      <c r="H16" s="787" t="n">
        <v>12</v>
      </c>
      <c r="I16" s="788" t="inlineStr">
        <is>
          <t>L/h</t>
        </is>
      </c>
      <c r="J16" s="789">
        <f>IF(OR(ISBLANK(F16), F16=""),#REF!,#REF! - F16)</f>
        <v/>
      </c>
      <c r="K16" s="2331">
        <f>IF(I16="km/L", H16 / (1 + (J16 *#REF!)), H16 * (1 + (J16 *#REF!)))</f>
        <v/>
      </c>
      <c r="L16" s="2005" t="inlineStr">
        <is>
          <t>TD-01</t>
        </is>
      </c>
      <c r="M16" s="790" t="n"/>
      <c r="N16" s="791" t="n"/>
      <c r="O16" s="792" t="n"/>
    </row>
    <row r="17" ht="15" customHeight="1" s="17580">
      <c r="A17" s="793" t="n">
        <v>16</v>
      </c>
      <c r="B17" s="794" t="inlineStr">
        <is>
          <t>VIBROCOMPACTADOR</t>
        </is>
      </c>
      <c r="C17" s="795" t="inlineStr">
        <is>
          <t>JDJ EQUIPO Y CONSTRUCCIONES S.A. DE C.V.</t>
        </is>
      </c>
      <c r="D17" s="796" t="inlineStr">
        <is>
          <t>CATERPILLAR</t>
        </is>
      </c>
      <c r="E17" s="797" t="inlineStr">
        <is>
          <t>CB66B</t>
        </is>
      </c>
      <c r="F17" s="798" t="n">
        <v>2017</v>
      </c>
      <c r="G17" s="799" t="inlineStr">
        <is>
          <t>CATCB66BVB6600136</t>
        </is>
      </c>
      <c r="H17" s="800" t="n">
        <v>12</v>
      </c>
      <c r="I17" s="801" t="inlineStr">
        <is>
          <t>L/h</t>
        </is>
      </c>
      <c r="J17" s="802">
        <f>IF(OR(ISBLANK(F17), F17=""),#REF!,#REF! - F17)</f>
        <v/>
      </c>
      <c r="K17" s="2332">
        <f>IF(I17="km/L", H17 / (1 + (J17 *#REF!)), H17 * (1 + (J17 *#REF!)))</f>
        <v/>
      </c>
      <c r="L17" s="2006" t="inlineStr">
        <is>
          <t>VC-01</t>
        </is>
      </c>
      <c r="M17" s="803" t="n"/>
      <c r="N17" s="804" t="n"/>
      <c r="O17" s="805" t="n"/>
    </row>
    <row r="18" ht="15" customHeight="1" s="17580">
      <c r="A18" s="806" t="n">
        <v>17</v>
      </c>
      <c r="B18" s="807" t="inlineStr">
        <is>
          <t>NEUMATICO / COMPACTADOR DE NEUMATICOS</t>
        </is>
      </c>
      <c r="C18" s="808" t="inlineStr">
        <is>
          <t>TRITURADORA ROCA DURA SAN MIGUEL S.A. DE C.V.</t>
        </is>
      </c>
      <c r="D18" s="809" t="inlineStr">
        <is>
          <t>DINAPAC</t>
        </is>
      </c>
      <c r="E18" s="810" t="inlineStr">
        <is>
          <t>CP271</t>
        </is>
      </c>
      <c r="F18" s="811" t="n">
        <v>2010</v>
      </c>
      <c r="G18" s="812" t="n">
        <v>23620561</v>
      </c>
      <c r="H18" s="813" t="n">
        <v>9.5</v>
      </c>
      <c r="I18" s="814" t="inlineStr">
        <is>
          <t>L/h</t>
        </is>
      </c>
      <c r="J18" s="815">
        <f>IF(OR(ISBLANK(F18), F18=""),#REF!,#REF! - F18)</f>
        <v/>
      </c>
      <c r="K18" s="2333">
        <f>IF(I18="km/L", H18 / (1 + (J18 *#REF!)), H18 * (1 + (J18 *#REF!)))</f>
        <v/>
      </c>
      <c r="L18" s="2007" t="inlineStr">
        <is>
          <t>NM-01</t>
        </is>
      </c>
      <c r="M18" s="816" t="n"/>
      <c r="N18" s="817" t="n"/>
      <c r="O18" s="818" t="n"/>
    </row>
    <row r="19" ht="15" customHeight="1" s="17580">
      <c r="A19" s="819" t="n">
        <v>18</v>
      </c>
      <c r="B19" s="820" t="inlineStr">
        <is>
          <t>NEUMATICO</t>
        </is>
      </c>
      <c r="C19" s="821" t="inlineStr">
        <is>
          <t>JDJ EQUIPO Y CONSTRUCCIONES S.A. DE C.V.</t>
        </is>
      </c>
      <c r="D19" s="822" t="inlineStr">
        <is>
          <t>VOLVO</t>
        </is>
      </c>
      <c r="E19" s="823" t="inlineStr">
        <is>
          <t>PT-240R</t>
        </is>
      </c>
      <c r="F19" s="824" t="n">
        <v>2014</v>
      </c>
      <c r="G19" s="825" t="inlineStr">
        <is>
          <t>VCE0T240A0S325028</t>
        </is>
      </c>
      <c r="H19" s="826" t="n">
        <v>9.5</v>
      </c>
      <c r="I19" s="827" t="inlineStr">
        <is>
          <t>L/h</t>
        </is>
      </c>
      <c r="J19" s="828">
        <f>IF(OR(ISBLANK(F19), F19=""),#REF!,#REF! - F19)</f>
        <v/>
      </c>
      <c r="K19" s="2334">
        <f>IF(I19="km/L", H19 / (1 + (J19 *#REF!)), H19 * (1 + (J19 *#REF!)))</f>
        <v/>
      </c>
      <c r="L19" s="2008" t="inlineStr">
        <is>
          <t>NM-02</t>
        </is>
      </c>
      <c r="M19" s="829" t="n"/>
      <c r="N19" s="830" t="n"/>
      <c r="O19" s="831" t="n"/>
    </row>
    <row r="20" ht="15" customHeight="1" s="17580">
      <c r="A20" s="832" t="n">
        <v>19</v>
      </c>
      <c r="B20" s="833" t="inlineStr">
        <is>
          <t xml:space="preserve">COMPRESOR </t>
        </is>
      </c>
      <c r="C20" s="834" t="n"/>
      <c r="D20" s="835" t="inlineStr">
        <is>
          <t>SULLIVAN PALATEK</t>
        </is>
      </c>
      <c r="E20" s="836" t="inlineStr">
        <is>
          <t>D2010</t>
        </is>
      </c>
      <c r="F20" s="837" t="n">
        <v>2017</v>
      </c>
      <c r="G20" s="838" t="inlineStr">
        <is>
          <t>PHD25B330551</t>
        </is>
      </c>
      <c r="H20" s="839" t="n">
        <v>9</v>
      </c>
      <c r="I20" s="840" t="inlineStr">
        <is>
          <t>L/h</t>
        </is>
      </c>
      <c r="J20" s="841">
        <f>IF(OR(ISBLANK(F20), F20=""),#REF!,#REF! - F20)</f>
        <v/>
      </c>
      <c r="K20" s="2335">
        <f>IF(I20="km/L", H20 / (1 + (J20 *#REF!)), H20 * (1 + (J20 *#REF!)))</f>
        <v/>
      </c>
      <c r="L20" s="2009" t="inlineStr">
        <is>
          <t>CPR-01</t>
        </is>
      </c>
      <c r="M20" s="842" t="n"/>
      <c r="N20" s="843" t="n"/>
      <c r="O20" s="844" t="n"/>
    </row>
    <row r="21" ht="15" customHeight="1" s="17580">
      <c r="A21" s="845" t="n">
        <v>20</v>
      </c>
      <c r="B21" s="846" t="inlineStr">
        <is>
          <t xml:space="preserve">COMPRESOR </t>
        </is>
      </c>
      <c r="C21" s="847" t="n"/>
      <c r="D21" s="848" t="inlineStr">
        <is>
          <t>SULLIVAN PALATEK</t>
        </is>
      </c>
      <c r="E21" s="849" t="inlineStr">
        <is>
          <t>D2010</t>
        </is>
      </c>
      <c r="F21" s="850" t="n">
        <v>2017</v>
      </c>
      <c r="G21" s="851" t="inlineStr">
        <is>
          <t>PHD25B330552</t>
        </is>
      </c>
      <c r="H21" s="852" t="n">
        <v>9</v>
      </c>
      <c r="I21" s="853" t="inlineStr">
        <is>
          <t>L/h</t>
        </is>
      </c>
      <c r="J21" s="854">
        <f>IF(OR(ISBLANK(F21), F21=""),#REF!,#REF! - F21)</f>
        <v/>
      </c>
      <c r="K21" s="2336">
        <f>IF(I21="km/L", H21 / (1 + (J21 *#REF!)), H21 * (1 + (J21 *#REF!)))</f>
        <v/>
      </c>
      <c r="L21" s="2010" t="inlineStr">
        <is>
          <t>CPR-02</t>
        </is>
      </c>
      <c r="M21" s="855" t="n"/>
      <c r="N21" s="856" t="n"/>
      <c r="O21" s="857" t="n"/>
    </row>
    <row r="22" ht="15" customHeight="1" s="17580">
      <c r="A22" s="858" t="n">
        <v>21</v>
      </c>
      <c r="B22" s="859" t="inlineStr">
        <is>
          <t>RETROEXCAVADORA</t>
        </is>
      </c>
      <c r="C22" s="860" t="n"/>
      <c r="D22" s="861" t="inlineStr">
        <is>
          <t>CASE</t>
        </is>
      </c>
      <c r="E22" s="862" t="inlineStr">
        <is>
          <t>420DN</t>
        </is>
      </c>
      <c r="F22" s="863" t="n"/>
      <c r="G22" s="864" t="inlineStr">
        <is>
          <t>CAT0420DTFDP27091</t>
        </is>
      </c>
      <c r="H22" s="865" t="n">
        <v>6.5</v>
      </c>
      <c r="I22" s="866" t="inlineStr">
        <is>
          <t>L/h</t>
        </is>
      </c>
      <c r="J22" s="867">
        <f>IF(OR(ISBLANK(F22), F22=""),#REF!,#REF! - F22)</f>
        <v/>
      </c>
      <c r="K22" s="2337">
        <f>IF(I22="km/L", H22 / (1 + (J22 *#REF!)), H22 * (1 + (J22 *#REF!)))</f>
        <v/>
      </c>
      <c r="L22" s="2011" t="inlineStr">
        <is>
          <t>RT-04</t>
        </is>
      </c>
      <c r="M22" s="868" t="n"/>
      <c r="N22" s="869" t="n"/>
      <c r="O22" s="870" t="n"/>
    </row>
    <row r="23" ht="15" customHeight="1" s="17580">
      <c r="A23" s="871" t="n">
        <v>22</v>
      </c>
      <c r="B23" s="872" t="inlineStr">
        <is>
          <t>BARREDORA</t>
        </is>
      </c>
      <c r="C23" s="873" t="n"/>
      <c r="D23" s="874" t="inlineStr">
        <is>
          <t>BROCE BROOM</t>
        </is>
      </c>
      <c r="E23" s="875" t="inlineStr">
        <is>
          <t>KR350</t>
        </is>
      </c>
      <c r="F23" s="876" t="n"/>
      <c r="G23" s="877" t="n">
        <v>407123</v>
      </c>
      <c r="H23" s="878" t="n">
        <v>7.5</v>
      </c>
      <c r="I23" s="879" t="inlineStr">
        <is>
          <t>L/h</t>
        </is>
      </c>
      <c r="J23" s="880">
        <f>IF(OR(ISBLANK(F23), F23=""),#REF!,#REF! - F23)</f>
        <v/>
      </c>
      <c r="K23" s="2338">
        <f>IF(I23="km/L", H23 / (1 + (J23 *#REF!)), H23 * (1 + (J23 *#REF!)))</f>
        <v/>
      </c>
      <c r="L23" s="2012" t="inlineStr">
        <is>
          <t>BR-05</t>
        </is>
      </c>
      <c r="M23" s="881" t="n"/>
      <c r="N23" s="882" t="n"/>
      <c r="O23" s="883" t="n"/>
    </row>
    <row r="24" ht="15" customHeight="1" s="17580">
      <c r="A24" s="884" t="n">
        <v>23</v>
      </c>
      <c r="B24" s="885" t="inlineStr">
        <is>
          <t>RETROEXCAVADORA</t>
        </is>
      </c>
      <c r="C24" s="886" t="n"/>
      <c r="D24" s="887" t="inlineStr">
        <is>
          <t>JHONDEREE</t>
        </is>
      </c>
      <c r="E24" s="888" t="inlineStr">
        <is>
          <t>310SK</t>
        </is>
      </c>
      <c r="F24" s="889" t="n"/>
      <c r="G24" s="890" t="inlineStr">
        <is>
          <t>1T0310SKAEE262172</t>
        </is>
      </c>
      <c r="H24" s="891" t="n">
        <v>6.5</v>
      </c>
      <c r="I24" s="892" t="inlineStr">
        <is>
          <t>L/h</t>
        </is>
      </c>
      <c r="J24" s="893">
        <f>IF(OR(ISBLANK(F24), F24=""),#REF!,#REF! - F24)</f>
        <v/>
      </c>
      <c r="K24" s="2339">
        <f>IF(I24="km/L", H24 / (1 + (J24 *#REF!)), H24 * (1 + (J24 *#REF!)))</f>
        <v/>
      </c>
      <c r="L24" s="2013" t="inlineStr">
        <is>
          <t>RT-05</t>
        </is>
      </c>
      <c r="M24" s="894" t="n"/>
      <c r="N24" s="895" t="n"/>
      <c r="O24" s="896" t="n"/>
    </row>
    <row r="25" ht="15" customHeight="1" s="17580">
      <c r="A25" s="897" t="n">
        <v>24</v>
      </c>
      <c r="B25" s="898" t="inlineStr">
        <is>
          <t>BARREDORA</t>
        </is>
      </c>
      <c r="C25" s="899" t="n"/>
      <c r="D25" s="900" t="inlineStr">
        <is>
          <t>BROCE BROOM</t>
        </is>
      </c>
      <c r="E25" s="901" t="inlineStr">
        <is>
          <t>KR350</t>
        </is>
      </c>
      <c r="F25" s="902" t="n"/>
      <c r="G25" s="903" t="n">
        <v>408531</v>
      </c>
      <c r="H25" s="904" t="n">
        <v>7.5</v>
      </c>
      <c r="I25" s="905" t="inlineStr">
        <is>
          <t>L/h</t>
        </is>
      </c>
      <c r="J25" s="906">
        <f>IF(OR(ISBLANK(F25), F25=""),#REF!,#REF! - F25)</f>
        <v/>
      </c>
      <c r="K25" s="2340">
        <f>IF(I25="km/L", H25 / (1 + (J25 *#REF!)), H25 * (1 + (J25 *#REF!)))</f>
        <v/>
      </c>
      <c r="L25" s="2014" t="inlineStr">
        <is>
          <t>BR-06</t>
        </is>
      </c>
      <c r="M25" s="907" t="n"/>
      <c r="N25" s="908" t="n"/>
      <c r="O25" s="909" t="n"/>
    </row>
    <row r="26" ht="15" customHeight="1" s="17580">
      <c r="A26" s="910" t="n">
        <v>25</v>
      </c>
      <c r="B26" s="911" t="inlineStr">
        <is>
          <t xml:space="preserve">DOBLE RODILLO  </t>
        </is>
      </c>
      <c r="C26" s="912" t="n"/>
      <c r="D26" s="913" t="inlineStr">
        <is>
          <t>INGERSOLL RAND</t>
        </is>
      </c>
      <c r="E26" s="914" t="inlineStr">
        <is>
          <t>DD-108HF</t>
        </is>
      </c>
      <c r="F26" s="915" t="n"/>
      <c r="G26" s="916" t="n">
        <v>189989</v>
      </c>
      <c r="H26" s="917" t="n">
        <v>12</v>
      </c>
      <c r="I26" s="918" t="inlineStr">
        <is>
          <t>L/h</t>
        </is>
      </c>
      <c r="J26" s="919">
        <f>IF(OR(ISBLANK(F26), F26=""),#REF!,#REF! - F26)</f>
        <v/>
      </c>
      <c r="K26" s="2341">
        <f>IF(I26="km/L", H26 / (1 + (J26 *#REF!)), H26 * (1 + (J26 *#REF!)))</f>
        <v/>
      </c>
      <c r="L26" s="2015" t="inlineStr">
        <is>
          <t>DR-03</t>
        </is>
      </c>
      <c r="M26" s="920" t="n"/>
      <c r="N26" s="921" t="n"/>
      <c r="O26" s="922" t="n"/>
    </row>
    <row r="27" ht="15" customHeight="1" s="17580">
      <c r="A27" s="923" t="n">
        <v>26</v>
      </c>
      <c r="B27" s="924" t="inlineStr">
        <is>
          <t>TRASFER BUGGI</t>
        </is>
      </c>
      <c r="C27" s="925" t="n"/>
      <c r="D27" s="926" t="inlineStr">
        <is>
          <t>RODATEC</t>
        </is>
      </c>
      <c r="E27" s="927" t="n"/>
      <c r="F27" s="928" t="n"/>
      <c r="G27" s="929" t="inlineStr">
        <is>
          <t>CB-2500B 538</t>
        </is>
      </c>
      <c r="H27" s="930" t="n">
        <v>30</v>
      </c>
      <c r="I27" s="931" t="inlineStr">
        <is>
          <t>L/h</t>
        </is>
      </c>
      <c r="J27" s="932">
        <f>IF(OR(ISBLANK(F27), F27=""),#REF!,#REF! - F27)</f>
        <v/>
      </c>
      <c r="K27" s="2342">
        <f>IF(I27="km/L", H27 / (1 + (J27 *#REF!)), H27 * (1 + (J27 *#REF!)))</f>
        <v/>
      </c>
      <c r="L27" s="2016" t="inlineStr">
        <is>
          <t>BG-01</t>
        </is>
      </c>
      <c r="M27" s="933" t="n"/>
      <c r="N27" s="934" t="n"/>
      <c r="O27" s="935" t="n"/>
    </row>
    <row r="28" ht="15" customHeight="1" s="17580">
      <c r="A28" s="936" t="n">
        <v>27</v>
      </c>
      <c r="B28" s="937" t="inlineStr">
        <is>
          <t>IMPACTO</t>
        </is>
      </c>
      <c r="C28" s="938" t="inlineStr">
        <is>
          <t>JDJ EQUIPO Y CONSTRUCCIONES S.A. DE C.V.</t>
        </is>
      </c>
      <c r="D28" s="939" t="inlineStr">
        <is>
          <t>FORD</t>
        </is>
      </c>
      <c r="E28" s="940" t="n">
        <v>4300</v>
      </c>
      <c r="F28" s="941" t="n">
        <v>2013</v>
      </c>
      <c r="G28" s="942" t="inlineStr">
        <is>
          <t>1HTMMAAL2DH158631</t>
        </is>
      </c>
      <c r="H28" s="943" t="n">
        <v>3.5</v>
      </c>
      <c r="I28" s="944" t="inlineStr">
        <is>
          <t>km/L</t>
        </is>
      </c>
      <c r="J28" s="945">
        <f>IF(OR(ISBLANK(F28), F28=""),#REF!,#REF! - F28)</f>
        <v/>
      </c>
      <c r="K28" s="2343">
        <f>IF(I28="km/L", H28 / (1 + (J28 *#REF!)), H28 * (1 + (J28 *#REF!)))</f>
        <v/>
      </c>
      <c r="L28" s="2017" t="inlineStr">
        <is>
          <t>CI-01</t>
        </is>
      </c>
      <c r="M28" s="946" t="n"/>
      <c r="N28" s="947" t="n"/>
      <c r="O28" s="948" t="n"/>
    </row>
    <row r="29" ht="15" customHeight="1" s="17580">
      <c r="A29" s="949" t="n">
        <v>28</v>
      </c>
      <c r="B29" s="950" t="inlineStr">
        <is>
          <t>IMPACTO</t>
        </is>
      </c>
      <c r="C29" s="951" t="inlineStr">
        <is>
          <t>JDJ EQUIPO Y CONSTRUCCIONES S.A. DE C.V.</t>
        </is>
      </c>
      <c r="D29" s="952" t="inlineStr">
        <is>
          <t>FORD</t>
        </is>
      </c>
      <c r="E29" s="953" t="inlineStr">
        <is>
          <t>F800</t>
        </is>
      </c>
      <c r="F29" s="954" t="n">
        <v>1998</v>
      </c>
      <c r="G29" s="955" t="inlineStr">
        <is>
          <t>1FDNF80C7WVA19892</t>
        </is>
      </c>
      <c r="H29" s="956" t="n">
        <v>3.5</v>
      </c>
      <c r="I29" s="957" t="inlineStr">
        <is>
          <t>km/L</t>
        </is>
      </c>
      <c r="J29" s="958">
        <f>IF(OR(ISBLANK(F29), F29=""),#REF!,#REF! - F29)</f>
        <v/>
      </c>
      <c r="K29" s="2344">
        <f>IF(I29="km/L", H29 / (1 + (J29 *#REF!)), H29 * (1 + (J29 *#REF!)))</f>
        <v/>
      </c>
      <c r="L29" s="2018" t="inlineStr">
        <is>
          <t>CI-02</t>
        </is>
      </c>
      <c r="M29" s="959" t="n"/>
      <c r="N29" s="960" t="n"/>
      <c r="O29" s="961" t="n"/>
    </row>
    <row r="30" ht="15" customHeight="1" s="17580">
      <c r="A30" s="962" t="n">
        <v>29</v>
      </c>
      <c r="B30" s="963" t="inlineStr">
        <is>
          <t>PETROLIZADORA (IMPACTO 04)</t>
        </is>
      </c>
      <c r="C30" s="964" t="inlineStr">
        <is>
          <t>JDJ EQUIPO Y CONSTRUCCIONES S.A. DE C.V.</t>
        </is>
      </c>
      <c r="D30" s="965" t="inlineStr">
        <is>
          <t>FORD</t>
        </is>
      </c>
      <c r="E30" s="966" t="inlineStr">
        <is>
          <t>F800</t>
        </is>
      </c>
      <c r="F30" s="967" t="n">
        <v>1998</v>
      </c>
      <c r="G30" s="968" t="inlineStr">
        <is>
          <t>1FDNF80C2WVA22179</t>
        </is>
      </c>
      <c r="H30" s="969" t="n">
        <v>10</v>
      </c>
      <c r="I30" s="970" t="inlineStr">
        <is>
          <t>L/h</t>
        </is>
      </c>
      <c r="J30" s="971">
        <f>IF(OR(ISBLANK(F30), F30=""),#REF!,#REF! - F30)</f>
        <v/>
      </c>
      <c r="K30" s="2345">
        <f>IF(I30="km/L", H30 / (1 + (J30 *#REF!)), H30 * (1 + (J30 *#REF!)))</f>
        <v/>
      </c>
      <c r="L30" s="2019" t="inlineStr">
        <is>
          <t>PT-01</t>
        </is>
      </c>
      <c r="M30" s="972" t="n"/>
      <c r="N30" s="973" t="n"/>
      <c r="O30" s="974" t="n"/>
    </row>
    <row r="31" ht="15" customHeight="1" s="17580">
      <c r="A31" s="975" t="n">
        <v>30</v>
      </c>
      <c r="B31" s="976" t="inlineStr">
        <is>
          <t xml:space="preserve">PETROLIZADORA   </t>
        </is>
      </c>
      <c r="C31" s="977" t="n"/>
      <c r="D31" s="978" t="inlineStr">
        <is>
          <t>INTERNATIONAL</t>
        </is>
      </c>
      <c r="E31" s="979" t="n"/>
      <c r="F31" s="980" t="n">
        <v>2003</v>
      </c>
      <c r="G31" s="981" t="inlineStr">
        <is>
          <t>3HTMMAAR830567</t>
        </is>
      </c>
      <c r="H31" s="982" t="n">
        <v>10</v>
      </c>
      <c r="I31" s="983" t="inlineStr">
        <is>
          <t>L/h</t>
        </is>
      </c>
      <c r="J31" s="984">
        <f>IF(OR(ISBLANK(F31), F31=""),#REF!,#REF! - F31)</f>
        <v/>
      </c>
      <c r="K31" s="2346">
        <f>IF(I31="km/L", H31 / (1 + (J31 *#REF!)), H31 * (1 + (J31 *#REF!)))</f>
        <v/>
      </c>
      <c r="L31" s="2020" t="inlineStr">
        <is>
          <t>PT-02</t>
        </is>
      </c>
      <c r="M31" s="985" t="n"/>
      <c r="N31" s="986" t="n"/>
      <c r="O31" s="987" t="n"/>
    </row>
    <row r="32" ht="15" customHeight="1" s="17580">
      <c r="A32" s="988" t="n">
        <v>31</v>
      </c>
      <c r="B32" s="989" t="inlineStr">
        <is>
          <t>PIPA DE AGUA (IMPACTO 01)</t>
        </is>
      </c>
      <c r="C32" s="990" t="inlineStr">
        <is>
          <t>JDJ EQUIPO Y CONSTRUCCIONES S.A. DE C.V.</t>
        </is>
      </c>
      <c r="D32" s="991" t="inlineStr">
        <is>
          <t>FORD</t>
        </is>
      </c>
      <c r="E32" s="992" t="n"/>
      <c r="F32" s="993" t="n"/>
      <c r="G32" s="994" t="inlineStr">
        <is>
          <t>1FDYR80U0GVA15942</t>
        </is>
      </c>
      <c r="H32" s="995" t="n">
        <v>3.5</v>
      </c>
      <c r="I32" s="996" t="inlineStr">
        <is>
          <t>km/L</t>
        </is>
      </c>
      <c r="J32" s="997">
        <f>IF(OR(ISBLANK(F32), F32=""),#REF!,#REF! - F32)</f>
        <v/>
      </c>
      <c r="K32" s="2347">
        <f>IF(I32="km/L", H32 / (1 + (J32 *#REF!)), H32 * (1 + (J32 *#REF!)))</f>
        <v/>
      </c>
      <c r="L32" s="2021" t="inlineStr">
        <is>
          <t>PP-01</t>
        </is>
      </c>
      <c r="M32" s="998" t="n"/>
      <c r="N32" s="999" t="n"/>
      <c r="O32" s="1000" t="n"/>
    </row>
    <row r="33" ht="15" customHeight="1" s="17580">
      <c r="A33" s="1001" t="n">
        <v>32</v>
      </c>
      <c r="B33" s="1002" t="inlineStr">
        <is>
          <t>DOBLE RODILLO</t>
        </is>
      </c>
      <c r="C33" s="1003" t="n"/>
      <c r="D33" s="1004" t="inlineStr">
        <is>
          <t>RAD ROLLER</t>
        </is>
      </c>
      <c r="E33" s="1005" t="inlineStr">
        <is>
          <t>FILY-325 PRO</t>
        </is>
      </c>
      <c r="F33" s="1006" t="n"/>
      <c r="G33" s="1007" t="inlineStr">
        <is>
          <t>LD600JN2026012501</t>
        </is>
      </c>
      <c r="H33" s="1008" t="n">
        <v>12</v>
      </c>
      <c r="I33" s="1009" t="inlineStr">
        <is>
          <t>L/h</t>
        </is>
      </c>
      <c r="J33" s="1010">
        <f>IF(OR(ISBLANK(F33), F33=""),#REF!,#REF! - F33)</f>
        <v/>
      </c>
      <c r="K33" s="2348">
        <f>IF(I33="km/L", H33 / (1 + (J33 *#REF!)), H33 * (1 + (J33 *#REF!)))</f>
        <v/>
      </c>
      <c r="L33" s="2022" t="inlineStr">
        <is>
          <t>DR-04</t>
        </is>
      </c>
      <c r="M33" s="1011" t="n"/>
      <c r="N33" s="1012" t="n"/>
      <c r="O33" s="1013" t="n"/>
    </row>
    <row r="34">
      <c r="A34" s="1014" t="n"/>
      <c r="B34" s="1015" t="n"/>
      <c r="C34" s="1016" t="n"/>
      <c r="D34" s="1017" t="n"/>
      <c r="E34" s="1018" t="n"/>
      <c r="F34" s="1019" t="n"/>
      <c r="G34" s="1020" t="n"/>
      <c r="H34" s="1021" t="n"/>
      <c r="I34" s="1022" t="n"/>
      <c r="J34" s="1023" t="n"/>
      <c r="K34" s="1024" t="n"/>
      <c r="L34" s="1025" t="n"/>
      <c r="M34" s="1026" t="n"/>
      <c r="N34" s="1027" t="n"/>
      <c r="O34" s="1028" t="n"/>
    </row>
    <row r="35">
      <c r="A35" s="1029" t="n"/>
      <c r="B35" s="1030" t="n"/>
      <c r="C35" s="1031" t="n"/>
      <c r="D35" s="1032" t="n"/>
      <c r="E35" s="1033" t="n"/>
      <c r="F35" s="1034" t="n"/>
      <c r="G35" s="1035" t="n"/>
      <c r="H35" s="1036" t="n"/>
      <c r="I35" s="1037" t="n"/>
      <c r="J35" s="1038" t="n"/>
      <c r="K35" s="1039" t="n"/>
      <c r="L35" s="1040" t="n"/>
      <c r="M35" s="1041" t="n"/>
      <c r="N35" s="1042" t="n"/>
      <c r="O35" s="1043" t="n"/>
    </row>
    <row r="36">
      <c r="A36" s="1044" t="n"/>
      <c r="B36" s="1045" t="n"/>
      <c r="C36" s="1046" t="n"/>
      <c r="D36" s="1047" t="n"/>
      <c r="E36" s="1048" t="n"/>
      <c r="F36" s="1049" t="n"/>
      <c r="G36" s="1050" t="n"/>
      <c r="H36" s="1051" t="n"/>
      <c r="I36" s="1052" t="n"/>
      <c r="J36" s="1053" t="n"/>
      <c r="K36" s="1054" t="n"/>
      <c r="L36" s="1055" t="n"/>
      <c r="M36" s="1056" t="n"/>
      <c r="N36" s="1057" t="n"/>
      <c r="O36" s="1058" t="n"/>
    </row>
    <row r="37">
      <c r="A37" s="1059" t="n"/>
      <c r="B37" s="1060" t="n"/>
      <c r="C37" s="1061" t="n"/>
      <c r="D37" s="1062" t="n"/>
      <c r="E37" s="1063" t="n"/>
      <c r="F37" s="1064" t="n"/>
      <c r="G37" s="1065" t="n"/>
      <c r="H37" s="1066" t="n"/>
      <c r="I37" s="1067" t="n"/>
      <c r="J37" s="1068" t="n"/>
      <c r="K37" s="1069" t="n"/>
      <c r="L37" s="1070" t="n"/>
      <c r="M37" s="1071" t="n"/>
      <c r="N37" s="1072" t="n"/>
      <c r="O37" s="1073" t="n"/>
    </row>
    <row r="38">
      <c r="A38" s="1074" t="n"/>
      <c r="B38" s="1075" t="n"/>
      <c r="C38" s="1076" t="n"/>
      <c r="D38" s="1077" t="n"/>
      <c r="E38" s="1078" t="n"/>
      <c r="F38" s="1079" t="n"/>
      <c r="G38" s="1080" t="n"/>
      <c r="H38" s="1081" t="n"/>
      <c r="I38" s="1082" t="n"/>
      <c r="J38" s="1083" t="n"/>
      <c r="K38" s="1084" t="n"/>
      <c r="L38" s="1085" t="n"/>
      <c r="M38" s="1086" t="n"/>
      <c r="N38" s="1087" t="n"/>
      <c r="O38" s="1088" t="n"/>
    </row>
    <row r="39">
      <c r="A39" s="1089" t="n"/>
      <c r="B39" s="1090" t="n"/>
      <c r="C39" s="1091" t="n"/>
      <c r="D39" s="1092" t="n"/>
      <c r="E39" s="1093" t="n"/>
      <c r="F39" s="1094" t="n"/>
      <c r="G39" s="1095" t="n"/>
      <c r="H39" s="1096" t="n"/>
      <c r="I39" s="1097" t="n"/>
      <c r="J39" s="1098" t="n"/>
      <c r="K39" s="1099" t="n"/>
      <c r="L39" s="1100" t="n"/>
      <c r="M39" s="1101" t="n"/>
      <c r="N39" s="1102" t="n"/>
      <c r="O39" s="1103" t="n"/>
    </row>
    <row r="40">
      <c r="A40" s="1104" t="n"/>
      <c r="B40" s="1105" t="n"/>
      <c r="C40" s="1106" t="n"/>
      <c r="D40" s="1107" t="n"/>
      <c r="E40" s="1108" t="n"/>
      <c r="F40" s="1109" t="n"/>
      <c r="G40" s="1110" t="n"/>
      <c r="H40" s="1111" t="n"/>
      <c r="I40" s="1112" t="n"/>
      <c r="J40" s="1113" t="n"/>
      <c r="K40" s="1114" t="n"/>
      <c r="L40" s="1115" t="n"/>
      <c r="M40" s="1116" t="n"/>
      <c r="N40" s="1117" t="n"/>
      <c r="O40" s="1118" t="n"/>
    </row>
    <row r="41">
      <c r="A41" s="1119" t="n"/>
      <c r="B41" s="1120" t="n"/>
      <c r="C41" s="1121" t="n"/>
      <c r="D41" s="1122" t="n"/>
      <c r="E41" s="1123" t="n"/>
      <c r="F41" s="1124" t="n"/>
      <c r="G41" s="1125" t="n"/>
      <c r="H41" s="1126" t="n"/>
      <c r="I41" s="1127" t="n"/>
      <c r="J41" s="1128" t="n"/>
      <c r="K41" s="1129" t="n"/>
      <c r="L41" s="1130" t="n"/>
      <c r="M41" s="1131" t="n"/>
      <c r="N41" s="1132" t="n"/>
      <c r="O41" s="1133" t="n"/>
    </row>
    <row r="42">
      <c r="A42" s="1134" t="n"/>
      <c r="B42" s="1135" t="n"/>
      <c r="C42" s="1136" t="n"/>
      <c r="D42" s="1137" t="n"/>
      <c r="E42" s="1138" t="n"/>
      <c r="F42" s="1139" t="n"/>
      <c r="G42" s="1140" t="n"/>
      <c r="H42" s="1141" t="n"/>
      <c r="I42" s="1142" t="n"/>
      <c r="J42" s="1143" t="n"/>
      <c r="K42" s="1144" t="n"/>
      <c r="L42" s="1145" t="n"/>
      <c r="M42" s="1146" t="n"/>
      <c r="N42" s="1147" t="n"/>
      <c r="O42" s="1148" t="n"/>
    </row>
    <row r="43">
      <c r="A43" s="1149" t="n"/>
      <c r="B43" s="1150" t="n"/>
      <c r="C43" s="1151" t="n"/>
      <c r="D43" s="1152" t="n"/>
      <c r="E43" s="1153" t="n"/>
      <c r="F43" s="1154" t="n"/>
      <c r="G43" s="1155" t="n"/>
      <c r="H43" s="1156" t="n"/>
      <c r="I43" s="1157" t="n"/>
      <c r="J43" s="1158" t="n"/>
      <c r="K43" s="1159" t="n"/>
      <c r="L43" s="1160" t="n"/>
      <c r="M43" s="1161" t="n"/>
      <c r="N43" s="1162" t="n"/>
      <c r="O43" s="1163" t="n"/>
    </row>
    <row r="44">
      <c r="A44" s="1164" t="n"/>
      <c r="B44" s="1165" t="n"/>
      <c r="C44" s="1166" t="n"/>
      <c r="D44" s="1167" t="n"/>
      <c r="E44" s="1168" t="n"/>
      <c r="F44" s="1169" t="n"/>
      <c r="G44" s="1170" t="n"/>
      <c r="H44" s="1171" t="n"/>
      <c r="I44" s="1172" t="n"/>
      <c r="J44" s="1173" t="n"/>
      <c r="K44" s="1174" t="n"/>
      <c r="L44" s="1175" t="n"/>
      <c r="M44" s="1176" t="n"/>
      <c r="N44" s="1177" t="n"/>
      <c r="O44" s="1178" t="n"/>
    </row>
    <row r="45">
      <c r="A45" s="1179" t="n"/>
      <c r="B45" s="1180" t="n"/>
      <c r="C45" s="1181" t="n"/>
      <c r="D45" s="1182" t="n"/>
      <c r="E45" s="1183" t="n"/>
      <c r="F45" s="1184" t="n"/>
      <c r="G45" s="1185" t="n"/>
      <c r="H45" s="1186" t="n"/>
      <c r="I45" s="1187" t="n"/>
      <c r="J45" s="1188" t="n"/>
      <c r="K45" s="1189" t="n"/>
      <c r="L45" s="1190" t="n"/>
      <c r="M45" s="1191" t="n"/>
      <c r="N45" s="1192" t="n"/>
      <c r="O45" s="1193" t="n"/>
    </row>
    <row r="46">
      <c r="A46" s="1194" t="n"/>
      <c r="B46" s="1195" t="n"/>
      <c r="C46" s="1196" t="n"/>
      <c r="D46" s="1197" t="n"/>
      <c r="E46" s="1198" t="n"/>
      <c r="F46" s="1199" t="n"/>
      <c r="G46" s="1200" t="n"/>
      <c r="H46" s="1201" t="n"/>
      <c r="I46" s="1202" t="n"/>
      <c r="J46" s="1203" t="n"/>
      <c r="K46" s="1204" t="n"/>
      <c r="L46" s="1205" t="n"/>
      <c r="M46" s="1206" t="n"/>
      <c r="N46" s="1207" t="n"/>
      <c r="O46" s="1208" t="n"/>
    </row>
    <row r="47">
      <c r="A47" s="1209" t="n"/>
      <c r="B47" s="1210" t="n"/>
      <c r="C47" s="1211" t="n"/>
      <c r="D47" s="1212" t="n"/>
      <c r="E47" s="1213" t="n"/>
      <c r="F47" s="1214" t="n"/>
      <c r="G47" s="1215" t="n"/>
      <c r="H47" s="1216" t="n"/>
      <c r="I47" s="1217" t="n"/>
      <c r="J47" s="1218" t="n"/>
      <c r="K47" s="1219" t="n"/>
      <c r="L47" s="1220" t="n"/>
      <c r="M47" s="1221" t="n"/>
      <c r="N47" s="1222" t="n"/>
      <c r="O47" s="1223" t="n"/>
    </row>
    <row r="48">
      <c r="A48" s="1224" t="n"/>
      <c r="B48" s="1225" t="n"/>
      <c r="C48" s="1226" t="n"/>
      <c r="D48" s="1227" t="n"/>
      <c r="E48" s="1228" t="n"/>
      <c r="F48" s="1229" t="n"/>
      <c r="G48" s="1230" t="n"/>
      <c r="H48" s="1231" t="n"/>
      <c r="I48" s="1232" t="n"/>
      <c r="J48" s="1233" t="n"/>
      <c r="K48" s="1234" t="n"/>
      <c r="L48" s="1235" t="n"/>
      <c r="M48" s="1236" t="n"/>
      <c r="N48" s="1237" t="n"/>
      <c r="O48" s="1238" t="n"/>
    </row>
    <row r="49">
      <c r="A49" s="1239" t="n"/>
      <c r="B49" s="1240" t="n"/>
      <c r="C49" s="1241" t="n"/>
      <c r="D49" s="1242" t="n"/>
      <c r="E49" s="1243" t="n"/>
      <c r="F49" s="1244" t="n"/>
      <c r="G49" s="1245" t="n"/>
      <c r="H49" s="1246" t="n"/>
      <c r="I49" s="1247" t="n"/>
      <c r="J49" s="1248" t="n"/>
      <c r="K49" s="1249" t="n"/>
      <c r="L49" s="1250" t="n"/>
      <c r="M49" s="1251" t="n"/>
      <c r="N49" s="1252" t="n"/>
      <c r="O49" s="1253" t="n"/>
    </row>
    <row r="50">
      <c r="A50" s="1254" t="n"/>
      <c r="B50" s="1255" t="n"/>
      <c r="C50" s="1256" t="n"/>
      <c r="D50" s="1257" t="n"/>
      <c r="E50" s="1258" t="n"/>
      <c r="F50" s="1259" t="n"/>
      <c r="G50" s="1260" t="n"/>
      <c r="H50" s="1261" t="n"/>
      <c r="I50" s="1262" t="n"/>
      <c r="J50" s="1263" t="n"/>
      <c r="K50" s="1264" t="n"/>
      <c r="L50" s="1265" t="n"/>
      <c r="M50" s="1266" t="n"/>
      <c r="N50" s="1267" t="n"/>
      <c r="O50" s="1268" t="n"/>
    </row>
    <row r="51">
      <c r="A51" s="1269" t="n"/>
      <c r="B51" s="1270" t="n"/>
      <c r="C51" s="1271" t="n"/>
      <c r="D51" s="1272" t="n"/>
      <c r="E51" s="1273" t="n"/>
      <c r="F51" s="1274" t="n"/>
      <c r="G51" s="1275" t="n"/>
      <c r="H51" s="1276" t="n"/>
      <c r="I51" s="1277" t="n"/>
      <c r="J51" s="1278" t="n"/>
      <c r="K51" s="1279" t="n"/>
      <c r="L51" s="1280" t="n"/>
      <c r="M51" s="1281" t="n"/>
      <c r="N51" s="1282" t="n"/>
      <c r="O51" s="1283" t="n"/>
    </row>
    <row r="52">
      <c r="A52" s="1284" t="n"/>
      <c r="B52" s="1285" t="n"/>
      <c r="C52" s="1286" t="n"/>
      <c r="D52" s="1287" t="n"/>
      <c r="E52" s="1288" t="n"/>
      <c r="F52" s="1289" t="n"/>
      <c r="G52" s="1290" t="n"/>
      <c r="H52" s="1291" t="n"/>
      <c r="I52" s="1292" t="n"/>
      <c r="J52" s="1293" t="n"/>
      <c r="K52" s="1294" t="n"/>
      <c r="L52" s="1295" t="n"/>
      <c r="M52" s="1296" t="n"/>
      <c r="N52" s="1297" t="n"/>
      <c r="O52" s="1298" t="n"/>
    </row>
    <row r="53">
      <c r="A53" s="1299" t="n"/>
      <c r="B53" s="1300" t="n"/>
      <c r="C53" s="1301" t="n"/>
      <c r="D53" s="1302" t="n"/>
      <c r="E53" s="1303" t="n"/>
      <c r="F53" s="1304" t="n"/>
      <c r="G53" s="1305" t="n"/>
      <c r="H53" s="1306" t="n"/>
      <c r="I53" s="1307" t="n"/>
      <c r="J53" s="1308" t="n"/>
      <c r="K53" s="1309" t="n"/>
      <c r="L53" s="1310" t="n"/>
      <c r="M53" s="1311" t="n"/>
      <c r="N53" s="1312" t="n"/>
      <c r="O53" s="1313" t="n"/>
    </row>
    <row r="54">
      <c r="A54" s="1314" t="n"/>
      <c r="B54" s="1315" t="n"/>
      <c r="C54" s="1316" t="n"/>
      <c r="D54" s="1317" t="n"/>
      <c r="E54" s="1318" t="n"/>
      <c r="F54" s="1319" t="n"/>
      <c r="G54" s="1320" t="n"/>
      <c r="H54" s="1321" t="n"/>
      <c r="I54" s="1322" t="n"/>
      <c r="J54" s="1323" t="n"/>
      <c r="K54" s="1324" t="n"/>
      <c r="L54" s="1325" t="n"/>
      <c r="M54" s="1326" t="n"/>
      <c r="N54" s="1327" t="n"/>
      <c r="O54" s="1328" t="n"/>
    </row>
    <row r="55">
      <c r="A55" s="1329" t="n"/>
      <c r="B55" s="1330" t="n"/>
      <c r="C55" s="1331" t="n"/>
      <c r="D55" s="1332" t="n"/>
      <c r="E55" s="1333" t="n"/>
      <c r="F55" s="1334" t="n"/>
      <c r="G55" s="1335" t="n"/>
      <c r="H55" s="1336" t="n"/>
      <c r="I55" s="1337" t="n"/>
      <c r="J55" s="1338" t="n"/>
      <c r="K55" s="1339" t="n"/>
      <c r="L55" s="1340" t="n"/>
      <c r="M55" s="1341" t="n"/>
      <c r="N55" s="1342" t="n"/>
      <c r="O55" s="1343" t="n"/>
    </row>
    <row r="56">
      <c r="A56" s="1344" t="n"/>
      <c r="B56" s="1345" t="n"/>
      <c r="C56" s="1346" t="n"/>
      <c r="D56" s="1347" t="n"/>
      <c r="E56" s="1348" t="n"/>
      <c r="F56" s="1349" t="n"/>
      <c r="G56" s="1350" t="n"/>
      <c r="H56" s="1351" t="n"/>
      <c r="I56" s="1352" t="n"/>
      <c r="J56" s="1353" t="n"/>
      <c r="K56" s="1354" t="n"/>
      <c r="L56" s="1355" t="n"/>
      <c r="M56" s="1356" t="n"/>
      <c r="N56" s="1357" t="n"/>
      <c r="O56" s="1358" t="n"/>
    </row>
    <row r="57">
      <c r="A57" s="1359" t="n"/>
      <c r="B57" s="1360" t="n"/>
      <c r="C57" s="1361" t="n"/>
      <c r="D57" s="1362" t="n"/>
      <c r="E57" s="1363" t="n"/>
      <c r="F57" s="1364" t="n"/>
      <c r="G57" s="1365" t="n"/>
      <c r="H57" s="1366" t="n"/>
      <c r="I57" s="1367" t="n"/>
      <c r="J57" s="1368" t="n"/>
      <c r="K57" s="1369" t="n"/>
      <c r="L57" s="1370" t="n"/>
      <c r="M57" s="1371" t="n"/>
      <c r="N57" s="1372" t="n"/>
      <c r="O57" s="1373" t="n"/>
    </row>
    <row r="58">
      <c r="A58" s="1374" t="n"/>
      <c r="B58" s="1375" t="n"/>
      <c r="C58" s="1376" t="n"/>
      <c r="D58" s="1377" t="n"/>
      <c r="E58" s="1378" t="n"/>
      <c r="F58" s="1379" t="n"/>
      <c r="G58" s="1380" t="n"/>
      <c r="H58" s="1381" t="n"/>
      <c r="I58" s="1382" t="n"/>
      <c r="J58" s="1383" t="n"/>
      <c r="K58" s="1384" t="n"/>
      <c r="L58" s="1385" t="n"/>
      <c r="M58" s="1386" t="n"/>
      <c r="N58" s="1387" t="n"/>
      <c r="O58" s="1388" t="n"/>
    </row>
    <row r="59">
      <c r="A59" s="1389" t="n"/>
      <c r="B59" s="1390" t="n"/>
      <c r="C59" s="1391" t="n"/>
      <c r="D59" s="1392" t="n"/>
      <c r="E59" s="1393" t="n"/>
      <c r="F59" s="1394" t="n"/>
      <c r="G59" s="1395" t="n"/>
      <c r="H59" s="1396" t="n"/>
      <c r="I59" s="1397" t="n"/>
      <c r="J59" s="1398" t="n"/>
      <c r="K59" s="1399" t="n"/>
      <c r="L59" s="1400" t="n"/>
      <c r="M59" s="1401" t="n"/>
      <c r="N59" s="1402" t="n"/>
      <c r="O59" s="1403" t="n"/>
    </row>
    <row r="60">
      <c r="A60" s="1404" t="n"/>
      <c r="B60" s="1405" t="n"/>
      <c r="C60" s="1406" t="n"/>
      <c r="D60" s="1407" t="n"/>
      <c r="E60" s="1408" t="n"/>
      <c r="F60" s="1409" t="n"/>
      <c r="G60" s="1410" t="n"/>
      <c r="H60" s="1411" t="n"/>
      <c r="I60" s="1412" t="n"/>
      <c r="J60" s="1413" t="n"/>
      <c r="K60" s="1414" t="n"/>
      <c r="L60" s="1415" t="n"/>
      <c r="M60" s="1416" t="n"/>
      <c r="N60" s="1417" t="n"/>
      <c r="O60" s="1418" t="n"/>
    </row>
    <row r="61">
      <c r="A61" s="1419" t="n"/>
      <c r="B61" s="1420" t="n"/>
      <c r="C61" s="1421" t="n"/>
      <c r="D61" s="1422" t="n"/>
      <c r="E61" s="1423" t="n"/>
      <c r="F61" s="1424" t="n"/>
      <c r="G61" s="1425" t="n"/>
      <c r="H61" s="1426" t="n"/>
      <c r="I61" s="1427" t="n"/>
      <c r="J61" s="1428" t="n"/>
      <c r="K61" s="1429" t="n"/>
      <c r="L61" s="1430" t="n"/>
      <c r="M61" s="1431" t="n"/>
      <c r="N61" s="1432" t="n"/>
      <c r="O61" s="1433" t="n"/>
    </row>
    <row r="62">
      <c r="A62" s="1434" t="n"/>
      <c r="B62" s="1435" t="n"/>
      <c r="C62" s="1436" t="n"/>
      <c r="D62" s="1437" t="n"/>
      <c r="E62" s="1438" t="n"/>
      <c r="F62" s="1439" t="n"/>
      <c r="G62" s="1440" t="n"/>
      <c r="H62" s="1441" t="n"/>
      <c r="I62" s="1442" t="n"/>
      <c r="J62" s="1443" t="n"/>
      <c r="K62" s="1444" t="n"/>
      <c r="L62" s="1445" t="n"/>
      <c r="M62" s="1446" t="n"/>
      <c r="N62" s="1447" t="n"/>
      <c r="O62" s="1448" t="n"/>
    </row>
    <row r="63">
      <c r="A63" s="1449" t="n"/>
      <c r="B63" s="1450" t="n"/>
      <c r="C63" s="1451" t="n"/>
      <c r="D63" s="1452" t="n"/>
      <c r="E63" s="1453" t="n"/>
      <c r="F63" s="1454" t="n"/>
      <c r="G63" s="1455" t="n"/>
      <c r="H63" s="1456" t="n"/>
      <c r="I63" s="1457" t="n"/>
      <c r="J63" s="1458" t="n"/>
      <c r="K63" s="1459" t="n"/>
      <c r="L63" s="1460" t="n"/>
      <c r="M63" s="1461" t="n"/>
      <c r="N63" s="1462" t="n"/>
      <c r="O63" s="1463" t="n"/>
    </row>
    <row r="64">
      <c r="A64" s="1464" t="n"/>
      <c r="B64" s="1465" t="n"/>
      <c r="C64" s="1466" t="n"/>
      <c r="D64" s="1467" t="n"/>
      <c r="E64" s="1468" t="n"/>
      <c r="F64" s="1469" t="n"/>
      <c r="G64" s="1470" t="n"/>
      <c r="H64" s="1471" t="n"/>
      <c r="I64" s="1472" t="n"/>
      <c r="J64" s="1473" t="n"/>
      <c r="K64" s="1474" t="n"/>
      <c r="L64" s="1475" t="n"/>
      <c r="M64" s="1476" t="n"/>
      <c r="N64" s="1477" t="n"/>
      <c r="O64" s="1478" t="n"/>
    </row>
    <row r="65">
      <c r="A65" s="1479" t="n"/>
      <c r="B65" s="1480" t="n"/>
      <c r="C65" s="1481" t="n"/>
      <c r="D65" s="1482" t="n"/>
      <c r="E65" s="1483" t="n"/>
      <c r="F65" s="1484" t="n"/>
      <c r="G65" s="1485" t="n"/>
      <c r="H65" s="1486" t="n"/>
      <c r="I65" s="1487" t="n"/>
      <c r="J65" s="1488" t="n"/>
      <c r="K65" s="1489" t="n"/>
      <c r="L65" s="1490" t="n"/>
      <c r="M65" s="1491" t="n"/>
      <c r="N65" s="1492" t="n"/>
      <c r="O65" s="1493" t="n"/>
    </row>
    <row r="66">
      <c r="A66" s="1494" t="n"/>
      <c r="B66" s="1495" t="n"/>
      <c r="C66" s="1496" t="n"/>
      <c r="D66" s="1497" t="n"/>
      <c r="E66" s="1498" t="n"/>
      <c r="F66" s="1499" t="n"/>
      <c r="G66" s="1500" t="n"/>
      <c r="H66" s="1501" t="n"/>
      <c r="I66" s="1502" t="n"/>
      <c r="J66" s="1503" t="n"/>
      <c r="K66" s="1504" t="n"/>
      <c r="L66" s="1505" t="n"/>
      <c r="M66" s="1506" t="n"/>
      <c r="N66" s="1507" t="n"/>
      <c r="O66" s="1508" t="n"/>
    </row>
    <row r="67">
      <c r="A67" s="1509" t="n"/>
      <c r="B67" s="1510" t="n"/>
      <c r="C67" s="1511" t="n"/>
      <c r="D67" s="1512" t="n"/>
      <c r="E67" s="1513" t="n"/>
      <c r="F67" s="1514" t="n"/>
      <c r="G67" s="1515" t="n"/>
      <c r="H67" s="1516" t="n"/>
      <c r="I67" s="1517" t="n"/>
      <c r="J67" s="1518" t="n"/>
      <c r="K67" s="1519" t="n"/>
      <c r="L67" s="1520" t="n"/>
      <c r="M67" s="1521" t="n"/>
      <c r="N67" s="1522" t="n"/>
      <c r="O67" s="1523" t="n"/>
    </row>
    <row r="68">
      <c r="A68" s="1524" t="n"/>
      <c r="B68" s="1525" t="n"/>
      <c r="C68" s="1526" t="n"/>
      <c r="D68" s="1527" t="n"/>
      <c r="E68" s="1528" t="n"/>
      <c r="F68" s="1529" t="n"/>
      <c r="G68" s="1530" t="n"/>
      <c r="H68" s="1531" t="n"/>
      <c r="I68" s="1532" t="n"/>
      <c r="J68" s="1533" t="n"/>
      <c r="K68" s="1534" t="n"/>
      <c r="L68" s="1535" t="n"/>
      <c r="M68" s="1536" t="n"/>
      <c r="N68" s="1537" t="n"/>
      <c r="O68" s="1538" t="n"/>
    </row>
    <row r="69">
      <c r="A69" s="1539" t="n"/>
      <c r="B69" s="1540" t="n"/>
      <c r="C69" s="1541" t="n"/>
      <c r="D69" s="1542" t="n"/>
      <c r="E69" s="1543" t="n"/>
      <c r="F69" s="1544" t="n"/>
      <c r="G69" s="1545" t="n"/>
      <c r="H69" s="1546" t="n"/>
      <c r="I69" s="1547" t="n"/>
      <c r="J69" s="1548" t="n"/>
      <c r="K69" s="1549" t="n"/>
      <c r="L69" s="1550" t="n"/>
      <c r="M69" s="1551" t="n"/>
      <c r="N69" s="1552" t="n"/>
      <c r="O69" s="1553" t="n"/>
    </row>
    <row r="70">
      <c r="A70" s="1554" t="n"/>
      <c r="B70" s="1555" t="n"/>
      <c r="C70" s="1556" t="n"/>
      <c r="D70" s="1557" t="n"/>
      <c r="E70" s="1558" t="n"/>
      <c r="F70" s="1559" t="n"/>
      <c r="G70" s="1560" t="n"/>
      <c r="H70" s="1561" t="n"/>
      <c r="I70" s="1562" t="n"/>
      <c r="J70" s="1563" t="n"/>
      <c r="K70" s="1564" t="n"/>
      <c r="L70" s="1565" t="n"/>
      <c r="M70" s="1566" t="n"/>
      <c r="N70" s="1567" t="n"/>
      <c r="O70" s="1568" t="n"/>
    </row>
    <row r="71">
      <c r="A71" s="1569" t="n"/>
      <c r="B71" s="1570" t="n"/>
      <c r="C71" s="1571" t="n"/>
      <c r="D71" s="1572" t="n"/>
      <c r="E71" s="1573" t="n"/>
      <c r="F71" s="1574" t="n"/>
      <c r="G71" s="1575" t="n"/>
      <c r="H71" s="1576" t="n"/>
      <c r="I71" s="1577" t="n"/>
      <c r="J71" s="1578" t="n"/>
      <c r="K71" s="1579" t="n"/>
      <c r="L71" s="1580" t="n"/>
      <c r="M71" s="1581" t="n"/>
      <c r="N71" s="1582" t="n"/>
      <c r="O71" s="1583" t="n"/>
    </row>
    <row r="72">
      <c r="A72" s="1584" t="n"/>
      <c r="B72" s="1585" t="n"/>
      <c r="C72" s="1586" t="n"/>
      <c r="D72" s="1587" t="n"/>
      <c r="E72" s="1588" t="n"/>
      <c r="F72" s="1589" t="n"/>
      <c r="G72" s="1590" t="n"/>
      <c r="H72" s="1591" t="n"/>
      <c r="I72" s="1592" t="n"/>
      <c r="J72" s="1593" t="n"/>
      <c r="K72" s="1594" t="n"/>
      <c r="L72" s="1595" t="n"/>
      <c r="M72" s="1596" t="n"/>
      <c r="N72" s="1597" t="n"/>
      <c r="O72" s="1598" t="n"/>
    </row>
    <row r="73">
      <c r="A73" s="1599" t="n"/>
      <c r="B73" s="1600" t="n"/>
      <c r="C73" s="1601" t="n"/>
      <c r="D73" s="1602" t="n"/>
      <c r="E73" s="1603" t="n"/>
      <c r="F73" s="1604" t="n"/>
      <c r="G73" s="1605" t="n"/>
      <c r="H73" s="1606" t="n"/>
      <c r="I73" s="1607" t="n"/>
      <c r="J73" s="1608" t="n"/>
      <c r="K73" s="1609" t="n"/>
      <c r="L73" s="1610" t="n"/>
      <c r="M73" s="1611" t="n"/>
      <c r="N73" s="1612" t="n"/>
      <c r="O73" s="1613" t="n"/>
    </row>
    <row r="74">
      <c r="A74" s="1614" t="n"/>
      <c r="B74" s="1615" t="n"/>
      <c r="C74" s="1616" t="n"/>
      <c r="D74" s="1617" t="n"/>
      <c r="E74" s="1618" t="n"/>
      <c r="F74" s="1619" t="n"/>
      <c r="G74" s="1620" t="n"/>
      <c r="H74" s="1621" t="n"/>
      <c r="I74" s="1622" t="n"/>
      <c r="J74" s="1623" t="n"/>
      <c r="K74" s="1624" t="n"/>
      <c r="L74" s="1625" t="n"/>
      <c r="M74" s="1626" t="n"/>
      <c r="N74" s="1627" t="n"/>
      <c r="O74" s="1628" t="n"/>
    </row>
    <row r="75">
      <c r="A75" s="1629" t="n"/>
      <c r="B75" s="1630" t="n"/>
      <c r="C75" s="1631" t="n"/>
      <c r="D75" s="1632" t="n"/>
      <c r="E75" s="1633" t="n"/>
      <c r="F75" s="1634" t="n"/>
      <c r="G75" s="1635" t="n"/>
      <c r="H75" s="1636" t="n"/>
      <c r="I75" s="1637" t="n"/>
      <c r="J75" s="1638" t="n"/>
      <c r="K75" s="1639" t="n"/>
      <c r="L75" s="1640" t="n"/>
      <c r="M75" s="1641" t="n"/>
      <c r="N75" s="1642" t="n"/>
      <c r="O75" s="1643" t="n"/>
    </row>
    <row r="76">
      <c r="A76" s="1644" t="n"/>
      <c r="B76" s="1645" t="n"/>
      <c r="C76" s="1646" t="n"/>
      <c r="D76" s="1647" t="n"/>
      <c r="E76" s="1648" t="n"/>
      <c r="F76" s="1649" t="n"/>
      <c r="G76" s="1650" t="n"/>
      <c r="H76" s="1651" t="n"/>
      <c r="I76" s="1652" t="n"/>
      <c r="J76" s="1653" t="n"/>
      <c r="K76" s="1654" t="n"/>
      <c r="L76" s="1655" t="n"/>
      <c r="M76" s="1656" t="n"/>
      <c r="N76" s="1657" t="n"/>
      <c r="O76" s="1658" t="n"/>
    </row>
    <row r="77">
      <c r="A77" s="1659" t="n"/>
      <c r="B77" s="1660" t="n"/>
      <c r="C77" s="1661" t="n"/>
      <c r="D77" s="1662" t="n"/>
      <c r="E77" s="1663" t="n"/>
      <c r="F77" s="1664" t="n"/>
      <c r="G77" s="1665" t="n"/>
      <c r="H77" s="1666" t="n"/>
      <c r="I77" s="1667" t="n"/>
      <c r="J77" s="1668" t="n"/>
      <c r="K77" s="1669" t="n"/>
      <c r="L77" s="1670" t="n"/>
      <c r="M77" s="1671" t="n"/>
      <c r="N77" s="1672" t="n"/>
      <c r="O77" s="1673" t="n"/>
    </row>
    <row r="78">
      <c r="A78" s="1674" t="n"/>
      <c r="B78" s="1675" t="n"/>
      <c r="C78" s="1676" t="n"/>
      <c r="D78" s="1677" t="n"/>
      <c r="E78" s="1678" t="n"/>
      <c r="F78" s="1679" t="n"/>
      <c r="G78" s="1680" t="n"/>
      <c r="H78" s="1681" t="n"/>
      <c r="I78" s="1682" t="n"/>
      <c r="J78" s="1683" t="n"/>
      <c r="K78" s="1684" t="n"/>
      <c r="L78" s="1685" t="n"/>
      <c r="M78" s="1686" t="n"/>
      <c r="N78" s="1687" t="n"/>
      <c r="O78" s="1688" t="n"/>
    </row>
    <row r="79">
      <c r="A79" s="1689" t="n"/>
      <c r="B79" s="1690" t="n"/>
      <c r="C79" s="1691" t="n"/>
      <c r="D79" s="1692" t="n"/>
      <c r="E79" s="1693" t="n"/>
      <c r="F79" s="1694" t="n"/>
      <c r="G79" s="1695" t="n"/>
      <c r="H79" s="1696" t="n"/>
      <c r="I79" s="1697" t="n"/>
      <c r="J79" s="1698" t="n"/>
      <c r="K79" s="1699" t="n"/>
      <c r="L79" s="1700" t="n"/>
      <c r="M79" s="1701" t="n"/>
      <c r="N79" s="1702" t="n"/>
      <c r="O79" s="1703" t="n"/>
    </row>
    <row r="80">
      <c r="A80" s="1704" t="n"/>
      <c r="B80" s="1705" t="n"/>
      <c r="C80" s="1706" t="n"/>
      <c r="D80" s="1707" t="n"/>
      <c r="E80" s="1708" t="n"/>
      <c r="F80" s="1709" t="n"/>
      <c r="G80" s="1710" t="n"/>
      <c r="H80" s="1711" t="n"/>
      <c r="I80" s="1712" t="n"/>
      <c r="J80" s="1713" t="n"/>
      <c r="K80" s="1714" t="n"/>
      <c r="L80" s="1715" t="n"/>
      <c r="M80" s="1716" t="n"/>
      <c r="N80" s="1717" t="n"/>
      <c r="O80" s="1718" t="n"/>
    </row>
    <row r="81">
      <c r="A81" s="1719" t="n"/>
      <c r="B81" s="1720" t="n"/>
      <c r="C81" s="1721" t="n"/>
      <c r="D81" s="1722" t="n"/>
      <c r="E81" s="1723" t="n"/>
      <c r="F81" s="1724" t="n"/>
      <c r="G81" s="1725" t="n"/>
      <c r="H81" s="1726" t="n"/>
      <c r="I81" s="1727" t="n"/>
      <c r="J81" s="1728" t="n"/>
      <c r="K81" s="1729" t="n"/>
      <c r="L81" s="1730" t="n"/>
      <c r="M81" s="1731" t="n"/>
      <c r="N81" s="1732" t="n"/>
      <c r="O81" s="1733" t="n"/>
    </row>
    <row r="82">
      <c r="A82" s="1734" t="n"/>
      <c r="B82" s="1735" t="n"/>
      <c r="C82" s="1736" t="n"/>
      <c r="D82" s="1737" t="n"/>
      <c r="E82" s="1738" t="n"/>
      <c r="F82" s="1739" t="n"/>
      <c r="G82" s="1740" t="n"/>
      <c r="H82" s="1741" t="n"/>
      <c r="I82" s="1742" t="n"/>
      <c r="J82" s="1743" t="n"/>
      <c r="K82" s="1744" t="n"/>
      <c r="L82" s="1745" t="n"/>
      <c r="M82" s="1746" t="n"/>
      <c r="N82" s="1747" t="n"/>
      <c r="O82" s="1748" t="n"/>
    </row>
    <row r="83">
      <c r="A83" s="1749" t="n"/>
      <c r="B83" s="1750" t="n"/>
      <c r="C83" s="1751" t="n"/>
      <c r="D83" s="1752" t="n"/>
      <c r="E83" s="1753" t="n"/>
      <c r="F83" s="1754" t="n"/>
      <c r="G83" s="1755" t="n"/>
      <c r="H83" s="1756" t="n"/>
      <c r="I83" s="1757" t="n"/>
      <c r="J83" s="1758" t="n"/>
      <c r="K83" s="1759" t="n"/>
      <c r="L83" s="1760" t="n"/>
      <c r="M83" s="1761" t="n"/>
      <c r="N83" s="1762" t="n"/>
      <c r="O83" s="1763" t="n"/>
    </row>
    <row r="84">
      <c r="A84" s="1764" t="n"/>
      <c r="B84" s="1765" t="n"/>
      <c r="C84" s="1766" t="n"/>
      <c r="D84" s="1767" t="n"/>
      <c r="E84" s="1768" t="n"/>
      <c r="F84" s="1769" t="n"/>
      <c r="G84" s="1770" t="n"/>
      <c r="H84" s="1771" t="n"/>
      <c r="I84" s="1772" t="n"/>
      <c r="J84" s="1773" t="n"/>
      <c r="K84" s="1774" t="n"/>
      <c r="L84" s="1775" t="n"/>
      <c r="M84" s="1776" t="n"/>
      <c r="N84" s="1777" t="n"/>
      <c r="O84" s="1778" t="n"/>
    </row>
    <row r="85">
      <c r="A85" s="1779" t="n"/>
      <c r="B85" s="1780" t="n"/>
      <c r="C85" s="1781" t="n"/>
      <c r="D85" s="1782" t="n"/>
      <c r="E85" s="1783" t="n"/>
      <c r="F85" s="1784" t="n"/>
      <c r="G85" s="1785" t="n"/>
      <c r="H85" s="1786" t="n"/>
      <c r="I85" s="1787" t="n"/>
      <c r="J85" s="1788" t="n"/>
      <c r="K85" s="1789" t="n"/>
      <c r="L85" s="1790" t="n"/>
      <c r="M85" s="1791" t="n"/>
      <c r="N85" s="1792" t="n"/>
      <c r="O85" s="1793" t="n"/>
    </row>
    <row r="86">
      <c r="A86" s="1794" t="n"/>
      <c r="B86" s="1795" t="n"/>
      <c r="C86" s="1796" t="n"/>
      <c r="D86" s="1797" t="n"/>
      <c r="E86" s="1798" t="n"/>
      <c r="F86" s="1799" t="n"/>
      <c r="G86" s="1800" t="n"/>
      <c r="H86" s="1801" t="n"/>
      <c r="I86" s="1802" t="n"/>
      <c r="J86" s="1803" t="n"/>
      <c r="K86" s="1804" t="n"/>
      <c r="L86" s="1805" t="n"/>
      <c r="M86" s="1806" t="n"/>
      <c r="N86" s="1807" t="n"/>
      <c r="O86" s="1808" t="n"/>
    </row>
    <row r="87">
      <c r="A87" s="1809" t="n"/>
      <c r="B87" s="1810" t="n"/>
      <c r="C87" s="1811" t="n"/>
      <c r="D87" s="1812" t="n"/>
      <c r="E87" s="1813" t="n"/>
      <c r="F87" s="1814" t="n"/>
      <c r="G87" s="1815" t="n"/>
      <c r="H87" s="1816" t="n"/>
      <c r="I87" s="1817" t="n"/>
      <c r="J87" s="1818" t="n"/>
      <c r="K87" s="1819" t="n"/>
      <c r="L87" s="1820" t="n"/>
      <c r="M87" s="1821" t="n"/>
      <c r="N87" s="1822" t="n"/>
      <c r="O87" s="1823" t="n"/>
    </row>
    <row r="88">
      <c r="A88" s="1824" t="n"/>
      <c r="B88" s="1825" t="n"/>
      <c r="C88" s="1826" t="n"/>
      <c r="D88" s="1827" t="n"/>
      <c r="E88" s="1828" t="n"/>
      <c r="F88" s="1829" t="n"/>
      <c r="G88" s="1830" t="n"/>
      <c r="H88" s="1831" t="n"/>
      <c r="I88" s="1832" t="n"/>
      <c r="J88" s="1833" t="n"/>
      <c r="K88" s="1834" t="n"/>
      <c r="L88" s="1835" t="n"/>
      <c r="M88" s="1836" t="n"/>
      <c r="N88" s="1837" t="n"/>
      <c r="O88" s="1838" t="n"/>
    </row>
    <row r="89">
      <c r="A89" s="1839" t="n"/>
      <c r="B89" s="1840" t="n"/>
      <c r="C89" s="1841" t="n"/>
      <c r="D89" s="1842" t="n"/>
      <c r="E89" s="1843" t="n"/>
      <c r="F89" s="1844" t="n"/>
      <c r="G89" s="1845" t="n"/>
      <c r="H89" s="1846" t="n"/>
      <c r="I89" s="1847" t="n"/>
      <c r="J89" s="1848" t="n"/>
      <c r="K89" s="1849" t="n"/>
      <c r="L89" s="1850" t="n"/>
      <c r="M89" s="1851" t="n"/>
      <c r="N89" s="1852" t="n"/>
      <c r="O89" s="1853" t="n"/>
    </row>
    <row r="90">
      <c r="A90" s="1854" t="n"/>
      <c r="B90" s="1855" t="n"/>
      <c r="C90" s="1856" t="n"/>
      <c r="D90" s="1857" t="n"/>
      <c r="E90" s="1858" t="n"/>
      <c r="F90" s="1859" t="n"/>
      <c r="G90" s="1860" t="n"/>
      <c r="H90" s="1861" t="n"/>
      <c r="I90" s="1862" t="n"/>
      <c r="J90" s="1863" t="n"/>
      <c r="K90" s="1864" t="n"/>
      <c r="L90" s="1865" t="n"/>
      <c r="M90" s="1866" t="n"/>
      <c r="N90" s="1867" t="n"/>
      <c r="O90" s="1868" t="n"/>
    </row>
    <row r="91">
      <c r="A91" s="1869" t="n"/>
      <c r="B91" s="1870" t="n"/>
      <c r="C91" s="1871" t="n"/>
      <c r="D91" s="1872" t="n"/>
      <c r="E91" s="1873" t="n"/>
      <c r="F91" s="1874" t="n"/>
      <c r="G91" s="1875" t="n"/>
      <c r="H91" s="1876" t="n"/>
      <c r="I91" s="1877" t="n"/>
      <c r="J91" s="1878" t="n"/>
      <c r="K91" s="1879" t="n"/>
      <c r="L91" s="1880" t="n"/>
      <c r="M91" s="1881" t="n"/>
      <c r="N91" s="1882" t="n"/>
      <c r="O91" s="1883" t="n"/>
    </row>
    <row r="92">
      <c r="A92" s="1884" t="n"/>
      <c r="B92" s="1885" t="n"/>
      <c r="C92" s="1886" t="n"/>
      <c r="D92" s="1887" t="n"/>
      <c r="E92" s="1888" t="n"/>
      <c r="F92" s="1889" t="n"/>
      <c r="G92" s="1890" t="n"/>
      <c r="H92" s="1891" t="n"/>
      <c r="I92" s="1892" t="n"/>
      <c r="J92" s="1893" t="n"/>
      <c r="K92" s="1894" t="n"/>
      <c r="L92" s="1895" t="n"/>
      <c r="M92" s="1896" t="n"/>
      <c r="N92" s="1897" t="n"/>
      <c r="O92" s="1898" t="n"/>
    </row>
    <row r="93">
      <c r="A93" s="1899" t="n"/>
      <c r="B93" s="1900" t="n"/>
      <c r="C93" s="1901" t="n"/>
      <c r="D93" s="1902" t="n"/>
      <c r="E93" s="1903" t="n"/>
      <c r="F93" s="1904" t="n"/>
      <c r="G93" s="1905" t="n"/>
      <c r="H93" s="1906" t="n"/>
      <c r="I93" s="1907" t="n"/>
      <c r="J93" s="1908" t="n"/>
      <c r="K93" s="1909" t="n"/>
      <c r="L93" s="1910" t="n"/>
      <c r="M93" s="1911" t="n"/>
      <c r="N93" s="1912" t="n"/>
      <c r="O93" s="1913" t="n"/>
    </row>
    <row r="94">
      <c r="A94" s="1914" t="n"/>
      <c r="B94" s="1915" t="n"/>
      <c r="C94" s="1916" t="n"/>
      <c r="D94" s="1917" t="n"/>
      <c r="E94" s="1918" t="n"/>
      <c r="F94" s="1919" t="n"/>
      <c r="G94" s="1920" t="n"/>
      <c r="H94" s="1921" t="n"/>
      <c r="I94" s="1922" t="n"/>
      <c r="J94" s="1923" t="n"/>
      <c r="K94" s="1924" t="n"/>
      <c r="L94" s="1925" t="n"/>
      <c r="M94" s="1926" t="n"/>
      <c r="N94" s="1927" t="n"/>
      <c r="O94" s="1928" t="n"/>
    </row>
    <row r="95">
      <c r="A95" s="1929" t="n"/>
      <c r="B95" s="1930" t="n"/>
      <c r="C95" s="1931" t="n"/>
      <c r="D95" s="1932" t="n"/>
      <c r="E95" s="1933" t="n"/>
      <c r="F95" s="1934" t="n"/>
      <c r="G95" s="1935" t="n"/>
      <c r="H95" s="1936" t="n"/>
      <c r="I95" s="1937" t="n"/>
      <c r="J95" s="1938" t="n"/>
      <c r="K95" s="1939" t="n"/>
      <c r="L95" s="1940" t="n"/>
      <c r="M95" s="1941" t="n"/>
      <c r="N95" s="1942" t="n"/>
      <c r="O95" s="1943" t="n"/>
    </row>
    <row r="96">
      <c r="A96" s="1944" t="n"/>
      <c r="B96" s="1945" t="n"/>
      <c r="C96" s="1946" t="n"/>
      <c r="D96" s="1947" t="n"/>
      <c r="E96" s="1948" t="n"/>
      <c r="F96" s="1949" t="n"/>
      <c r="G96" s="1950" t="n"/>
      <c r="H96" s="1951" t="n"/>
      <c r="I96" s="1952" t="n"/>
      <c r="J96" s="1953" t="n"/>
      <c r="K96" s="1954" t="n"/>
      <c r="L96" s="1955" t="n"/>
      <c r="M96" s="1956" t="n"/>
      <c r="N96" s="1957" t="n"/>
      <c r="O96" s="1958" t="n"/>
    </row>
    <row r="97">
      <c r="A97" s="1959" t="n"/>
      <c r="B97" s="1960" t="n"/>
      <c r="C97" s="1961" t="n"/>
      <c r="D97" s="1962" t="n"/>
      <c r="E97" s="1963" t="n"/>
      <c r="F97" s="1964" t="n"/>
      <c r="G97" s="1965" t="n"/>
      <c r="H97" s="1966" t="n"/>
      <c r="I97" s="1967" t="n"/>
      <c r="J97" s="1968" t="n"/>
      <c r="K97" s="1969" t="n"/>
      <c r="L97" s="1970" t="n"/>
      <c r="M97" s="1971" t="n"/>
      <c r="N97" s="1972" t="n"/>
      <c r="O97" s="1973" t="n"/>
    </row>
    <row r="98">
      <c r="A98" s="1974" t="n"/>
      <c r="B98" s="1975" t="n"/>
      <c r="C98" s="1976" t="n"/>
      <c r="D98" s="1977" t="n"/>
      <c r="E98" s="1978" t="n"/>
      <c r="F98" s="1979" t="n"/>
      <c r="G98" s="1980" t="n"/>
      <c r="H98" s="1981" t="n"/>
      <c r="I98" s="1982" t="n"/>
      <c r="J98" s="1983" t="n"/>
      <c r="K98" s="1984" t="n"/>
      <c r="L98" s="1985" t="n"/>
      <c r="M98" s="1986" t="n"/>
      <c r="N98" s="1987" t="n"/>
      <c r="O98" s="1988" t="n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40"/>
  <sheetViews>
    <sheetView tabSelected="1" topLeftCell="A29" workbookViewId="0">
      <selection activeCell="D54" sqref="D54"/>
    </sheetView>
  </sheetViews>
  <sheetFormatPr baseColWidth="10" defaultRowHeight="13.8"/>
  <cols>
    <col width="14" customWidth="1" style="17580" min="1" max="2"/>
    <col width="10" customWidth="1" style="17580" min="3" max="3"/>
    <col width="28" customWidth="1" style="17580" min="4" max="4"/>
    <col width="14" customWidth="1" style="17580" min="5" max="5"/>
    <col width="18" customWidth="1" style="17580" min="6" max="6"/>
    <col width="16" customWidth="1" style="17580" min="7" max="7"/>
    <col width="18" customWidth="1" style="17580" min="8" max="8"/>
    <col width="14" customWidth="1" style="17580" min="9" max="9"/>
    <col width="12" customWidth="1" style="17580" min="10" max="10"/>
    <col width="14" customWidth="1" style="17580" min="11" max="11"/>
    <col width="35" customWidth="1" style="17580" min="12" max="12"/>
    <col width="50" customWidth="1" style="17580" min="13" max="13"/>
    <col hidden="1" width="13" customWidth="1" style="17580" min="14" max="14"/>
  </cols>
  <sheetData>
    <row r="1" ht="17.4" customHeight="1" s="17580">
      <c r="A1" s="17630" t="inlineStr">
        <is>
          <t>CONCILIACIÓN FINANCIERA - FACTURAS GASOLINERA MOBIL (CASTILLA)</t>
        </is>
      </c>
    </row>
    <row r="2" ht="14.4" customHeight="1" s="17580">
      <c r="A2" s="17629" t="inlineStr">
        <is>
          <t>Derivados de Petróleo Castilla S.A. de C.V. | RFC: DPC180725R47 | Tel: 5552441117</t>
        </is>
      </c>
    </row>
    <row r="4" ht="36" customHeight="1" s="17580">
      <c r="A4" s="11490" t="inlineStr">
        <is>
          <t>No. Factura</t>
        </is>
      </c>
      <c r="B4" s="11491" t="inlineStr">
        <is>
          <t>Fecha Suministro</t>
        </is>
      </c>
      <c r="C4" s="11492" t="inlineStr">
        <is>
          <t>Cliente No.</t>
        </is>
      </c>
      <c r="D4" s="11493" t="inlineStr">
        <is>
          <t>Obra / Destino</t>
        </is>
      </c>
      <c r="E4" s="11494" t="inlineStr">
        <is>
          <t>Lts Facturados</t>
        </is>
      </c>
      <c r="F4" s="11495" t="inlineStr">
        <is>
          <t>Precio Unitario ($/L)</t>
        </is>
      </c>
      <c r="G4" s="11496" t="inlineStr">
        <is>
          <t>Monto Factura ($)</t>
        </is>
      </c>
      <c r="H4" s="11497" t="inlineStr">
        <is>
          <t>Lts Reales (Registros Obra)</t>
        </is>
      </c>
      <c r="I4" s="11498" t="inlineStr">
        <is>
          <t>Diferencia Lts</t>
        </is>
      </c>
      <c r="J4" s="11499" t="inlineStr">
        <is>
          <t>% Eficiencia</t>
        </is>
      </c>
      <c r="K4" s="11500" t="inlineStr">
        <is>
          <t>Costo Real ($/L Obra)</t>
        </is>
      </c>
      <c r="L4" s="11501" t="inlineStr">
        <is>
          <t>Estatus Conciliación</t>
        </is>
      </c>
      <c r="M4" s="11502" t="inlineStr">
        <is>
          <t>Notas / Destino Factura</t>
        </is>
      </c>
      <c r="N4" s="11503" t="inlineStr">
        <is>
          <t>Semana (Helper)</t>
        </is>
      </c>
    </row>
    <row r="5" ht="21" customHeight="1" s="17580">
      <c r="A5" t="inlineStr">
        <is>
          <t>A-10052</t>
        </is>
      </c>
      <c r="B5" s="17726" t="n">
        <v>46188.60663194444</v>
      </c>
      <c r="C5" t="n">
        <v>39</v>
      </c>
      <c r="D5" t="inlineStr">
        <is>
          <t>Planta Asflato Huixquilucan</t>
        </is>
      </c>
      <c r="E5" t="n">
        <v>500.002</v>
      </c>
      <c r="F5" t="n">
        <v>27</v>
      </c>
      <c r="G5" t="n">
        <v>13500.06</v>
      </c>
      <c r="N5" t="n">
        <v>25</v>
      </c>
    </row>
    <row r="6">
      <c r="A6" t="inlineStr">
        <is>
          <t>A-10053</t>
        </is>
      </c>
      <c r="B6" s="17726" t="n">
        <v>46188.66366898148</v>
      </c>
      <c r="C6" t="n">
        <v>39</v>
      </c>
      <c r="D6" t="inlineStr">
        <is>
          <t>Planta Asflato Huixquilucan</t>
        </is>
      </c>
      <c r="E6" t="n">
        <v>800.0060000000001</v>
      </c>
      <c r="F6" t="n">
        <v>27</v>
      </c>
      <c r="G6" t="n">
        <v>21600.15</v>
      </c>
      <c r="N6" t="n">
        <v>25</v>
      </c>
    </row>
    <row r="7">
      <c r="A7" t="inlineStr">
        <is>
          <t>A-10056</t>
        </is>
      </c>
      <c r="B7" s="17726" t="n">
        <v>46188.92902777778</v>
      </c>
      <c r="C7" t="n">
        <v>39</v>
      </c>
      <c r="D7" t="inlineStr">
        <is>
          <t>Maquinaria Pegaso</t>
        </is>
      </c>
      <c r="E7" t="n">
        <v>4000.012000000001</v>
      </c>
      <c r="F7" t="n">
        <v>27</v>
      </c>
      <c r="G7" t="n">
        <v>108000.36</v>
      </c>
      <c r="N7" t="n">
        <v>25</v>
      </c>
    </row>
    <row r="8">
      <c r="A8" t="inlineStr">
        <is>
          <t>A-10058</t>
        </is>
      </c>
      <c r="B8" s="17726" t="n">
        <v>46189.3878125</v>
      </c>
      <c r="C8" t="n">
        <v>39</v>
      </c>
      <c r="D8" t="inlineStr">
        <is>
          <t>Planta Asflato Huixquilucan</t>
        </is>
      </c>
      <c r="E8" t="n">
        <v>500.002</v>
      </c>
      <c r="F8" t="n">
        <v>27</v>
      </c>
      <c r="G8" t="n">
        <v>13500.06</v>
      </c>
      <c r="N8" t="n">
        <v>25</v>
      </c>
    </row>
    <row r="9">
      <c r="A9" t="inlineStr">
        <is>
          <t>A-10072</t>
        </is>
      </c>
      <c r="B9" s="17726" t="n">
        <v>46190.37244212963</v>
      </c>
      <c r="C9" t="n">
        <v>39</v>
      </c>
      <c r="D9" t="inlineStr">
        <is>
          <t>Planta Asflato Huixquilucan</t>
        </is>
      </c>
      <c r="E9" t="n">
        <v>600.004</v>
      </c>
      <c r="F9" t="n">
        <v>27</v>
      </c>
      <c r="G9" t="n">
        <v>16200.1</v>
      </c>
      <c r="N9" t="n">
        <v>25</v>
      </c>
    </row>
    <row r="10">
      <c r="A10" t="inlineStr">
        <is>
          <t>A-10078</t>
        </is>
      </c>
      <c r="B10" s="17726" t="n">
        <v>46190.45596064815</v>
      </c>
      <c r="C10" t="n">
        <v>39</v>
      </c>
      <c r="D10" t="inlineStr">
        <is>
          <t>Planta Asflato Huixquilucan</t>
        </is>
      </c>
      <c r="E10" t="n">
        <v>520.002</v>
      </c>
      <c r="F10" t="n">
        <v>27</v>
      </c>
      <c r="G10" t="n">
        <v>14040.05</v>
      </c>
      <c r="N10" t="n">
        <v>25</v>
      </c>
    </row>
    <row r="11">
      <c r="A11" t="inlineStr">
        <is>
          <t>A-10087</t>
        </is>
      </c>
      <c r="B11" s="17726" t="n">
        <v>46191.41320601852</v>
      </c>
      <c r="C11" t="n">
        <v>39</v>
      </c>
      <c r="D11" t="inlineStr">
        <is>
          <t>Planta Asflato Huixquilucan</t>
        </is>
      </c>
      <c r="E11" t="n">
        <v>490.004</v>
      </c>
      <c r="F11" t="n">
        <v>27</v>
      </c>
      <c r="G11" t="n">
        <v>13230.1</v>
      </c>
      <c r="N11" t="n">
        <v>25</v>
      </c>
    </row>
    <row r="12">
      <c r="A12" t="inlineStr">
        <is>
          <t>A-10088</t>
        </is>
      </c>
      <c r="B12" s="17726" t="n">
        <v>46191.55734953703</v>
      </c>
      <c r="C12" t="n">
        <v>39</v>
      </c>
      <c r="D12" t="inlineStr">
        <is>
          <t>Planta Asflato Huixquilucan</t>
        </is>
      </c>
      <c r="E12" t="n">
        <v>4000.012000000001</v>
      </c>
      <c r="F12" t="n">
        <v>27</v>
      </c>
      <c r="G12" t="n">
        <v>108000.36</v>
      </c>
      <c r="N12" t="n">
        <v>25</v>
      </c>
    </row>
    <row r="13">
      <c r="A13" t="inlineStr">
        <is>
          <t>A-10091</t>
        </is>
      </c>
      <c r="B13" s="17726" t="n">
        <v>46191.61751157408</v>
      </c>
      <c r="C13" t="n">
        <v>39</v>
      </c>
      <c r="D13" t="inlineStr">
        <is>
          <t>Planta Asflato Huixquilucan</t>
        </is>
      </c>
      <c r="E13" t="n">
        <v>500.002</v>
      </c>
      <c r="F13" t="n">
        <v>27</v>
      </c>
      <c r="G13" t="n">
        <v>13500.06</v>
      </c>
      <c r="N13" t="n">
        <v>25</v>
      </c>
    </row>
    <row r="14">
      <c r="A14" t="inlineStr">
        <is>
          <t>A-10108</t>
        </is>
      </c>
      <c r="B14" s="17726" t="n">
        <v>46192.39879629629</v>
      </c>
      <c r="C14" t="n">
        <v>39</v>
      </c>
      <c r="D14" t="inlineStr">
        <is>
          <t>Planta Asflato Huixquilucan</t>
        </is>
      </c>
      <c r="E14" t="n">
        <v>400.004</v>
      </c>
      <c r="F14" t="n">
        <v>27</v>
      </c>
      <c r="G14" t="n">
        <v>10800.1</v>
      </c>
      <c r="N14" t="n">
        <v>25</v>
      </c>
    </row>
    <row r="15">
      <c r="A15" t="inlineStr">
        <is>
          <t>A-10111</t>
        </is>
      </c>
      <c r="B15" s="17726" t="n">
        <v>46192.60289351852</v>
      </c>
      <c r="C15" t="n">
        <v>39</v>
      </c>
      <c r="D15" t="inlineStr">
        <is>
          <t>Maquinaria Pegaso</t>
        </is>
      </c>
      <c r="E15" t="n">
        <v>4000.012000000001</v>
      </c>
      <c r="F15" t="n">
        <v>27</v>
      </c>
      <c r="G15" t="n">
        <v>108000.36</v>
      </c>
      <c r="N15" t="n">
        <v>25</v>
      </c>
    </row>
    <row r="16">
      <c r="A16" t="inlineStr">
        <is>
          <t>A-10113</t>
        </is>
      </c>
      <c r="B16" s="17726" t="n">
        <v>46192.78049768518</v>
      </c>
      <c r="C16" t="n">
        <v>39</v>
      </c>
      <c r="D16" t="inlineStr">
        <is>
          <t>Maquinaria Pegaso</t>
        </is>
      </c>
      <c r="E16" t="n">
        <v>4000.012000000001</v>
      </c>
      <c r="F16" t="n">
        <v>27</v>
      </c>
      <c r="G16" t="n">
        <v>108000.36</v>
      </c>
      <c r="N16" t="n">
        <v>25</v>
      </c>
    </row>
    <row r="17">
      <c r="A17" t="inlineStr">
        <is>
          <t>A-23783082</t>
        </is>
      </c>
      <c r="B17" s="17726" t="n">
        <v>46193.41956018518</v>
      </c>
      <c r="C17" t="n">
        <v>39</v>
      </c>
      <c r="D17" t="inlineStr">
        <is>
          <t>Planta Asflato Huixquilucan</t>
        </is>
      </c>
      <c r="E17" t="n">
        <v>600.004</v>
      </c>
      <c r="F17" t="n">
        <v>27</v>
      </c>
      <c r="G17" t="n">
        <v>16200.1</v>
      </c>
      <c r="N17" t="n">
        <v>25</v>
      </c>
    </row>
    <row r="18" ht="21" customHeight="1" s="17580">
      <c r="A18" t="inlineStr">
        <is>
          <t>A-10128</t>
        </is>
      </c>
      <c r="B18" s="17726" t="n">
        <v>46193.93548611111</v>
      </c>
      <c r="C18" t="n">
        <v>39</v>
      </c>
      <c r="D18" t="inlineStr">
        <is>
          <t>Maquinaria Pegaso</t>
        </is>
      </c>
      <c r="E18" t="n">
        <v>4000.012000000001</v>
      </c>
      <c r="F18" t="n">
        <v>27</v>
      </c>
      <c r="G18" t="n">
        <v>108000.36</v>
      </c>
      <c r="N18" t="n">
        <v>25</v>
      </c>
    </row>
    <row r="19">
      <c r="A19" t="inlineStr">
        <is>
          <t>A-10148</t>
        </is>
      </c>
      <c r="B19" s="17726" t="n">
        <v>46195.49832175926</v>
      </c>
      <c r="C19" t="n">
        <v>39</v>
      </c>
      <c r="D19" t="inlineStr">
        <is>
          <t>Planta Asflato Huixquilucan</t>
        </is>
      </c>
      <c r="E19" t="n">
        <v>660</v>
      </c>
      <c r="F19" t="n">
        <v>27</v>
      </c>
      <c r="G19" t="n">
        <v>17820</v>
      </c>
      <c r="N19" t="n">
        <v>26</v>
      </c>
    </row>
    <row r="20">
      <c r="A20" t="inlineStr">
        <is>
          <t>A-10198</t>
        </is>
      </c>
      <c r="B20" s="17726" t="n">
        <v>46197</v>
      </c>
      <c r="C20" t="n">
        <v>39</v>
      </c>
      <c r="D20" t="inlineStr">
        <is>
          <t>México-Toluca</t>
        </is>
      </c>
      <c r="E20" t="n">
        <v>550.003</v>
      </c>
      <c r="F20" t="n">
        <v>27</v>
      </c>
      <c r="G20" t="n">
        <v>14850.08</v>
      </c>
      <c r="N20" t="n">
        <v>26</v>
      </c>
    </row>
    <row r="21">
      <c r="A21" t="inlineStr">
        <is>
          <t>A-10216</t>
        </is>
      </c>
      <c r="B21" s="17726" t="n">
        <v>46198</v>
      </c>
      <c r="C21" t="n">
        <v>39</v>
      </c>
      <c r="D21" t="inlineStr">
        <is>
          <t>México-Toluca</t>
        </is>
      </c>
      <c r="E21" t="n">
        <v>400.004</v>
      </c>
      <c r="F21" t="n">
        <v>27</v>
      </c>
      <c r="G21" t="n">
        <v>10800.1</v>
      </c>
      <c r="N21" t="n">
        <v>26</v>
      </c>
    </row>
    <row r="22">
      <c r="A22" t="inlineStr">
        <is>
          <t>A-10225</t>
        </is>
      </c>
      <c r="B22" s="17726" t="n">
        <v>46198</v>
      </c>
      <c r="C22" t="n">
        <v>39</v>
      </c>
      <c r="D22" t="inlineStr">
        <is>
          <t>México-Toluca</t>
        </is>
      </c>
      <c r="E22" t="n">
        <v>4000.012</v>
      </c>
      <c r="F22" t="n">
        <v>27</v>
      </c>
      <c r="G22" t="n">
        <v>108000.35</v>
      </c>
      <c r="N22" t="n">
        <v>26</v>
      </c>
    </row>
    <row r="23">
      <c r="A23" t="inlineStr">
        <is>
          <t>A-10211</t>
        </is>
      </c>
      <c r="B23" s="17726" t="n">
        <v>46198.26539351852</v>
      </c>
      <c r="C23" t="n">
        <v>39</v>
      </c>
      <c r="D23" t="inlineStr">
        <is>
          <t>Planta Asflato Huixquilucan</t>
        </is>
      </c>
      <c r="E23" t="n">
        <v>550.003</v>
      </c>
      <c r="F23" t="n">
        <v>27</v>
      </c>
      <c r="G23" t="n">
        <v>14850.08</v>
      </c>
      <c r="N23" t="n">
        <v>26</v>
      </c>
    </row>
    <row r="24">
      <c r="A24" t="inlineStr">
        <is>
          <t>A-10226</t>
        </is>
      </c>
      <c r="B24" s="17726" t="n">
        <v>46199</v>
      </c>
      <c r="C24" t="n">
        <v>39</v>
      </c>
      <c r="D24" t="inlineStr">
        <is>
          <t>México-Toluca</t>
        </is>
      </c>
      <c r="E24" t="n">
        <v>480.004</v>
      </c>
      <c r="F24" t="n">
        <v>27</v>
      </c>
      <c r="G24" t="n">
        <v>12960.1</v>
      </c>
      <c r="N24" t="n">
        <v>26</v>
      </c>
    </row>
    <row r="25">
      <c r="A25" t="inlineStr">
        <is>
          <t>A-10254</t>
        </is>
      </c>
      <c r="B25" s="17726" t="n">
        <v>46202.39358796296</v>
      </c>
      <c r="C25" t="n">
        <v>39</v>
      </c>
      <c r="D25" t="inlineStr">
        <is>
          <t>Planta Asflato Huixquilucan</t>
        </is>
      </c>
      <c r="E25" t="n">
        <v>700.002</v>
      </c>
      <c r="F25" t="n">
        <v>27</v>
      </c>
      <c r="G25" t="n">
        <v>18900.06</v>
      </c>
      <c r="N25" t="n">
        <v>27</v>
      </c>
    </row>
    <row r="26">
      <c r="A26" t="inlineStr">
        <is>
          <t>A-10270</t>
        </is>
      </c>
      <c r="B26" s="17726" t="n">
        <v>46202.50553240741</v>
      </c>
      <c r="C26" t="n">
        <v>39</v>
      </c>
      <c r="D26" t="inlineStr">
        <is>
          <t>Planta Asflato Huixquilucan</t>
        </is>
      </c>
      <c r="E26" t="n">
        <v>290.002</v>
      </c>
      <c r="F26" t="n">
        <v>27</v>
      </c>
      <c r="G26" t="n">
        <v>7830.05</v>
      </c>
      <c r="N26" t="n">
        <v>27</v>
      </c>
    </row>
    <row r="27">
      <c r="A27" t="inlineStr">
        <is>
          <t>A-10271</t>
        </is>
      </c>
      <c r="B27" s="17726" t="n">
        <v>46202.50608796296</v>
      </c>
      <c r="C27" t="n">
        <v>39</v>
      </c>
      <c r="D27" t="inlineStr">
        <is>
          <t>Planta Asflato Huixquilucan</t>
        </is>
      </c>
      <c r="E27" t="n">
        <v>600.004</v>
      </c>
      <c r="F27" t="n">
        <v>27</v>
      </c>
      <c r="G27" t="n">
        <v>16200.1</v>
      </c>
      <c r="N27" t="n">
        <v>27</v>
      </c>
    </row>
    <row r="28">
      <c r="A28" t="inlineStr">
        <is>
          <t>A-10286</t>
        </is>
      </c>
      <c r="B28" s="17726" t="n">
        <v>46203.31627314815</v>
      </c>
      <c r="C28" t="n">
        <v>39</v>
      </c>
      <c r="D28" t="inlineStr">
        <is>
          <t>Planta Asflato Huixquilucan</t>
        </is>
      </c>
      <c r="E28" t="n">
        <v>430.002</v>
      </c>
      <c r="F28" t="n">
        <v>27</v>
      </c>
      <c r="G28" t="n">
        <v>11610.05</v>
      </c>
      <c r="N28" t="n">
        <v>27</v>
      </c>
    </row>
    <row r="29">
      <c r="A29" t="inlineStr">
        <is>
          <t>A-10290</t>
        </is>
      </c>
      <c r="B29" s="17726" t="n">
        <v>46203.41509259259</v>
      </c>
      <c r="C29" t="n">
        <v>39</v>
      </c>
      <c r="D29" t="inlineStr">
        <is>
          <t>Maquinaria Pegaso</t>
        </is>
      </c>
      <c r="E29" t="n">
        <v>1000.004</v>
      </c>
      <c r="F29" t="n">
        <v>27</v>
      </c>
      <c r="G29" t="n">
        <v>27000.11</v>
      </c>
      <c r="N29" t="n">
        <v>27</v>
      </c>
    </row>
    <row r="30">
      <c r="A30" t="inlineStr">
        <is>
          <t>A-10293</t>
        </is>
      </c>
      <c r="B30" s="17726" t="n">
        <v>46203.47357638889</v>
      </c>
      <c r="C30" t="n">
        <v>39</v>
      </c>
      <c r="D30" t="inlineStr">
        <is>
          <t>Maquinaria Pegaso</t>
        </is>
      </c>
      <c r="E30" t="n">
        <v>2000.008</v>
      </c>
      <c r="F30" t="n">
        <v>27</v>
      </c>
      <c r="G30" t="n">
        <v>54000.22</v>
      </c>
      <c r="N30" t="n">
        <v>27</v>
      </c>
    </row>
    <row r="31">
      <c r="A31" t="inlineStr">
        <is>
          <t>A-10298</t>
        </is>
      </c>
      <c r="B31" s="17726" t="n">
        <v>46203.52765046297</v>
      </c>
      <c r="C31" t="n">
        <v>39</v>
      </c>
      <c r="D31" t="inlineStr">
        <is>
          <t>Planta Asflato Huixquilucan</t>
        </is>
      </c>
      <c r="E31" t="n">
        <v>580.004</v>
      </c>
      <c r="F31" t="n">
        <v>27</v>
      </c>
      <c r="G31" t="n">
        <v>15660.1</v>
      </c>
      <c r="N31" t="n">
        <v>27</v>
      </c>
    </row>
    <row r="32">
      <c r="A32" t="inlineStr">
        <is>
          <t>A-10308</t>
        </is>
      </c>
      <c r="B32" s="17726" t="n">
        <v>46203.7003125</v>
      </c>
      <c r="C32" t="n">
        <v>39</v>
      </c>
      <c r="D32" t="inlineStr">
        <is>
          <t>Maquinaria Pegaso</t>
        </is>
      </c>
      <c r="E32" t="n">
        <v>1000.004</v>
      </c>
      <c r="F32" t="n">
        <v>27</v>
      </c>
      <c r="G32" t="n">
        <v>27000.11</v>
      </c>
      <c r="N32" t="n">
        <v>27</v>
      </c>
    </row>
    <row r="33">
      <c r="A33" t="inlineStr">
        <is>
          <t>A-10319</t>
        </is>
      </c>
      <c r="B33" s="17726" t="n">
        <v>46204.48795138889</v>
      </c>
      <c r="C33" t="n">
        <v>39</v>
      </c>
      <c r="D33" t="inlineStr">
        <is>
          <t>Planta Asflato Huixquilucan</t>
        </is>
      </c>
      <c r="E33" t="n">
        <v>660.0029999999999</v>
      </c>
      <c r="F33" t="n">
        <v>27</v>
      </c>
      <c r="G33" t="n">
        <v>17820.08</v>
      </c>
      <c r="N33" t="n">
        <v>27</v>
      </c>
    </row>
    <row r="34">
      <c r="A34" t="inlineStr">
        <is>
          <t>A-10320</t>
        </is>
      </c>
      <c r="B34" s="17726" t="n">
        <v>46204.48859953704</v>
      </c>
      <c r="C34" t="n">
        <v>39</v>
      </c>
      <c r="D34" t="inlineStr">
        <is>
          <t>Planta Asflato Huixquilucan</t>
        </is>
      </c>
      <c r="E34" t="n">
        <v>200.002</v>
      </c>
      <c r="F34" t="n">
        <v>27</v>
      </c>
      <c r="G34" t="n">
        <v>5400.05</v>
      </c>
      <c r="N34" t="n">
        <v>26</v>
      </c>
    </row>
    <row r="35">
      <c r="A35" t="inlineStr">
        <is>
          <t>A-23783095</t>
        </is>
      </c>
      <c r="B35" s="17726" t="n">
        <v>46204.61729166667</v>
      </c>
      <c r="C35" t="n">
        <v>39</v>
      </c>
      <c r="D35" t="inlineStr">
        <is>
          <t>Planta Asflato Huixquilucan</t>
        </is>
      </c>
      <c r="E35" t="n">
        <v>400.005</v>
      </c>
      <c r="F35" t="n">
        <v>27</v>
      </c>
      <c r="G35" t="n">
        <v>10800.13</v>
      </c>
      <c r="N35" t="n">
        <v>27</v>
      </c>
    </row>
    <row r="36">
      <c r="A36" t="inlineStr">
        <is>
          <t>A-10323</t>
        </is>
      </c>
      <c r="B36" s="17726" t="n">
        <v>46204.67856481481</v>
      </c>
      <c r="C36" t="n">
        <v>39</v>
      </c>
      <c r="D36" t="inlineStr">
        <is>
          <t>Planta Asflato Huixquilucan</t>
        </is>
      </c>
      <c r="E36" t="n">
        <v>400.004</v>
      </c>
      <c r="F36" t="n">
        <v>27</v>
      </c>
      <c r="G36" t="n">
        <v>10800.1</v>
      </c>
      <c r="N36" t="n">
        <v>27</v>
      </c>
    </row>
    <row r="37">
      <c r="A37" t="inlineStr">
        <is>
          <t>A-10324</t>
        </is>
      </c>
      <c r="B37" s="17726" t="n">
        <v>46204.67944444445</v>
      </c>
      <c r="C37" t="n">
        <v>39</v>
      </c>
      <c r="D37" t="inlineStr">
        <is>
          <t>Planta Asflato Huixquilucan</t>
        </is>
      </c>
      <c r="E37" t="n">
        <v>600.004</v>
      </c>
      <c r="F37" t="n">
        <v>27</v>
      </c>
      <c r="G37" t="n">
        <v>16200.1</v>
      </c>
      <c r="N37" t="n">
        <v>27</v>
      </c>
    </row>
    <row r="38">
      <c r="A38" t="inlineStr">
        <is>
          <t>A-10331</t>
        </is>
      </c>
      <c r="B38" s="17726" t="n">
        <v>46205.33524305555</v>
      </c>
      <c r="C38" t="n">
        <v>39</v>
      </c>
      <c r="D38" t="inlineStr">
        <is>
          <t>Planta Asflato Huixquilucan</t>
        </is>
      </c>
      <c r="E38" t="n">
        <v>760.0029999999999</v>
      </c>
      <c r="F38" t="n">
        <v>27</v>
      </c>
      <c r="G38" t="n">
        <v>20520.09</v>
      </c>
      <c r="N38" t="n">
        <v>27</v>
      </c>
    </row>
    <row r="39">
      <c r="A39" t="inlineStr">
        <is>
          <t>A-10332</t>
        </is>
      </c>
      <c r="B39" s="17726" t="n">
        <v>46205.3359375</v>
      </c>
      <c r="C39" t="n">
        <v>39</v>
      </c>
      <c r="D39" t="inlineStr">
        <is>
          <t>Planta Asflato Huixquilucan</t>
        </is>
      </c>
      <c r="E39" t="n">
        <v>240.001</v>
      </c>
      <c r="F39" t="n">
        <v>27</v>
      </c>
      <c r="G39" t="n">
        <v>6480.03</v>
      </c>
      <c r="N39" t="n">
        <v>27</v>
      </c>
    </row>
    <row r="40" ht="21" customHeight="1" s="17580">
      <c r="A40" t="inlineStr">
        <is>
          <t>A-10333</t>
        </is>
      </c>
      <c r="B40" s="17726" t="n">
        <v>46205.36332175926</v>
      </c>
      <c r="C40" t="n">
        <v>39</v>
      </c>
      <c r="D40" t="inlineStr">
        <is>
          <t>Planta Asflato Huixquilucan</t>
        </is>
      </c>
      <c r="E40" t="n">
        <v>400.005</v>
      </c>
      <c r="F40" t="n">
        <v>27</v>
      </c>
      <c r="G40" t="n">
        <v>10800.13</v>
      </c>
      <c r="N40" t="n">
        <v>27</v>
      </c>
    </row>
  </sheetData>
  <autoFilter ref="A4:N55">
    <sortState ref="A5:N55">
      <sortCondition ref="B4:B55"/>
    </sortState>
  </autoFilter>
  <mergeCells count="2">
    <mergeCell ref="A2:M2"/>
    <mergeCell ref="A1:M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83"/>
  <sheetViews>
    <sheetView workbookViewId="0">
      <selection activeCell="I13" sqref="I13"/>
    </sheetView>
  </sheetViews>
  <sheetFormatPr baseColWidth="10" defaultRowHeight="13.8"/>
  <cols>
    <col width="28.5" customWidth="1" style="17580" min="1" max="1"/>
    <col width="22.796875" bestFit="1" customWidth="1" style="17580" min="2" max="2"/>
    <col width="16.59765625" bestFit="1" customWidth="1" style="17580" min="3" max="3"/>
    <col width="19.09765625" bestFit="1" customWidth="1" style="17580" min="4" max="4"/>
    <col width="20.796875" bestFit="1" customWidth="1" style="17580" min="7" max="7"/>
    <col width="35.8984375" bestFit="1" customWidth="1" style="17580" min="8" max="8"/>
  </cols>
  <sheetData>
    <row r="1" ht="30" customHeight="1" s="17580">
      <c r="A1" s="17643" t="inlineStr">
        <is>
          <t>DASHBOARD EJECUTIVO - CONTROL DE COMBUSTIBLE GRUPO TRUJANO</t>
        </is>
      </c>
    </row>
    <row r="3" ht="17.4" customHeight="1" s="17580">
      <c r="A3" s="17641" t="inlineStr">
        <is>
          <t>Semana Analizada →</t>
        </is>
      </c>
      <c r="B3" s="17583" t="n"/>
      <c r="C3" s="15315" t="n">
        <v>25</v>
      </c>
      <c r="D3" s="17647" t="inlineStr">
        <is>
          <t>Precio Diésel base (sin factura) →</t>
        </is>
      </c>
      <c r="E3" s="17583" t="n"/>
      <c r="F3" s="15316" t="n">
        <v>27</v>
      </c>
      <c r="G3" s="15317" t="inlineStr">
        <is>
          <t>← edita si no hay CFDI esa semana</t>
        </is>
      </c>
    </row>
    <row r="5" ht="19.95" customHeight="1" s="17580">
      <c r="A5" s="17637" t="inlineStr">
        <is>
          <t>1. CORTE SEMANAL - COBRADO POR GASOLINERÍA vs FACTURADO (CFDI)</t>
        </is>
      </c>
    </row>
    <row r="6" ht="28.8" customHeight="1" s="17580">
      <c r="A6" s="15318" t="inlineStr">
        <is>
          <t>Semana</t>
        </is>
      </c>
      <c r="B6" s="15319" t="inlineStr">
        <is>
          <t>$ Cobrado (Estado Cta)</t>
        </is>
      </c>
      <c r="C6" s="15320" t="inlineStr">
        <is>
          <t>$ Facturado (CFDI)</t>
        </is>
      </c>
      <c r="D6" s="15321" t="inlineStr">
        <is>
          <t>Diferencia ($)</t>
        </is>
      </c>
      <c r="E6" s="15322" t="inlineStr">
        <is>
          <t>Lts (Estado Cta)</t>
        </is>
      </c>
      <c r="F6" s="15323" t="inlineStr">
        <is>
          <t>Lts (CFDI)</t>
        </is>
      </c>
    </row>
    <row r="7">
      <c r="A7" s="15324" t="n">
        <v>21</v>
      </c>
      <c r="B7" s="15325">
        <f>SUMIFS(Estados_Cuenta_Mobil!$F:$F,Estados_Cuenta_Mobil!$C:$C,A7)</f>
        <v/>
      </c>
      <c r="C7" s="15326">
        <f>SUMIFS(Captura_Facturas_Mobil!$G:$G,Captura_Facturas_Mobil!$N:$N,A7)</f>
        <v/>
      </c>
      <c r="D7" s="15327">
        <f>B7-C7</f>
        <v/>
      </c>
      <c r="E7" s="15328">
        <f>SUMIFS(Estados_Cuenta_Mobil!$I:$I,Estados_Cuenta_Mobil!$C:$C,A7)</f>
        <v/>
      </c>
      <c r="F7" s="15329">
        <f>SUMIFS(Captura_Facturas_Mobil!$E:$E,Captura_Facturas_Mobil!$N:$N,A7)</f>
        <v/>
      </c>
    </row>
    <row r="8">
      <c r="A8" s="15330" t="n">
        <v>22</v>
      </c>
      <c r="B8" s="15331">
        <f>SUMIFS(Estados_Cuenta_Mobil!$F:$F,Estados_Cuenta_Mobil!$C:$C,A8)</f>
        <v/>
      </c>
      <c r="C8" s="15332">
        <f>SUMIFS(Captura_Facturas_Mobil!$G:$G,Captura_Facturas_Mobil!$N:$N,A8)</f>
        <v/>
      </c>
      <c r="D8" s="15333">
        <f>B8-C8</f>
        <v/>
      </c>
      <c r="E8" s="15334">
        <f>SUMIFS(Estados_Cuenta_Mobil!$I:$I,Estados_Cuenta_Mobil!$C:$C,A8)</f>
        <v/>
      </c>
      <c r="F8" s="15335">
        <f>SUMIFS(Captura_Facturas_Mobil!$E:$E,Captura_Facturas_Mobil!$N:$N,A8)</f>
        <v/>
      </c>
    </row>
    <row r="9">
      <c r="A9" s="15336" t="n">
        <v>23</v>
      </c>
      <c r="B9" s="15337">
        <f>SUMIFS(Estados_Cuenta_Mobil!$F:$F,Estados_Cuenta_Mobil!$C:$C,A9)</f>
        <v/>
      </c>
      <c r="C9" s="15338">
        <f>SUMIFS(Captura_Facturas_Mobil!$G:$G,Captura_Facturas_Mobil!$N:$N,A9)</f>
        <v/>
      </c>
      <c r="D9" s="15339">
        <f>B9-C9</f>
        <v/>
      </c>
      <c r="E9" s="15340">
        <f>SUMIFS(Estados_Cuenta_Mobil!$I:$I,Estados_Cuenta_Mobil!$C:$C,A9)</f>
        <v/>
      </c>
      <c r="F9" s="15341">
        <f>SUMIFS(Captura_Facturas_Mobil!$E:$E,Captura_Facturas_Mobil!$N:$N,A9)</f>
        <v/>
      </c>
    </row>
    <row r="10">
      <c r="A10" s="15342" t="n">
        <v>24</v>
      </c>
      <c r="B10" s="15343">
        <f>SUMIFS(Estados_Cuenta_Mobil!$F:$F,Estados_Cuenta_Mobil!$C:$C,A10)</f>
        <v/>
      </c>
      <c r="C10" s="15344">
        <f>SUMIFS(Captura_Facturas_Mobil!$G:$G,Captura_Facturas_Mobil!$N:$N,A10)</f>
        <v/>
      </c>
      <c r="D10" s="15345">
        <f>B10-C10</f>
        <v/>
      </c>
      <c r="E10" s="15346">
        <f>SUMIFS(Estados_Cuenta_Mobil!$I:$I,Estados_Cuenta_Mobil!$C:$C,A10)</f>
        <v/>
      </c>
      <c r="F10" s="15347">
        <f>SUMIFS(Captura_Facturas_Mobil!$E:$E,Captura_Facturas_Mobil!$N:$N,A10)</f>
        <v/>
      </c>
    </row>
    <row r="11">
      <c r="A11" s="15348" t="n">
        <v>25</v>
      </c>
      <c r="B11" s="15349">
        <f>SUMIFS(Estados_Cuenta_Mobil!$F:$F,Estados_Cuenta_Mobil!$C:$C,A11)</f>
        <v/>
      </c>
      <c r="C11" s="15350">
        <f>SUMIFS(Captura_Facturas_Mobil!$G:$G,Captura_Facturas_Mobil!$N:$N,A11)</f>
        <v/>
      </c>
      <c r="D11" s="15351">
        <f>B11-C11</f>
        <v/>
      </c>
      <c r="E11" s="15352">
        <f>SUMIFS(Estados_Cuenta_Mobil!$I:$I,Estados_Cuenta_Mobil!$C:$C,A11)</f>
        <v/>
      </c>
      <c r="F11" s="15353">
        <f>SUMIFS(Captura_Facturas_Mobil!$E:$E,Captura_Facturas_Mobil!$N:$N,A11)</f>
        <v/>
      </c>
    </row>
    <row r="12">
      <c r="A12" s="15354" t="n">
        <v>26</v>
      </c>
      <c r="B12" s="15355">
        <f>SUMIFS(Estados_Cuenta_Mobil!$F:$F,Estados_Cuenta_Mobil!$C:$C,A12)</f>
        <v/>
      </c>
      <c r="C12" s="15356">
        <f>SUMIFS(Captura_Facturas_Mobil!$G:$G,Captura_Facturas_Mobil!$N:$N,A12)</f>
        <v/>
      </c>
      <c r="D12" s="15357">
        <f>B12-C12</f>
        <v/>
      </c>
      <c r="E12" s="15358">
        <f>SUMIFS(Estados_Cuenta_Mobil!$I:$I,Estados_Cuenta_Mobil!$C:$C,A12)</f>
        <v/>
      </c>
      <c r="F12" s="15359">
        <f>SUMIFS(Captura_Facturas_Mobil!$E:$E,Captura_Facturas_Mobil!$N:$N,A12)</f>
        <v/>
      </c>
    </row>
    <row r="13">
      <c r="A13" s="15360" t="inlineStr">
        <is>
          <t>TOTAL</t>
        </is>
      </c>
      <c r="B13" s="15361">
        <f>SUM(B7:B12)</f>
        <v/>
      </c>
      <c r="C13" s="15362">
        <f>SUM(C7:C12)</f>
        <v/>
      </c>
      <c r="D13" s="15363">
        <f>SUM(D7:D12)</f>
        <v/>
      </c>
      <c r="E13" s="15364">
        <f>SUM(E7:E12)</f>
        <v/>
      </c>
      <c r="F13" s="15365">
        <f>SUM(F7:F12)</f>
        <v/>
      </c>
    </row>
    <row r="15">
      <c r="A15" s="17632" t="inlineStr">
        <is>
          <t>2. CONSUMO DIÉSEL POR OBRA - COBRADO POR GASOLINERÍA (ESTADO DE CUENTA)</t>
        </is>
      </c>
    </row>
    <row r="16" ht="19.95" customHeight="1" s="17580">
      <c r="A16" s="16997" t="inlineStr">
        <is>
          <t>Obra</t>
        </is>
      </c>
      <c r="B16" s="16998" t="inlineStr">
        <is>
          <t>Sem 21</t>
        </is>
      </c>
      <c r="C16" s="16999" t="inlineStr">
        <is>
          <t>Sem 22</t>
        </is>
      </c>
      <c r="D16" s="17000" t="inlineStr">
        <is>
          <t>Sem 23</t>
        </is>
      </c>
      <c r="E16" s="17001" t="inlineStr">
        <is>
          <t>Sem 24</t>
        </is>
      </c>
      <c r="F16" s="17002" t="inlineStr">
        <is>
          <t>Sem 25</t>
        </is>
      </c>
      <c r="G16" s="17003" t="inlineStr">
        <is>
          <t>Sem 26</t>
        </is>
      </c>
      <c r="H16" s="17004" t="inlineStr">
        <is>
          <t>TOTAL</t>
        </is>
      </c>
    </row>
    <row r="17" ht="14.4" customHeight="1" s="17580">
      <c r="A17" s="17005" t="inlineStr">
        <is>
          <t>México-Toluca</t>
        </is>
      </c>
      <c r="B17" s="17006">
        <f>SUMIFS(Estados_Cuenta_Mobil!$F:$F,Estados_Cuenta_Mobil!$D:$D,A17,Estados_Cuenta_Mobil!$C:$C,21)</f>
        <v/>
      </c>
      <c r="C17" s="17007">
        <f>SUMIFS(Estados_Cuenta_Mobil!$F:$F,Estados_Cuenta_Mobil!$D:$D,A17,Estados_Cuenta_Mobil!$C:$C,22)</f>
        <v/>
      </c>
      <c r="D17" s="17008">
        <f>SUMIFS(Estados_Cuenta_Mobil!$F:$F,Estados_Cuenta_Mobil!$D:$D,A17,Estados_Cuenta_Mobil!$C:$C,23)</f>
        <v/>
      </c>
      <c r="E17" s="17009">
        <f>SUMIFS(Estados_Cuenta_Mobil!$F:$F,Estados_Cuenta_Mobil!$D:$D,A17,Estados_Cuenta_Mobil!$C:$C,24)</f>
        <v/>
      </c>
      <c r="F17" s="17010">
        <f>SUMIFS(Estados_Cuenta_Mobil!$F:$F,Estados_Cuenta_Mobil!$D:$D,A17,Estados_Cuenta_Mobil!$C:$C,25)</f>
        <v/>
      </c>
      <c r="G17" s="17011">
        <f>SUMIFS(Estados_Cuenta_Mobil!$F:$F,Estados_Cuenta_Mobil!$D:$D,A17,Estados_Cuenta_Mobil!$C:$C,26)</f>
        <v/>
      </c>
      <c r="H17" s="15366">
        <f>SUM(B17:G17)</f>
        <v/>
      </c>
    </row>
    <row r="18">
      <c r="A18" s="15367" t="inlineStr">
        <is>
          <t>Maquinaria Pegaso</t>
        </is>
      </c>
      <c r="B18" s="15368">
        <f>SUMIFS(Estados_Cuenta_Mobil!$F:$F,Estados_Cuenta_Mobil!$D:$D,"Maquinaria Pegaso",Estados_Cuenta_Mobil!$C:$C,21)+SUMIFS(Estados_Cuenta_Mobil!$F:$F,Estados_Cuenta_Mobil!$D:$D,"Lerma - Tres Marías",Estados_Cuenta_Mobil!$C:$C,21)+SUMIFS(Estados_Cuenta_Mobil!$F:$F,Estados_Cuenta_Mobil!$D:$D,"Chamapa-Lechería",Estados_Cuenta_Mobil!$C:$C,21)+SUMIFS(Estados_Cuenta_Mobil!$F:$F,Estados_Cuenta_Mobil!$D:$D,"Bacheo Toluca",Estados_Cuenta_Mobil!$C:$C,21)+SUMIFS(Estados_Cuenta_Mobil!$F:$F,Estados_Cuenta_Mobil!$D:$D,"Dragones",Estados_Cuenta_Mobil!$C:$C,21)+SUMIFS(Estados_Cuenta_Mobil!$F:$F,Estados_Cuenta_Mobil!$D:$D,"Colegio Militar",Estados_Cuenta_Mobil!$C:$C,21)+SUMIFS(Estados_Cuenta_Mobil!$F:$F,Estados_Cuenta_Mobil!$D:$D,"NO DETECTADA",Estados_Cuenta_Mobil!$C:$C,21)</f>
        <v/>
      </c>
      <c r="C18" s="15369">
        <f>SUMIFS(Estados_Cuenta_Mobil!$F:$F,Estados_Cuenta_Mobil!$D:$D,"Maquinaria Pegaso",Estados_Cuenta_Mobil!$C:$C,22)+SUMIFS(Estados_Cuenta_Mobil!$F:$F,Estados_Cuenta_Mobil!$D:$D,"Lerma - Tres Marías",Estados_Cuenta_Mobil!$C:$C,22)+SUMIFS(Estados_Cuenta_Mobil!$F:$F,Estados_Cuenta_Mobil!$D:$D,"Chamapa-Lechería",Estados_Cuenta_Mobil!$C:$C,22)+SUMIFS(Estados_Cuenta_Mobil!$F:$F,Estados_Cuenta_Mobil!$D:$D,"Bacheo Toluca",Estados_Cuenta_Mobil!$C:$C,22)+SUMIFS(Estados_Cuenta_Mobil!$F:$F,Estados_Cuenta_Mobil!$D:$D,"Dragones",Estados_Cuenta_Mobil!$C:$C,22)+SUMIFS(Estados_Cuenta_Mobil!$F:$F,Estados_Cuenta_Mobil!$D:$D,"Colegio Militar",Estados_Cuenta_Mobil!$C:$C,22)+SUMIFS(Estados_Cuenta_Mobil!$F:$F,Estados_Cuenta_Mobil!$D:$D,"NO DETECTADA",Estados_Cuenta_Mobil!$C:$C,22)</f>
        <v/>
      </c>
      <c r="D18" s="15370">
        <f>SUMIFS(Estados_Cuenta_Mobil!$F:$F,Estados_Cuenta_Mobil!$D:$D,"Maquinaria Pegaso",Estados_Cuenta_Mobil!$C:$C,23)+SUMIFS(Estados_Cuenta_Mobil!$F:$F,Estados_Cuenta_Mobil!$D:$D,"Lerma - Tres Marías",Estados_Cuenta_Mobil!$C:$C,23)+SUMIFS(Estados_Cuenta_Mobil!$F:$F,Estados_Cuenta_Mobil!$D:$D,"Chamapa-Lechería",Estados_Cuenta_Mobil!$C:$C,23)+SUMIFS(Estados_Cuenta_Mobil!$F:$F,Estados_Cuenta_Mobil!$D:$D,"Bacheo Toluca",Estados_Cuenta_Mobil!$C:$C,23)+SUMIFS(Estados_Cuenta_Mobil!$F:$F,Estados_Cuenta_Mobil!$D:$D,"Dragones",Estados_Cuenta_Mobil!$C:$C,23)+SUMIFS(Estados_Cuenta_Mobil!$F:$F,Estados_Cuenta_Mobil!$D:$D,"Colegio Militar",Estados_Cuenta_Mobil!$C:$C,23)+SUMIFS(Estados_Cuenta_Mobil!$F:$F,Estados_Cuenta_Mobil!$D:$D,"NO DETECTADA",Estados_Cuenta_Mobil!$C:$C,23)</f>
        <v/>
      </c>
      <c r="E18" s="15371">
        <f>SUMIFS(Estados_Cuenta_Mobil!$F:$F,Estados_Cuenta_Mobil!$D:$D,"Maquinaria Pegaso",Estados_Cuenta_Mobil!$C:$C,24)+SUMIFS(Estados_Cuenta_Mobil!$F:$F,Estados_Cuenta_Mobil!$D:$D,"Lerma - Tres Marías",Estados_Cuenta_Mobil!$C:$C,24)+SUMIFS(Estados_Cuenta_Mobil!$F:$F,Estados_Cuenta_Mobil!$D:$D,"Chamapa-Lechería",Estados_Cuenta_Mobil!$C:$C,24)+SUMIFS(Estados_Cuenta_Mobil!$F:$F,Estados_Cuenta_Mobil!$D:$D,"Bacheo Toluca",Estados_Cuenta_Mobil!$C:$C,24)+SUMIFS(Estados_Cuenta_Mobil!$F:$F,Estados_Cuenta_Mobil!$D:$D,"Dragones",Estados_Cuenta_Mobil!$C:$C,24)+SUMIFS(Estados_Cuenta_Mobil!$F:$F,Estados_Cuenta_Mobil!$D:$D,"Colegio Militar",Estados_Cuenta_Mobil!$C:$C,24)+SUMIFS(Estados_Cuenta_Mobil!$F:$F,Estados_Cuenta_Mobil!$D:$D,"NO DETECTADA",Estados_Cuenta_Mobil!$C:$C,24)</f>
        <v/>
      </c>
      <c r="F18" s="15372">
        <f>SUMIFS(Estados_Cuenta_Mobil!$F:$F,Estados_Cuenta_Mobil!$D:$D,"Maquinaria Pegaso",Estados_Cuenta_Mobil!$C:$C,25)+SUMIFS(Estados_Cuenta_Mobil!$F:$F,Estados_Cuenta_Mobil!$D:$D,"Lerma - Tres Marías",Estados_Cuenta_Mobil!$C:$C,25)+SUMIFS(Estados_Cuenta_Mobil!$F:$F,Estados_Cuenta_Mobil!$D:$D,"Chamapa-Lechería",Estados_Cuenta_Mobil!$C:$C,25)+SUMIFS(Estados_Cuenta_Mobil!$F:$F,Estados_Cuenta_Mobil!$D:$D,"Bacheo Toluca",Estados_Cuenta_Mobil!$C:$C,25)+SUMIFS(Estados_Cuenta_Mobil!$F:$F,Estados_Cuenta_Mobil!$D:$D,"Dragones",Estados_Cuenta_Mobil!$C:$C,25)+SUMIFS(Estados_Cuenta_Mobil!$F:$F,Estados_Cuenta_Mobil!$D:$D,"Colegio Militar",Estados_Cuenta_Mobil!$C:$C,25)+SUMIFS(Estados_Cuenta_Mobil!$F:$F,Estados_Cuenta_Mobil!$D:$D,"NO DETECTADA",Estados_Cuenta_Mobil!$C:$C,25)</f>
        <v/>
      </c>
      <c r="G18" s="15373">
        <f>SUMIFS(Estados_Cuenta_Mobil!$F:$F,Estados_Cuenta_Mobil!$D:$D,"Maquinaria Pegaso",Estados_Cuenta_Mobil!$C:$C,26)+SUMIFS(Estados_Cuenta_Mobil!$F:$F,Estados_Cuenta_Mobil!$D:$D,"Lerma - Tres Marías",Estados_Cuenta_Mobil!$C:$C,26)+SUMIFS(Estados_Cuenta_Mobil!$F:$F,Estados_Cuenta_Mobil!$D:$D,"Chamapa-Lechería",Estados_Cuenta_Mobil!$C:$C,26)+SUMIFS(Estados_Cuenta_Mobil!$F:$F,Estados_Cuenta_Mobil!$D:$D,"Bacheo Toluca",Estados_Cuenta_Mobil!$C:$C,26)+SUMIFS(Estados_Cuenta_Mobil!$F:$F,Estados_Cuenta_Mobil!$D:$D,"Dragones",Estados_Cuenta_Mobil!$C:$C,26)+SUMIFS(Estados_Cuenta_Mobil!$F:$F,Estados_Cuenta_Mobil!$D:$D,"Colegio Militar",Estados_Cuenta_Mobil!$C:$C,26)+SUMIFS(Estados_Cuenta_Mobil!$F:$F,Estados_Cuenta_Mobil!$D:$D,"NO DETECTADA",Estados_Cuenta_Mobil!$C:$C,26)</f>
        <v/>
      </c>
      <c r="H18" s="15374">
        <f>SUM(B18:G18)</f>
        <v/>
      </c>
    </row>
    <row r="19">
      <c r="A19" s="15375" t="inlineStr">
        <is>
          <t>Planta Asflato Huixquilucan</t>
        </is>
      </c>
      <c r="B19" s="15376">
        <f>SUMIFS(Estados_Cuenta_Mobil!$F:$F,Estados_Cuenta_Mobil!$D:$D,A19,Estados_Cuenta_Mobil!$C:$C,21)</f>
        <v/>
      </c>
      <c r="C19" s="15377">
        <f>SUMIFS(Estados_Cuenta_Mobil!$F:$F,Estados_Cuenta_Mobil!$D:$D,A19,Estados_Cuenta_Mobil!$C:$C,22)</f>
        <v/>
      </c>
      <c r="D19" s="15378">
        <f>SUMIFS(Estados_Cuenta_Mobil!$F:$F,Estados_Cuenta_Mobil!$D:$D,A19,Estados_Cuenta_Mobil!$C:$C,23)</f>
        <v/>
      </c>
      <c r="E19" s="15379">
        <f>SUMIFS(Estados_Cuenta_Mobil!$F:$F,Estados_Cuenta_Mobil!$D:$D,A19,Estados_Cuenta_Mobil!$C:$C,24)</f>
        <v/>
      </c>
      <c r="F19" s="15380">
        <f>SUMIFS(Estados_Cuenta_Mobil!$F:$F,Estados_Cuenta_Mobil!$D:$D,A19,Estados_Cuenta_Mobil!$C:$C,25)</f>
        <v/>
      </c>
      <c r="G19" s="15381">
        <f>SUMIFS(Estados_Cuenta_Mobil!$F:$F,Estados_Cuenta_Mobil!$D:$D,A19,Estados_Cuenta_Mobil!$C:$C,26)</f>
        <v/>
      </c>
      <c r="H19" s="15382">
        <f>SUM(B19:G19)</f>
        <v/>
      </c>
    </row>
    <row r="20">
      <c r="A20" s="15383" t="inlineStr">
        <is>
          <t>TOTAL</t>
        </is>
      </c>
      <c r="B20" s="15384">
        <f>SUM(B17:B19)</f>
        <v/>
      </c>
      <c r="C20" s="15385">
        <f>SUM(C17:C19)</f>
        <v/>
      </c>
      <c r="D20" s="15386">
        <f>SUM(D17:D19)</f>
        <v/>
      </c>
      <c r="E20" s="15387">
        <f>SUM(E17:E19)</f>
        <v/>
      </c>
      <c r="F20" s="15388">
        <f>SUM(F17:F19)</f>
        <v/>
      </c>
      <c r="G20" s="16889" t="n">
        <v>86570.26000000001</v>
      </c>
      <c r="H20" s="15389">
        <f>SUM(B20:G20)</f>
        <v/>
      </c>
    </row>
    <row r="21">
      <c r="A21" s="17644" t="inlineStr">
        <is>
          <t>3. LITROS FACTURADOS (CFDI) POR OBRA Y SEMANA</t>
        </is>
      </c>
      <c r="B21" s="17582" t="n"/>
      <c r="C21" s="17582" t="n"/>
      <c r="D21" s="17582" t="n"/>
      <c r="E21" s="17582" t="n"/>
      <c r="F21" s="17582" t="n"/>
      <c r="G21" s="17582" t="n"/>
      <c r="H21" s="17583" t="n"/>
    </row>
    <row r="22" ht="14.4" customHeight="1" s="17580">
      <c r="A22" s="17649" t="inlineStr">
        <is>
          <t>3. LITROS FACTURADOS (CFDI) POR OBRA Y SEMANA</t>
        </is>
      </c>
      <c r="B22" s="17582" t="n"/>
      <c r="C22" s="17582" t="n"/>
      <c r="D22" s="17582" t="n"/>
      <c r="E22" s="17582" t="n"/>
      <c r="F22" s="17582" t="n"/>
      <c r="G22" s="17582" t="n"/>
      <c r="H22" s="17583" t="n"/>
    </row>
    <row r="23" ht="14.4" customHeight="1" s="17580">
      <c r="A23" s="15390" t="inlineStr">
        <is>
          <t>Obra</t>
        </is>
      </c>
      <c r="B23" s="15391" t="inlineStr">
        <is>
          <t>Sem 21</t>
        </is>
      </c>
      <c r="C23" s="15392" t="inlineStr">
        <is>
          <t>Sem 22</t>
        </is>
      </c>
      <c r="D23" s="15393" t="inlineStr">
        <is>
          <t>Sem 23</t>
        </is>
      </c>
      <c r="E23" s="15394" t="inlineStr">
        <is>
          <t>Sem 24</t>
        </is>
      </c>
      <c r="F23" s="15395" t="inlineStr">
        <is>
          <t>Sem 25</t>
        </is>
      </c>
      <c r="G23" s="15396" t="inlineStr">
        <is>
          <t>Sem 26</t>
        </is>
      </c>
      <c r="H23" s="15397" t="inlineStr">
        <is>
          <t>TOTAL</t>
        </is>
      </c>
    </row>
    <row r="24">
      <c r="A24" s="15398" t="inlineStr">
        <is>
          <t>México-Toluca</t>
        </is>
      </c>
      <c r="B24" s="15399">
        <f>SUMIFS(Captura_Facturas_Mobil!$E:$E,Captura_Facturas_Mobil!$D:$D,A24,Captura_Facturas_Mobil!$N:$N,21)</f>
        <v/>
      </c>
      <c r="C24" s="15400">
        <f>SUMIFS(Captura_Facturas_Mobil!$E:$E,Captura_Facturas_Mobil!$D:$D,A24,Captura_Facturas_Mobil!$N:$N,22)</f>
        <v/>
      </c>
      <c r="D24" s="15401">
        <f>SUMIFS(Captura_Facturas_Mobil!$E:$E,Captura_Facturas_Mobil!$D:$D,A24,Captura_Facturas_Mobil!$N:$N,23)</f>
        <v/>
      </c>
      <c r="E24" s="15402">
        <f>SUMIFS(Captura_Facturas_Mobil!$E:$E,Captura_Facturas_Mobil!$D:$D,A24,Captura_Facturas_Mobil!$N:$N,24)</f>
        <v/>
      </c>
      <c r="F24" s="15403">
        <f>SUMIFS(Captura_Facturas_Mobil!$E:$E,Captura_Facturas_Mobil!$D:$D,A24,Captura_Facturas_Mobil!$N:$N,25)</f>
        <v/>
      </c>
      <c r="G24" s="15404">
        <f>SUMIFS(Captura_Facturas_Mobil!$E:$E,Captura_Facturas_Mobil!$D:$D,A24,Captura_Facturas_Mobil!$N:$N,26)</f>
        <v/>
      </c>
      <c r="H24" s="15405">
        <f>SUM(B24:G24)</f>
        <v/>
      </c>
    </row>
    <row r="25">
      <c r="A25" s="15406" t="inlineStr">
        <is>
          <t>Maquinaria Pegaso</t>
        </is>
      </c>
      <c r="B25" s="15407">
        <f>SUMIFS(Captura_Facturas_Mobil!$E:$E,Captura_Facturas_Mobil!$D:$D,"Maquinaria Pegaso",Captura_Facturas_Mobil!$N:$N,21)+SUMIFS(Captura_Facturas_Mobil!$E:$E,Captura_Facturas_Mobil!$D:$D,"Lerma - Tres Marías",Captura_Facturas_Mobil!$N:$N,21)+SUMIFS(Captura_Facturas_Mobil!$E:$E,Captura_Facturas_Mobil!$D:$D,"Chamapa-Lechería",Captura_Facturas_Mobil!$N:$N,21)+SUMIFS(Captura_Facturas_Mobil!$E:$E,Captura_Facturas_Mobil!$D:$D,"Bacheo Toluca",Captura_Facturas_Mobil!$N:$N,21)+SUMIFS(Captura_Facturas_Mobil!$E:$E,Captura_Facturas_Mobil!$D:$D,"Dragones",Captura_Facturas_Mobil!$N:$N,21)+SUMIFS(Captura_Facturas_Mobil!$E:$E,Captura_Facturas_Mobil!$D:$D,"Colegio Militar",Captura_Facturas_Mobil!$N:$N,21)+SUMIFS(Captura_Facturas_Mobil!$E:$E,Captura_Facturas_Mobil!$D:$D,"NO DETECTADA",Captura_Facturas_Mobil!$N:$N,21)</f>
        <v/>
      </c>
      <c r="C25" s="15408">
        <f>SUMIFS(Captura_Facturas_Mobil!$E:$E,Captura_Facturas_Mobil!$D:$D,"Maquinaria Pegaso",Captura_Facturas_Mobil!$N:$N,22)+SUMIFS(Captura_Facturas_Mobil!$E:$E,Captura_Facturas_Mobil!$D:$D,"Lerma - Tres Marías",Captura_Facturas_Mobil!$N:$N,22)+SUMIFS(Captura_Facturas_Mobil!$E:$E,Captura_Facturas_Mobil!$D:$D,"Chamapa-Lechería",Captura_Facturas_Mobil!$N:$N,22)+SUMIFS(Captura_Facturas_Mobil!$E:$E,Captura_Facturas_Mobil!$D:$D,"Bacheo Toluca",Captura_Facturas_Mobil!$N:$N,22)+SUMIFS(Captura_Facturas_Mobil!$E:$E,Captura_Facturas_Mobil!$D:$D,"Dragones",Captura_Facturas_Mobil!$N:$N,22)+SUMIFS(Captura_Facturas_Mobil!$E:$E,Captura_Facturas_Mobil!$D:$D,"Colegio Militar",Captura_Facturas_Mobil!$N:$N,22)+SUMIFS(Captura_Facturas_Mobil!$E:$E,Captura_Facturas_Mobil!$D:$D,"NO DETECTADA",Captura_Facturas_Mobil!$N:$N,22)</f>
        <v/>
      </c>
      <c r="D25" s="15409">
        <f>SUMIFS(Captura_Facturas_Mobil!$E:$E,Captura_Facturas_Mobil!$D:$D,"Maquinaria Pegaso",Captura_Facturas_Mobil!$N:$N,23)+SUMIFS(Captura_Facturas_Mobil!$E:$E,Captura_Facturas_Mobil!$D:$D,"Lerma - Tres Marías",Captura_Facturas_Mobil!$N:$N,23)+SUMIFS(Captura_Facturas_Mobil!$E:$E,Captura_Facturas_Mobil!$D:$D,"Chamapa-Lechería",Captura_Facturas_Mobil!$N:$N,23)+SUMIFS(Captura_Facturas_Mobil!$E:$E,Captura_Facturas_Mobil!$D:$D,"Bacheo Toluca",Captura_Facturas_Mobil!$N:$N,23)+SUMIFS(Captura_Facturas_Mobil!$E:$E,Captura_Facturas_Mobil!$D:$D,"Dragones",Captura_Facturas_Mobil!$N:$N,23)+SUMIFS(Captura_Facturas_Mobil!$E:$E,Captura_Facturas_Mobil!$D:$D,"Colegio Militar",Captura_Facturas_Mobil!$N:$N,23)+SUMIFS(Captura_Facturas_Mobil!$E:$E,Captura_Facturas_Mobil!$D:$D,"NO DETECTADA",Captura_Facturas_Mobil!$N:$N,23)</f>
        <v/>
      </c>
      <c r="E25" s="15410">
        <f>SUMIFS(Captura_Facturas_Mobil!$E:$E,Captura_Facturas_Mobil!$D:$D,"Maquinaria Pegaso",Captura_Facturas_Mobil!$N:$N,24)+SUMIFS(Captura_Facturas_Mobil!$E:$E,Captura_Facturas_Mobil!$D:$D,"Lerma - Tres Marías",Captura_Facturas_Mobil!$N:$N,24)+SUMIFS(Captura_Facturas_Mobil!$E:$E,Captura_Facturas_Mobil!$D:$D,"Chamapa-Lechería",Captura_Facturas_Mobil!$N:$N,24)+SUMIFS(Captura_Facturas_Mobil!$E:$E,Captura_Facturas_Mobil!$D:$D,"Bacheo Toluca",Captura_Facturas_Mobil!$N:$N,24)+SUMIFS(Captura_Facturas_Mobil!$E:$E,Captura_Facturas_Mobil!$D:$D,"Dragones",Captura_Facturas_Mobil!$N:$N,24)+SUMIFS(Captura_Facturas_Mobil!$E:$E,Captura_Facturas_Mobil!$D:$D,"Colegio Militar",Captura_Facturas_Mobil!$N:$N,24)+SUMIFS(Captura_Facturas_Mobil!$E:$E,Captura_Facturas_Mobil!$D:$D,"NO DETECTADA",Captura_Facturas_Mobil!$N:$N,24)</f>
        <v/>
      </c>
      <c r="F25" s="15411">
        <f>SUMIFS(Captura_Facturas_Mobil!$E:$E,Captura_Facturas_Mobil!$D:$D,"Maquinaria Pegaso",Captura_Facturas_Mobil!$N:$N,25)+SUMIFS(Captura_Facturas_Mobil!$E:$E,Captura_Facturas_Mobil!$D:$D,"Lerma - Tres Marías",Captura_Facturas_Mobil!$N:$N,25)+SUMIFS(Captura_Facturas_Mobil!$E:$E,Captura_Facturas_Mobil!$D:$D,"Chamapa-Lechería",Captura_Facturas_Mobil!$N:$N,25)+SUMIFS(Captura_Facturas_Mobil!$E:$E,Captura_Facturas_Mobil!$D:$D,"Bacheo Toluca",Captura_Facturas_Mobil!$N:$N,25)+SUMIFS(Captura_Facturas_Mobil!$E:$E,Captura_Facturas_Mobil!$D:$D,"Dragones",Captura_Facturas_Mobil!$N:$N,25)+SUMIFS(Captura_Facturas_Mobil!$E:$E,Captura_Facturas_Mobil!$D:$D,"Colegio Militar",Captura_Facturas_Mobil!$N:$N,25)+SUMIFS(Captura_Facturas_Mobil!$E:$E,Captura_Facturas_Mobil!$D:$D,"NO DETECTADA",Captura_Facturas_Mobil!$N:$N,25)</f>
        <v/>
      </c>
      <c r="G25" s="15412">
        <f>SUMIFS(Captura_Facturas_Mobil!$E:$E,Captura_Facturas_Mobil!$D:$D,"Maquinaria Pegaso",Captura_Facturas_Mobil!$N:$N,26)+SUMIFS(Captura_Facturas_Mobil!$E:$E,Captura_Facturas_Mobil!$D:$D,"Lerma - Tres Marías",Captura_Facturas_Mobil!$N:$N,26)+SUMIFS(Captura_Facturas_Mobil!$E:$E,Captura_Facturas_Mobil!$D:$D,"Chamapa-Lechería",Captura_Facturas_Mobil!$N:$N,26)+SUMIFS(Captura_Facturas_Mobil!$E:$E,Captura_Facturas_Mobil!$D:$D,"Bacheo Toluca",Captura_Facturas_Mobil!$N:$N,26)+SUMIFS(Captura_Facturas_Mobil!$E:$E,Captura_Facturas_Mobil!$D:$D,"Dragones",Captura_Facturas_Mobil!$N:$N,26)+SUMIFS(Captura_Facturas_Mobil!$E:$E,Captura_Facturas_Mobil!$D:$D,"Colegio Militar",Captura_Facturas_Mobil!$N:$N,26)+SUMIFS(Captura_Facturas_Mobil!$E:$E,Captura_Facturas_Mobil!$D:$D,"NO DETECTADA",Captura_Facturas_Mobil!$N:$N,26)</f>
        <v/>
      </c>
      <c r="H25" s="15413">
        <f>SUM(B25:G25)</f>
        <v/>
      </c>
    </row>
    <row r="26">
      <c r="A26" s="15414" t="inlineStr">
        <is>
          <t>Planta Asflato Huixquilucan</t>
        </is>
      </c>
      <c r="B26" s="15415">
        <f>SUMIFS(Captura_Facturas_Mobil!$E:$E,Captura_Facturas_Mobil!$D:$D,A26,Captura_Facturas_Mobil!$N:$N,21)</f>
        <v/>
      </c>
      <c r="C26" s="15416">
        <f>SUMIFS(Captura_Facturas_Mobil!$E:$E,Captura_Facturas_Mobil!$D:$D,A26,Captura_Facturas_Mobil!$N:$N,22)</f>
        <v/>
      </c>
      <c r="D26" s="15417">
        <f>SUMIFS(Captura_Facturas_Mobil!$E:$E,Captura_Facturas_Mobil!$D:$D,A26,Captura_Facturas_Mobil!$N:$N,23)</f>
        <v/>
      </c>
      <c r="E26" s="15418">
        <f>SUMIFS(Captura_Facturas_Mobil!$E:$E,Captura_Facturas_Mobil!$D:$D,A26,Captura_Facturas_Mobil!$N:$N,24)</f>
        <v/>
      </c>
      <c r="F26" s="15419">
        <f>SUMIFS(Captura_Facturas_Mobil!$E:$E,Captura_Facturas_Mobil!$D:$D,A26,Captura_Facturas_Mobil!$N:$N,25)</f>
        <v/>
      </c>
      <c r="G26" s="15420">
        <f>SUMIFS(Captura_Facturas_Mobil!$E:$E,Captura_Facturas_Mobil!$D:$D,A26,Captura_Facturas_Mobil!$N:$N,26)</f>
        <v/>
      </c>
      <c r="H26" s="15421">
        <f>SUM(B26:G26)</f>
        <v/>
      </c>
    </row>
    <row r="27">
      <c r="A27" s="15422" t="inlineStr">
        <is>
          <t>Jalisco</t>
        </is>
      </c>
      <c r="B27" s="15423">
        <f>SUMIFS(Captura_Facturas_Mobil!$E:$E,Captura_Facturas_Mobil!$D:$D,A27,Captura_Facturas_Mobil!$N:$N,21)</f>
        <v/>
      </c>
      <c r="C27" s="15424">
        <f>SUMIFS(Captura_Facturas_Mobil!$E:$E,Captura_Facturas_Mobil!$D:$D,A27,Captura_Facturas_Mobil!$N:$N,22)</f>
        <v/>
      </c>
      <c r="D27" s="15425">
        <f>SUMIFS(Captura_Facturas_Mobil!$E:$E,Captura_Facturas_Mobil!$D:$D,A27,Captura_Facturas_Mobil!$N:$N,23)</f>
        <v/>
      </c>
      <c r="E27" s="15426">
        <f>SUMIFS(Captura_Facturas_Mobil!$E:$E,Captura_Facturas_Mobil!$D:$D,A27,Captura_Facturas_Mobil!$N:$N,24)</f>
        <v/>
      </c>
      <c r="F27" s="15427">
        <f>SUMIFS(Captura_Facturas_Mobil!$E:$E,Captura_Facturas_Mobil!$D:$D,A27,Captura_Facturas_Mobil!$N:$N,25)</f>
        <v/>
      </c>
      <c r="G27" s="15428">
        <f>SUMIFS(Captura_Facturas_Mobil!$E:$E,Captura_Facturas_Mobil!$D:$D,A27,Captura_Facturas_Mobil!$N:$N,26)</f>
        <v/>
      </c>
      <c r="H27" s="15429">
        <f>SUM(B27:G27)</f>
        <v/>
      </c>
    </row>
    <row r="28" ht="19.95" customHeight="1" s="17580">
      <c r="A28" s="17651" t="inlineStr">
        <is>
          <t>TOTAL</t>
        </is>
      </c>
      <c r="B28" s="17582" t="n"/>
      <c r="C28" s="17582" t="n"/>
      <c r="D28" s="17582" t="n"/>
      <c r="E28" s="17582" t="n"/>
      <c r="F28" s="17582" t="n"/>
      <c r="G28" s="17582" t="n"/>
      <c r="H28" s="17583" t="n"/>
    </row>
    <row r="29" ht="17.4" customHeight="1" s="17580">
      <c r="A29" s="17640" t="inlineStr">
        <is>
          <t>Semana Analizada →</t>
        </is>
      </c>
      <c r="B29" s="17582" t="n"/>
      <c r="C29" s="17583" t="n"/>
      <c r="D29" s="15291">
        <f>$C$3</f>
        <v/>
      </c>
      <c r="E29" s="14430" t="inlineStr">
        <is>
          <t>Sem 24</t>
        </is>
      </c>
      <c r="F29" s="14431" t="inlineStr">
        <is>
          <t>Sem 25</t>
        </is>
      </c>
      <c r="G29" s="14432" t="inlineStr">
        <is>
          <t>Sem 26</t>
        </is>
      </c>
      <c r="H29" s="14433" t="inlineStr">
        <is>
          <t>TOTAL</t>
        </is>
      </c>
    </row>
    <row r="30" ht="19.95" customHeight="1" s="17580">
      <c r="A30" s="17639" t="inlineStr">
        <is>
          <t>4. CORTE SEMANAL - COSTO GASOLINERA vs CONSUMO REPORTADO EN OBRA</t>
        </is>
      </c>
      <c r="B30" s="17582" t="n"/>
      <c r="C30" s="17582" t="n"/>
      <c r="D30" s="17582" t="n"/>
      <c r="E30" s="17582" t="n"/>
      <c r="F30" s="17582" t="n"/>
      <c r="G30" s="17582" t="n"/>
      <c r="H30" s="17582" t="n"/>
      <c r="I30" s="17582" t="n"/>
      <c r="J30" s="17583" t="n"/>
    </row>
    <row r="31" ht="17.4" customHeight="1" s="17580">
      <c r="A31" s="17645" t="inlineStr">
        <is>
          <t>Semana Analizada →</t>
        </is>
      </c>
      <c r="B31" s="17582" t="n"/>
      <c r="C31" s="17583" t="n"/>
      <c r="D31" s="15430">
        <f>$C$3</f>
        <v/>
      </c>
      <c r="E31" s="15292">
        <f>SUMIFS(Captura_Facturas_Mobil!$E:$E, Captura_Facturas_Mobil!$D:$D, A31, Captura_Facturas_Mobil!$N:$N, $C$3)</f>
        <v/>
      </c>
      <c r="F31" s="15293">
        <f>IFERROR(SUMIFS(Captura_Obra!$F:$F, Captura_Obra!$B:$B, A31, Captura_Obra!$M:$M, $C$3), 0)</f>
        <v/>
      </c>
      <c r="G31" s="15294">
        <f>E31-F31</f>
        <v/>
      </c>
      <c r="H31" s="15295">
        <f>IFERROR(C31/E31, $F$3)</f>
        <v/>
      </c>
      <c r="I31" s="15296">
        <f>F31*H31</f>
        <v/>
      </c>
      <c r="J31" s="15297">
        <f>B31-I31</f>
        <v/>
      </c>
    </row>
    <row r="32" ht="36" customHeight="1" s="17580">
      <c r="A32" s="15431" t="inlineStr">
        <is>
          <t>Obra</t>
        </is>
      </c>
      <c r="B32" s="15432" t="inlineStr">
        <is>
          <t>$ Cobrado
(Estado Cta)</t>
        </is>
      </c>
      <c r="C32" s="15433" t="inlineStr">
        <is>
          <t>$ Facturado
(CFDI)</t>
        </is>
      </c>
      <c r="D32" s="15434" t="inlineStr">
        <is>
          <t>Diferencia
EDO-CFDI ($)</t>
        </is>
      </c>
      <c r="E32" s="15435" t="inlineStr">
        <is>
          <t>Lts Facturados
(CFDI)</t>
        </is>
      </c>
      <c r="F32" s="15436" t="inlineStr">
        <is>
          <t>Lts Reportados
Obra</t>
        </is>
      </c>
      <c r="G32" s="15437" t="inlineStr">
        <is>
          <t>Diferencia
Lts</t>
        </is>
      </c>
      <c r="H32" s="15438" t="inlineStr">
        <is>
          <t>Precio ($/L)</t>
        </is>
      </c>
      <c r="I32" s="15439" t="inlineStr">
        <is>
          <t>Consumo
Estimado ($)</t>
        </is>
      </c>
      <c r="J32" s="15440" t="inlineStr">
        <is>
          <t>Balance Final
($)</t>
        </is>
      </c>
    </row>
    <row r="33">
      <c r="A33" s="15441" t="inlineStr">
        <is>
          <t>México-Toluca</t>
        </is>
      </c>
      <c r="B33" s="15442">
        <f>IFERROR(SUMIFS(Estados_Cuenta_Mobil!$F:$F,Estados_Cuenta_Mobil!$D:$D,A33,Estados_Cuenta_Mobil!$C:$C,$C$3),0)</f>
        <v/>
      </c>
      <c r="C33" s="15443">
        <f>IFERROR(SUMIFS(Captura_Facturas_Mobil!$G:$G,Captura_Facturas_Mobil!$D:$D,A33,Captura_Facturas_Mobil!$N:$N,$C$3),0)</f>
        <v/>
      </c>
      <c r="D33" s="15444">
        <f>B33-C33</f>
        <v/>
      </c>
      <c r="E33" s="15445">
        <f>SUMIFS(Captura_Facturas_Mobil!$E:$E,Captura_Facturas_Mobil!$D:$D,A33,Captura_Facturas_Mobil!$N:$N,$C$3)</f>
        <v/>
      </c>
      <c r="F33" s="15446">
        <f>IFERROR(SUMIFS(Captura_Obra!$F:$F,Captura_Obra!$B:$B,A33,Captura_Obra!$M:$M,$C$3),0)</f>
        <v/>
      </c>
      <c r="G33" s="15447">
        <f>E33-F33</f>
        <v/>
      </c>
      <c r="H33" s="15448">
        <f>IFERROR(C33/E33,$F$3)</f>
        <v/>
      </c>
      <c r="I33" s="15449">
        <f>F33*H33</f>
        <v/>
      </c>
      <c r="J33" s="15450">
        <f>B33-I33</f>
        <v/>
      </c>
    </row>
    <row r="34">
      <c r="A34" s="15451" t="inlineStr">
        <is>
          <t>México-Toluca</t>
        </is>
      </c>
      <c r="B34" s="15452">
        <f>IFERROR(SUMIFS(Estados_Cuenta_Mobil!$F:$F,Estados_Cuenta_Mobil!$D:$D,A34,Estados_Cuenta_Mobil!$C:$C,$C$3),0)</f>
        <v/>
      </c>
      <c r="C34" s="15453">
        <f>IFERROR(SUMIFS(Captura_Facturas_Mobil!$G:$G,Captura_Facturas_Mobil!$D:$D,A34,Captura_Facturas_Mobil!$N:$N,$C$3),0)</f>
        <v/>
      </c>
      <c r="D34" s="15454">
        <f>B34-C34</f>
        <v/>
      </c>
      <c r="E34" s="15455">
        <f>SUMIFS(Captura_Facturas_Mobil!$E:$E,Captura_Facturas_Mobil!$D:$D,A34,Captura_Facturas_Mobil!$N:$N,$C$3)</f>
        <v/>
      </c>
      <c r="F34" s="15456">
        <f>IFERROR(SUMIFS(Captura_Obra!$F:$F,Captura_Obra!$B:$B,A34,Captura_Obra!$M:$M,$C$3),0)</f>
        <v/>
      </c>
      <c r="G34" s="15457">
        <f>E34-F34</f>
        <v/>
      </c>
      <c r="H34" s="15458">
        <f>IFERROR(C34/E34,$F$3)</f>
        <v/>
      </c>
      <c r="I34" s="15459">
        <f>F34*H34</f>
        <v/>
      </c>
      <c r="J34" s="15460">
        <f>B34-I34</f>
        <v/>
      </c>
    </row>
    <row r="35">
      <c r="A35" s="15461" t="inlineStr">
        <is>
          <t>Maquinaria Pegaso</t>
        </is>
      </c>
      <c r="B35" s="15462">
        <f>SUMIFS(Estados_Cuenta_Mobil!$F:$F,Estados_Cuenta_Mobil!$D:$D,"Maquinaria Pegaso",Estados_Cuenta_Mobil!$C:$C,$C$3)+SUMIFS(Estados_Cuenta_Mobil!$F:$F,Estados_Cuenta_Mobil!$D:$D,"Lerma - Tres Marías",Estados_Cuenta_Mobil!$C:$C,$C$3)+SUMIFS(Estados_Cuenta_Mobil!$F:$F,Estados_Cuenta_Mobil!$D:$D,"Chamapa-Lechería",Estados_Cuenta_Mobil!$C:$C,$C$3)+SUMIFS(Estados_Cuenta_Mobil!$F:$F,Estados_Cuenta_Mobil!$D:$D,"Bacheo Toluca",Estados_Cuenta_Mobil!$C:$C,$C$3)+SUMIFS(Estados_Cuenta_Mobil!$F:$F,Estados_Cuenta_Mobil!$D:$D,"Dragones",Estados_Cuenta_Mobil!$C:$C,$C$3)+SUMIFS(Estados_Cuenta_Mobil!$F:$F,Estados_Cuenta_Mobil!$D:$D,"Colegio Militar",Estados_Cuenta_Mobil!$C:$C,$C$3)+SUMIFS(Estados_Cuenta_Mobil!$F:$F,Estados_Cuenta_Mobil!$D:$D,"NO DETECTADA",Estados_Cuenta_Mobil!$C:$C,$C$3)</f>
        <v/>
      </c>
      <c r="C35" s="15463">
        <f>SUMIFS(Captura_Facturas_Mobil!$G:$G,Captura_Facturas_Mobil!$D:$D,"Maquinaria Pegaso",Captura_Facturas_Mobil!$N:$N,$C$3)+SUMIFS(Captura_Facturas_Mobil!$G:$G,Captura_Facturas_Mobil!$D:$D,"Lerma - Tres Marías",Captura_Facturas_Mobil!$N:$N,$C$3)+SUMIFS(Captura_Facturas_Mobil!$G:$G,Captura_Facturas_Mobil!$D:$D,"Chamapa-Lechería",Captura_Facturas_Mobil!$N:$N,$C$3)+SUMIFS(Captura_Facturas_Mobil!$G:$G,Captura_Facturas_Mobil!$D:$D,"Bacheo Toluca",Captura_Facturas_Mobil!$N:$N,$C$3)+SUMIFS(Captura_Facturas_Mobil!$G:$G,Captura_Facturas_Mobil!$D:$D,"Dragones",Captura_Facturas_Mobil!$N:$N,$C$3)+SUMIFS(Captura_Facturas_Mobil!$G:$G,Captura_Facturas_Mobil!$D:$D,"Colegio Militar",Captura_Facturas_Mobil!$N:$N,$C$3)+SUMIFS(Captura_Facturas_Mobil!$G:$G,Captura_Facturas_Mobil!$D:$D,"NO DETECTADA",Captura_Facturas_Mobil!$N:$N,$C$3)</f>
        <v/>
      </c>
      <c r="D35" s="15464">
        <f>B35-C35</f>
        <v/>
      </c>
      <c r="E35" s="15465">
        <f>SUMIFS(Captura_Facturas_Mobil!$E:$E,Captura_Facturas_Mobil!$D:$D,"Maquinaria Pegaso",Captura_Facturas_Mobil!$N:$N,$C$3)+SUMIFS(Captura_Facturas_Mobil!$E:$E,Captura_Facturas_Mobil!$D:$D,"Lerma - Tres Marías",Captura_Facturas_Mobil!$N:$N,$C$3)+SUMIFS(Captura_Facturas_Mobil!$E:$E,Captura_Facturas_Mobil!$D:$D,"Chamapa-Lechería",Captura_Facturas_Mobil!$N:$N,$C$3)+SUMIFS(Captura_Facturas_Mobil!$E:$E,Captura_Facturas_Mobil!$D:$D,"Bacheo Toluca",Captura_Facturas_Mobil!$N:$N,$C$3)+SUMIFS(Captura_Facturas_Mobil!$E:$E,Captura_Facturas_Mobil!$D:$D,"Dragones",Captura_Facturas_Mobil!$N:$N,$C$3)+SUMIFS(Captura_Facturas_Mobil!$E:$E,Captura_Facturas_Mobil!$D:$D,"Colegio Militar",Captura_Facturas_Mobil!$N:$N,$C$3)+SUMIFS(Captura_Facturas_Mobil!$E:$E,Captura_Facturas_Mobil!$D:$D,"NO DETECTADA",Captura_Facturas_Mobil!$N:$N,$C$3)</f>
        <v/>
      </c>
      <c r="F35" s="15466">
        <f>SUMIFS(Captura_Obra!$F:$F,Captura_Obra!$B:$B,"Maquinaria Pegaso",Captura_Obra!$M:$M,$C$3)+SUMIFS(Captura_Obra!$F:$F,Captura_Obra!$B:$B,"Lerma - Tres Marías",Captura_Obra!$M:$M,$C$3)+SUMIFS(Captura_Obra!$F:$F,Captura_Obra!$B:$B,"Chamapa-Lechería",Captura_Obra!$M:$M,$C$3)+SUMIFS(Captura_Obra!$F:$F,Captura_Obra!$B:$B,"Bacheo Toluca",Captura_Obra!$M:$M,$C$3)+SUMIFS(Captura_Obra!$F:$F,Captura_Obra!$B:$B,"Dragones",Captura_Obra!$M:$M,$C$3)+SUMIFS(Captura_Obra!$F:$F,Captura_Obra!$B:$B,"Colegio Militar",Captura_Obra!$M:$M,$C$3)+SUMIFS(Captura_Obra!$F:$F,Captura_Obra!$B:$B,"NO DETECTADA",Captura_Obra!$M:$M,$C$3)</f>
        <v/>
      </c>
      <c r="G35" s="15467">
        <f>E35-F35</f>
        <v/>
      </c>
      <c r="H35" s="15468">
        <f>IFERROR((SUMIFS(Captura_Facturas_Mobil!$G:$G,Captura_Facturas_Mobil!$D:$D,"Maquinaria Pegaso",Captura_Facturas_Mobil!$N:$N,$C$3)+SUMIFS(Captura_Facturas_Mobil!$G:$G,Captura_Facturas_Mobil!$D:$D,"Lerma - Tres Marías",Captura_Facturas_Mobil!$N:$N,$C$3)+SUMIFS(Captura_Facturas_Mobil!$G:$G,Captura_Facturas_Mobil!$D:$D,"Chamapa-Lechería",Captura_Facturas_Mobil!$N:$N,$C$3)+SUMIFS(Captura_Facturas_Mobil!$G:$G,Captura_Facturas_Mobil!$D:$D,"Bacheo Toluca",Captura_Facturas_Mobil!$N:$N,$C$3)+SUMIFS(Captura_Facturas_Mobil!$G:$G,Captura_Facturas_Mobil!$D:$D,"Dragones",Captura_Facturas_Mobil!$N:$N,$C$3)+SUMIFS(Captura_Facturas_Mobil!$G:$G,Captura_Facturas_Mobil!$D:$D,"Colegio Militar",Captura_Facturas_Mobil!$N:$N,$C$3)+SUMIFS(Captura_Facturas_Mobil!$G:$G,Captura_Facturas_Mobil!$D:$D,"NO DETECTADA",Captura_Facturas_Mobil!$N:$N,$C$3))/(SUMIFS(Captura_Facturas_Mobil!$E:$E,Captura_Facturas_Mobil!$D:$D,"Maquinaria Pegaso",Captura_Facturas_Mobil!$N:$N,$C$3)+SUMIFS(Captura_Facturas_Mobil!$E:$E,Captura_Facturas_Mobil!$D:$D,"Lerma - Tres Marías",Captura_Facturas_Mobil!$N:$N,$C$3)+SUMIFS(Captura_Facturas_Mobil!$E:$E,Captura_Facturas_Mobil!$D:$D,"Chamapa-Lechería",Captura_Facturas_Mobil!$N:$N,$C$3)+SUMIFS(Captura_Facturas_Mobil!$E:$E,Captura_Facturas_Mobil!$D:$D,"Bacheo Toluca",Captura_Facturas_Mobil!$N:$N,$C$3)+SUMIFS(Captura_Facturas_Mobil!$E:$E,Captura_Facturas_Mobil!$D:$D,"Dragones",Captura_Facturas_Mobil!$N:$N,$C$3)+SUMIFS(Captura_Facturas_Mobil!$E:$E,Captura_Facturas_Mobil!$D:$D,"Colegio Militar",Captura_Facturas_Mobil!$N:$N,$C$3)+SUMIFS(Captura_Facturas_Mobil!$E:$E,Captura_Facturas_Mobil!$D:$D,"NO DETECTADA",Captura_Facturas_Mobil!$N:$N,$C$3)),$F$3)</f>
        <v/>
      </c>
      <c r="I35" s="15469">
        <f>F35*H35</f>
        <v/>
      </c>
      <c r="J35" s="15470">
        <f>B35-I35</f>
        <v/>
      </c>
    </row>
    <row r="36" ht="19.95" customHeight="1" s="17580">
      <c r="A36" s="17650" t="inlineStr">
        <is>
          <t>Planta Asflato Huixquilucan</t>
        </is>
      </c>
      <c r="B36" s="17582" t="n"/>
      <c r="C36" s="17582" t="n"/>
      <c r="D36" s="17582" t="n"/>
      <c r="E36" s="17582" t="n"/>
      <c r="F36" s="17582" t="n"/>
      <c r="G36" s="17582" t="n"/>
      <c r="H36" s="17582" t="n"/>
      <c r="I36" s="17583" t="n"/>
      <c r="J36" s="15471">
        <f>B36-I36</f>
        <v/>
      </c>
    </row>
    <row r="37" ht="36" customHeight="1" s="17580">
      <c r="A37" s="15472" t="inlineStr">
        <is>
          <t>Jalisco</t>
        </is>
      </c>
      <c r="B37" s="15473">
        <f>IFERROR(SUMIFS(Estados_Cuenta_Mobil!$F:$F,Estados_Cuenta_Mobil!$D:$D,A37,Estados_Cuenta_Mobil!$C:$C,$C$3),0)</f>
        <v/>
      </c>
      <c r="C37" s="15474">
        <f>IFERROR(SUMIFS(Captura_Facturas_Mobil!$G:$G,Captura_Facturas_Mobil!$D:$D,A37,Captura_Facturas_Mobil!$N:$N,$C$3),0)</f>
        <v/>
      </c>
      <c r="D37" s="15475" t="n"/>
      <c r="E37" s="15476">
        <f>SUMIFS(Captura_Facturas_Mobil!$E:$E,Captura_Facturas_Mobil!$D:$D,A37,Captura_Facturas_Mobil!$N:$N,$C$3)</f>
        <v/>
      </c>
      <c r="F37" s="15477">
        <f>IFERROR(SUMIFS(Captura_Obra!$F:$F,Captura_Obra!$B:$B,A37,Captura_Obra!$M:$M,$C$3),0)</f>
        <v/>
      </c>
      <c r="G37" s="15478" t="n"/>
      <c r="H37" s="15479">
        <f>IFERROR(C37/E37,$F$3)</f>
        <v/>
      </c>
      <c r="I37" s="15480">
        <f>SUM(I33:I36)</f>
        <v/>
      </c>
      <c r="J37" s="15481">
        <f>SUM(J33:J36)</f>
        <v/>
      </c>
    </row>
    <row r="38">
      <c r="A38" s="15298" t="n">
        <v>21</v>
      </c>
      <c r="B38" s="15299" t="inlineStr">
        <is>
          <t>México-Toluca</t>
        </is>
      </c>
      <c r="C38" s="15300">
        <f>SUMIFS(Captura_Facturas_Mobil!$E:$E, Captura_Facturas_Mobil!$N:$N, A38, Captura_Facturas_Mobil!$D:$D, B38)</f>
        <v/>
      </c>
      <c r="D38" s="15301">
        <f>SUMIFS(Captura_Facturas_Mobil!$G:$G, Captura_Facturas_Mobil!$N:$N, A38, Captura_Facturas_Mobil!$D:$D, B38)</f>
        <v/>
      </c>
      <c r="E38" s="15302">
        <f>SUMIFS(Captura_Obra!$F:$F, Captura_Obra!$M:$M, A38, Captura_Obra!$B:$B, B38)</f>
        <v/>
      </c>
      <c r="F38" s="15303">
        <f>IFERROR(D38/C38, $F$3)</f>
        <v/>
      </c>
      <c r="G38" s="15304">
        <f>IF(E38=0,0,E38*F38)</f>
        <v/>
      </c>
      <c r="H38" s="15305">
        <f>IF(C38+E38=0,"",C38-E38)</f>
        <v/>
      </c>
      <c r="I38" s="15306">
        <f>IF(D38+G38=0,"",D38-G38)</f>
        <v/>
      </c>
    </row>
    <row r="39">
      <c r="A39" s="17646" t="inlineStr">
        <is>
          <t>5. RESUMEN HISTÓRICO DE ADEUDOS A GASOLINERÍA (DIÉSEL) - POR SEMANA Y OBRA</t>
        </is>
      </c>
      <c r="B39" s="17582" t="n"/>
      <c r="C39" s="17582" t="n"/>
      <c r="D39" s="17582" t="n"/>
      <c r="E39" s="17582" t="n"/>
      <c r="F39" s="17582" t="n"/>
      <c r="G39" s="17582" t="n"/>
      <c r="H39" s="17582" t="n"/>
      <c r="I39" s="17583" t="n"/>
    </row>
    <row r="40" ht="36" customHeight="1" s="17580">
      <c r="A40" s="15482" t="inlineStr">
        <is>
          <t>Semana</t>
        </is>
      </c>
      <c r="B40" s="15483" t="inlineStr">
        <is>
          <t>Obra</t>
        </is>
      </c>
      <c r="C40" s="15484" t="inlineStr">
        <is>
          <t>Lts Facturados (CFDI)</t>
        </is>
      </c>
      <c r="D40" s="15485" t="inlineStr">
        <is>
          <t>Deuda Total ($ CFDI)</t>
        </is>
      </c>
      <c r="E40" s="15486" t="inlineStr">
        <is>
          <t>Lts Reales Obra</t>
        </is>
      </c>
      <c r="F40" s="15487" t="inlineStr">
        <is>
          <t>Precio ($/L)</t>
        </is>
      </c>
      <c r="G40" s="15488" t="inlineStr">
        <is>
          <t>Costo Real Obra ($)</t>
        </is>
      </c>
      <c r="H40" s="15489" t="inlineStr">
        <is>
          <t>Diferencia Lts</t>
        </is>
      </c>
      <c r="I40" s="15490" t="inlineStr">
        <is>
          <t>Diferencia $</t>
        </is>
      </c>
    </row>
    <row r="41" ht="19.95" customHeight="1" s="17580">
      <c r="A41" s="17648" t="n">
        <v>21</v>
      </c>
      <c r="B41" s="17582" t="n"/>
      <c r="C41" s="17582" t="n"/>
      <c r="D41" s="17582" t="n"/>
      <c r="E41" s="17582" t="n"/>
      <c r="F41" s="17582" t="n"/>
      <c r="G41" s="17582" t="n"/>
      <c r="H41" s="17582" t="n"/>
      <c r="I41" s="17582" t="n"/>
      <c r="J41" s="17583" t="n"/>
    </row>
    <row r="42" ht="17.4" customHeight="1" s="17580">
      <c r="A42" s="17636" t="n">
        <v>21</v>
      </c>
      <c r="B42" s="17582" t="n"/>
      <c r="C42" s="17583" t="n"/>
      <c r="D42" s="15491">
        <f>SUMIFS(Captura_Facturas_Mobil!$G:$G,Captura_Facturas_Mobil!$N:$N,A42,Captura_Facturas_Mobil!$D:$D,"Planta Asfalto Pegaso")+SUMIFS(Captura_Facturas_Mobil!$G:$G,Captura_Facturas_Mobil!$N:$N,A42,Captura_Facturas_Mobil!$D:$D,"Lerma - Tres Marías")+SUMIFS(Captura_Facturas_Mobil!$G:$G,Captura_Facturas_Mobil!$N:$N,A42,Captura_Facturas_Mobil!$D:$D,"Chamapa-Lechería")+SUMIFS(Captura_Facturas_Mobil!$G:$G,Captura_Facturas_Mobil!$N:$N,A42,Captura_Facturas_Mobil!$D:$D,"Bacheo Toluca")+SUMIFS(Captura_Facturas_Mobil!$G:$G,Captura_Facturas_Mobil!$N:$N,A42,Captura_Facturas_Mobil!$D:$D,"Dragones")+SUMIFS(Captura_Facturas_Mobil!$G:$G,Captura_Facturas_Mobil!$N:$N,A42,Captura_Facturas_Mobil!$D:$D,"Colegio Militar")+SUMIFS(Captura_Facturas_Mobil!$G:$G,Captura_Facturas_Mobil!$N:$N,A42,Captura_Facturas_Mobil!$D:$D,"NO DETECTADA")</f>
        <v/>
      </c>
      <c r="E42" s="15492">
        <f>SUMIFS(Captura_Obra!$F:$F,Captura_Obra!$M:$M,A42,Captura_Obra!$B:$B,"Planta Asfalto Pegaso")+SUMIFS(Captura_Obra!$F:$F,Captura_Obra!$M:$M,A42,Captura_Obra!$B:$B,"Lerma - Tres Marías")+SUMIFS(Captura_Obra!$F:$F,Captura_Obra!$M:$M,A42,Captura_Obra!$B:$B,"Chamapa-Lechería")+SUMIFS(Captura_Obra!$F:$F,Captura_Obra!$M:$M,A42,Captura_Obra!$B:$B,"Bacheo Toluca")+SUMIFS(Captura_Obra!$F:$F,Captura_Obra!$M:$M,A42,Captura_Obra!$B:$B,"Dragones")+SUMIFS(Captura_Obra!$F:$F,Captura_Obra!$M:$M,A42,Captura_Obra!$B:$B,"Colegio Militar")+SUMIFS(Captura_Obra!$F:$F,Captura_Obra!$M:$M,A42,Captura_Obra!$B:$B,"NO DETECTADA")</f>
        <v/>
      </c>
      <c r="F42" s="15493">
        <f>IFERROR(D42/C42,$F$3)</f>
        <v/>
      </c>
      <c r="G42" s="15494">
        <f>IF(E42=0,0,E42*F42)</f>
        <v/>
      </c>
      <c r="H42" s="15495">
        <f>IF(C42+E42=0,"",C42-E42)</f>
        <v/>
      </c>
      <c r="I42" s="15496">
        <f>IF(D42+G42=0,"",D42-G42)</f>
        <v/>
      </c>
    </row>
    <row r="43" ht="36" customHeight="1" s="17580">
      <c r="A43" s="15497" t="n">
        <v>21</v>
      </c>
      <c r="B43" s="15498" t="inlineStr">
        <is>
          <t>Planta Asflato Huixquilucan</t>
        </is>
      </c>
      <c r="C43" s="15499">
        <f>SUMIFS(Captura_Facturas_Mobil!$E:$E,Captura_Facturas_Mobil!$N:$N,A43,Captura_Facturas_Mobil!$D:$D,B43)</f>
        <v/>
      </c>
      <c r="D43" s="15500">
        <f>SUMIFS(Captura_Facturas_Mobil!$G:$G,Captura_Facturas_Mobil!$N:$N,A43,Captura_Facturas_Mobil!$D:$D,B43)</f>
        <v/>
      </c>
      <c r="E43" s="15501">
        <f>SUMIFS(Captura_Obra!$F:$F,Captura_Obra!$M:$M,A43,Captura_Obra!$B:$B,B43)</f>
        <v/>
      </c>
      <c r="F43" s="15502">
        <f>IFERROR(D43/C43,$F$3)</f>
        <v/>
      </c>
      <c r="G43" s="15503">
        <f>IF(E43=0,0,E43*F43)</f>
        <v/>
      </c>
      <c r="H43" s="15504">
        <f>IF(C43+E43=0,"",C43-E43)</f>
        <v/>
      </c>
      <c r="I43" s="15505">
        <f>IF(D43+G43=0,"",D43-G43)</f>
        <v/>
      </c>
      <c r="J43" s="14434" t="inlineStr">
        <is>
          <t>Balance Final
($)</t>
        </is>
      </c>
    </row>
    <row r="44">
      <c r="A44" s="15506" t="n">
        <v>21</v>
      </c>
      <c r="B44" s="15507" t="inlineStr">
        <is>
          <t>Jalisco</t>
        </is>
      </c>
      <c r="C44" s="15508">
        <f>SUMIFS(Captura_Facturas_Mobil!$E:$E,Captura_Facturas_Mobil!$N:$N,A44,Captura_Facturas_Mobil!$D:$D,B44)</f>
        <v/>
      </c>
      <c r="D44" s="15509">
        <f>SUMIFS(Captura_Facturas_Mobil!$G:$G,Captura_Facturas_Mobil!$N:$N,A44,Captura_Facturas_Mobil!$D:$D,B44)</f>
        <v/>
      </c>
      <c r="E44" s="15510">
        <f>SUMIFS(Captura_Obra!$F:$F,Captura_Obra!$M:$M,A44,Captura_Obra!$B:$B,B44)</f>
        <v/>
      </c>
      <c r="F44" s="15511">
        <f>IFERROR(D44/C44,$F$3)</f>
        <v/>
      </c>
      <c r="G44" s="15512">
        <f>IF(E44=0,0,E44*F44)</f>
        <v/>
      </c>
      <c r="H44" s="15513">
        <f>IF(C44+E44=0,"",C44-E44)</f>
        <v/>
      </c>
      <c r="I44" s="15514">
        <f>IF(D44+G44=0,"",D44-G44)</f>
        <v/>
      </c>
      <c r="J44" s="14435">
        <f>B44-I44</f>
        <v/>
      </c>
    </row>
    <row r="45">
      <c r="A45" s="15515" t="n">
        <v>22</v>
      </c>
      <c r="B45" s="15516" t="inlineStr">
        <is>
          <t>México-Toluca</t>
        </is>
      </c>
      <c r="C45" s="15517">
        <f>SUMIFS(Captura_Facturas_Mobil!$E:$E,Captura_Facturas_Mobil!$N:$N,A45,Captura_Facturas_Mobil!$D:$D,B45)</f>
        <v/>
      </c>
      <c r="D45" s="15518">
        <f>SUMIFS(Captura_Facturas_Mobil!$G:$G,Captura_Facturas_Mobil!$N:$N,A45,Captura_Facturas_Mobil!$D:$D,B45)</f>
        <v/>
      </c>
      <c r="E45" s="15519">
        <f>SUMIFS(Captura_Obra!$F:$F,Captura_Obra!$M:$M,A45,Captura_Obra!$B:$B,B45)</f>
        <v/>
      </c>
      <c r="F45" s="15520">
        <f>IFERROR(D45/C45,$F$3)</f>
        <v/>
      </c>
      <c r="G45" s="15521">
        <f>IF(E45=0,0,E45*F45)</f>
        <v/>
      </c>
      <c r="H45" s="15522">
        <f>IF(C45+E45=0,"",C45-E45)</f>
        <v/>
      </c>
      <c r="I45" s="15523">
        <f>IF(D45+G45=0,"",D45-G45)</f>
        <v/>
      </c>
      <c r="J45" s="14436">
        <f>B45-I45</f>
        <v/>
      </c>
    </row>
    <row r="46">
      <c r="A46" s="15524" t="n">
        <v>22</v>
      </c>
      <c r="B46" s="15525" t="inlineStr">
        <is>
          <t>Maquinaria Pegaso</t>
        </is>
      </c>
      <c r="C46" s="15526">
        <f>SUMIFS(Captura_Facturas_Mobil!$E:$E,Captura_Facturas_Mobil!$N:$N,A46,Captura_Facturas_Mobil!$D:$D,"Maquinaria Pegaso")+SUMIFS(Captura_Facturas_Mobil!$E:$E,Captura_Facturas_Mobil!$N:$N,A46,Captura_Facturas_Mobil!$D:$D,"Lerma - Tres Marías")+SUMIFS(Captura_Facturas_Mobil!$E:$E,Captura_Facturas_Mobil!$N:$N,A46,Captura_Facturas_Mobil!$D:$D,"Chamapa-Lechería")+SUMIFS(Captura_Facturas_Mobil!$E:$E,Captura_Facturas_Mobil!$N:$N,A46,Captura_Facturas_Mobil!$D:$D,"Bacheo Toluca")+SUMIFS(Captura_Facturas_Mobil!$E:$E,Captura_Facturas_Mobil!$N:$N,A46,Captura_Facturas_Mobil!$D:$D,"Dragones")+SUMIFS(Captura_Facturas_Mobil!$E:$E,Captura_Facturas_Mobil!$N:$N,A46,Captura_Facturas_Mobil!$D:$D,"Colegio Militar")+SUMIFS(Captura_Facturas_Mobil!$E:$E,Captura_Facturas_Mobil!$N:$N,A46,Captura_Facturas_Mobil!$D:$D,"NO DETECTADA")</f>
        <v/>
      </c>
      <c r="D46" s="15527">
        <f>SUMIFS(Captura_Facturas_Mobil!$G:$G,Captura_Facturas_Mobil!$N:$N,A46,Captura_Facturas_Mobil!$D:$D,"Maquinaria Pegaso")+SUMIFS(Captura_Facturas_Mobil!$G:$G,Captura_Facturas_Mobil!$N:$N,A46,Captura_Facturas_Mobil!$D:$D,"Lerma - Tres Marías")+SUMIFS(Captura_Facturas_Mobil!$G:$G,Captura_Facturas_Mobil!$N:$N,A46,Captura_Facturas_Mobil!$D:$D,"Chamapa-Lechería")+SUMIFS(Captura_Facturas_Mobil!$G:$G,Captura_Facturas_Mobil!$N:$N,A46,Captura_Facturas_Mobil!$D:$D,"Bacheo Toluca")+SUMIFS(Captura_Facturas_Mobil!$G:$G,Captura_Facturas_Mobil!$N:$N,A46,Captura_Facturas_Mobil!$D:$D,"Dragones")+SUMIFS(Captura_Facturas_Mobil!$G:$G,Captura_Facturas_Mobil!$N:$N,A46,Captura_Facturas_Mobil!$D:$D,"Colegio Militar")+SUMIFS(Captura_Facturas_Mobil!$G:$G,Captura_Facturas_Mobil!$N:$N,A46,Captura_Facturas_Mobil!$D:$D,"NO DETECTADA")</f>
        <v/>
      </c>
      <c r="E46" s="15528">
        <f>SUMIFS(Captura_Obra!$F:$F,Captura_Obra!$M:$M,A46,Captura_Obra!$B:$B,"Maquinaria Pegaso")+SUMIFS(Captura_Obra!$F:$F,Captura_Obra!$M:$M,A46,Captura_Obra!$B:$B,"Lerma - Tres Marías")+SUMIFS(Captura_Obra!$F:$F,Captura_Obra!$M:$M,A46,Captura_Obra!$B:$B,"Chamapa-Lechería")+SUMIFS(Captura_Obra!$F:$F,Captura_Obra!$M:$M,A46,Captura_Obra!$B:$B,"Bacheo Toluca")+SUMIFS(Captura_Obra!$F:$F,Captura_Obra!$M:$M,A46,Captura_Obra!$B:$B,"Dragones")+SUMIFS(Captura_Obra!$F:$F,Captura_Obra!$M:$M,A46,Captura_Obra!$B:$B,"Colegio Militar")+SUMIFS(Captura_Obra!$F:$F,Captura_Obra!$M:$M,A46,Captura_Obra!$B:$B,"NO DETECTADA")</f>
        <v/>
      </c>
      <c r="F46" s="15529">
        <f>IFERROR(D46/C46,$F$3)</f>
        <v/>
      </c>
      <c r="G46" s="15530">
        <f>IF(E46=0,0,E46*F46)</f>
        <v/>
      </c>
      <c r="H46" s="15531">
        <f>IF(C46+E46=0,"",C46-E46)</f>
        <v/>
      </c>
      <c r="I46" s="15532">
        <f>IF(D46+G46=0,"",D46-G46)</f>
        <v/>
      </c>
      <c r="J46" s="14437">
        <f>B46-I46</f>
        <v/>
      </c>
    </row>
    <row r="47">
      <c r="A47" s="15533" t="n">
        <v>22</v>
      </c>
      <c r="B47" s="15534" t="inlineStr">
        <is>
          <t>Planta Asflato Huixquilucan</t>
        </is>
      </c>
      <c r="C47" s="15535">
        <f>SUMIFS(Captura_Facturas_Mobil!$E:$E,Captura_Facturas_Mobil!$N:$N,A47,Captura_Facturas_Mobil!$D:$D,B47)</f>
        <v/>
      </c>
      <c r="D47" s="15536">
        <f>SUMIFS(Captura_Facturas_Mobil!$G:$G,Captura_Facturas_Mobil!$N:$N,A47,Captura_Facturas_Mobil!$D:$D,B47)</f>
        <v/>
      </c>
      <c r="E47" s="15537">
        <f>SUMIFS(Captura_Obra!$F:$F,Captura_Obra!$M:$M,A47,Captura_Obra!$B:$B,B47)</f>
        <v/>
      </c>
      <c r="F47" s="15538">
        <f>IFERROR(D47/C47,$F$3)</f>
        <v/>
      </c>
      <c r="G47" s="15539">
        <f>IF(E47=0,0,E47*F47)</f>
        <v/>
      </c>
      <c r="H47" s="15540">
        <f>IF(C47+E47=0,"",C47-E47)</f>
        <v/>
      </c>
      <c r="I47" s="15541">
        <f>IF(D47+G47=0,"",D47-G47)</f>
        <v/>
      </c>
      <c r="J47" s="14438">
        <f>B47-I47</f>
        <v/>
      </c>
    </row>
    <row r="48">
      <c r="A48" s="15542" t="n">
        <v>22</v>
      </c>
      <c r="B48" s="15543" t="inlineStr">
        <is>
          <t>Jalisco</t>
        </is>
      </c>
      <c r="C48" s="15544">
        <f>SUMIFS(Captura_Facturas_Mobil!$E:$E,Captura_Facturas_Mobil!$N:$N,A48,Captura_Facturas_Mobil!$D:$D,B48)</f>
        <v/>
      </c>
      <c r="D48" s="15545">
        <f>SUMIFS(Captura_Facturas_Mobil!$G:$G,Captura_Facturas_Mobil!$N:$N,A48,Captura_Facturas_Mobil!$D:$D,B48)</f>
        <v/>
      </c>
      <c r="E48" s="15546">
        <f>SUMIFS(Captura_Obra!$F:$F,Captura_Obra!$M:$M,A48,Captura_Obra!$B:$B,B48)</f>
        <v/>
      </c>
      <c r="F48" s="15547">
        <f>IFERROR(D48/C48,$F$3)</f>
        <v/>
      </c>
      <c r="G48" s="15548">
        <f>IF(E48=0,0,E48*F48)</f>
        <v/>
      </c>
      <c r="H48" s="15549">
        <f>IF(C48+E48=0,"",C48-E48)</f>
        <v/>
      </c>
      <c r="I48" s="15550">
        <f>IF(D48+G48=0,"",D48-G48)</f>
        <v/>
      </c>
      <c r="J48" s="14439">
        <f>B48-I48</f>
        <v/>
      </c>
    </row>
    <row r="49">
      <c r="A49" s="15551" t="n">
        <v>23</v>
      </c>
      <c r="B49" s="15552" t="inlineStr">
        <is>
          <t>México-Toluca</t>
        </is>
      </c>
      <c r="C49" s="15553">
        <f>SUMIFS(Captura_Facturas_Mobil!$E:$E,Captura_Facturas_Mobil!$N:$N,A49,Captura_Facturas_Mobil!$D:$D,B49)</f>
        <v/>
      </c>
      <c r="D49" s="15554">
        <f>SUMIFS(Captura_Facturas_Mobil!$G:$G,Captura_Facturas_Mobil!$N:$N,A49,Captura_Facturas_Mobil!$D:$D,B49)</f>
        <v/>
      </c>
      <c r="E49" s="15555">
        <f>SUMIFS(Captura_Obra!$F:$F,Captura_Obra!$M:$M,A49,Captura_Obra!$B:$B,B49)</f>
        <v/>
      </c>
      <c r="F49" s="15556">
        <f>IFERROR(D49/C49,$F$3)</f>
        <v/>
      </c>
      <c r="G49" s="15557">
        <f>IF(E49=0,0,E49*F49)</f>
        <v/>
      </c>
      <c r="H49" s="15558">
        <f>IF(C49+E49=0,"",C49-E49)</f>
        <v/>
      </c>
      <c r="I49" s="15559">
        <f>IF(D49+G49=0,"",D49-G49)</f>
        <v/>
      </c>
      <c r="J49" s="14440">
        <f>B49-I49</f>
        <v/>
      </c>
    </row>
    <row r="50">
      <c r="A50" s="15560" t="n">
        <v>23</v>
      </c>
      <c r="B50" s="15561" t="inlineStr">
        <is>
          <t>Maquinaria Pegaso</t>
        </is>
      </c>
      <c r="C50" s="15562">
        <f>SUMIFS(Captura_Facturas_Mobil!$E:$E,Captura_Facturas_Mobil!$N:$N,A50,Captura_Facturas_Mobil!$D:$D,"Maquinaria Pegaso")+SUMIFS(Captura_Facturas_Mobil!$E:$E,Captura_Facturas_Mobil!$N:$N,A50,Captura_Facturas_Mobil!$D:$D,"Lerma - Tres Marías")+SUMIFS(Captura_Facturas_Mobil!$E:$E,Captura_Facturas_Mobil!$N:$N,A50,Captura_Facturas_Mobil!$D:$D,"Chamapa-Lechería")+SUMIFS(Captura_Facturas_Mobil!$E:$E,Captura_Facturas_Mobil!$N:$N,A50,Captura_Facturas_Mobil!$D:$D,"Bacheo Toluca")+SUMIFS(Captura_Facturas_Mobil!$E:$E,Captura_Facturas_Mobil!$N:$N,A50,Captura_Facturas_Mobil!$D:$D,"Dragones")+SUMIFS(Captura_Facturas_Mobil!$E:$E,Captura_Facturas_Mobil!$N:$N,A50,Captura_Facturas_Mobil!$D:$D,"Colegio Militar")+SUMIFS(Captura_Facturas_Mobil!$E:$E,Captura_Facturas_Mobil!$N:$N,A50,Captura_Facturas_Mobil!$D:$D,"NO DETECTADA")</f>
        <v/>
      </c>
      <c r="D50" s="15563">
        <f>SUMIFS(Captura_Facturas_Mobil!$G:$G,Captura_Facturas_Mobil!$N:$N,A50,Captura_Facturas_Mobil!$D:$D,"Maquinaria Pegaso")+SUMIFS(Captura_Facturas_Mobil!$G:$G,Captura_Facturas_Mobil!$N:$N,A50,Captura_Facturas_Mobil!$D:$D,"Lerma - Tres Marías")+SUMIFS(Captura_Facturas_Mobil!$G:$G,Captura_Facturas_Mobil!$N:$N,A50,Captura_Facturas_Mobil!$D:$D,"Chamapa-Lechería")+SUMIFS(Captura_Facturas_Mobil!$G:$G,Captura_Facturas_Mobil!$N:$N,A50,Captura_Facturas_Mobil!$D:$D,"Bacheo Toluca")+SUMIFS(Captura_Facturas_Mobil!$G:$G,Captura_Facturas_Mobil!$N:$N,A50,Captura_Facturas_Mobil!$D:$D,"Dragones")+SUMIFS(Captura_Facturas_Mobil!$G:$G,Captura_Facturas_Mobil!$N:$N,A50,Captura_Facturas_Mobil!$D:$D,"Colegio Militar")+SUMIFS(Captura_Facturas_Mobil!$G:$G,Captura_Facturas_Mobil!$N:$N,A50,Captura_Facturas_Mobil!$D:$D,"NO DETECTADA")</f>
        <v/>
      </c>
      <c r="E50" s="15564">
        <f>SUMIFS(Captura_Obra!$F:$F,Captura_Obra!$M:$M,A50,Captura_Obra!$B:$B,"Maquinaria Pegaso")+SUMIFS(Captura_Obra!$F:$F,Captura_Obra!$M:$M,A50,Captura_Obra!$B:$B,"Lerma - Tres Marías")+SUMIFS(Captura_Obra!$F:$F,Captura_Obra!$M:$M,A50,Captura_Obra!$B:$B,"Chamapa-Lechería")+SUMIFS(Captura_Obra!$F:$F,Captura_Obra!$M:$M,A50,Captura_Obra!$B:$B,"Bacheo Toluca")+SUMIFS(Captura_Obra!$F:$F,Captura_Obra!$M:$M,A50,Captura_Obra!$B:$B,"Dragones")+SUMIFS(Captura_Obra!$F:$F,Captura_Obra!$M:$M,A50,Captura_Obra!$B:$B,"Colegio Militar")+SUMIFS(Captura_Obra!$F:$F,Captura_Obra!$M:$M,A50,Captura_Obra!$B:$B,"NO DETECTADA")</f>
        <v/>
      </c>
      <c r="F50" s="15565">
        <f>IFERROR(D50/C50,$F$3)</f>
        <v/>
      </c>
      <c r="G50" s="15566">
        <f>IF(E50=0,0,E50*F50)</f>
        <v/>
      </c>
      <c r="H50" s="15567">
        <f>IF(C50+E50=0,"",C50-E50)</f>
        <v/>
      </c>
      <c r="I50" s="15568">
        <f>IF(D50+G50=0,"",D50-G50)</f>
        <v/>
      </c>
      <c r="J50" s="14441">
        <f>B50-I50</f>
        <v/>
      </c>
    </row>
    <row r="51">
      <c r="A51" s="15569" t="n">
        <v>23</v>
      </c>
      <c r="B51" s="15570" t="inlineStr">
        <is>
          <t>Planta Asflato Huixquilucan</t>
        </is>
      </c>
      <c r="C51" s="15571">
        <f>SUMIFS(Captura_Facturas_Mobil!$E:$E,Captura_Facturas_Mobil!$N:$N,A51,Captura_Facturas_Mobil!$D:$D,B51)</f>
        <v/>
      </c>
      <c r="D51" s="15572">
        <f>SUMIFS(Captura_Facturas_Mobil!$G:$G,Captura_Facturas_Mobil!$N:$N,A51,Captura_Facturas_Mobil!$D:$D,B51)</f>
        <v/>
      </c>
      <c r="E51" s="15573">
        <f>SUMIFS(Captura_Obra!$F:$F,Captura_Obra!$M:$M,A51,Captura_Obra!$B:$B,B51)</f>
        <v/>
      </c>
      <c r="F51" s="15574">
        <f>IFERROR(D51/C51,$F$3)</f>
        <v/>
      </c>
      <c r="G51" s="15575">
        <f>IF(E51=0,0,E51*F51)</f>
        <v/>
      </c>
      <c r="H51" s="15576">
        <f>IF(C51+E51=0,"",C51-E51)</f>
        <v/>
      </c>
      <c r="I51" s="15577">
        <f>IF(D51+G51=0,"",D51-G51)</f>
        <v/>
      </c>
      <c r="J51" s="14442">
        <f>B51-I51</f>
        <v/>
      </c>
    </row>
    <row r="52">
      <c r="A52" s="15578" t="n">
        <v>23</v>
      </c>
      <c r="B52" s="15579" t="inlineStr">
        <is>
          <t>Jalisco</t>
        </is>
      </c>
      <c r="C52" s="15580">
        <f>SUMIFS(Captura_Facturas_Mobil!$E:$E,Captura_Facturas_Mobil!$N:$N,A52,Captura_Facturas_Mobil!$D:$D,B52)</f>
        <v/>
      </c>
      <c r="D52" s="15581">
        <f>SUMIFS(Captura_Facturas_Mobil!$G:$G,Captura_Facturas_Mobil!$N:$N,A52,Captura_Facturas_Mobil!$D:$D,B52)</f>
        <v/>
      </c>
      <c r="E52" s="15582">
        <f>SUMIFS(Captura_Obra!$F:$F,Captura_Obra!$M:$M,A52,Captura_Obra!$B:$B,B52)</f>
        <v/>
      </c>
      <c r="F52" s="15583">
        <f>IFERROR(D52/C52,$F$3)</f>
        <v/>
      </c>
      <c r="G52" s="15584">
        <f>IF(E52=0,0,E52*F52)</f>
        <v/>
      </c>
      <c r="H52" s="15585">
        <f>IF(C52+E52=0,"",C52-E52)</f>
        <v/>
      </c>
      <c r="I52" s="15586">
        <f>IF(D52+G52=0,"",D52-G52)</f>
        <v/>
      </c>
      <c r="J52" s="14443" t="n"/>
    </row>
    <row r="53">
      <c r="A53" s="15587" t="n">
        <v>24</v>
      </c>
      <c r="B53" s="15588" t="inlineStr">
        <is>
          <t>México-Toluca</t>
        </is>
      </c>
      <c r="C53" s="15589">
        <f>SUMIFS(Captura_Facturas_Mobil!$E:$E,Captura_Facturas_Mobil!$N:$N,A53,Captura_Facturas_Mobil!$D:$D,B53)</f>
        <v/>
      </c>
      <c r="D53" s="15590">
        <f>SUMIFS(Captura_Facturas_Mobil!$G:$G,Captura_Facturas_Mobil!$N:$N,A53,Captura_Facturas_Mobil!$D:$D,B53)</f>
        <v/>
      </c>
      <c r="E53" s="15591">
        <f>SUMIFS(Captura_Obra!$F:$F,Captura_Obra!$M:$M,A53,Captura_Obra!$B:$B,B53)</f>
        <v/>
      </c>
      <c r="F53" s="15592">
        <f>IFERROR(D53/C53,$F$3)</f>
        <v/>
      </c>
      <c r="G53" s="15593">
        <f>IF(E53=0,0,E53*F53)</f>
        <v/>
      </c>
      <c r="H53" s="15594">
        <f>IF(C53+E53=0,"",C53-E53)</f>
        <v/>
      </c>
      <c r="I53" s="15595">
        <f>IF(D53+G53=0,"",D53-G53)</f>
        <v/>
      </c>
    </row>
    <row r="54">
      <c r="A54" s="15596" t="n">
        <v>24</v>
      </c>
      <c r="B54" s="15597" t="inlineStr">
        <is>
          <t>Maquinaria Pegaso</t>
        </is>
      </c>
      <c r="C54" s="15598">
        <f>SUMIFS(Captura_Facturas_Mobil!$E:$E,Captura_Facturas_Mobil!$N:$N,A54,Captura_Facturas_Mobil!$D:$D,"Maquinaria Pegaso")+SUMIFS(Captura_Facturas_Mobil!$E:$E,Captura_Facturas_Mobil!$N:$N,A54,Captura_Facturas_Mobil!$D:$D,"Lerma - Tres Marías")+SUMIFS(Captura_Facturas_Mobil!$E:$E,Captura_Facturas_Mobil!$N:$N,A54,Captura_Facturas_Mobil!$D:$D,"Chamapa-Lechería")+SUMIFS(Captura_Facturas_Mobil!$E:$E,Captura_Facturas_Mobil!$N:$N,A54,Captura_Facturas_Mobil!$D:$D,"Bacheo Toluca")+SUMIFS(Captura_Facturas_Mobil!$E:$E,Captura_Facturas_Mobil!$N:$N,A54,Captura_Facturas_Mobil!$D:$D,"Dragones")+SUMIFS(Captura_Facturas_Mobil!$E:$E,Captura_Facturas_Mobil!$N:$N,A54,Captura_Facturas_Mobil!$D:$D,"Colegio Militar")+SUMIFS(Captura_Facturas_Mobil!$E:$E,Captura_Facturas_Mobil!$N:$N,A54,Captura_Facturas_Mobil!$D:$D,"NO DETECTADA")</f>
        <v/>
      </c>
      <c r="D54" s="15599">
        <f>SUMIFS(Captura_Facturas_Mobil!$G:$G,Captura_Facturas_Mobil!$N:$N,A54,Captura_Facturas_Mobil!$D:$D,"Maquinaria Pegaso")+SUMIFS(Captura_Facturas_Mobil!$G:$G,Captura_Facturas_Mobil!$N:$N,A54,Captura_Facturas_Mobil!$D:$D,"Lerma - Tres Marías")+SUMIFS(Captura_Facturas_Mobil!$G:$G,Captura_Facturas_Mobil!$N:$N,A54,Captura_Facturas_Mobil!$D:$D,"Chamapa-Lechería")+SUMIFS(Captura_Facturas_Mobil!$G:$G,Captura_Facturas_Mobil!$N:$N,A54,Captura_Facturas_Mobil!$D:$D,"Bacheo Toluca")+SUMIFS(Captura_Facturas_Mobil!$G:$G,Captura_Facturas_Mobil!$N:$N,A54,Captura_Facturas_Mobil!$D:$D,"Dragones")+SUMIFS(Captura_Facturas_Mobil!$G:$G,Captura_Facturas_Mobil!$N:$N,A54,Captura_Facturas_Mobil!$D:$D,"Colegio Militar")+SUMIFS(Captura_Facturas_Mobil!$G:$G,Captura_Facturas_Mobil!$N:$N,A54,Captura_Facturas_Mobil!$D:$D,"NO DETECTADA")</f>
        <v/>
      </c>
      <c r="E54" s="15600">
        <f>SUMIFS(Captura_Obra!$F:$F,Captura_Obra!$M:$M,A54,Captura_Obra!$B:$B,"Maquinaria Pegaso")+SUMIFS(Captura_Obra!$F:$F,Captura_Obra!$M:$M,A54,Captura_Obra!$B:$B,"Lerma - Tres Marías")+SUMIFS(Captura_Obra!$F:$F,Captura_Obra!$M:$M,A54,Captura_Obra!$B:$B,"Chamapa-Lechería")+SUMIFS(Captura_Obra!$F:$F,Captura_Obra!$M:$M,A54,Captura_Obra!$B:$B,"Bacheo Toluca")+SUMIFS(Captura_Obra!$F:$F,Captura_Obra!$M:$M,A54,Captura_Obra!$B:$B,"Dragones")+SUMIFS(Captura_Obra!$F:$F,Captura_Obra!$M:$M,A54,Captura_Obra!$B:$B,"Colegio Militar")+SUMIFS(Captura_Obra!$F:$F,Captura_Obra!$M:$M,A54,Captura_Obra!$B:$B,"NO DETECTADA")</f>
        <v/>
      </c>
      <c r="F54" s="15601">
        <f>IFERROR(D54/C54,$F$3)</f>
        <v/>
      </c>
      <c r="G54" s="15602">
        <f>IF(E54=0,0,E54*F54)</f>
        <v/>
      </c>
      <c r="H54" s="15603">
        <f>IF(C54+E54=0,"",C54-E54)</f>
        <v/>
      </c>
      <c r="I54" s="15604">
        <f>IF(D54+G54=0,"",D54-G54)</f>
        <v/>
      </c>
    </row>
    <row r="55" ht="19.95" customHeight="1" s="17580">
      <c r="A55" s="17634" t="n">
        <v>24</v>
      </c>
      <c r="B55" s="17582" t="n"/>
      <c r="C55" s="17582" t="n"/>
      <c r="D55" s="17582" t="n"/>
      <c r="E55" s="17582" t="n"/>
      <c r="F55" s="17582" t="n"/>
      <c r="G55" s="17582" t="n"/>
      <c r="H55" s="17582" t="n"/>
      <c r="I55" s="17583" t="n"/>
    </row>
    <row r="56" ht="36" customHeight="1" s="17580">
      <c r="A56" s="15605" t="n">
        <v>24</v>
      </c>
      <c r="B56" s="15606" t="inlineStr">
        <is>
          <t>Jalisco</t>
        </is>
      </c>
      <c r="C56" s="15607">
        <f>SUMIFS(Captura_Facturas_Mobil!$E:$E,Captura_Facturas_Mobil!$N:$N,A56,Captura_Facturas_Mobil!$D:$D,B56)</f>
        <v/>
      </c>
      <c r="D56" s="15608">
        <f>SUMIFS(Captura_Facturas_Mobil!$G:$G,Captura_Facturas_Mobil!$N:$N,A56,Captura_Facturas_Mobil!$D:$D,B56)</f>
        <v/>
      </c>
      <c r="E56" s="15609">
        <f>SUMIFS(Captura_Obra!$F:$F,Captura_Obra!$M:$M,A56,Captura_Obra!$B:$B,B56)</f>
        <v/>
      </c>
      <c r="F56" s="15610">
        <f>IFERROR(D56/C56,$F$3)</f>
        <v/>
      </c>
      <c r="G56" s="15611">
        <f>IF(E56=0,0,E56*F56)</f>
        <v/>
      </c>
      <c r="H56" s="15612">
        <f>IF(C56+E56=0,"",C56-E56)</f>
        <v/>
      </c>
      <c r="I56" s="15613">
        <f>IF(D56+G56=0,"",D56-G56)</f>
        <v/>
      </c>
    </row>
    <row r="57">
      <c r="A57" s="15614" t="n">
        <v>25</v>
      </c>
      <c r="B57" s="15615" t="inlineStr">
        <is>
          <t>México-Toluca</t>
        </is>
      </c>
      <c r="C57" s="15616">
        <f>SUMIFS(Captura_Facturas_Mobil!$E:$E,Captura_Facturas_Mobil!$N:$N,A57,Captura_Facturas_Mobil!$D:$D,B57)</f>
        <v/>
      </c>
      <c r="D57" s="15617">
        <f>SUMIFS(Captura_Facturas_Mobil!$G:$G,Captura_Facturas_Mobil!$N:$N,A57,Captura_Facturas_Mobil!$D:$D,B57)</f>
        <v/>
      </c>
      <c r="E57" s="15618">
        <f>SUMIFS(Captura_Obra!$F:$F,Captura_Obra!$M:$M,A57,Captura_Obra!$B:$B,B57)</f>
        <v/>
      </c>
      <c r="F57" s="15619">
        <f>IFERROR(D57/C57,$F$3)</f>
        <v/>
      </c>
      <c r="G57" s="15620">
        <f>IF(E57=0,0,E57*F57)</f>
        <v/>
      </c>
      <c r="H57" s="15621">
        <f>IF(C57+E57=0,"",C57-E57)</f>
        <v/>
      </c>
      <c r="I57" s="15622">
        <f>IF(D57+G57=0,"",D57-G57)</f>
        <v/>
      </c>
    </row>
    <row r="58" ht="19.95" customHeight="1" s="17580">
      <c r="A58" s="17652" t="n">
        <v>25</v>
      </c>
      <c r="B58" s="17582" t="n"/>
      <c r="C58" s="17582" t="n"/>
      <c r="D58" s="17582" t="n"/>
      <c r="E58" s="17582" t="n"/>
      <c r="F58" s="17582" t="n"/>
      <c r="G58" s="17582" t="n"/>
      <c r="H58" s="17583" t="n"/>
      <c r="I58" s="15623">
        <f>IF(D58+G58=0,"",D58-G58)</f>
        <v/>
      </c>
    </row>
    <row r="59" ht="40.05" customHeight="1" s="17580">
      <c r="A59" s="15624" t="n">
        <v>25</v>
      </c>
      <c r="B59" s="15625" t="inlineStr">
        <is>
          <t>Planta Asflato Huixquilucan</t>
        </is>
      </c>
      <c r="C59" s="15626">
        <f>SUMIFS(Captura_Facturas_Mobil!$E:$E,Captura_Facturas_Mobil!$N:$N,A59,Captura_Facturas_Mobil!$D:$D,B59)</f>
        <v/>
      </c>
      <c r="D59" s="15627">
        <f>SUMIFS(Captura_Facturas_Mobil!$G:$G,Captura_Facturas_Mobil!$N:$N,A59,Captura_Facturas_Mobil!$D:$D,B59)</f>
        <v/>
      </c>
      <c r="E59" s="15628">
        <f>SUMIFS(Captura_Obra!$F:$F,Captura_Obra!$M:$M,A59,Captura_Obra!$B:$B,B59)</f>
        <v/>
      </c>
      <c r="F59" s="15629">
        <f>IFERROR(D59/C59,$F$3)</f>
        <v/>
      </c>
      <c r="G59" s="15630">
        <f>IF(E59=0,0,E59*F59)</f>
        <v/>
      </c>
      <c r="H59" s="15631">
        <f>IF(C59+E59=0,"",C59-E59)</f>
        <v/>
      </c>
      <c r="I59" s="15632">
        <f>IF(D59+G59=0,"",D59-G59)</f>
        <v/>
      </c>
    </row>
    <row r="60">
      <c r="A60" s="15633" t="n">
        <v>25</v>
      </c>
      <c r="B60" s="15634" t="inlineStr">
        <is>
          <t>Jalisco</t>
        </is>
      </c>
      <c r="C60" s="15635">
        <f>SUMIFS(Captura_Facturas_Mobil!$E:$E,Captura_Facturas_Mobil!$N:$N,A60,Captura_Facturas_Mobil!$D:$D,B60)</f>
        <v/>
      </c>
      <c r="D60" s="15636">
        <f>SUMIFS(Captura_Facturas_Mobil!$G:$G,Captura_Facturas_Mobil!$N:$N,A60,Captura_Facturas_Mobil!$D:$D,B60)</f>
        <v/>
      </c>
      <c r="E60" s="15637">
        <f>SUMIFS(Captura_Obra!$F:$F,Captura_Obra!$M:$M,A60,Captura_Obra!$B:$B,B60)</f>
        <v/>
      </c>
      <c r="F60" s="15638">
        <f>IFERROR(D60/C60,$F$3)</f>
        <v/>
      </c>
      <c r="G60" s="15639">
        <f>IF(E60=0,0,E60*F60)</f>
        <v/>
      </c>
      <c r="H60" s="15640">
        <f>IF(C60+E60=0,"",C60-E60)</f>
        <v/>
      </c>
      <c r="I60" s="15641">
        <f>IF(D60+G60=0,"",D60-G60)</f>
        <v/>
      </c>
    </row>
    <row r="61">
      <c r="A61" s="15642" t="n">
        <v>26</v>
      </c>
      <c r="B61" s="15643" t="inlineStr">
        <is>
          <t>México-Toluca</t>
        </is>
      </c>
      <c r="C61" s="15644">
        <f>SUMIFS(Captura_Facturas_Mobil!$E:$E,Captura_Facturas_Mobil!$N:$N,A61,Captura_Facturas_Mobil!$D:$D,B61)</f>
        <v/>
      </c>
      <c r="D61" s="15645">
        <f>SUMIFS(Captura_Facturas_Mobil!$G:$G,Captura_Facturas_Mobil!$N:$N,A61,Captura_Facturas_Mobil!$D:$D,B61)</f>
        <v/>
      </c>
      <c r="E61" s="15646">
        <f>SUMIFS(Captura_Obra!$F:$F,Captura_Obra!$M:$M,A61,Captura_Obra!$B:$B,B61)</f>
        <v/>
      </c>
      <c r="F61" s="15647">
        <f>IFERROR(D61/C61,$F$3)</f>
        <v/>
      </c>
      <c r="G61" s="15648">
        <f>IF(E61=0,0,E61*F61)</f>
        <v/>
      </c>
      <c r="H61" s="15649">
        <f>IF(C61+E61=0,"",C61-E61)</f>
        <v/>
      </c>
      <c r="I61" s="15650">
        <f>IF(D61+G61=0,"",D61-G61)</f>
        <v/>
      </c>
    </row>
    <row r="62">
      <c r="A62" s="15651" t="n">
        <v>26</v>
      </c>
      <c r="B62" s="15652" t="inlineStr">
        <is>
          <t>Maquinaria Pegaso</t>
        </is>
      </c>
      <c r="C62" s="15653">
        <f>SUMIFS(Captura_Facturas_Mobil!$E:$E,Captura_Facturas_Mobil!$N:$N,A62,Captura_Facturas_Mobil!$D:$D,"Maquinaria Pegaso")+SUMIFS(Captura_Facturas_Mobil!$E:$E,Captura_Facturas_Mobil!$N:$N,A62,Captura_Facturas_Mobil!$D:$D,"Lerma - Tres Marías")+SUMIFS(Captura_Facturas_Mobil!$E:$E,Captura_Facturas_Mobil!$N:$N,A62,Captura_Facturas_Mobil!$D:$D,"Chamapa-Lechería")+SUMIFS(Captura_Facturas_Mobil!$E:$E,Captura_Facturas_Mobil!$N:$N,A62,Captura_Facturas_Mobil!$D:$D,"Bacheo Toluca")+SUMIFS(Captura_Facturas_Mobil!$E:$E,Captura_Facturas_Mobil!$N:$N,A62,Captura_Facturas_Mobil!$D:$D,"Dragones")+SUMIFS(Captura_Facturas_Mobil!$E:$E,Captura_Facturas_Mobil!$N:$N,A62,Captura_Facturas_Mobil!$D:$D,"Colegio Militar")+SUMIFS(Captura_Facturas_Mobil!$E:$E,Captura_Facturas_Mobil!$N:$N,A62,Captura_Facturas_Mobil!$D:$D,"NO DETECTADA")</f>
        <v/>
      </c>
      <c r="D62" s="15654">
        <f>SUMIFS(Captura_Facturas_Mobil!$G:$G,Captura_Facturas_Mobil!$N:$N,A62,Captura_Facturas_Mobil!$D:$D,"Maquinaria Pegaso")+SUMIFS(Captura_Facturas_Mobil!$G:$G,Captura_Facturas_Mobil!$N:$N,A62,Captura_Facturas_Mobil!$D:$D,"Lerma - Tres Marías")+SUMIFS(Captura_Facturas_Mobil!$G:$G,Captura_Facturas_Mobil!$N:$N,A62,Captura_Facturas_Mobil!$D:$D,"Chamapa-Lechería")+SUMIFS(Captura_Facturas_Mobil!$G:$G,Captura_Facturas_Mobil!$N:$N,A62,Captura_Facturas_Mobil!$D:$D,"Bacheo Toluca")+SUMIFS(Captura_Facturas_Mobil!$G:$G,Captura_Facturas_Mobil!$N:$N,A62,Captura_Facturas_Mobil!$D:$D,"Dragones")+SUMIFS(Captura_Facturas_Mobil!$G:$G,Captura_Facturas_Mobil!$N:$N,A62,Captura_Facturas_Mobil!$D:$D,"Colegio Militar")+SUMIFS(Captura_Facturas_Mobil!$G:$G,Captura_Facturas_Mobil!$N:$N,A62,Captura_Facturas_Mobil!$D:$D,"NO DETECTADA")</f>
        <v/>
      </c>
      <c r="E62" s="15655">
        <f>SUMIFS(Captura_Obra!$F:$F,Captura_Obra!$M:$M,A62,Captura_Obra!$B:$B,"Maquinaria Pegaso")+SUMIFS(Captura_Obra!$F:$F,Captura_Obra!$M:$M,A62,Captura_Obra!$B:$B,"Lerma - Tres Marías")+SUMIFS(Captura_Obra!$F:$F,Captura_Obra!$M:$M,A62,Captura_Obra!$B:$B,"Chamapa-Lechería")+SUMIFS(Captura_Obra!$F:$F,Captura_Obra!$M:$M,A62,Captura_Obra!$B:$B,"Bacheo Toluca")+SUMIFS(Captura_Obra!$F:$F,Captura_Obra!$M:$M,A62,Captura_Obra!$B:$B,"Dragones")+SUMIFS(Captura_Obra!$F:$F,Captura_Obra!$M:$M,A62,Captura_Obra!$B:$B,"Colegio Militar")+SUMIFS(Captura_Obra!$F:$F,Captura_Obra!$M:$M,A62,Captura_Obra!$B:$B,"NO DETECTADA")</f>
        <v/>
      </c>
      <c r="F62" s="15656">
        <f>IFERROR(D62/C62,$F$3)</f>
        <v/>
      </c>
      <c r="G62" s="15657">
        <f>IF(E62=0,0,E62*F62)</f>
        <v/>
      </c>
      <c r="H62" s="15658">
        <f>IF(C62+E62=0,"",C62-E62)</f>
        <v/>
      </c>
      <c r="I62" s="15659">
        <f>IF(D62+G62=0,"",D62-G62)</f>
        <v/>
      </c>
    </row>
    <row r="63">
      <c r="A63" s="15660" t="n">
        <v>26</v>
      </c>
      <c r="B63" s="15661" t="inlineStr">
        <is>
          <t>Planta Asflato Huixquilucan</t>
        </is>
      </c>
      <c r="C63" s="15662">
        <f>SUMIFS(Captura_Facturas_Mobil!$E:$E,Captura_Facturas_Mobil!$N:$N,A63,Captura_Facturas_Mobil!$D:$D,B63)</f>
        <v/>
      </c>
      <c r="D63" s="15663">
        <f>SUMIFS(Captura_Facturas_Mobil!$G:$G,Captura_Facturas_Mobil!$N:$N,A63,Captura_Facturas_Mobil!$D:$D,B63)</f>
        <v/>
      </c>
      <c r="E63" s="15664">
        <f>SUMIFS(Captura_Obra!$F:$F,Captura_Obra!$M:$M,A63,Captura_Obra!$B:$B,B63)</f>
        <v/>
      </c>
      <c r="F63" s="15665">
        <f>IFERROR(D63/C63,$F$3)</f>
        <v/>
      </c>
      <c r="G63" s="15666">
        <f>IF(E63=0,0,E63*F63)</f>
        <v/>
      </c>
      <c r="H63" s="15667">
        <f>IF(C63+E63=0,"",C63-E63)</f>
        <v/>
      </c>
      <c r="I63" s="15668">
        <f>IF(D63+G63=0,"",D63-G63)</f>
        <v/>
      </c>
    </row>
    <row r="64">
      <c r="A64" s="15669" t="n">
        <v>26</v>
      </c>
      <c r="B64" s="15670" t="inlineStr">
        <is>
          <t>Jalisco</t>
        </is>
      </c>
      <c r="C64" s="15671">
        <f>SUMIFS(Captura_Facturas_Mobil!$E:$E,Captura_Facturas_Mobil!$N:$N,A64,Captura_Facturas_Mobil!$D:$D,B64)</f>
        <v/>
      </c>
      <c r="D64" s="15672">
        <f>SUMIFS(Captura_Facturas_Mobil!$G:$G,Captura_Facturas_Mobil!$N:$N,A64,Captura_Facturas_Mobil!$D:$D,B64)</f>
        <v/>
      </c>
      <c r="E64" s="15673">
        <f>SUMIFS(Captura_Obra!$F:$F,Captura_Obra!$M:$M,A64,Captura_Obra!$B:$B,B64)</f>
        <v/>
      </c>
      <c r="F64" s="15674">
        <f>IFERROR(D64/C64,$F$3)</f>
        <v/>
      </c>
      <c r="G64" s="15675">
        <f>IF(E64=0,0,E64*F64)</f>
        <v/>
      </c>
      <c r="H64" s="15676">
        <f>IF(C64+E64=0,"",C64-E64)</f>
        <v/>
      </c>
      <c r="I64" s="15677">
        <f>IF(D64+G64=0,"",D64-G64)</f>
        <v/>
      </c>
    </row>
    <row r="65">
      <c r="A65" s="15678" t="inlineStr">
        <is>
          <t>TOTAL GENERAL</t>
        </is>
      </c>
      <c r="B65" s="15679" t="inlineStr">
        <is>
          <t>México-Toluca</t>
        </is>
      </c>
      <c r="C65" s="15680">
        <f>SUMIFS(Captura_Facturas_Mobil!$E:$E,Captura_Facturas_Mobil!$N:$N,A65,Captura_Facturas_Mobil!$D:$D,B65)</f>
        <v/>
      </c>
      <c r="D65" s="15681">
        <f>SUMIFS(Captura_Facturas_Mobil!$G:$G,Captura_Facturas_Mobil!$N:$N,A65,Captura_Facturas_Mobil!$D:$D,B65)</f>
        <v/>
      </c>
      <c r="E65" s="15682">
        <f>SUMIFS(Captura_Obra!$F:$F,Captura_Obra!$M:$M,A65,Captura_Obra!$B:$B,B65)</f>
        <v/>
      </c>
      <c r="F65" s="15686">
        <f>IFERROR(D65/C65,$F$3)</f>
        <v/>
      </c>
      <c r="G65" s="15683">
        <f>SUBTOTAL(9,G41:G64)</f>
        <v/>
      </c>
      <c r="H65" s="15684">
        <f>SUBTOTAL(9,H41:H64)</f>
        <v/>
      </c>
      <c r="I65" s="15685">
        <f>SUBTOTAL(9,I41:I64)</f>
        <v/>
      </c>
    </row>
    <row r="66">
      <c r="A66" s="15307" t="n">
        <v>23</v>
      </c>
      <c r="B66" s="15308" t="inlineStr">
        <is>
          <t>Maquinaria Pegaso</t>
        </is>
      </c>
      <c r="C66" s="15309">
        <f>SUMIFS(Captura_Facturas_Mobil!$E:$E,Captura_Facturas_Mobil!$N:$N,A66,Captura_Facturas_Mobil!$D:$D,"Maquinaria Pegaso")+SUMIFS(Captura_Facturas_Mobil!$E:$E,Captura_Facturas_Mobil!$N:$N,A66,Captura_Facturas_Mobil!$D:$D,"Lerma - Tres Marías")+SUMIFS(Captura_Facturas_Mobil!$E:$E,Captura_Facturas_Mobil!$N:$N,A66,Captura_Facturas_Mobil!$D:$D,"Chamapa-Lechería")+SUMIFS(Captura_Facturas_Mobil!$E:$E,Captura_Facturas_Mobil!$N:$N,A66,Captura_Facturas_Mobil!$D:$D,"Bacheo Toluca")+SUMIFS(Captura_Facturas_Mobil!$E:$E,Captura_Facturas_Mobil!$N:$N,A66,Captura_Facturas_Mobil!$D:$D,"Dragones")+SUMIFS(Captura_Facturas_Mobil!$E:$E,Captura_Facturas_Mobil!$N:$N,A66,Captura_Facturas_Mobil!$D:$D,"Colegio Militar")+SUMIFS(Captura_Facturas_Mobil!$E:$E,Captura_Facturas_Mobil!$N:$N,A66,Captura_Facturas_Mobil!$D:$D,"NO DETECTADA")</f>
        <v/>
      </c>
      <c r="D66" s="15310">
        <f>SUMIFS(Captura_Facturas_Mobil!$G:$G,Captura_Facturas_Mobil!$N:$N,A66,Captura_Facturas_Mobil!$D:$D,"Maquinaria Pegaso")+SUMIFS(Captura_Facturas_Mobil!$G:$G,Captura_Facturas_Mobil!$N:$N,A66,Captura_Facturas_Mobil!$D:$D,"Lerma - Tres Marías")+SUMIFS(Captura_Facturas_Mobil!$G:$G,Captura_Facturas_Mobil!$N:$N,A66,Captura_Facturas_Mobil!$D:$D,"Chamapa-Lechería")+SUMIFS(Captura_Facturas_Mobil!$G:$G,Captura_Facturas_Mobil!$N:$N,A66,Captura_Facturas_Mobil!$D:$D,"Bacheo Toluca")+SUMIFS(Captura_Facturas_Mobil!$G:$G,Captura_Facturas_Mobil!$N:$N,A66,Captura_Facturas_Mobil!$D:$D,"Dragones")+SUMIFS(Captura_Facturas_Mobil!$G:$G,Captura_Facturas_Mobil!$N:$N,A66,Captura_Facturas_Mobil!$D:$D,"Colegio Militar")+SUMIFS(Captura_Facturas_Mobil!$G:$G,Captura_Facturas_Mobil!$N:$N,A66,Captura_Facturas_Mobil!$D:$D,"NO DETECTADA")</f>
        <v/>
      </c>
      <c r="E66" s="15311">
        <f>SUMIFS(Captura_Obra!$F:$F,Captura_Obra!$M:$M,A66,Captura_Obra!$B:$B,"Maquinaria Pegaso")+SUMIFS(Captura_Obra!$F:$F,Captura_Obra!$M:$M,A66,Captura_Obra!$B:$B,"Lerma - Tres Marías")+SUMIFS(Captura_Obra!$F:$F,Captura_Obra!$M:$M,A66,Captura_Obra!$B:$B,"Chamapa-Lechería")+SUMIFS(Captura_Obra!$F:$F,Captura_Obra!$M:$M,A66,Captura_Obra!$B:$B,"Bacheo Toluca")+SUMIFS(Captura_Obra!$F:$F,Captura_Obra!$M:$M,A66,Captura_Obra!$B:$B,"Dragones")+SUMIFS(Captura_Obra!$F:$F,Captura_Obra!$M:$M,A66,Captura_Obra!$B:$B,"Colegio Militar")+SUMIFS(Captura_Obra!$F:$F,Captura_Obra!$M:$M,A66,Captura_Obra!$B:$B,"NO DETECTADA")</f>
        <v/>
      </c>
      <c r="F66" s="15312">
        <f>IFERROR(D66/C66,$F$3)</f>
        <v/>
      </c>
      <c r="G66" s="15313">
        <f>IF(C66+D66=0,"",C66-F66)</f>
        <v/>
      </c>
      <c r="H66" s="15314">
        <f>IF(C66+D66=0,"",IF(G66&gt;10,"⚠️ Pagamos de MÁS (o se fue a Tanque)",IF(G66&lt;-10,"🚨 Máquinas quemaron MÁS de lo pagado","✅ Cuadrado")))</f>
        <v/>
      </c>
      <c r="I66" s="14444" t="n"/>
    </row>
    <row r="67" ht="19.95" customHeight="1" s="17580">
      <c r="A67" s="17631" t="inlineStr">
        <is>
          <t>6. AUDITORÍA FINANCIERA DIRECTA: COBRO EN BANCO vs CONSUMO DE MAQUINARIA EN OBRA</t>
        </is>
      </c>
      <c r="B67" s="17582" t="n"/>
      <c r="C67" s="17582" t="n"/>
      <c r="D67" s="17582" t="n"/>
      <c r="E67" s="17582" t="n"/>
      <c r="F67" s="17582" t="n"/>
      <c r="G67" s="17582" t="n"/>
      <c r="H67" s="17583" t="n"/>
      <c r="I67" s="14445" t="n"/>
    </row>
    <row r="68" ht="40.05" customHeight="1" s="17580">
      <c r="A68" s="15687" t="inlineStr">
        <is>
          <t>Semana</t>
        </is>
      </c>
      <c r="B68" s="15688" t="inlineStr">
        <is>
          <t>Jalisco</t>
        </is>
      </c>
      <c r="C68" s="15689">
        <f>SUMIFS(Captura_Facturas_Mobil!$E:$E,Captura_Facturas_Mobil!$N:$N,A68,Captura_Facturas_Mobil!$D:$D,B68)</f>
        <v/>
      </c>
      <c r="D68" s="15690">
        <f>SUMIFS(Captura_Facturas_Mobil!$G:$G,Captura_Facturas_Mobil!$N:$N,A68,Captura_Facturas_Mobil!$D:$D,B68)</f>
        <v/>
      </c>
      <c r="E68" s="15691">
        <f>SUMIFS(Captura_Obra!$F:$F,Captura_Obra!$M:$M,A68,Captura_Obra!$B:$B,B68)</f>
        <v/>
      </c>
      <c r="F68" s="15692">
        <f>IFERROR(D68/C68,$F$3)</f>
        <v/>
      </c>
      <c r="G68" s="15693" t="inlineStr">
        <is>
          <t>Diferencia Cobrado
vs Consumido ($)</t>
        </is>
      </c>
      <c r="H68" s="15694" t="inlineStr">
        <is>
          <t>Estatus</t>
        </is>
      </c>
      <c r="I68" s="14446" t="n"/>
    </row>
    <row r="69">
      <c r="A69" s="15695" t="n">
        <v>21</v>
      </c>
      <c r="B69" s="15696" t="inlineStr">
        <is>
          <t>México-Toluca</t>
        </is>
      </c>
      <c r="C69" s="15697">
        <f>SUMIFS(Estados_Cuenta_Mobil!$F:$F,Estados_Cuenta_Mobil!$C:$C,A69,Estados_Cuenta_Mobil!$D:$D,B69)</f>
        <v/>
      </c>
      <c r="D69" s="15698">
        <f>SUMIFS(Captura_Obra!$F:$F,Captura_Obra!$M:$M,A69,Captura_Obra!$B:$B,B69)</f>
        <v/>
      </c>
      <c r="E69" s="15699">
        <f>IFERROR(SUMIFS(Captura_Facturas_Mobil!$G:$G,Captura_Facturas_Mobil!$N:$N,A69,Captura_Facturas_Mobil!$D:$D,B69)/SUMIFS(Captura_Facturas_Mobil!$E:$E,Captura_Facturas_Mobil!$N:$N,A69,Captura_Facturas_Mobil!$D:$D,B69),$F$3)</f>
        <v/>
      </c>
      <c r="F69" s="15700">
        <f>D69*E69</f>
        <v/>
      </c>
      <c r="G69" s="15701">
        <f>IF(C69+D69=0,"",C69-F69)</f>
        <v/>
      </c>
      <c r="H69" s="15702">
        <f>IF(AND(C69=0,F69&gt;0),"📦 Consumo de Reserva (Tanque Vaciado)",IF(C69+D69=0,"",IF(G69&gt;10,"⚠️ Cobro excedió consumo",IF(G69&lt;-10,"🚨 Máquinas quemaron más de lo pagado","✅ Cuadrado"))))</f>
        <v/>
      </c>
      <c r="I69" s="14447" t="n"/>
    </row>
    <row r="70">
      <c r="A70" s="15703" t="n">
        <v>21</v>
      </c>
      <c r="B70" s="15704" t="inlineStr">
        <is>
          <t>Planta Asfalto Pegaso</t>
        </is>
      </c>
      <c r="C70" s="15705">
        <f>SUMIFS(Estados_Cuenta_Mobil!$F:$F,Estados_Cuenta_Mobil!$C:$C,A70,Estados_Cuenta_Mobil!$D:$D,"Planta Asfalto Pegaso")+SUMIFS(Estados_Cuenta_Mobil!$F:$F,Estados_Cuenta_Mobil!$C:$C,A70,Estados_Cuenta_Mobil!$D:$D,"Lerma - Tres Marías")+SUMIFS(Estados_Cuenta_Mobil!$F:$F,Estados_Cuenta_Mobil!$C:$C,A70,Estados_Cuenta_Mobil!$D:$D,"Chamapa-Lechería")+SUMIFS(Estados_Cuenta_Mobil!$F:$F,Estados_Cuenta_Mobil!$C:$C,A70,Estados_Cuenta_Mobil!$D:$D,"Bacheo Toluca")+SUMIFS(Estados_Cuenta_Mobil!$F:$F,Estados_Cuenta_Mobil!$C:$C,A70,Estados_Cuenta_Mobil!$D:$D,"Dragones")+SUMIFS(Estados_Cuenta_Mobil!$F:$F,Estados_Cuenta_Mobil!$C:$C,A70,Estados_Cuenta_Mobil!$D:$D,"Colegio Militar")+SUMIFS(Estados_Cuenta_Mobil!$F:$F,Estados_Cuenta_Mobil!$C:$C,A70,Estados_Cuenta_Mobil!$D:$D,"NO DETECTADA")</f>
        <v/>
      </c>
      <c r="D70" s="15706">
        <f>SUMIFS(Captura_Obra!$F:$F,Captura_Obra!$M:$M,A70,Captura_Obra!$B:$B,"Planta Asfalto Pegaso")+SUMIFS(Captura_Obra!$F:$F,Captura_Obra!$M:$M,A70,Captura_Obra!$B:$B,"Lerma - Tres Marías")+SUMIFS(Captura_Obra!$F:$F,Captura_Obra!$M:$M,A70,Captura_Obra!$B:$B,"Chamapa-Lechería")+SUMIFS(Captura_Obra!$F:$F,Captura_Obra!$M:$M,A70,Captura_Obra!$B:$B,"Bacheo Toluca")+SUMIFS(Captura_Obra!$F:$F,Captura_Obra!$M:$M,A70,Captura_Obra!$B:$B,"Dragones")+SUMIFS(Captura_Obra!$F:$F,Captura_Obra!$M:$M,A70,Captura_Obra!$B:$B,"Colegio Militar")+SUMIFS(Captura_Obra!$F:$F,Captura_Obra!$M:$M,A70,Captura_Obra!$B:$B,"NO DETECTADA")</f>
        <v/>
      </c>
      <c r="E70" s="15707">
        <f>IFERROR((SUMIFS(Captura_Facturas_Mobil!$G:$G,Captura_Facturas_Mobil!$N:$N,A70,Captura_Facturas_Mobil!$D:$D,"Planta Asfalto Pegaso")+SUMIFS(Captura_Facturas_Mobil!$G:$G,Captura_Facturas_Mobil!$N:$N,A70,Captura_Facturas_Mobil!$D:$D,"Lerma - Tres Marías")+SUMIFS(Captura_Facturas_Mobil!$G:$G,Captura_Facturas_Mobil!$N:$N,A70,Captura_Facturas_Mobil!$D:$D,"Chamapa-Lechería")+SUMIFS(Captura_Facturas_Mobil!$G:$G,Captura_Facturas_Mobil!$N:$N,A70,Captura_Facturas_Mobil!$D:$D,"Bacheo Toluca")+SUMIFS(Captura_Facturas_Mobil!$G:$G,Captura_Facturas_Mobil!$N:$N,A70,Captura_Facturas_Mobil!$D:$D,"Dragones")+SUMIFS(Captura_Facturas_Mobil!$G:$G,Captura_Facturas_Mobil!$N:$N,A70,Captura_Facturas_Mobil!$D:$D,"Colegio Militar")+SUMIFS(Captura_Facturas_Mobil!$G:$G,Captura_Facturas_Mobil!$N:$N,A70,Captura_Facturas_Mobil!$D:$D,"NO DETECTADA"))/(SUMIFS(Captura_Facturas_Mobil!$E:$E,Captura_Facturas_Mobil!$N:$N,A70,Captura_Facturas_Mobil!$D:$D,"Planta Asfalto Pegaso")+SUMIFS(Captura_Facturas_Mobil!$E:$E,Captura_Facturas_Mobil!$N:$N,A70,Captura_Facturas_Mobil!$D:$D,"Lerma - Tres Marías")+SUMIFS(Captura_Facturas_Mobil!$E:$E,Captura_Facturas_Mobil!$N:$N,A70,Captura_Facturas_Mobil!$D:$D,"Chamapa-Lechería")+SUMIFS(Captura_Facturas_Mobil!$E:$E,Captura_Facturas_Mobil!$N:$N,A70,Captura_Facturas_Mobil!$D:$D,"Bacheo Toluca")+SUMIFS(Captura_Facturas_Mobil!$E:$E,Captura_Facturas_Mobil!$N:$N,A70,Captura_Facturas_Mobil!$D:$D,"Dragones")+SUMIFS(Captura_Facturas_Mobil!$E:$E,Captura_Facturas_Mobil!$N:$N,A70,Captura_Facturas_Mobil!$D:$D,"Colegio Militar")+SUMIFS(Captura_Facturas_Mobil!$E:$E,Captura_Facturas_Mobil!$N:$N,A70,Captura_Facturas_Mobil!$D:$D,"NO DETECTADA")),$F$3)</f>
        <v/>
      </c>
      <c r="F70" s="15708">
        <f>D70*E70</f>
        <v/>
      </c>
      <c r="G70" s="15709">
        <f>IF(C70+D70=0,"",C70-F70)</f>
        <v/>
      </c>
      <c r="H70" s="15710">
        <f>IF(AND(C70=0,F70&gt;0),"📦 Consumo de Reserva (Tanque Vaciado)",IF(C70+D70=0,"",IF(G70&gt;10,"⚠️ Cobro excedió consumo",IF(G70&lt;-10,"🚨 Máquinas quemaron más de lo pagado","✅ Cuadrado"))))</f>
        <v/>
      </c>
      <c r="I70" s="14448" t="n"/>
    </row>
    <row r="71">
      <c r="A71" s="15711" t="n">
        <v>21</v>
      </c>
      <c r="B71" s="15712" t="inlineStr">
        <is>
          <t>México-Toluca</t>
        </is>
      </c>
      <c r="C71" s="15713">
        <f>SUMIFS(Estados_Cuenta_Mobil!$F:$F,Estados_Cuenta_Mobil!$C:$C,A71,Estados_Cuenta_Mobil!$D:$D,B71)</f>
        <v/>
      </c>
      <c r="D71" s="15714">
        <f>SUMIFS(Captura_Obra!$F:$F,Captura_Obra!$M:$M,A71,Captura_Obra!$B:$B,B71)</f>
        <v/>
      </c>
      <c r="E71" s="15715">
        <f>IFERROR(SUMIFS(Captura_Facturas_Mobil!$G:$G,Captura_Facturas_Mobil!$N:$N,A71,Captura_Facturas_Mobil!$D:$D,B71)/SUMIFS(Captura_Facturas_Mobil!$E:$E,Captura_Facturas_Mobil!$N:$N,A71,Captura_Facturas_Mobil!$D:$D,B71),$F$3)</f>
        <v/>
      </c>
      <c r="F71" s="15716">
        <f>D71*E71</f>
        <v/>
      </c>
      <c r="G71" s="15717">
        <f>IF(C71+D71=0,"",C71-F71)</f>
        <v/>
      </c>
      <c r="H71" s="15718">
        <f>IF(AND(C71=0,F71&gt;0),"📦 Consumo de Reserva (Tanque Vaciado)",IF(C71+D71=0,"",IF(G71&gt;10,"⚠️ Cobro excedió consumo",IF(G71&lt;-10,"🚨 Máquinas quemaron más de lo pagado","✅ Cuadrado"))))</f>
        <v/>
      </c>
      <c r="I71" s="14449" t="n"/>
    </row>
    <row r="72">
      <c r="A72" s="15719" t="n">
        <v>21</v>
      </c>
      <c r="B72" s="15720" t="inlineStr">
        <is>
          <t>Maquinaria Pegaso</t>
        </is>
      </c>
      <c r="C72" s="15721">
        <f>SUMIFS(Estados_Cuenta_Mobil!$F:$F,Estados_Cuenta_Mobil!$C:$C,A72,Estados_Cuenta_Mobil!$D:$D,"Maquinaria Pegaso")+SUMIFS(Estados_Cuenta_Mobil!$F:$F,Estados_Cuenta_Mobil!$C:$C,A72,Estados_Cuenta_Mobil!$D:$D,"Lerma - Tres Marías")+SUMIFS(Estados_Cuenta_Mobil!$F:$F,Estados_Cuenta_Mobil!$C:$C,A72,Estados_Cuenta_Mobil!$D:$D,"Chamapa-Lechería")+SUMIFS(Estados_Cuenta_Mobil!$F:$F,Estados_Cuenta_Mobil!$C:$C,A72,Estados_Cuenta_Mobil!$D:$D,"Bacheo Toluca")+SUMIFS(Estados_Cuenta_Mobil!$F:$F,Estados_Cuenta_Mobil!$C:$C,A72,Estados_Cuenta_Mobil!$D:$D,"Dragones")+SUMIFS(Estados_Cuenta_Mobil!$F:$F,Estados_Cuenta_Mobil!$C:$C,A72,Estados_Cuenta_Mobil!$D:$D,"Colegio Militar")+SUMIFS(Estados_Cuenta_Mobil!$F:$F,Estados_Cuenta_Mobil!$C:$C,A72,Estados_Cuenta_Mobil!$D:$D,"NO DETECTADA")</f>
        <v/>
      </c>
      <c r="D72" s="15722">
        <f>SUMIFS(Captura_Obra!$F:$F,Captura_Obra!$M:$M,A72,Captura_Obra!$B:$B,"Maquinaria Pegaso")+SUMIFS(Captura_Obra!$F:$F,Captura_Obra!$M:$M,A72,Captura_Obra!$B:$B,"Lerma - Tres Marías")+SUMIFS(Captura_Obra!$F:$F,Captura_Obra!$M:$M,A72,Captura_Obra!$B:$B,"Chamapa-Lechería")+SUMIFS(Captura_Obra!$F:$F,Captura_Obra!$M:$M,A72,Captura_Obra!$B:$B,"Bacheo Toluca")+SUMIFS(Captura_Obra!$F:$F,Captura_Obra!$M:$M,A72,Captura_Obra!$B:$B,"Dragones")+SUMIFS(Captura_Obra!$F:$F,Captura_Obra!$M:$M,A72,Captura_Obra!$B:$B,"Colegio Militar")+SUMIFS(Captura_Obra!$F:$F,Captura_Obra!$M:$M,A72,Captura_Obra!$B:$B,"NO DETECTADA")</f>
        <v/>
      </c>
      <c r="E72" s="15723">
        <f>IFERROR((SUMIFS(Captura_Facturas_Mobil!$G:$G,Captura_Facturas_Mobil!$N:$N,A72,Captura_Facturas_Mobil!$D:$D,"Maquinaria Pegaso")+SUMIFS(Captura_Facturas_Mobil!$G:$G,Captura_Facturas_Mobil!$N:$N,A72,Captura_Facturas_Mobil!$D:$D,"Lerma - Tres Marías")+SUMIFS(Captura_Facturas_Mobil!$G:$G,Captura_Facturas_Mobil!$N:$N,A72,Captura_Facturas_Mobil!$D:$D,"Chamapa-Lechería")+SUMIFS(Captura_Facturas_Mobil!$G:$G,Captura_Facturas_Mobil!$N:$N,A72,Captura_Facturas_Mobil!$D:$D,"Bacheo Toluca")+SUMIFS(Captura_Facturas_Mobil!$G:$G,Captura_Facturas_Mobil!$N:$N,A72,Captura_Facturas_Mobil!$D:$D,"Dragones")+SUMIFS(Captura_Facturas_Mobil!$G:$G,Captura_Facturas_Mobil!$N:$N,A72,Captura_Facturas_Mobil!$D:$D,"Colegio Militar")+SUMIFS(Captura_Facturas_Mobil!$G:$G,Captura_Facturas_Mobil!$N:$N,A72,Captura_Facturas_Mobil!$D:$D,"NO DETECTADA"))/(SUMIFS(Captura_Facturas_Mobil!$E:$E,Captura_Facturas_Mobil!$N:$N,A72,Captura_Facturas_Mobil!$D:$D,"Maquinaria Pegaso")+SUMIFS(Captura_Facturas_Mobil!$E:$E,Captura_Facturas_Mobil!$N:$N,A72,Captura_Facturas_Mobil!$D:$D,"Lerma - Tres Marías")+SUMIFS(Captura_Facturas_Mobil!$E:$E,Captura_Facturas_Mobil!$N:$N,A72,Captura_Facturas_Mobil!$D:$D,"Chamapa-Lechería")+SUMIFS(Captura_Facturas_Mobil!$E:$E,Captura_Facturas_Mobil!$N:$N,A72,Captura_Facturas_Mobil!$D:$D,"Bacheo Toluca")+SUMIFS(Captura_Facturas_Mobil!$E:$E,Captura_Facturas_Mobil!$N:$N,A72,Captura_Facturas_Mobil!$D:$D,"Dragones")+SUMIFS(Captura_Facturas_Mobil!$E:$E,Captura_Facturas_Mobil!$N:$N,A72,Captura_Facturas_Mobil!$D:$D,"Colegio Militar")+SUMIFS(Captura_Facturas_Mobil!$E:$E,Captura_Facturas_Mobil!$N:$N,A72,Captura_Facturas_Mobil!$D:$D,"NO DETECTADA")),$F$3)</f>
        <v/>
      </c>
      <c r="F72" s="15724">
        <f>D72*E72</f>
        <v/>
      </c>
      <c r="G72" s="15725">
        <f>IF(C72+D72=0,"",C72-F72)</f>
        <v/>
      </c>
      <c r="H72" s="15726">
        <f>IF(AND(C72=0,F72&gt;0),"📦 Consumo de Reserva (Tanque Vaciado)",IF(C72+D72=0,"",IF(G72&gt;10,"⚠️ Cobro excedió consumo",IF(G72&lt;-10,"🚨 Máquinas quemaron más de lo pagado","✅ Cuadrado"))))</f>
        <v/>
      </c>
      <c r="I72" s="14450" t="n"/>
    </row>
    <row r="73">
      <c r="A73" s="15727" t="n">
        <v>22</v>
      </c>
      <c r="B73" s="15728" t="inlineStr">
        <is>
          <t>Planta Asflato Huixquilucan</t>
        </is>
      </c>
      <c r="C73" s="15729">
        <f>SUMIFS(Estados_Cuenta_Mobil!$F:$F,Estados_Cuenta_Mobil!$C:$C,A73,Estados_Cuenta_Mobil!$D:$D,B73)</f>
        <v/>
      </c>
      <c r="D73" s="15730">
        <f>SUMIFS(Captura_Obra!$F:$F,Captura_Obra!$M:$M,A73,Captura_Obra!$B:$B,B73)</f>
        <v/>
      </c>
      <c r="E73" s="15731">
        <f>IFERROR(SUMIFS(Captura_Facturas_Mobil!$G:$G,Captura_Facturas_Mobil!$N:$N,A73,Captura_Facturas_Mobil!$D:$D,B73)/SUMIFS(Captura_Facturas_Mobil!$E:$E,Captura_Facturas_Mobil!$N:$N,A73,Captura_Facturas_Mobil!$D:$D,B73),$F$3)</f>
        <v/>
      </c>
      <c r="F73" s="15732">
        <f>D73*E73</f>
        <v/>
      </c>
      <c r="G73" s="15733">
        <f>IF(C73+D73=0,"",C73-F73)</f>
        <v/>
      </c>
      <c r="H73" s="15734">
        <f>IF(AND(C73=0,F73&gt;0),"📦 Consumo de Reserva (Tanque Vaciado)",IF(C73+D73=0,"",IF(G73&gt;10,"⚠️ Cobro excedió consumo",IF(G73&lt;-10,"🚨 Máquinas quemaron más de lo pagado","✅ Cuadrado"))))</f>
        <v/>
      </c>
      <c r="I73" s="14451" t="n"/>
    </row>
    <row r="74">
      <c r="A74" s="15735" t="n">
        <v>22</v>
      </c>
      <c r="B74" s="15736" t="inlineStr">
        <is>
          <t>Jalisco</t>
        </is>
      </c>
      <c r="C74" s="15737">
        <f>SUMIFS(Estados_Cuenta_Mobil!$F:$F,Estados_Cuenta_Mobil!$C:$C,A74,Estados_Cuenta_Mobil!$D:$D,B74)</f>
        <v/>
      </c>
      <c r="D74" s="15738">
        <f>SUMIFS(Captura_Obra!$F:$F,Captura_Obra!$M:$M,A74,Captura_Obra!$B:$B,B74)</f>
        <v/>
      </c>
      <c r="E74" s="15739">
        <f>IFERROR(SUMIFS(Captura_Facturas_Mobil!$G:$G,Captura_Facturas_Mobil!$N:$N,A74,Captura_Facturas_Mobil!$D:$D,B74)/SUMIFS(Captura_Facturas_Mobil!$E:$E,Captura_Facturas_Mobil!$N:$N,A74,Captura_Facturas_Mobil!$D:$D,B74),$F$3)</f>
        <v/>
      </c>
      <c r="F74" s="15740">
        <f>D74*E74</f>
        <v/>
      </c>
      <c r="G74" s="15741">
        <f>IF(C74+D74=0,"",C74-F74)</f>
        <v/>
      </c>
      <c r="H74" s="15742">
        <f>IF(AND(C74=0,F74&gt;0),"📦 Consumo de Reserva (Tanque Vaciado)",IF(C74+D74=0,"",IF(G74&gt;10,"⚠️ Cobro excedió consumo",IF(G74&lt;-10,"🚨 Máquinas quemaron más de lo pagado","✅ Cuadrado"))))</f>
        <v/>
      </c>
      <c r="I74" s="14452" t="n"/>
    </row>
    <row r="75">
      <c r="A75" s="15743" t="n">
        <v>22</v>
      </c>
      <c r="B75" s="15744" t="inlineStr">
        <is>
          <t>México-Toluca</t>
        </is>
      </c>
      <c r="C75" s="15745">
        <f>SUMIFS(Estados_Cuenta_Mobil!$F:$F,Estados_Cuenta_Mobil!$C:$C,A75,Estados_Cuenta_Mobil!$D:$D,B75)</f>
        <v/>
      </c>
      <c r="D75" s="15746">
        <f>SUMIFS(Captura_Obra!$F:$F,Captura_Obra!$M:$M,A75,Captura_Obra!$B:$B,B75)</f>
        <v/>
      </c>
      <c r="E75" s="15747">
        <f>IFERROR(SUMIFS(Captura_Facturas_Mobil!$G:$G,Captura_Facturas_Mobil!$N:$N,A75,Captura_Facturas_Mobil!$D:$D,B75)/SUMIFS(Captura_Facturas_Mobil!$E:$E,Captura_Facturas_Mobil!$N:$N,A75,Captura_Facturas_Mobil!$D:$D,B75),$F$3)</f>
        <v/>
      </c>
      <c r="F75" s="15748">
        <f>D75*E75</f>
        <v/>
      </c>
      <c r="G75" s="15749">
        <f>IF(C75+D75=0,"",C75-F75)</f>
        <v/>
      </c>
      <c r="H75" s="15750">
        <f>IF(AND(C75=0,F75&gt;0),"📦 Consumo de Reserva (Tanque Vaciado)",IF(C75+D75=0,"",IF(G75&gt;10,"⚠️ Cobro excedió consumo",IF(G75&lt;-10,"🚨 Máquinas quemaron más de lo pagado","✅ Cuadrado"))))</f>
        <v/>
      </c>
      <c r="I75" s="14453" t="n"/>
    </row>
    <row r="76">
      <c r="A76" s="15751" t="n">
        <v>22</v>
      </c>
      <c r="B76" s="15752" t="inlineStr">
        <is>
          <t>Maquinaria Pegaso</t>
        </is>
      </c>
      <c r="C76" s="15753">
        <f>SUMIFS(Estados_Cuenta_Mobil!$F:$F,Estados_Cuenta_Mobil!$C:$C,A76,Estados_Cuenta_Mobil!$D:$D,"Maquinaria Pegaso")+SUMIFS(Estados_Cuenta_Mobil!$F:$F,Estados_Cuenta_Mobil!$C:$C,A76,Estados_Cuenta_Mobil!$D:$D,"Lerma - Tres Marías")+SUMIFS(Estados_Cuenta_Mobil!$F:$F,Estados_Cuenta_Mobil!$C:$C,A76,Estados_Cuenta_Mobil!$D:$D,"Chamapa-Lechería")+SUMIFS(Estados_Cuenta_Mobil!$F:$F,Estados_Cuenta_Mobil!$C:$C,A76,Estados_Cuenta_Mobil!$D:$D,"Bacheo Toluca")+SUMIFS(Estados_Cuenta_Mobil!$F:$F,Estados_Cuenta_Mobil!$C:$C,A76,Estados_Cuenta_Mobil!$D:$D,"Dragones")+SUMIFS(Estados_Cuenta_Mobil!$F:$F,Estados_Cuenta_Mobil!$C:$C,A76,Estados_Cuenta_Mobil!$D:$D,"Colegio Militar")+SUMIFS(Estados_Cuenta_Mobil!$F:$F,Estados_Cuenta_Mobil!$C:$C,A76,Estados_Cuenta_Mobil!$D:$D,"NO DETECTADA")</f>
        <v/>
      </c>
      <c r="D76" s="15754">
        <f>SUMIFS(Captura_Obra!$F:$F,Captura_Obra!$M:$M,A76,Captura_Obra!$B:$B,"Maquinaria Pegaso")+SUMIFS(Captura_Obra!$F:$F,Captura_Obra!$M:$M,A76,Captura_Obra!$B:$B,"Lerma - Tres Marías")+SUMIFS(Captura_Obra!$F:$F,Captura_Obra!$M:$M,A76,Captura_Obra!$B:$B,"Chamapa-Lechería")+SUMIFS(Captura_Obra!$F:$F,Captura_Obra!$M:$M,A76,Captura_Obra!$B:$B,"Bacheo Toluca")+SUMIFS(Captura_Obra!$F:$F,Captura_Obra!$M:$M,A76,Captura_Obra!$B:$B,"Dragones")+SUMIFS(Captura_Obra!$F:$F,Captura_Obra!$M:$M,A76,Captura_Obra!$B:$B,"Colegio Militar")+SUMIFS(Captura_Obra!$F:$F,Captura_Obra!$M:$M,A76,Captura_Obra!$B:$B,"NO DETECTADA")</f>
        <v/>
      </c>
      <c r="E76" s="15755">
        <f>IFERROR((SUMIFS(Captura_Facturas_Mobil!$G:$G,Captura_Facturas_Mobil!$N:$N,A76,Captura_Facturas_Mobil!$D:$D,"Maquinaria Pegaso")+SUMIFS(Captura_Facturas_Mobil!$G:$G,Captura_Facturas_Mobil!$N:$N,A76,Captura_Facturas_Mobil!$D:$D,"Lerma - Tres Marías")+SUMIFS(Captura_Facturas_Mobil!$G:$G,Captura_Facturas_Mobil!$N:$N,A76,Captura_Facturas_Mobil!$D:$D,"Chamapa-Lechería")+SUMIFS(Captura_Facturas_Mobil!$G:$G,Captura_Facturas_Mobil!$N:$N,A76,Captura_Facturas_Mobil!$D:$D,"Bacheo Toluca")+SUMIFS(Captura_Facturas_Mobil!$G:$G,Captura_Facturas_Mobil!$N:$N,A76,Captura_Facturas_Mobil!$D:$D,"Dragones")+SUMIFS(Captura_Facturas_Mobil!$G:$G,Captura_Facturas_Mobil!$N:$N,A76,Captura_Facturas_Mobil!$D:$D,"Colegio Militar")+SUMIFS(Captura_Facturas_Mobil!$G:$G,Captura_Facturas_Mobil!$N:$N,A76,Captura_Facturas_Mobil!$D:$D,"NO DETECTADA"))/(SUMIFS(Captura_Facturas_Mobil!$E:$E,Captura_Facturas_Mobil!$N:$N,A76,Captura_Facturas_Mobil!$D:$D,"Maquinaria Pegaso")+SUMIFS(Captura_Facturas_Mobil!$E:$E,Captura_Facturas_Mobil!$N:$N,A76,Captura_Facturas_Mobil!$D:$D,"Lerma - Tres Marías")+SUMIFS(Captura_Facturas_Mobil!$E:$E,Captura_Facturas_Mobil!$N:$N,A76,Captura_Facturas_Mobil!$D:$D,"Chamapa-Lechería")+SUMIFS(Captura_Facturas_Mobil!$E:$E,Captura_Facturas_Mobil!$N:$N,A76,Captura_Facturas_Mobil!$D:$D,"Bacheo Toluca")+SUMIFS(Captura_Facturas_Mobil!$E:$E,Captura_Facturas_Mobil!$N:$N,A76,Captura_Facturas_Mobil!$D:$D,"Dragones")+SUMIFS(Captura_Facturas_Mobil!$E:$E,Captura_Facturas_Mobil!$N:$N,A76,Captura_Facturas_Mobil!$D:$D,"Colegio Militar")+SUMIFS(Captura_Facturas_Mobil!$E:$E,Captura_Facturas_Mobil!$N:$N,A76,Captura_Facturas_Mobil!$D:$D,"NO DETECTADA")),$F$3)</f>
        <v/>
      </c>
      <c r="F76" s="15756">
        <f>D76*E76</f>
        <v/>
      </c>
      <c r="G76" s="15757">
        <f>IF(C76+D76=0,"",C76-F76)</f>
        <v/>
      </c>
      <c r="H76" s="15758">
        <f>IF(AND(C76=0,F76&gt;0),"📦 Consumo de Reserva (Tanque Vaciado)",IF(C76+D76=0,"",IF(G76&gt;10,"⚠️ Cobro excedió consumo",IF(G76&lt;-10,"🚨 Máquinas quemaron más de lo pagado","✅ Cuadrado"))))</f>
        <v/>
      </c>
      <c r="I76" s="14454" t="n"/>
    </row>
    <row r="77">
      <c r="A77" s="15759" t="n">
        <v>23</v>
      </c>
      <c r="B77" s="15760" t="inlineStr">
        <is>
          <t>Planta Asflato Huixquilucan</t>
        </is>
      </c>
      <c r="C77" s="15761">
        <f>SUMIFS(Estados_Cuenta_Mobil!$F:$F,Estados_Cuenta_Mobil!$C:$C,A77,Estados_Cuenta_Mobil!$D:$D,B77)</f>
        <v/>
      </c>
      <c r="D77" s="15762">
        <f>SUMIFS(Captura_Obra!$F:$F,Captura_Obra!$M:$M,A77,Captura_Obra!$B:$B,B77)</f>
        <v/>
      </c>
      <c r="E77" s="15763">
        <f>IFERROR(SUMIFS(Captura_Facturas_Mobil!$G:$G,Captura_Facturas_Mobil!$N:$N,A77,Captura_Facturas_Mobil!$D:$D,B77)/SUMIFS(Captura_Facturas_Mobil!$E:$E,Captura_Facturas_Mobil!$N:$N,A77,Captura_Facturas_Mobil!$D:$D,B77),$F$3)</f>
        <v/>
      </c>
      <c r="F77" s="15764">
        <f>D77*E77</f>
        <v/>
      </c>
      <c r="G77" s="15765">
        <f>IF(C77+D77=0,"",C77-F77)</f>
        <v/>
      </c>
      <c r="H77" s="15766">
        <f>IF(AND(C77=0,F77&gt;0),"📦 Consumo de Reserva (Tanque Vaciado)",IF(C77+D77=0,"",IF(G77&gt;10,"⚠️ Cobro excedió consumo",IF(G77&lt;-10,"🚨 Máquinas quemaron más de lo pagado","✅ Cuadrado"))))</f>
        <v/>
      </c>
      <c r="I77" s="14455" t="n"/>
    </row>
    <row r="78">
      <c r="A78" s="15767" t="n">
        <v>23</v>
      </c>
      <c r="B78" s="15768" t="inlineStr">
        <is>
          <t>Jalisco</t>
        </is>
      </c>
      <c r="C78" s="15769">
        <f>SUMIFS(Estados_Cuenta_Mobil!$F:$F,Estados_Cuenta_Mobil!$C:$C,A78,Estados_Cuenta_Mobil!$D:$D,B78)</f>
        <v/>
      </c>
      <c r="D78" s="15770">
        <f>SUMIFS(Captura_Obra!$F:$F,Captura_Obra!$M:$M,A78,Captura_Obra!$B:$B,B78)</f>
        <v/>
      </c>
      <c r="E78" s="15771">
        <f>IFERROR(SUMIFS(Captura_Facturas_Mobil!$G:$G,Captura_Facturas_Mobil!$N:$N,A78,Captura_Facturas_Mobil!$D:$D,B78)/SUMIFS(Captura_Facturas_Mobil!$E:$E,Captura_Facturas_Mobil!$N:$N,A78,Captura_Facturas_Mobil!$D:$D,B78),$F$3)</f>
        <v/>
      </c>
      <c r="F78" s="15772">
        <f>D78*E78</f>
        <v/>
      </c>
      <c r="G78" s="15773">
        <f>IF(C78+D78=0,"",C78-F78)</f>
        <v/>
      </c>
      <c r="H78" s="15774">
        <f>IF(AND(C78=0,F78&gt;0),"📦 Consumo de Reserva (Tanque Vaciado)",IF(C78+D78=0,"",IF(G78&gt;10,"⚠️ Cobro excedió consumo",IF(G78&lt;-10,"🚨 Máquinas quemaron más de lo pagado","✅ Cuadrado"))))</f>
        <v/>
      </c>
      <c r="I78" s="14456" t="n"/>
    </row>
    <row r="79" ht="14.4" customHeight="1" s="17580">
      <c r="A79" s="17635" t="n">
        <v>23</v>
      </c>
      <c r="B79" s="17582" t="n"/>
      <c r="C79" s="17582" t="n"/>
      <c r="D79" s="17582" t="n"/>
      <c r="E79" s="17582" t="n"/>
      <c r="F79" s="17582" t="n"/>
      <c r="G79" s="17582" t="n"/>
      <c r="H79" s="17583" t="n"/>
      <c r="I79" s="14457" t="n"/>
    </row>
    <row r="80">
      <c r="A80" s="15775" t="n">
        <v>23</v>
      </c>
      <c r="B80" s="15776" t="inlineStr">
        <is>
          <t>Maquinaria Pegaso</t>
        </is>
      </c>
      <c r="C80" s="15777">
        <f>SUMIFS(Estados_Cuenta_Mobil!$F:$F,Estados_Cuenta_Mobil!$C:$C,A80,Estados_Cuenta_Mobil!$D:$D,"Maquinaria Pegaso")+SUMIFS(Estados_Cuenta_Mobil!$F:$F,Estados_Cuenta_Mobil!$C:$C,A80,Estados_Cuenta_Mobil!$D:$D,"Lerma - Tres Marías")+SUMIFS(Estados_Cuenta_Mobil!$F:$F,Estados_Cuenta_Mobil!$C:$C,A80,Estados_Cuenta_Mobil!$D:$D,"Chamapa-Lechería")+SUMIFS(Estados_Cuenta_Mobil!$F:$F,Estados_Cuenta_Mobil!$C:$C,A80,Estados_Cuenta_Mobil!$D:$D,"Bacheo Toluca")+SUMIFS(Estados_Cuenta_Mobil!$F:$F,Estados_Cuenta_Mobil!$C:$C,A80,Estados_Cuenta_Mobil!$D:$D,"Dragones")+SUMIFS(Estados_Cuenta_Mobil!$F:$F,Estados_Cuenta_Mobil!$C:$C,A80,Estados_Cuenta_Mobil!$D:$D,"Colegio Militar")+SUMIFS(Estados_Cuenta_Mobil!$F:$F,Estados_Cuenta_Mobil!$C:$C,A80,Estados_Cuenta_Mobil!$D:$D,"NO DETECTADA")</f>
        <v/>
      </c>
      <c r="D80" s="15778">
        <f>SUMIFS(Captura_Obra!$F:$F,Captura_Obra!$M:$M,A80,Captura_Obra!$B:$B,"Maquinaria Pegaso")+SUMIFS(Captura_Obra!$F:$F,Captura_Obra!$M:$M,A80,Captura_Obra!$B:$B,"Lerma - Tres Marías")+SUMIFS(Captura_Obra!$F:$F,Captura_Obra!$M:$M,A80,Captura_Obra!$B:$B,"Chamapa-Lechería")+SUMIFS(Captura_Obra!$F:$F,Captura_Obra!$M:$M,A80,Captura_Obra!$B:$B,"Bacheo Toluca")+SUMIFS(Captura_Obra!$F:$F,Captura_Obra!$M:$M,A80,Captura_Obra!$B:$B,"Dragones")+SUMIFS(Captura_Obra!$F:$F,Captura_Obra!$M:$M,A80,Captura_Obra!$B:$B,"Colegio Militar")+SUMIFS(Captura_Obra!$F:$F,Captura_Obra!$M:$M,A80,Captura_Obra!$B:$B,"NO DETECTADA")</f>
        <v/>
      </c>
      <c r="E80" s="15779">
        <f>IFERROR((SUMIFS(Captura_Facturas_Mobil!$G:$G,Captura_Facturas_Mobil!$N:$N,A80,Captura_Facturas_Mobil!$D:$D,"Maquinaria Pegaso")+SUMIFS(Captura_Facturas_Mobil!$G:$G,Captura_Facturas_Mobil!$N:$N,A80,Captura_Facturas_Mobil!$D:$D,"Lerma - Tres Marías")+SUMIFS(Captura_Facturas_Mobil!$G:$G,Captura_Facturas_Mobil!$N:$N,A80,Captura_Facturas_Mobil!$D:$D,"Chamapa-Lechería")+SUMIFS(Captura_Facturas_Mobil!$G:$G,Captura_Facturas_Mobil!$N:$N,A80,Captura_Facturas_Mobil!$D:$D,"Bacheo Toluca")+SUMIFS(Captura_Facturas_Mobil!$G:$G,Captura_Facturas_Mobil!$N:$N,A80,Captura_Facturas_Mobil!$D:$D,"Dragones")+SUMIFS(Captura_Facturas_Mobil!$G:$G,Captura_Facturas_Mobil!$N:$N,A80,Captura_Facturas_Mobil!$D:$D,"Colegio Militar")+SUMIFS(Captura_Facturas_Mobil!$G:$G,Captura_Facturas_Mobil!$N:$N,A80,Captura_Facturas_Mobil!$D:$D,"NO DETECTADA"))/(SUMIFS(Captura_Facturas_Mobil!$E:$E,Captura_Facturas_Mobil!$N:$N,A80,Captura_Facturas_Mobil!$D:$D,"Maquinaria Pegaso")+SUMIFS(Captura_Facturas_Mobil!$E:$E,Captura_Facturas_Mobil!$N:$N,A80,Captura_Facturas_Mobil!$D:$D,"Lerma - Tres Marías")+SUMIFS(Captura_Facturas_Mobil!$E:$E,Captura_Facturas_Mobil!$N:$N,A80,Captura_Facturas_Mobil!$D:$D,"Chamapa-Lechería")+SUMIFS(Captura_Facturas_Mobil!$E:$E,Captura_Facturas_Mobil!$N:$N,A80,Captura_Facturas_Mobil!$D:$D,"Bacheo Toluca")+SUMIFS(Captura_Facturas_Mobil!$E:$E,Captura_Facturas_Mobil!$N:$N,A80,Captura_Facturas_Mobil!$D:$D,"Dragones")+SUMIFS(Captura_Facturas_Mobil!$E:$E,Captura_Facturas_Mobil!$N:$N,A80,Captura_Facturas_Mobil!$D:$D,"Colegio Militar")+SUMIFS(Captura_Facturas_Mobil!$E:$E,Captura_Facturas_Mobil!$N:$N,A80,Captura_Facturas_Mobil!$D:$D,"NO DETECTADA")),$F$3)</f>
        <v/>
      </c>
      <c r="F80" s="15780">
        <f>D80*E80</f>
        <v/>
      </c>
      <c r="G80" s="15781">
        <f>IF(C80+D80=0,"",C80-F80)</f>
        <v/>
      </c>
      <c r="H80" s="15782">
        <f>IF(AND(C80=0,F80&gt;0),"📦 Consumo de Reserva (Tanque Vaciado)",IF(C80+D80=0,"",IF(G80&gt;10,"⚠️ Cobro excedió consumo",IF(G80&lt;-10,"🚨 Máquinas quemaron más de lo pagado","✅ Cuadrado"))))</f>
        <v/>
      </c>
      <c r="I80" s="14458" t="n"/>
    </row>
    <row r="81">
      <c r="A81" s="15783" t="n">
        <v>24</v>
      </c>
      <c r="B81" s="15784" t="inlineStr">
        <is>
          <t>Planta Asflato Huixquilucan</t>
        </is>
      </c>
      <c r="C81" s="15785">
        <f>SUMIFS(Estados_Cuenta_Mobil!$F:$F,Estados_Cuenta_Mobil!$C:$C,A81,Estados_Cuenta_Mobil!$D:$D,B81)</f>
        <v/>
      </c>
      <c r="D81" s="15786">
        <f>SUMIFS(Captura_Obra!$F:$F,Captura_Obra!$M:$M,A81,Captura_Obra!$B:$B,B81)</f>
        <v/>
      </c>
      <c r="E81" s="15787">
        <f>IFERROR(SUMIFS(Captura_Facturas_Mobil!$G:$G,Captura_Facturas_Mobil!$N:$N,A81,Captura_Facturas_Mobil!$D:$D,B81)/SUMIFS(Captura_Facturas_Mobil!$E:$E,Captura_Facturas_Mobil!$N:$N,A81,Captura_Facturas_Mobil!$D:$D,B81),$F$3)</f>
        <v/>
      </c>
      <c r="F81" s="15788">
        <f>D81*E81</f>
        <v/>
      </c>
      <c r="G81" s="15789">
        <f>IF(C81+D81=0,"",C81-F81)</f>
        <v/>
      </c>
      <c r="H81" s="15790">
        <f>IF(AND(C81=0,F81&gt;0),"📦 Consumo de Reserva (Tanque Vaciado)",IF(C81+D81=0,"",IF(G81&gt;10,"⚠️ Cobro excedió consumo",IF(G81&lt;-10,"🚨 Máquinas quemaron más de lo pagado","✅ Cuadrado"))))</f>
        <v/>
      </c>
      <c r="I81" s="14459" t="n"/>
    </row>
    <row r="82">
      <c r="A82" s="15791" t="n">
        <v>24</v>
      </c>
      <c r="B82" s="15792" t="inlineStr">
        <is>
          <t>Jalisco</t>
        </is>
      </c>
      <c r="C82" s="15793">
        <f>SUMIFS(Estados_Cuenta_Mobil!$F:$F,Estados_Cuenta_Mobil!$C:$C,A82,Estados_Cuenta_Mobil!$D:$D,B82)</f>
        <v/>
      </c>
      <c r="D82" s="15794">
        <f>SUMIFS(Captura_Obra!$F:$F,Captura_Obra!$M:$M,A82,Captura_Obra!$B:$B,B82)</f>
        <v/>
      </c>
      <c r="E82" s="15795">
        <f>IFERROR(SUMIFS(Captura_Facturas_Mobil!$G:$G,Captura_Facturas_Mobil!$N:$N,A82,Captura_Facturas_Mobil!$D:$D,B82)/SUMIFS(Captura_Facturas_Mobil!$E:$E,Captura_Facturas_Mobil!$N:$N,A82,Captura_Facturas_Mobil!$D:$D,B82),$F$3)</f>
        <v/>
      </c>
      <c r="F82" s="15796">
        <f>D82*E82</f>
        <v/>
      </c>
      <c r="G82" s="15797">
        <f>IF(C82+D82=0,"",C82-F82)</f>
        <v/>
      </c>
      <c r="H82" s="15798">
        <f>IF(AND(C82=0,F82&gt;0),"📦 Consumo de Reserva (Tanque Vaciado)",IF(C82+D82=0,"",IF(G82&gt;10,"⚠️ Cobro excedió consumo",IF(G82&lt;-10,"🚨 Máquinas quemaron más de lo pagado","✅ Cuadrado"))))</f>
        <v/>
      </c>
      <c r="I82" s="14460" t="n"/>
    </row>
    <row r="83">
      <c r="A83" s="15799" t="n">
        <v>24</v>
      </c>
      <c r="B83" s="15800" t="inlineStr">
        <is>
          <t>México-Toluca</t>
        </is>
      </c>
      <c r="C83" s="15801">
        <f>SUMIFS(Estados_Cuenta_Mobil!$F:$F,Estados_Cuenta_Mobil!$C:$C,A83,Estados_Cuenta_Mobil!$D:$D,B83)</f>
        <v/>
      </c>
      <c r="D83" s="15802">
        <f>SUMIFS(Captura_Obra!$F:$F,Captura_Obra!$M:$M,A83,Captura_Obra!$B:$B,B83)</f>
        <v/>
      </c>
      <c r="E83" s="15803">
        <f>IFERROR(SUMIFS(Captura_Facturas_Mobil!$G:$G,Captura_Facturas_Mobil!$N:$N,A83,Captura_Facturas_Mobil!$D:$D,B83)/SUMIFS(Captura_Facturas_Mobil!$E:$E,Captura_Facturas_Mobil!$N:$N,A83,Captura_Facturas_Mobil!$D:$D,B83),$F$3)</f>
        <v/>
      </c>
      <c r="F83" s="15804">
        <f>D83*E83</f>
        <v/>
      </c>
      <c r="G83" s="15805">
        <f>IF(C83+D83=0,"",C83-F83)</f>
        <v/>
      </c>
      <c r="H83" s="15806">
        <f>IF(AND(C83=0,F83&gt;0),"📦 Consumo de Reserva (Tanque Vaciado)",IF(C83+D83=0,"",IF(G83&gt;10,"⚠️ Cobro excedió consumo",IF(G83&lt;-10,"🚨 Máquinas quemaron más de lo pagado","✅ Cuadrado"))))</f>
        <v/>
      </c>
      <c r="I83" s="14461" t="n"/>
    </row>
    <row r="84">
      <c r="A84" s="15807" t="n">
        <v>24</v>
      </c>
      <c r="B84" s="15808" t="inlineStr">
        <is>
          <t>Maquinaria Pegaso</t>
        </is>
      </c>
      <c r="C84" s="15809">
        <f>SUMIFS(Estados_Cuenta_Mobil!$F:$F,Estados_Cuenta_Mobil!$C:$C,A84,Estados_Cuenta_Mobil!$D:$D,"Maquinaria Pegaso")+SUMIFS(Estados_Cuenta_Mobil!$F:$F,Estados_Cuenta_Mobil!$C:$C,A84,Estados_Cuenta_Mobil!$D:$D,"Lerma - Tres Marías")+SUMIFS(Estados_Cuenta_Mobil!$F:$F,Estados_Cuenta_Mobil!$C:$C,A84,Estados_Cuenta_Mobil!$D:$D,"Chamapa-Lechería")+SUMIFS(Estados_Cuenta_Mobil!$F:$F,Estados_Cuenta_Mobil!$C:$C,A84,Estados_Cuenta_Mobil!$D:$D,"Bacheo Toluca")+SUMIFS(Estados_Cuenta_Mobil!$F:$F,Estados_Cuenta_Mobil!$C:$C,A84,Estados_Cuenta_Mobil!$D:$D,"Dragones")+SUMIFS(Estados_Cuenta_Mobil!$F:$F,Estados_Cuenta_Mobil!$C:$C,A84,Estados_Cuenta_Mobil!$D:$D,"Colegio Militar")+SUMIFS(Estados_Cuenta_Mobil!$F:$F,Estados_Cuenta_Mobil!$C:$C,A84,Estados_Cuenta_Mobil!$D:$D,"NO DETECTADA")</f>
        <v/>
      </c>
      <c r="D84" s="15810">
        <f>SUMIFS(Captura_Obra!$F:$F,Captura_Obra!$M:$M,A84,Captura_Obra!$B:$B,"Maquinaria Pegaso")+SUMIFS(Captura_Obra!$F:$F,Captura_Obra!$M:$M,A84,Captura_Obra!$B:$B,"Lerma - Tres Marías")+SUMIFS(Captura_Obra!$F:$F,Captura_Obra!$M:$M,A84,Captura_Obra!$B:$B,"Chamapa-Lechería")+SUMIFS(Captura_Obra!$F:$F,Captura_Obra!$M:$M,A84,Captura_Obra!$B:$B,"Bacheo Toluca")+SUMIFS(Captura_Obra!$F:$F,Captura_Obra!$M:$M,A84,Captura_Obra!$B:$B,"Dragones")+SUMIFS(Captura_Obra!$F:$F,Captura_Obra!$M:$M,A84,Captura_Obra!$B:$B,"Colegio Militar")+SUMIFS(Captura_Obra!$F:$F,Captura_Obra!$M:$M,A84,Captura_Obra!$B:$B,"NO DETECTADA")</f>
        <v/>
      </c>
      <c r="E84" s="15811">
        <f>IFERROR((SUMIFS(Captura_Facturas_Mobil!$G:$G,Captura_Facturas_Mobil!$N:$N,A84,Captura_Facturas_Mobil!$D:$D,"Maquinaria Pegaso")+SUMIFS(Captura_Facturas_Mobil!$G:$G,Captura_Facturas_Mobil!$N:$N,A84,Captura_Facturas_Mobil!$D:$D,"Lerma - Tres Marías")+SUMIFS(Captura_Facturas_Mobil!$G:$G,Captura_Facturas_Mobil!$N:$N,A84,Captura_Facturas_Mobil!$D:$D,"Chamapa-Lechería")+SUMIFS(Captura_Facturas_Mobil!$G:$G,Captura_Facturas_Mobil!$N:$N,A84,Captura_Facturas_Mobil!$D:$D,"Bacheo Toluca")+SUMIFS(Captura_Facturas_Mobil!$G:$G,Captura_Facturas_Mobil!$N:$N,A84,Captura_Facturas_Mobil!$D:$D,"Dragones")+SUMIFS(Captura_Facturas_Mobil!$G:$G,Captura_Facturas_Mobil!$N:$N,A84,Captura_Facturas_Mobil!$D:$D,"Colegio Militar")+SUMIFS(Captura_Facturas_Mobil!$G:$G,Captura_Facturas_Mobil!$N:$N,A84,Captura_Facturas_Mobil!$D:$D,"NO DETECTADA"))/(SUMIFS(Captura_Facturas_Mobil!$E:$E,Captura_Facturas_Mobil!$N:$N,A84,Captura_Facturas_Mobil!$D:$D,"Maquinaria Pegaso")+SUMIFS(Captura_Facturas_Mobil!$E:$E,Captura_Facturas_Mobil!$N:$N,A84,Captura_Facturas_Mobil!$D:$D,"Lerma - Tres Marías")+SUMIFS(Captura_Facturas_Mobil!$E:$E,Captura_Facturas_Mobil!$N:$N,A84,Captura_Facturas_Mobil!$D:$D,"Chamapa-Lechería")+SUMIFS(Captura_Facturas_Mobil!$E:$E,Captura_Facturas_Mobil!$N:$N,A84,Captura_Facturas_Mobil!$D:$D,"Bacheo Toluca")+SUMIFS(Captura_Facturas_Mobil!$E:$E,Captura_Facturas_Mobil!$N:$N,A84,Captura_Facturas_Mobil!$D:$D,"Dragones")+SUMIFS(Captura_Facturas_Mobil!$E:$E,Captura_Facturas_Mobil!$N:$N,A84,Captura_Facturas_Mobil!$D:$D,"Colegio Militar")+SUMIFS(Captura_Facturas_Mobil!$E:$E,Captura_Facturas_Mobil!$N:$N,A84,Captura_Facturas_Mobil!$D:$D,"NO DETECTADA")),$F$3)</f>
        <v/>
      </c>
      <c r="F84" s="15812">
        <f>D84*E84</f>
        <v/>
      </c>
      <c r="G84" s="15813">
        <f>IF(C84+D84=0,"",C84-F84)</f>
        <v/>
      </c>
      <c r="H84" s="15814">
        <f>IF(AND(C84=0,F84&gt;0),"📦 Consumo de Reserva (Tanque Vaciado)",IF(C84+D84=0,"",IF(G84&gt;10,"⚠️ Cobro excedió consumo",IF(G84&lt;-10,"🚨 Máquinas quemaron más de lo pagado","✅ Cuadrado"))))</f>
        <v/>
      </c>
      <c r="I84" s="14462" t="n"/>
    </row>
    <row r="85">
      <c r="A85" s="15815" t="n">
        <v>25</v>
      </c>
      <c r="B85" s="15816" t="inlineStr">
        <is>
          <t>Planta Asflato Huixquilucan</t>
        </is>
      </c>
      <c r="C85" s="15817">
        <f>SUMIFS(Estados_Cuenta_Mobil!$F:$F,Estados_Cuenta_Mobil!$C:$C,A85,Estados_Cuenta_Mobil!$D:$D,B85)</f>
        <v/>
      </c>
      <c r="D85" s="15818">
        <f>SUMIFS(Captura_Obra!$F:$F,Captura_Obra!$M:$M,A85,Captura_Obra!$B:$B,B85)</f>
        <v/>
      </c>
      <c r="E85" s="15819">
        <f>IFERROR(SUMIFS(Captura_Facturas_Mobil!$G:$G,Captura_Facturas_Mobil!$N:$N,A85,Captura_Facturas_Mobil!$D:$D,B85)/SUMIFS(Captura_Facturas_Mobil!$E:$E,Captura_Facturas_Mobil!$N:$N,A85,Captura_Facturas_Mobil!$D:$D,B85),$F$3)</f>
        <v/>
      </c>
      <c r="F85" s="15820">
        <f>D85*E85</f>
        <v/>
      </c>
      <c r="G85" s="15821">
        <f>IF(C85+D85=0,"",C85-F85)</f>
        <v/>
      </c>
      <c r="H85" s="15822">
        <f>IF(AND(C85=0,F85&gt;0),"📦 Consumo de Reserva (Tanque Vaciado)",IF(C85+D85=0,"",IF(G85&gt;10,"⚠️ Cobro excedió consumo",IF(G85&lt;-10,"🚨 Máquinas quemaron más de lo pagado","✅ Cuadrado"))))</f>
        <v/>
      </c>
      <c r="I85" s="14463" t="n"/>
    </row>
    <row r="86">
      <c r="A86" s="15823" t="n">
        <v>25</v>
      </c>
      <c r="B86" s="15824" t="inlineStr">
        <is>
          <t>Jalisco</t>
        </is>
      </c>
      <c r="C86" s="15825">
        <f>SUMIFS(Estados_Cuenta_Mobil!$F:$F,Estados_Cuenta_Mobil!$C:$C,A86,Estados_Cuenta_Mobil!$D:$D,B86)</f>
        <v/>
      </c>
      <c r="D86" s="15826">
        <f>SUMIFS(Captura_Obra!$F:$F,Captura_Obra!$M:$M,A86,Captura_Obra!$B:$B,B86)</f>
        <v/>
      </c>
      <c r="E86" s="15827">
        <f>IFERROR(SUMIFS(Captura_Facturas_Mobil!$G:$G,Captura_Facturas_Mobil!$N:$N,A86,Captura_Facturas_Mobil!$D:$D,B86)/SUMIFS(Captura_Facturas_Mobil!$E:$E,Captura_Facturas_Mobil!$N:$N,A86,Captura_Facturas_Mobil!$D:$D,B86),$F$3)</f>
        <v/>
      </c>
      <c r="F86" s="15828">
        <f>D86*E86</f>
        <v/>
      </c>
      <c r="G86" s="15829">
        <f>IF(C86+D86=0,"",C86-F86)</f>
        <v/>
      </c>
      <c r="H86" s="15830">
        <f>IF(AND(C86=0,F86&gt;0),"📦 Consumo de Reserva (Tanque Vaciado)",IF(C86+D86=0,"",IF(G86&gt;10,"⚠️ Cobro excedió consumo",IF(G86&lt;-10,"🚨 Máquinas quemaron más de lo pagado","✅ Cuadrado"))))</f>
        <v/>
      </c>
      <c r="I86" s="14464" t="n"/>
    </row>
    <row r="87">
      <c r="A87" s="15831" t="n">
        <v>25</v>
      </c>
      <c r="B87" s="15832" t="inlineStr">
        <is>
          <t>México-Toluca</t>
        </is>
      </c>
      <c r="C87" s="15833">
        <f>SUMIFS(Estados_Cuenta_Mobil!$F:$F,Estados_Cuenta_Mobil!$C:$C,A87,Estados_Cuenta_Mobil!$D:$D,B87)</f>
        <v/>
      </c>
      <c r="D87" s="15834">
        <f>SUMIFS(Captura_Obra!$F:$F,Captura_Obra!$M:$M,A87,Captura_Obra!$B:$B,B87)</f>
        <v/>
      </c>
      <c r="E87" s="15835">
        <f>IFERROR(SUMIFS(Captura_Facturas_Mobil!$G:$G,Captura_Facturas_Mobil!$N:$N,A87,Captura_Facturas_Mobil!$D:$D,B87)/SUMIFS(Captura_Facturas_Mobil!$E:$E,Captura_Facturas_Mobil!$N:$N,A87,Captura_Facturas_Mobil!$D:$D,B87),$F$3)</f>
        <v/>
      </c>
      <c r="F87" s="15836">
        <f>D87*E87</f>
        <v/>
      </c>
      <c r="G87" s="15837">
        <f>IF(C87+D87=0,"",C87-F87)</f>
        <v/>
      </c>
      <c r="H87" s="15838">
        <f>IF(AND(C87=0,F87&gt;0),"📦 Consumo de Reserva (Tanque Vaciado)",IF(C87+D87=0,"",IF(G87&gt;10,"⚠️ Cobro excedió consumo",IF(G87&lt;-10,"🚨 Máquinas quemaron más de lo pagado","✅ Cuadrado"))))</f>
        <v/>
      </c>
      <c r="I87" s="14465" t="n"/>
    </row>
    <row r="88">
      <c r="A88" s="15839" t="n">
        <v>25</v>
      </c>
      <c r="B88" s="15840" t="inlineStr">
        <is>
          <t>Maquinaria Pegaso</t>
        </is>
      </c>
      <c r="C88" s="15841">
        <f>SUMIFS(Estados_Cuenta_Mobil!$F:$F,Estados_Cuenta_Mobil!$C:$C,A88,Estados_Cuenta_Mobil!$D:$D,"Maquinaria Pegaso")+SUMIFS(Estados_Cuenta_Mobil!$F:$F,Estados_Cuenta_Mobil!$C:$C,A88,Estados_Cuenta_Mobil!$D:$D,"Lerma - Tres Marías")+SUMIFS(Estados_Cuenta_Mobil!$F:$F,Estados_Cuenta_Mobil!$C:$C,A88,Estados_Cuenta_Mobil!$D:$D,"Chamapa-Lechería")+SUMIFS(Estados_Cuenta_Mobil!$F:$F,Estados_Cuenta_Mobil!$C:$C,A88,Estados_Cuenta_Mobil!$D:$D,"Bacheo Toluca")+SUMIFS(Estados_Cuenta_Mobil!$F:$F,Estados_Cuenta_Mobil!$C:$C,A88,Estados_Cuenta_Mobil!$D:$D,"Dragones")+SUMIFS(Estados_Cuenta_Mobil!$F:$F,Estados_Cuenta_Mobil!$C:$C,A88,Estados_Cuenta_Mobil!$D:$D,"Colegio Militar")+SUMIFS(Estados_Cuenta_Mobil!$F:$F,Estados_Cuenta_Mobil!$C:$C,A88,Estados_Cuenta_Mobil!$D:$D,"NO DETECTADA")</f>
        <v/>
      </c>
      <c r="D88" s="15842">
        <f>SUMIFS(Captura_Obra!$F:$F,Captura_Obra!$M:$M,A88,Captura_Obra!$B:$B,"Maquinaria Pegaso")+SUMIFS(Captura_Obra!$F:$F,Captura_Obra!$M:$M,A88,Captura_Obra!$B:$B,"Lerma - Tres Marías")+SUMIFS(Captura_Obra!$F:$F,Captura_Obra!$M:$M,A88,Captura_Obra!$B:$B,"Chamapa-Lechería")+SUMIFS(Captura_Obra!$F:$F,Captura_Obra!$M:$M,A88,Captura_Obra!$B:$B,"Bacheo Toluca")+SUMIFS(Captura_Obra!$F:$F,Captura_Obra!$M:$M,A88,Captura_Obra!$B:$B,"Dragones")+SUMIFS(Captura_Obra!$F:$F,Captura_Obra!$M:$M,A88,Captura_Obra!$B:$B,"Colegio Militar")+SUMIFS(Captura_Obra!$F:$F,Captura_Obra!$M:$M,A88,Captura_Obra!$B:$B,"NO DETECTADA")</f>
        <v/>
      </c>
      <c r="E88" s="15843">
        <f>IFERROR((SUMIFS(Captura_Facturas_Mobil!$G:$G,Captura_Facturas_Mobil!$N:$N,A88,Captura_Facturas_Mobil!$D:$D,"Maquinaria Pegaso")+SUMIFS(Captura_Facturas_Mobil!$G:$G,Captura_Facturas_Mobil!$N:$N,A88,Captura_Facturas_Mobil!$D:$D,"Lerma - Tres Marías")+SUMIFS(Captura_Facturas_Mobil!$G:$G,Captura_Facturas_Mobil!$N:$N,A88,Captura_Facturas_Mobil!$D:$D,"Chamapa-Lechería")+SUMIFS(Captura_Facturas_Mobil!$G:$G,Captura_Facturas_Mobil!$N:$N,A88,Captura_Facturas_Mobil!$D:$D,"Bacheo Toluca")+SUMIFS(Captura_Facturas_Mobil!$G:$G,Captura_Facturas_Mobil!$N:$N,A88,Captura_Facturas_Mobil!$D:$D,"Dragones")+SUMIFS(Captura_Facturas_Mobil!$G:$G,Captura_Facturas_Mobil!$N:$N,A88,Captura_Facturas_Mobil!$D:$D,"Colegio Militar")+SUMIFS(Captura_Facturas_Mobil!$G:$G,Captura_Facturas_Mobil!$N:$N,A88,Captura_Facturas_Mobil!$D:$D,"NO DETECTADA"))/(SUMIFS(Captura_Facturas_Mobil!$E:$E,Captura_Facturas_Mobil!$N:$N,A88,Captura_Facturas_Mobil!$D:$D,"Maquinaria Pegaso")+SUMIFS(Captura_Facturas_Mobil!$E:$E,Captura_Facturas_Mobil!$N:$N,A88,Captura_Facturas_Mobil!$D:$D,"Lerma - Tres Marías")+SUMIFS(Captura_Facturas_Mobil!$E:$E,Captura_Facturas_Mobil!$N:$N,A88,Captura_Facturas_Mobil!$D:$D,"Chamapa-Lechería")+SUMIFS(Captura_Facturas_Mobil!$E:$E,Captura_Facturas_Mobil!$N:$N,A88,Captura_Facturas_Mobil!$D:$D,"Bacheo Toluca")+SUMIFS(Captura_Facturas_Mobil!$E:$E,Captura_Facturas_Mobil!$N:$N,A88,Captura_Facturas_Mobil!$D:$D,"Dragones")+SUMIFS(Captura_Facturas_Mobil!$E:$E,Captura_Facturas_Mobil!$N:$N,A88,Captura_Facturas_Mobil!$D:$D,"Colegio Militar")+SUMIFS(Captura_Facturas_Mobil!$E:$E,Captura_Facturas_Mobil!$N:$N,A88,Captura_Facturas_Mobil!$D:$D,"NO DETECTADA")),$F$3)</f>
        <v/>
      </c>
      <c r="F88" s="15844">
        <f>D88*E88</f>
        <v/>
      </c>
      <c r="G88" s="15845">
        <f>IF(C88+D88=0,"",C88-F88)</f>
        <v/>
      </c>
      <c r="H88" s="15846">
        <f>IF(AND(C88=0,F88&gt;0),"📦 Consumo de Reserva (Tanque Vaciado)",IF(C88+D88=0,"",IF(G88&gt;10,"⚠️ Cobro excedió consumo",IF(G88&lt;-10,"🚨 Máquinas quemaron más de lo pagado","✅ Cuadrado"))))</f>
        <v/>
      </c>
      <c r="I88" s="14466" t="n"/>
    </row>
    <row r="89">
      <c r="A89" s="15847" t="n">
        <v>26</v>
      </c>
      <c r="B89" s="15848" t="inlineStr">
        <is>
          <t>Planta Asflato Huixquilucan</t>
        </is>
      </c>
      <c r="C89" s="15849">
        <f>SUMIFS(Estados_Cuenta_Mobil!$F:$F,Estados_Cuenta_Mobil!$C:$C,A89,Estados_Cuenta_Mobil!$D:$D,B89)</f>
        <v/>
      </c>
      <c r="D89" s="15850">
        <f>SUMIFS(Captura_Obra!$F:$F,Captura_Obra!$M:$M,A89,Captura_Obra!$B:$B,B89)</f>
        <v/>
      </c>
      <c r="E89" s="15851">
        <f>IFERROR(SUMIFS(Captura_Facturas_Mobil!$G:$G,Captura_Facturas_Mobil!$N:$N,A89,Captura_Facturas_Mobil!$D:$D,B89)/SUMIFS(Captura_Facturas_Mobil!$E:$E,Captura_Facturas_Mobil!$N:$N,A89,Captura_Facturas_Mobil!$D:$D,B89),$F$3)</f>
        <v/>
      </c>
      <c r="F89" s="15852">
        <f>D89*E89</f>
        <v/>
      </c>
      <c r="G89" s="15853">
        <f>IF(C89+D89=0,"",C89-F89)</f>
        <v/>
      </c>
      <c r="H89" s="15854">
        <f>IF(AND(C89=0,F89&gt;0),"📦 Consumo de Reserva (Tanque Vaciado)",IF(C89+D89=0,"",IF(G89&gt;10,"⚠️ Cobro excedió consumo",IF(G89&lt;-10,"🚨 Máquinas quemaron más de lo pagado","✅ Cuadrado"))))</f>
        <v/>
      </c>
      <c r="I89" s="14467">
        <f>IF(D89+G89=0, "", D89 - G89)</f>
        <v/>
      </c>
    </row>
    <row r="90">
      <c r="A90" s="15855" t="n">
        <v>26</v>
      </c>
      <c r="B90" s="15856" t="inlineStr">
        <is>
          <t>Jalisco</t>
        </is>
      </c>
      <c r="C90" s="15857">
        <f>SUMIFS(Estados_Cuenta_Mobil!$F:$F,Estados_Cuenta_Mobil!$C:$C,A90,Estados_Cuenta_Mobil!$D:$D,B90)</f>
        <v/>
      </c>
      <c r="D90" s="15858">
        <f>SUMIFS(Captura_Obra!$F:$F,Captura_Obra!$M:$M,A90,Captura_Obra!$B:$B,B90)</f>
        <v/>
      </c>
      <c r="E90" s="15859">
        <f>IFERROR(SUMIFS(Captura_Facturas_Mobil!$G:$G,Captura_Facturas_Mobil!$N:$N,A90,Captura_Facturas_Mobil!$D:$D,B90)/SUMIFS(Captura_Facturas_Mobil!$E:$E,Captura_Facturas_Mobil!$N:$N,A90,Captura_Facturas_Mobil!$D:$D,B90),$F$3)</f>
        <v/>
      </c>
      <c r="F90" s="15860">
        <f>D90*E90</f>
        <v/>
      </c>
      <c r="G90" s="15861">
        <f>IF(C90+D90=0,"",C90-F90)</f>
        <v/>
      </c>
      <c r="H90" s="15862">
        <f>IF(AND(C90=0,F90&gt;0),"📦 Consumo de Reserva (Tanque Vaciado)",IF(C90+D90=0,"",IF(G90&gt;10,"⚠️ Cobro excedió consumo",IF(G90&lt;-10,"🚨 Máquinas quemaron más de lo pagado","✅ Cuadrado"))))</f>
        <v/>
      </c>
      <c r="I90" s="14468">
        <f>IF(D90+G90=0, "", D90 - G90)</f>
        <v/>
      </c>
    </row>
    <row r="91">
      <c r="A91" s="15863" t="n">
        <v>26</v>
      </c>
      <c r="B91" s="15864" t="inlineStr">
        <is>
          <t>México-Toluca</t>
        </is>
      </c>
      <c r="C91" s="15865">
        <f>SUMIFS(Estados_Cuenta_Mobil!$F:$F,Estados_Cuenta_Mobil!$C:$C,A91,Estados_Cuenta_Mobil!$D:$D,B91)</f>
        <v/>
      </c>
      <c r="D91" s="15866">
        <f>SUMIFS(Captura_Obra!$F:$F,Captura_Obra!$M:$M,A91,Captura_Obra!$B:$B,B91)</f>
        <v/>
      </c>
      <c r="E91" s="15867">
        <f>IFERROR(SUMIFS(Captura_Facturas_Mobil!$G:$G,Captura_Facturas_Mobil!$N:$N,A91,Captura_Facturas_Mobil!$D:$D,B91)/SUMIFS(Captura_Facturas_Mobil!$E:$E,Captura_Facturas_Mobil!$N:$N,A91,Captura_Facturas_Mobil!$D:$D,B91),$F$3)</f>
        <v/>
      </c>
      <c r="F91" s="15868">
        <f>D91*E91</f>
        <v/>
      </c>
      <c r="G91" s="15869">
        <f>IF(C91+D91=0,"",C91-F91)</f>
        <v/>
      </c>
      <c r="H91" s="15870">
        <f>IF(AND(C91=0,F91&gt;0),"📦 Consumo de Reserva (Tanque Vaciado)",IF(C91+D91=0,"",IF(G91&gt;10,"⚠️ Cobro excedió consumo",IF(G91&lt;-10,"🚨 Máquinas quemaron más de lo pagado","✅ Cuadrado"))))</f>
        <v/>
      </c>
      <c r="I91" s="14469">
        <f>IF(D91+G91=0, "", D91 - G91)</f>
        <v/>
      </c>
    </row>
    <row r="92">
      <c r="A92" s="15871" t="n">
        <v>26</v>
      </c>
      <c r="B92" s="15872" t="inlineStr">
        <is>
          <t>Maquinaria Pegaso</t>
        </is>
      </c>
      <c r="C92" s="15873">
        <f>SUMIFS(Estados_Cuenta_Mobil!$F:$F,Estados_Cuenta_Mobil!$C:$C,A92,Estados_Cuenta_Mobil!$D:$D,"Maquinaria Pegaso")+SUMIFS(Estados_Cuenta_Mobil!$F:$F,Estados_Cuenta_Mobil!$C:$C,A92,Estados_Cuenta_Mobil!$D:$D,"Lerma - Tres Marías")+SUMIFS(Estados_Cuenta_Mobil!$F:$F,Estados_Cuenta_Mobil!$C:$C,A92,Estados_Cuenta_Mobil!$D:$D,"Chamapa-Lechería")+SUMIFS(Estados_Cuenta_Mobil!$F:$F,Estados_Cuenta_Mobil!$C:$C,A92,Estados_Cuenta_Mobil!$D:$D,"Bacheo Toluca")+SUMIFS(Estados_Cuenta_Mobil!$F:$F,Estados_Cuenta_Mobil!$C:$C,A92,Estados_Cuenta_Mobil!$D:$D,"Dragones")+SUMIFS(Estados_Cuenta_Mobil!$F:$F,Estados_Cuenta_Mobil!$C:$C,A92,Estados_Cuenta_Mobil!$D:$D,"Colegio Militar")+SUMIFS(Estados_Cuenta_Mobil!$F:$F,Estados_Cuenta_Mobil!$C:$C,A92,Estados_Cuenta_Mobil!$D:$D,"NO DETECTADA")</f>
        <v/>
      </c>
      <c r="D92" s="15874">
        <f>SUMIFS(Captura_Obra!$F:$F,Captura_Obra!$M:$M,A92,Captura_Obra!$B:$B,"Maquinaria Pegaso")+SUMIFS(Captura_Obra!$F:$F,Captura_Obra!$M:$M,A92,Captura_Obra!$B:$B,"Lerma - Tres Marías")+SUMIFS(Captura_Obra!$F:$F,Captura_Obra!$M:$M,A92,Captura_Obra!$B:$B,"Chamapa-Lechería")+SUMIFS(Captura_Obra!$F:$F,Captura_Obra!$M:$M,A92,Captura_Obra!$B:$B,"Bacheo Toluca")+SUMIFS(Captura_Obra!$F:$F,Captura_Obra!$M:$M,A92,Captura_Obra!$B:$B,"Dragones")+SUMIFS(Captura_Obra!$F:$F,Captura_Obra!$M:$M,A92,Captura_Obra!$B:$B,"Colegio Militar")+SUMIFS(Captura_Obra!$F:$F,Captura_Obra!$M:$M,A92,Captura_Obra!$B:$B,"NO DETECTADA")</f>
        <v/>
      </c>
      <c r="E92" s="15875">
        <f>IFERROR((SUMIFS(Captura_Facturas_Mobil!$G:$G,Captura_Facturas_Mobil!$N:$N,A92,Captura_Facturas_Mobil!$D:$D,"Maquinaria Pegaso")+SUMIFS(Captura_Facturas_Mobil!$G:$G,Captura_Facturas_Mobil!$N:$N,A92,Captura_Facturas_Mobil!$D:$D,"Lerma - Tres Marías")+SUMIFS(Captura_Facturas_Mobil!$G:$G,Captura_Facturas_Mobil!$N:$N,A92,Captura_Facturas_Mobil!$D:$D,"Chamapa-Lechería")+SUMIFS(Captura_Facturas_Mobil!$G:$G,Captura_Facturas_Mobil!$N:$N,A92,Captura_Facturas_Mobil!$D:$D,"Bacheo Toluca")+SUMIFS(Captura_Facturas_Mobil!$G:$G,Captura_Facturas_Mobil!$N:$N,A92,Captura_Facturas_Mobil!$D:$D,"Dragones")+SUMIFS(Captura_Facturas_Mobil!$G:$G,Captura_Facturas_Mobil!$N:$N,A92,Captura_Facturas_Mobil!$D:$D,"Colegio Militar")+SUMIFS(Captura_Facturas_Mobil!$G:$G,Captura_Facturas_Mobil!$N:$N,A92,Captura_Facturas_Mobil!$D:$D,"NO DETECTADA"))/(SUMIFS(Captura_Facturas_Mobil!$E:$E,Captura_Facturas_Mobil!$N:$N,A92,Captura_Facturas_Mobil!$D:$D,"Maquinaria Pegaso")+SUMIFS(Captura_Facturas_Mobil!$E:$E,Captura_Facturas_Mobil!$N:$N,A92,Captura_Facturas_Mobil!$D:$D,"Lerma - Tres Marías")+SUMIFS(Captura_Facturas_Mobil!$E:$E,Captura_Facturas_Mobil!$N:$N,A92,Captura_Facturas_Mobil!$D:$D,"Chamapa-Lechería")+SUMIFS(Captura_Facturas_Mobil!$E:$E,Captura_Facturas_Mobil!$N:$N,A92,Captura_Facturas_Mobil!$D:$D,"Bacheo Toluca")+SUMIFS(Captura_Facturas_Mobil!$E:$E,Captura_Facturas_Mobil!$N:$N,A92,Captura_Facturas_Mobil!$D:$D,"Dragones")+SUMIFS(Captura_Facturas_Mobil!$E:$E,Captura_Facturas_Mobil!$N:$N,A92,Captura_Facturas_Mobil!$D:$D,"Colegio Militar")+SUMIFS(Captura_Facturas_Mobil!$E:$E,Captura_Facturas_Mobil!$N:$N,A92,Captura_Facturas_Mobil!$D:$D,"NO DETECTADA")),$F$3)</f>
        <v/>
      </c>
      <c r="F92" s="15876">
        <f>D92*E92</f>
        <v/>
      </c>
      <c r="G92" s="15877">
        <f>IF(C92+D92=0,"",C92-F92)</f>
        <v/>
      </c>
      <c r="H92" s="15878">
        <f>IF(AND(C92=0,F92&gt;0),"📦 Consumo de Reserva (Tanque Vaciado)",IF(C92+D92=0,"",IF(G92&gt;10,"⚠️ Cobro excedió consumo",IF(G92&lt;-10,"🚨 Máquinas quemaron más de lo pagado","✅ Cuadrado"))))</f>
        <v/>
      </c>
      <c r="I92" s="14470">
        <f>IF(D92+G92=0, "", D92 - G92)</f>
        <v/>
      </c>
    </row>
    <row r="93">
      <c r="A93" s="15879" t="inlineStr">
        <is>
          <t>TOTAL GENERAL</t>
        </is>
      </c>
      <c r="B93" s="15880" t="inlineStr">
        <is>
          <t>Planta Asflato Huixquilucan</t>
        </is>
      </c>
      <c r="C93" s="15881">
        <f>SUMIFS(Estados_Cuenta_Mobil!$F:$F,Estados_Cuenta_Mobil!$C:$C,A93,Estados_Cuenta_Mobil!$D:$D,B93)</f>
        <v/>
      </c>
      <c r="D93" s="15882">
        <f>SUMIFS(Captura_Obra!$F:$F,Captura_Obra!$M:$M,A93,Captura_Obra!$B:$B,B93)</f>
        <v/>
      </c>
      <c r="E93" s="15885">
        <f>IFERROR(SUMIFS(Captura_Facturas_Mobil!$G:$G,Captura_Facturas_Mobil!$N:$N,A93,Captura_Facturas_Mobil!$D:$D,B93)/SUMIFS(Captura_Facturas_Mobil!$E:$E,Captura_Facturas_Mobil!$N:$N,A93,Captura_Facturas_Mobil!$D:$D,B93),$F$3)</f>
        <v/>
      </c>
      <c r="F93" s="15883">
        <f>SUBTOTAL(9,F69:F92)</f>
        <v/>
      </c>
      <c r="G93" s="15884">
        <f>SUBTOTAL(9,G69:G92)</f>
        <v/>
      </c>
      <c r="H93" s="15886" t="n"/>
      <c r="I93" s="14471">
        <f>IF(D93+G93=0, "", D93 - G93)</f>
        <v/>
      </c>
    </row>
    <row r="94" ht="14.4" customHeight="1" s="17580">
      <c r="A94" s="17633" t="inlineStr">
        <is>
          <t>ℹ️ "Planta Asfalto Pegaso" agrupa: Planta Asfalto Pegaso, Lerma - Tres Marías, Chamapa-Lechería, Bacheo Toluca, Dragones, Colegio Militar, NO DETECTADA</t>
        </is>
      </c>
      <c r="B94" s="17582" t="n"/>
      <c r="C94" s="17582" t="n"/>
      <c r="D94" s="17582" t="n"/>
      <c r="E94" s="17582" t="n"/>
      <c r="F94" s="17582" t="n"/>
      <c r="G94" s="17582" t="n"/>
      <c r="H94" s="17583" t="n"/>
      <c r="I94" s="14472">
        <f>IF(D94+G94=0, "", D94 - G94)</f>
        <v/>
      </c>
    </row>
    <row r="95">
      <c r="A95" s="14473" t="n">
        <v>24</v>
      </c>
      <c r="B95" s="14474" t="inlineStr">
        <is>
          <t>Colegio Militar</t>
        </is>
      </c>
      <c r="C95" s="14475">
        <f>SUMIFS(Captura_Facturas_Mobil!$E:$E, Captura_Facturas_Mobil!$N:$N, A95, Captura_Facturas_Mobil!$D:$D, B95)</f>
        <v/>
      </c>
      <c r="D95" s="14476">
        <f>SUMIFS(Captura_Facturas_Mobil!$G:$G, Captura_Facturas_Mobil!$N:$N, A95, Captura_Facturas_Mobil!$D:$D, B95)</f>
        <v/>
      </c>
      <c r="E95" s="14477">
        <f>SUMIFS(Captura_Obra!$F:$F, Captura_Obra!$M:$M, A95, Captura_Obra!$B:$B, B95)</f>
        <v/>
      </c>
      <c r="F95" s="14478">
        <f>IFERROR(D95/C95, IFERROR(SUMIFS(Captura_Facturas_Mobil!$G:$G, Captura_Facturas_Mobil!$N:$N, A95)/SUMIFS(Captura_Facturas_Mobil!$E:$E, Captura_Facturas_Mobil!$N:$N, A95, Captura_Facturas_Mobil!$E:$E,"&gt;"&amp;0), 0))</f>
        <v/>
      </c>
      <c r="G95" s="14479" t="n"/>
      <c r="H95" s="14480" t="n"/>
      <c r="I95" s="14481">
        <f>IF(D95+G95=0, "", D95 - G95)</f>
        <v/>
      </c>
    </row>
    <row r="96">
      <c r="A96" s="14482" t="inlineStr">
        <is>
          <t>ℹ️ "Maquinaria Pegaso" agrupa: Maquinaria Pegaso, Lerma - Tres Marías, Chamapa-Lechería, Bacheo Toluca, Dragones, Colegio Militar, NO DETECTADA</t>
        </is>
      </c>
      <c r="B96" s="14483" t="inlineStr">
        <is>
          <t>NO DETECTADA</t>
        </is>
      </c>
      <c r="C96" s="14484">
        <f>SUMIFS(Captura_Facturas_Mobil!$E:$E, Captura_Facturas_Mobil!$N:$N, A96, Captura_Facturas_Mobil!$D:$D, B96)</f>
        <v/>
      </c>
      <c r="D96" s="14485">
        <f>SUMIFS(Captura_Facturas_Mobil!$G:$G, Captura_Facturas_Mobil!$N:$N, A96, Captura_Facturas_Mobil!$D:$D, B96)</f>
        <v/>
      </c>
      <c r="E96" s="14486">
        <f>SUMIFS(Captura_Obra!$F:$F, Captura_Obra!$M:$M, A96, Captura_Obra!$B:$B, B96)</f>
        <v/>
      </c>
      <c r="F96" s="14487">
        <f>IFERROR(D96/C96, IFERROR(SUMIFS(Captura_Facturas_Mobil!$G:$G, Captura_Facturas_Mobil!$N:$N, A96)/SUMIFS(Captura_Facturas_Mobil!$E:$E, Captura_Facturas_Mobil!$N:$N, A96, Captura_Facturas_Mobil!$E:$E,"&gt;"&amp;0), 0))</f>
        <v/>
      </c>
      <c r="G96" s="14488" t="n"/>
      <c r="H96" s="14489" t="n"/>
      <c r="I96" s="14490">
        <f>IF(D96+G96=0, "", D96 - G96)</f>
        <v/>
      </c>
    </row>
    <row r="97">
      <c r="A97" s="14491" t="n">
        <v>25</v>
      </c>
      <c r="B97" s="14492" t="inlineStr">
        <is>
          <t>México-Toluca</t>
        </is>
      </c>
      <c r="C97" s="14493">
        <f>SUMIFS(Captura_Facturas_Mobil!$E:$E, Captura_Facturas_Mobil!$N:$N, A97, Captura_Facturas_Mobil!$D:$D, B97)</f>
        <v/>
      </c>
      <c r="D97" s="14494">
        <f>SUMIFS(Captura_Facturas_Mobil!$G:$G, Captura_Facturas_Mobil!$N:$N, A97, Captura_Facturas_Mobil!$D:$D, B97)</f>
        <v/>
      </c>
      <c r="E97" s="14495">
        <f>SUMIFS(Captura_Obra!$F:$F, Captura_Obra!$M:$M, A97, Captura_Obra!$B:$B, B97)</f>
        <v/>
      </c>
      <c r="F97" s="14496">
        <f>IFERROR(D97/C97, IFERROR(SUMIFS(Captura_Facturas_Mobil!$G:$G, Captura_Facturas_Mobil!$N:$N, A97)/SUMIFS(Captura_Facturas_Mobil!$E:$E, Captura_Facturas_Mobil!$N:$N, A97, Captura_Facturas_Mobil!$E:$E,"&gt;"&amp;0), 0))</f>
        <v/>
      </c>
      <c r="G97" s="14497" t="n"/>
      <c r="H97" s="14498" t="n"/>
      <c r="I97" s="14499">
        <f>IF(D97+G97=0, "", D97 - G97)</f>
        <v/>
      </c>
    </row>
    <row r="98">
      <c r="A98" s="14500" t="n">
        <v>25</v>
      </c>
      <c r="B98" s="14501" t="inlineStr">
        <is>
          <t>Lerma - Tres Marías</t>
        </is>
      </c>
      <c r="C98" s="14502">
        <f>SUMIFS(Captura_Facturas_Mobil!$E:$E, Captura_Facturas_Mobil!$N:$N, A98, Captura_Facturas_Mobil!$D:$D, B98)</f>
        <v/>
      </c>
      <c r="D98" s="14503">
        <f>SUMIFS(Captura_Facturas_Mobil!$G:$G, Captura_Facturas_Mobil!$N:$N, A98, Captura_Facturas_Mobil!$D:$D, B98)</f>
        <v/>
      </c>
      <c r="E98" s="14504">
        <f>SUMIFS(Captura_Obra!$F:$F, Captura_Obra!$M:$M, A98, Captura_Obra!$B:$B, B98)</f>
        <v/>
      </c>
      <c r="F98" s="14505">
        <f>IFERROR(D98/C98, IFERROR(SUMIFS(Captura_Facturas_Mobil!$G:$G, Captura_Facturas_Mobil!$N:$N, A98)/SUMIFS(Captura_Facturas_Mobil!$E:$E, Captura_Facturas_Mobil!$N:$N, A98, Captura_Facturas_Mobil!$E:$E,"&gt;"&amp;0), 0))</f>
        <v/>
      </c>
      <c r="G98" s="14506" t="n"/>
      <c r="H98" s="14507" t="n"/>
      <c r="I98" s="14508">
        <f>IF(D98+G98=0, "", D98 - G98)</f>
        <v/>
      </c>
    </row>
    <row r="99">
      <c r="A99" s="14509" t="n">
        <v>25</v>
      </c>
      <c r="B99" s="14510" t="inlineStr">
        <is>
          <t>Chamapa-Lechería</t>
        </is>
      </c>
      <c r="C99" s="14511">
        <f>SUMIFS(Captura_Facturas_Mobil!$E:$E, Captura_Facturas_Mobil!$N:$N, A99, Captura_Facturas_Mobil!$D:$D, B99)</f>
        <v/>
      </c>
      <c r="D99" s="14512">
        <f>SUMIFS(Captura_Facturas_Mobil!$G:$G, Captura_Facturas_Mobil!$N:$N, A99, Captura_Facturas_Mobil!$D:$D, B99)</f>
        <v/>
      </c>
      <c r="E99" s="14513">
        <f>SUMIFS(Captura_Obra!$F:$F, Captura_Obra!$M:$M, A99, Captura_Obra!$B:$B, B99)</f>
        <v/>
      </c>
      <c r="F99" s="14514">
        <f>IFERROR(D99/C99, IFERROR(SUMIFS(Captura_Facturas_Mobil!$G:$G, Captura_Facturas_Mobil!$N:$N, A99)/SUMIFS(Captura_Facturas_Mobil!$E:$E, Captura_Facturas_Mobil!$N:$N, A99, Captura_Facturas_Mobil!$E:$E,"&gt;"&amp;0), 0))</f>
        <v/>
      </c>
      <c r="G99" s="14515" t="n"/>
      <c r="H99" s="14516" t="n"/>
      <c r="I99" s="14517">
        <f>IF(D99+G99=0, "", D99 - G99)</f>
        <v/>
      </c>
    </row>
    <row r="100">
      <c r="A100" s="14518" t="n">
        <v>25</v>
      </c>
      <c r="B100" s="14519" t="inlineStr">
        <is>
          <t>Bacheo Toluca</t>
        </is>
      </c>
      <c r="C100" s="14520">
        <f>SUMIFS(Captura_Facturas_Mobil!$E:$E, Captura_Facturas_Mobil!$N:$N, A100, Captura_Facturas_Mobil!$D:$D, B100)</f>
        <v/>
      </c>
      <c r="D100" s="14521">
        <f>SUMIFS(Captura_Facturas_Mobil!$G:$G, Captura_Facturas_Mobil!$N:$N, A100, Captura_Facturas_Mobil!$D:$D, B100)</f>
        <v/>
      </c>
      <c r="E100" s="14522">
        <f>SUMIFS(Captura_Obra!$F:$F, Captura_Obra!$M:$M, A100, Captura_Obra!$B:$B, B100)</f>
        <v/>
      </c>
      <c r="F100" s="14523">
        <f>IFERROR(D100/C100, IFERROR(SUMIFS(Captura_Facturas_Mobil!$G:$G, Captura_Facturas_Mobil!$N:$N, A100)/SUMIFS(Captura_Facturas_Mobil!$E:$E, Captura_Facturas_Mobil!$N:$N, A100, Captura_Facturas_Mobil!$E:$E,"&gt;"&amp;0), 0))</f>
        <v/>
      </c>
      <c r="G100" s="14524" t="n"/>
      <c r="H100" s="14525" t="n"/>
      <c r="I100" s="14526">
        <f>IF(D100+G100=0, "", D100 - G100)</f>
        <v/>
      </c>
    </row>
    <row r="101">
      <c r="A101" s="14527" t="n">
        <v>25</v>
      </c>
      <c r="B101" s="14528" t="inlineStr">
        <is>
          <t>Planta Asfalto Pegaso</t>
        </is>
      </c>
      <c r="C101" s="14529">
        <f>SUMIFS(Captura_Facturas_Mobil!$E:$E, Captura_Facturas_Mobil!$N:$N, A101, Captura_Facturas_Mobil!$D:$D, B101)</f>
        <v/>
      </c>
      <c r="D101" s="14530">
        <f>SUMIFS(Captura_Facturas_Mobil!$G:$G, Captura_Facturas_Mobil!$N:$N, A101, Captura_Facturas_Mobil!$D:$D, B101)</f>
        <v/>
      </c>
      <c r="E101" s="14531">
        <f>SUMIFS(Captura_Obra!$F:$F, Captura_Obra!$M:$M, A101, Captura_Obra!$B:$B, B101)</f>
        <v/>
      </c>
      <c r="F101" s="14532">
        <f>IFERROR(D101/C101, IFERROR(SUMIFS(Captura_Facturas_Mobil!$G:$G, Captura_Facturas_Mobil!$N:$N, A101)/SUMIFS(Captura_Facturas_Mobil!$E:$E, Captura_Facturas_Mobil!$N:$N, A101, Captura_Facturas_Mobil!$E:$E,"&gt;"&amp;0), 0))</f>
        <v/>
      </c>
      <c r="G101" s="14533" t="n"/>
      <c r="H101" s="14534" t="n"/>
      <c r="I101" s="14535">
        <f>IF(D101+G101=0, "", D101 - G101)</f>
        <v/>
      </c>
    </row>
    <row r="102">
      <c r="A102" s="14536" t="n">
        <v>25</v>
      </c>
      <c r="B102" s="14537" t="inlineStr">
        <is>
          <t>Planta Asflato Huixquilucan</t>
        </is>
      </c>
      <c r="C102" s="14538">
        <f>SUMIFS(Captura_Facturas_Mobil!$E:$E, Captura_Facturas_Mobil!$N:$N, A102, Captura_Facturas_Mobil!$D:$D, B102)</f>
        <v/>
      </c>
      <c r="D102" s="14539">
        <f>SUMIFS(Captura_Facturas_Mobil!$G:$G, Captura_Facturas_Mobil!$N:$N, A102, Captura_Facturas_Mobil!$D:$D, B102)</f>
        <v/>
      </c>
      <c r="E102" s="14540">
        <f>SUMIFS(Captura_Obra!$F:$F, Captura_Obra!$M:$M, A102, Captura_Obra!$B:$B, B102)</f>
        <v/>
      </c>
      <c r="F102" s="14541">
        <f>IFERROR(D102/C102, IFERROR(SUMIFS(Captura_Facturas_Mobil!$G:$G, Captura_Facturas_Mobil!$N:$N, A102)/SUMIFS(Captura_Facturas_Mobil!$E:$E, Captura_Facturas_Mobil!$N:$N, A102, Captura_Facturas_Mobil!$E:$E,"&gt;"&amp;0), 0))</f>
        <v/>
      </c>
      <c r="G102" s="14542" t="n"/>
      <c r="H102" s="14543" t="n"/>
      <c r="I102" s="14544">
        <f>IF(D102+G102=0, "", D102 - G102)</f>
        <v/>
      </c>
    </row>
    <row r="103">
      <c r="A103" s="14545" t="n">
        <v>25</v>
      </c>
      <c r="B103" s="14546" t="inlineStr">
        <is>
          <t>Dragones</t>
        </is>
      </c>
      <c r="C103" s="14547">
        <f>SUMIFS(Captura_Facturas_Mobil!$E:$E, Captura_Facturas_Mobil!$N:$N, A103, Captura_Facturas_Mobil!$D:$D, B103)</f>
        <v/>
      </c>
      <c r="D103" s="14548">
        <f>SUMIFS(Captura_Facturas_Mobil!$G:$G, Captura_Facturas_Mobil!$N:$N, A103, Captura_Facturas_Mobil!$D:$D, B103)</f>
        <v/>
      </c>
      <c r="E103" s="14549">
        <f>SUMIFS(Captura_Obra!$F:$F, Captura_Obra!$M:$M, A103, Captura_Obra!$B:$B, B103)</f>
        <v/>
      </c>
      <c r="F103" s="14550">
        <f>IFERROR(D103/C103, IFERROR(SUMIFS(Captura_Facturas_Mobil!$G:$G, Captura_Facturas_Mobil!$N:$N, A103)/SUMIFS(Captura_Facturas_Mobil!$E:$E, Captura_Facturas_Mobil!$N:$N, A103, Captura_Facturas_Mobil!$E:$E,"&gt;"&amp;0), 0))</f>
        <v/>
      </c>
      <c r="G103" s="14551" t="n"/>
      <c r="H103" s="14552" t="n"/>
      <c r="I103" s="14553">
        <f>IF(D103+G103=0, "", D103 - G103)</f>
        <v/>
      </c>
    </row>
    <row r="104">
      <c r="A104" s="14554" t="n">
        <v>25</v>
      </c>
      <c r="B104" s="14555" t="inlineStr">
        <is>
          <t>Jalisco</t>
        </is>
      </c>
      <c r="C104" s="14556">
        <f>SUMIFS(Captura_Facturas_Mobil!$E:$E, Captura_Facturas_Mobil!$N:$N, A104, Captura_Facturas_Mobil!$D:$D, B104)</f>
        <v/>
      </c>
      <c r="D104" s="14557">
        <f>SUMIFS(Captura_Facturas_Mobil!$G:$G, Captura_Facturas_Mobil!$N:$N, A104, Captura_Facturas_Mobil!$D:$D, B104)</f>
        <v/>
      </c>
      <c r="E104" s="14558">
        <f>SUMIFS(Captura_Obra!$F:$F, Captura_Obra!$M:$M, A104, Captura_Obra!$B:$B, B104)</f>
        <v/>
      </c>
      <c r="F104" s="14559">
        <f>IFERROR(D104/C104, IFERROR(SUMIFS(Captura_Facturas_Mobil!$G:$G, Captura_Facturas_Mobil!$N:$N, A104)/SUMIFS(Captura_Facturas_Mobil!$E:$E, Captura_Facturas_Mobil!$N:$N, A104, Captura_Facturas_Mobil!$E:$E,"&gt;"&amp;0), 0))</f>
        <v/>
      </c>
      <c r="G104" s="14560" t="n"/>
      <c r="H104" s="14561" t="n"/>
      <c r="I104" s="14562">
        <f>IF(D104+G104=0, "", D104 - G104)</f>
        <v/>
      </c>
    </row>
    <row r="105">
      <c r="A105" s="14563" t="n">
        <v>25</v>
      </c>
      <c r="B105" s="14564" t="inlineStr">
        <is>
          <t>Colegio Militar</t>
        </is>
      </c>
      <c r="C105" s="14565">
        <f>SUMIFS(Captura_Facturas_Mobil!$E:$E, Captura_Facturas_Mobil!$N:$N, A105, Captura_Facturas_Mobil!$D:$D, B105)</f>
        <v/>
      </c>
      <c r="D105" s="14566">
        <f>SUMIFS(Captura_Facturas_Mobil!$G:$G, Captura_Facturas_Mobil!$N:$N, A105, Captura_Facturas_Mobil!$D:$D, B105)</f>
        <v/>
      </c>
      <c r="E105" s="14567">
        <f>SUMIFS(Captura_Obra!$F:$F, Captura_Obra!$M:$M, A105, Captura_Obra!$B:$B, B105)</f>
        <v/>
      </c>
      <c r="F105" s="14568">
        <f>IFERROR(D105/C105, IFERROR(SUMIFS(Captura_Facturas_Mobil!$G:$G, Captura_Facturas_Mobil!$N:$N, A105)/SUMIFS(Captura_Facturas_Mobil!$E:$E, Captura_Facturas_Mobil!$N:$N, A105, Captura_Facturas_Mobil!$E:$E,"&gt;"&amp;0), 0))</f>
        <v/>
      </c>
      <c r="G105" s="14569" t="n"/>
      <c r="H105" s="14570" t="n"/>
      <c r="I105" s="14571">
        <f>IF(D105+G105=0, "", D105 - G105)</f>
        <v/>
      </c>
    </row>
    <row r="106">
      <c r="A106" s="14572" t="n">
        <v>25</v>
      </c>
      <c r="B106" s="14573" t="inlineStr">
        <is>
          <t>NO DETECTADA</t>
        </is>
      </c>
      <c r="C106" s="14574">
        <f>SUMIFS(Captura_Facturas_Mobil!$E:$E, Captura_Facturas_Mobil!$N:$N, A106, Captura_Facturas_Mobil!$D:$D, B106)</f>
        <v/>
      </c>
      <c r="D106" s="14575">
        <f>SUMIFS(Captura_Facturas_Mobil!$G:$G, Captura_Facturas_Mobil!$N:$N, A106, Captura_Facturas_Mobil!$D:$D, B106)</f>
        <v/>
      </c>
      <c r="E106" s="14576">
        <f>SUMIFS(Captura_Obra!$F:$F, Captura_Obra!$M:$M, A106, Captura_Obra!$B:$B, B106)</f>
        <v/>
      </c>
      <c r="F106" s="14577">
        <f>IFERROR(D106/C106, IFERROR(SUMIFS(Captura_Facturas_Mobil!$G:$G, Captura_Facturas_Mobil!$N:$N, A106)/SUMIFS(Captura_Facturas_Mobil!$E:$E, Captura_Facturas_Mobil!$N:$N, A106, Captura_Facturas_Mobil!$E:$E,"&gt;"&amp;0), 0))</f>
        <v/>
      </c>
      <c r="G106" s="14578" t="n"/>
      <c r="H106" s="14579" t="n"/>
      <c r="I106" s="14580">
        <f>IF(D106+G106=0, "", D106 - G106)</f>
        <v/>
      </c>
    </row>
    <row r="107">
      <c r="A107" s="14581" t="n">
        <v>26</v>
      </c>
      <c r="B107" s="14582" t="inlineStr">
        <is>
          <t>México-Toluca</t>
        </is>
      </c>
      <c r="C107" s="14583">
        <f>SUMIFS(Captura_Facturas_Mobil!$E:$E, Captura_Facturas_Mobil!$N:$N, A107, Captura_Facturas_Mobil!$D:$D, B107)</f>
        <v/>
      </c>
      <c r="D107" s="14584">
        <f>SUMIFS(Captura_Facturas_Mobil!$G:$G, Captura_Facturas_Mobil!$N:$N, A107, Captura_Facturas_Mobil!$D:$D, B107)</f>
        <v/>
      </c>
      <c r="E107" s="14585">
        <f>SUMIFS(Captura_Obra!$F:$F, Captura_Obra!$M:$M, A107, Captura_Obra!$B:$B, B107)</f>
        <v/>
      </c>
      <c r="F107" s="14586">
        <f>IFERROR(D107/C107, IFERROR(SUMIFS(Captura_Facturas_Mobil!$G:$G, Captura_Facturas_Mobil!$N:$N, A107)/SUMIFS(Captura_Facturas_Mobil!$E:$E, Captura_Facturas_Mobil!$N:$N, A107, Captura_Facturas_Mobil!$E:$E,"&gt;"&amp;0), 0))</f>
        <v/>
      </c>
      <c r="G107" s="14587" t="n"/>
      <c r="H107" s="14588" t="n"/>
      <c r="I107" s="14589">
        <f>IF(D107+G107=0, "", D107 - G107)</f>
        <v/>
      </c>
    </row>
    <row r="108">
      <c r="A108" s="14590" t="n">
        <v>26</v>
      </c>
      <c r="B108" s="14591" t="inlineStr">
        <is>
          <t>Lerma - Tres Marías</t>
        </is>
      </c>
      <c r="C108" s="14592">
        <f>SUMIFS(Captura_Facturas_Mobil!$E:$E, Captura_Facturas_Mobil!$N:$N, A108, Captura_Facturas_Mobil!$D:$D, B108)</f>
        <v/>
      </c>
      <c r="D108" s="14593">
        <f>SUMIFS(Captura_Facturas_Mobil!$G:$G, Captura_Facturas_Mobil!$N:$N, A108, Captura_Facturas_Mobil!$D:$D, B108)</f>
        <v/>
      </c>
      <c r="E108" s="14594">
        <f>SUMIFS(Captura_Obra!$F:$F, Captura_Obra!$M:$M, A108, Captura_Obra!$B:$B, B108)</f>
        <v/>
      </c>
      <c r="F108" s="14595">
        <f>IFERROR(D108/C108, IFERROR(SUMIFS(Captura_Facturas_Mobil!$G:$G, Captura_Facturas_Mobil!$N:$N, A108)/SUMIFS(Captura_Facturas_Mobil!$E:$E, Captura_Facturas_Mobil!$N:$N, A108, Captura_Facturas_Mobil!$E:$E,"&gt;"&amp;0), 0))</f>
        <v/>
      </c>
      <c r="G108" s="14596" t="n"/>
      <c r="H108" s="14597" t="n"/>
      <c r="I108" s="14598">
        <f>IF(D108+G108=0, "", D108 - G108)</f>
        <v/>
      </c>
    </row>
    <row r="109">
      <c r="A109" s="14599" t="n">
        <v>26</v>
      </c>
      <c r="B109" s="14600" t="inlineStr">
        <is>
          <t>Chamapa-Lechería</t>
        </is>
      </c>
      <c r="C109" s="14601">
        <f>SUMIFS(Captura_Facturas_Mobil!$E:$E, Captura_Facturas_Mobil!$N:$N, A109, Captura_Facturas_Mobil!$D:$D, B109)</f>
        <v/>
      </c>
      <c r="D109" s="14602">
        <f>SUMIFS(Captura_Facturas_Mobil!$G:$G, Captura_Facturas_Mobil!$N:$N, A109, Captura_Facturas_Mobil!$D:$D, B109)</f>
        <v/>
      </c>
      <c r="E109" s="14603">
        <f>SUMIFS(Captura_Obra!$F:$F, Captura_Obra!$M:$M, A109, Captura_Obra!$B:$B, B109)</f>
        <v/>
      </c>
      <c r="F109" s="14604">
        <f>IFERROR(D109/C109, IFERROR(SUMIFS(Captura_Facturas_Mobil!$G:$G, Captura_Facturas_Mobil!$N:$N, A109)/SUMIFS(Captura_Facturas_Mobil!$E:$E, Captura_Facturas_Mobil!$N:$N, A109, Captura_Facturas_Mobil!$E:$E,"&gt;"&amp;0), 0))</f>
        <v/>
      </c>
      <c r="G109" s="14605" t="n"/>
      <c r="H109" s="14606" t="n"/>
      <c r="I109" s="14607">
        <f>IF(D109+G109=0, "", D109 - G109)</f>
        <v/>
      </c>
    </row>
    <row r="110">
      <c r="A110" s="14608" t="n">
        <v>26</v>
      </c>
      <c r="B110" s="14609" t="inlineStr">
        <is>
          <t>Bacheo Toluca</t>
        </is>
      </c>
      <c r="C110" s="14610">
        <f>SUMIFS(Captura_Facturas_Mobil!$E:$E, Captura_Facturas_Mobil!$N:$N, A110, Captura_Facturas_Mobil!$D:$D, B110)</f>
        <v/>
      </c>
      <c r="D110" s="14611">
        <f>SUMIFS(Captura_Facturas_Mobil!$G:$G, Captura_Facturas_Mobil!$N:$N, A110, Captura_Facturas_Mobil!$D:$D, B110)</f>
        <v/>
      </c>
      <c r="E110" s="14612">
        <f>SUMIFS(Captura_Obra!$F:$F, Captura_Obra!$M:$M, A110, Captura_Obra!$B:$B, B110)</f>
        <v/>
      </c>
      <c r="F110" s="14613">
        <f>IFERROR(D110/C110, IFERROR(SUMIFS(Captura_Facturas_Mobil!$G:$G, Captura_Facturas_Mobil!$N:$N, A110)/SUMIFS(Captura_Facturas_Mobil!$E:$E, Captura_Facturas_Mobil!$N:$N, A110, Captura_Facturas_Mobil!$E:$E,"&gt;"&amp;0), 0))</f>
        <v/>
      </c>
      <c r="G110" s="14614" t="n"/>
      <c r="H110" s="14615" t="n"/>
      <c r="I110" s="14616">
        <f>IF(D110+G110=0, "", D110 - G110)</f>
        <v/>
      </c>
    </row>
    <row r="111">
      <c r="A111" s="14617" t="n">
        <v>26</v>
      </c>
      <c r="B111" s="14618" t="inlineStr">
        <is>
          <t>Planta Asfalto Pegaso</t>
        </is>
      </c>
      <c r="C111" s="14619">
        <f>SUMIFS(Captura_Facturas_Mobil!$E:$E, Captura_Facturas_Mobil!$N:$N, A111, Captura_Facturas_Mobil!$D:$D, B111)</f>
        <v/>
      </c>
      <c r="D111" s="14620">
        <f>SUMIFS(Captura_Facturas_Mobil!$G:$G, Captura_Facturas_Mobil!$N:$N, A111, Captura_Facturas_Mobil!$D:$D, B111)</f>
        <v/>
      </c>
      <c r="E111" s="14621">
        <f>SUMIFS(Captura_Obra!$F:$F, Captura_Obra!$M:$M, A111, Captura_Obra!$B:$B, B111)</f>
        <v/>
      </c>
      <c r="F111" s="14622">
        <f>IFERROR(D111/C111, IFERROR(SUMIFS(Captura_Facturas_Mobil!$G:$G, Captura_Facturas_Mobil!$N:$N, A111)/SUMIFS(Captura_Facturas_Mobil!$E:$E, Captura_Facturas_Mobil!$N:$N, A111, Captura_Facturas_Mobil!$E:$E,"&gt;"&amp;0), 0))</f>
        <v/>
      </c>
      <c r="G111" s="14623" t="n"/>
      <c r="H111" s="14624" t="n"/>
      <c r="I111" s="14625">
        <f>IF(D111+G111=0, "", D111 - G111)</f>
        <v/>
      </c>
    </row>
    <row r="112">
      <c r="A112" s="14626" t="n">
        <v>26</v>
      </c>
      <c r="B112" s="14627" t="inlineStr">
        <is>
          <t>Planta Asflato Huixquilucan</t>
        </is>
      </c>
      <c r="C112" s="14628">
        <f>SUMIFS(Captura_Facturas_Mobil!$E:$E, Captura_Facturas_Mobil!$N:$N, A112, Captura_Facturas_Mobil!$D:$D, B112)</f>
        <v/>
      </c>
      <c r="D112" s="14629">
        <f>SUMIFS(Captura_Facturas_Mobil!$G:$G, Captura_Facturas_Mobil!$N:$N, A112, Captura_Facturas_Mobil!$D:$D, B112)</f>
        <v/>
      </c>
      <c r="E112" s="14630">
        <f>SUMIFS(Captura_Obra!$F:$F, Captura_Obra!$M:$M, A112, Captura_Obra!$B:$B, B112)</f>
        <v/>
      </c>
      <c r="F112" s="14631">
        <f>IFERROR(D112/C112, IFERROR(SUMIFS(Captura_Facturas_Mobil!$G:$G, Captura_Facturas_Mobil!$N:$N, A112)/SUMIFS(Captura_Facturas_Mobil!$E:$E, Captura_Facturas_Mobil!$N:$N, A112, Captura_Facturas_Mobil!$E:$E,"&gt;"&amp;0), 0))</f>
        <v/>
      </c>
      <c r="G112" s="14632" t="n"/>
      <c r="H112" s="14633" t="n"/>
      <c r="I112" s="14634">
        <f>IF(D112+G112=0, "", D112 - G112)</f>
        <v/>
      </c>
    </row>
    <row r="113">
      <c r="A113" s="14635" t="n">
        <v>26</v>
      </c>
      <c r="B113" s="14636" t="inlineStr">
        <is>
          <t>Dragones</t>
        </is>
      </c>
      <c r="C113" s="14637">
        <f>SUMIFS(Captura_Facturas_Mobil!$E:$E, Captura_Facturas_Mobil!$N:$N, A113, Captura_Facturas_Mobil!$D:$D, B113)</f>
        <v/>
      </c>
      <c r="D113" s="14638">
        <f>SUMIFS(Captura_Facturas_Mobil!$G:$G, Captura_Facturas_Mobil!$N:$N, A113, Captura_Facturas_Mobil!$D:$D, B113)</f>
        <v/>
      </c>
      <c r="E113" s="14639">
        <f>SUMIFS(Captura_Obra!$F:$F, Captura_Obra!$M:$M, A113, Captura_Obra!$B:$B, B113)</f>
        <v/>
      </c>
      <c r="F113" s="14640">
        <f>IFERROR(D113/C113, IFERROR(SUMIFS(Captura_Facturas_Mobil!$G:$G, Captura_Facturas_Mobil!$N:$N, A113)/SUMIFS(Captura_Facturas_Mobil!$E:$E, Captura_Facturas_Mobil!$N:$N, A113, Captura_Facturas_Mobil!$E:$E,"&gt;"&amp;0), 0))</f>
        <v/>
      </c>
      <c r="G113" s="14641" t="n"/>
      <c r="H113" s="14642" t="n"/>
      <c r="I113" s="14643">
        <f>IF(D113+G113=0, "", D113 - G113)</f>
        <v/>
      </c>
    </row>
    <row r="114">
      <c r="A114" s="14644" t="n">
        <v>26</v>
      </c>
      <c r="B114" s="14645" t="inlineStr">
        <is>
          <t>Jalisco</t>
        </is>
      </c>
      <c r="C114" s="14646">
        <f>SUMIFS(Captura_Facturas_Mobil!$E:$E, Captura_Facturas_Mobil!$N:$N, A114, Captura_Facturas_Mobil!$D:$D, B114)</f>
        <v/>
      </c>
      <c r="D114" s="14647">
        <f>SUMIFS(Captura_Facturas_Mobil!$G:$G, Captura_Facturas_Mobil!$N:$N, A114, Captura_Facturas_Mobil!$D:$D, B114)</f>
        <v/>
      </c>
      <c r="E114" s="14648">
        <f>SUMIFS(Captura_Obra!$F:$F, Captura_Obra!$M:$M, A114, Captura_Obra!$B:$B, B114)</f>
        <v/>
      </c>
      <c r="F114" s="14649">
        <f>IFERROR(D114/C114, IFERROR(SUMIFS(Captura_Facturas_Mobil!$G:$G, Captura_Facturas_Mobil!$N:$N, A114)/SUMIFS(Captura_Facturas_Mobil!$E:$E, Captura_Facturas_Mobil!$N:$N, A114, Captura_Facturas_Mobil!$E:$E,"&gt;"&amp;0), 0))</f>
        <v/>
      </c>
      <c r="G114" s="14650" t="n"/>
      <c r="H114" s="14651" t="n"/>
      <c r="I114" s="14652">
        <f>IF(D114+G114=0, "", D114 - G114)</f>
        <v/>
      </c>
    </row>
    <row r="115">
      <c r="A115" s="14653" t="n">
        <v>26</v>
      </c>
      <c r="B115" s="14654" t="inlineStr">
        <is>
          <t>Colegio Militar</t>
        </is>
      </c>
      <c r="C115" s="14655">
        <f>SUMIFS(Captura_Facturas_Mobil!$E:$E, Captura_Facturas_Mobil!$N:$N, A115, Captura_Facturas_Mobil!$D:$D, B115)</f>
        <v/>
      </c>
      <c r="D115" s="14656">
        <f>SUMIFS(Captura_Facturas_Mobil!$G:$G, Captura_Facturas_Mobil!$N:$N, A115, Captura_Facturas_Mobil!$D:$D, B115)</f>
        <v/>
      </c>
      <c r="E115" s="14657">
        <f>SUMIFS(Captura_Obra!$F:$F, Captura_Obra!$M:$M, A115, Captura_Obra!$B:$B, B115)</f>
        <v/>
      </c>
      <c r="F115" s="14658">
        <f>IFERROR(D115/C115, IFERROR(SUMIFS(Captura_Facturas_Mobil!$G:$G, Captura_Facturas_Mobil!$N:$N, A115)/SUMIFS(Captura_Facturas_Mobil!$E:$E, Captura_Facturas_Mobil!$N:$N, A115, Captura_Facturas_Mobil!$E:$E,"&gt;"&amp;0), 0))</f>
        <v/>
      </c>
      <c r="G115" s="14659" t="n"/>
      <c r="H115" s="14660" t="n"/>
      <c r="I115" s="14661">
        <f>IF(D115+G115=0, "", D115 - G115)</f>
        <v/>
      </c>
    </row>
    <row r="116">
      <c r="A116" s="14662" t="n">
        <v>26</v>
      </c>
      <c r="B116" s="14663" t="inlineStr">
        <is>
          <t>NO DETECTADA</t>
        </is>
      </c>
      <c r="C116" s="14664">
        <f>SUMIFS(Captura_Facturas_Mobil!$E:$E, Captura_Facturas_Mobil!$N:$N, A116, Captura_Facturas_Mobil!$D:$D, B116)</f>
        <v/>
      </c>
      <c r="D116" s="14665">
        <f>SUMIFS(Captura_Facturas_Mobil!$G:$G, Captura_Facturas_Mobil!$N:$N, A116, Captura_Facturas_Mobil!$D:$D, B116)</f>
        <v/>
      </c>
      <c r="E116" s="14666">
        <f>SUMIFS(Captura_Obra!$F:$F, Captura_Obra!$M:$M, A116, Captura_Obra!$B:$B, B116)</f>
        <v/>
      </c>
      <c r="F116" s="14667">
        <f>IFERROR(D116/C116, IFERROR(SUMIFS(Captura_Facturas_Mobil!$G:$G, Captura_Facturas_Mobil!$N:$N, A116)/SUMIFS(Captura_Facturas_Mobil!$E:$E, Captura_Facturas_Mobil!$N:$N, A116, Captura_Facturas_Mobil!$E:$E,"&gt;"&amp;0), 0))</f>
        <v/>
      </c>
      <c r="G116" s="14668" t="n"/>
      <c r="H116" s="14669" t="n"/>
      <c r="I116" s="14670">
        <f>IF(D116+G116=0, "", D116 - G116)</f>
        <v/>
      </c>
    </row>
    <row r="117">
      <c r="A117" s="14671" t="inlineStr">
        <is>
          <t>TOTAL GENERAL</t>
        </is>
      </c>
      <c r="B117" s="14672" t="n"/>
      <c r="C117" s="14673">
        <f>SUBTOTAL(9, C57:C116)</f>
        <v/>
      </c>
      <c r="D117" s="14674">
        <f>SUBTOTAL(9, D57:D116)</f>
        <v/>
      </c>
      <c r="E117" s="14675">
        <f>SUBTOTAL(9, E57:E116)</f>
        <v/>
      </c>
      <c r="F117" s="14679" t="n"/>
      <c r="G117" s="14676">
        <f>SUBTOTAL(9, G57:G116)</f>
        <v/>
      </c>
      <c r="H117" s="14677">
        <f>SUBTOTAL(9, H57:H116)</f>
        <v/>
      </c>
      <c r="I117" s="14678">
        <f>SUBTOTAL(9, I57:I116)</f>
        <v/>
      </c>
    </row>
    <row r="120" ht="19.95" customHeight="1" s="17580">
      <c r="A120" s="17642" t="inlineStr">
        <is>
          <t>6. AUDITORÍA FINANCIERA DIRECTA: COBRO EN BANCO vs CONSUMO DE MAQUINARIA EN OBRA</t>
        </is>
      </c>
    </row>
    <row r="121" ht="40.05" customHeight="1" s="17580">
      <c r="A121" s="14680" t="inlineStr">
        <is>
          <t>Semana</t>
        </is>
      </c>
      <c r="B121" s="14681" t="inlineStr">
        <is>
          <t>Obra</t>
        </is>
      </c>
      <c r="C121" s="14682" t="inlineStr">
        <is>
          <t>$ Cobrado Gasolinera
(Estado Cta)</t>
        </is>
      </c>
      <c r="D121" s="14683" t="inlineStr">
        <is>
          <t>Lts Consumidos
Máquinas (Obra)</t>
        </is>
      </c>
      <c r="E121" s="14684" t="inlineStr">
        <is>
          <t>Precio Dinámico CFDI
($/L)</t>
        </is>
      </c>
      <c r="F121" s="14685" t="inlineStr">
        <is>
          <t>Costo Real Máquinas
($)</t>
        </is>
      </c>
      <c r="G121" s="14686" t="inlineStr">
        <is>
          <t>Diferencia Cobrado vs
Consumido ($)</t>
        </is>
      </c>
      <c r="H121" s="14687" t="inlineStr">
        <is>
          <t>Estatus</t>
        </is>
      </c>
    </row>
    <row r="122">
      <c r="A122" s="14688" t="n">
        <v>21</v>
      </c>
      <c r="B122" s="14689" t="inlineStr">
        <is>
          <t>México-Toluca</t>
        </is>
      </c>
      <c r="C122" s="14690">
        <f>SUMIFS(Estados_Cuenta_Mobil!$F:$F, Estados_Cuenta_Mobil!$C:$C, A122, Estados_Cuenta_Mobil!$D:$D, B122)</f>
        <v/>
      </c>
      <c r="D122" s="14691">
        <f>SUMIFS(Captura_Obra!$F:$F, Captura_Obra!$M:$M, A122, Captura_Obra!$B:$B, B122)</f>
        <v/>
      </c>
      <c r="E122" s="14692">
        <f>IFERROR(SUMIFS(Captura_Facturas_Mobil!$G:$G, Captura_Facturas_Mobil!$N:$N, A122, Captura_Facturas_Mobil!$D:$D, B122) / SUMIFS(Captura_Facturas_Mobil!$E:$E, Captura_Facturas_Mobil!$N:$N, A122, Captura_Facturas_Mobil!$D:$D, B122), IFERROR(SUMIFS(Captura_Facturas_Mobil!$G:$G, Captura_Facturas_Mobil!$N:$N, A122)/SUMIFS(Captura_Facturas_Mobil!$E:$E, Captura_Facturas_Mobil!$N:$N, A122, Captura_Facturas_Mobil!$E:$E,"&gt;"&amp;0), 27))</f>
        <v/>
      </c>
      <c r="F122" s="14693">
        <f>D122 * E122</f>
        <v/>
      </c>
      <c r="G122" s="14694">
        <f>IF(C122+D122=0, "", C122 - F122)</f>
        <v/>
      </c>
      <c r="H122" s="14695">
        <f>IF(C122+D122=0, "", IF(G122&gt;10, "⚠️ Pagamos de MÁS (o se fue a Tanque)", IF(G122&lt;-10, "🚨 Máquinas quemaron MÁS de lo pagado", "✅ Cuadrado")))</f>
        <v/>
      </c>
    </row>
    <row r="123">
      <c r="A123" s="14696" t="n">
        <v>21</v>
      </c>
      <c r="B123" s="14697" t="inlineStr">
        <is>
          <t>Lerma - Tres Marías</t>
        </is>
      </c>
      <c r="C123" s="14698">
        <f>SUMIFS(Estados_Cuenta_Mobil!$F:$F, Estados_Cuenta_Mobil!$C:$C, A123, Estados_Cuenta_Mobil!$D:$D, B123)</f>
        <v/>
      </c>
      <c r="D123" s="14699">
        <f>SUMIFS(Captura_Obra!$F:$F, Captura_Obra!$M:$M, A123, Captura_Obra!$B:$B, B123)</f>
        <v/>
      </c>
      <c r="E123" s="14700">
        <f>IFERROR(SUMIFS(Captura_Facturas_Mobil!$G:$G, Captura_Facturas_Mobil!$N:$N, A123, Captura_Facturas_Mobil!$D:$D, B123) / SUMIFS(Captura_Facturas_Mobil!$E:$E, Captura_Facturas_Mobil!$N:$N, A123, Captura_Facturas_Mobil!$D:$D, B123), IFERROR(SUMIFS(Captura_Facturas_Mobil!$G:$G, Captura_Facturas_Mobil!$N:$N, A123)/SUMIFS(Captura_Facturas_Mobil!$E:$E, Captura_Facturas_Mobil!$N:$N, A123, Captura_Facturas_Mobil!$E:$E,"&gt;"&amp;0), 27))</f>
        <v/>
      </c>
      <c r="F123" s="14701">
        <f>D123 * E123</f>
        <v/>
      </c>
      <c r="G123" s="14702">
        <f>IF(C123+D123=0, "", C123 - F123)</f>
        <v/>
      </c>
      <c r="H123" s="14703">
        <f>IF(C123+D123=0, "", IF(G123&gt;10, "⚠️ Pagamos de MÁS (o se fue a Tanque)", IF(G123&lt;-10, "🚨 Máquinas quemaron MÁS de lo pagado", "✅ Cuadrado")))</f>
        <v/>
      </c>
    </row>
    <row r="124">
      <c r="A124" s="14704" t="n">
        <v>21</v>
      </c>
      <c r="B124" s="14705" t="inlineStr">
        <is>
          <t>Chamapa-Lechería</t>
        </is>
      </c>
      <c r="C124" s="14706">
        <f>SUMIFS(Estados_Cuenta_Mobil!$F:$F, Estados_Cuenta_Mobil!$C:$C, A124, Estados_Cuenta_Mobil!$D:$D, B124)</f>
        <v/>
      </c>
      <c r="D124" s="14707">
        <f>SUMIFS(Captura_Obra!$F:$F, Captura_Obra!$M:$M, A124, Captura_Obra!$B:$B, B124)</f>
        <v/>
      </c>
      <c r="E124" s="14708">
        <f>IFERROR(SUMIFS(Captura_Facturas_Mobil!$G:$G, Captura_Facturas_Mobil!$N:$N, A124, Captura_Facturas_Mobil!$D:$D, B124) / SUMIFS(Captura_Facturas_Mobil!$E:$E, Captura_Facturas_Mobil!$N:$N, A124, Captura_Facturas_Mobil!$D:$D, B124), IFERROR(SUMIFS(Captura_Facturas_Mobil!$G:$G, Captura_Facturas_Mobil!$N:$N, A124)/SUMIFS(Captura_Facturas_Mobil!$E:$E, Captura_Facturas_Mobil!$N:$N, A124, Captura_Facturas_Mobil!$E:$E,"&gt;"&amp;0), 27))</f>
        <v/>
      </c>
      <c r="F124" s="14709">
        <f>D124 * E124</f>
        <v/>
      </c>
      <c r="G124" s="14710">
        <f>IF(C124+D124=0, "", C124 - F124)</f>
        <v/>
      </c>
      <c r="H124" s="14711">
        <f>IF(C124+D124=0, "", IF(G124&gt;10, "⚠️ Pagamos de MÁS (o se fue a Tanque)", IF(G124&lt;-10, "🚨 Máquinas quemaron MÁS de lo pagado", "✅ Cuadrado")))</f>
        <v/>
      </c>
    </row>
    <row r="125">
      <c r="A125" s="14712" t="n">
        <v>21</v>
      </c>
      <c r="B125" s="14713" t="inlineStr">
        <is>
          <t>Bacheo Toluca</t>
        </is>
      </c>
      <c r="C125" s="14714">
        <f>SUMIFS(Estados_Cuenta_Mobil!$F:$F, Estados_Cuenta_Mobil!$C:$C, A125, Estados_Cuenta_Mobil!$D:$D, B125)</f>
        <v/>
      </c>
      <c r="D125" s="14715">
        <f>SUMIFS(Captura_Obra!$F:$F, Captura_Obra!$M:$M, A125, Captura_Obra!$B:$B, B125)</f>
        <v/>
      </c>
      <c r="E125" s="14716">
        <f>IFERROR(SUMIFS(Captura_Facturas_Mobil!$G:$G, Captura_Facturas_Mobil!$N:$N, A125, Captura_Facturas_Mobil!$D:$D, B125) / SUMIFS(Captura_Facturas_Mobil!$E:$E, Captura_Facturas_Mobil!$N:$N, A125, Captura_Facturas_Mobil!$D:$D, B125), IFERROR(SUMIFS(Captura_Facturas_Mobil!$G:$G, Captura_Facturas_Mobil!$N:$N, A125)/SUMIFS(Captura_Facturas_Mobil!$E:$E, Captura_Facturas_Mobil!$N:$N, A125, Captura_Facturas_Mobil!$E:$E,"&gt;"&amp;0), 27))</f>
        <v/>
      </c>
      <c r="F125" s="14717">
        <f>D125 * E125</f>
        <v/>
      </c>
      <c r="G125" s="14718">
        <f>IF(C125+D125=0, "", C125 - F125)</f>
        <v/>
      </c>
      <c r="H125" s="14719">
        <f>IF(C125+D125=0, "", IF(G125&gt;10, "⚠️ Pagamos de MÁS (o se fue a Tanque)", IF(G125&lt;-10, "🚨 Máquinas quemaron MÁS de lo pagado", "✅ Cuadrado")))</f>
        <v/>
      </c>
    </row>
    <row r="126">
      <c r="A126" s="14720" t="n">
        <v>21</v>
      </c>
      <c r="B126" s="14721" t="inlineStr">
        <is>
          <t>Planta Asfalto Pegaso</t>
        </is>
      </c>
      <c r="C126" s="14722">
        <f>SUMIFS(Estados_Cuenta_Mobil!$F:$F, Estados_Cuenta_Mobil!$C:$C, A126, Estados_Cuenta_Mobil!$D:$D, B126)</f>
        <v/>
      </c>
      <c r="D126" s="14723">
        <f>SUMIFS(Captura_Obra!$F:$F, Captura_Obra!$M:$M, A126, Captura_Obra!$B:$B, B126)</f>
        <v/>
      </c>
      <c r="E126" s="14724">
        <f>IFERROR(SUMIFS(Captura_Facturas_Mobil!$G:$G, Captura_Facturas_Mobil!$N:$N, A126, Captura_Facturas_Mobil!$D:$D, B126) / SUMIFS(Captura_Facturas_Mobil!$E:$E, Captura_Facturas_Mobil!$N:$N, A126, Captura_Facturas_Mobil!$D:$D, B126), IFERROR(SUMIFS(Captura_Facturas_Mobil!$G:$G, Captura_Facturas_Mobil!$N:$N, A126)/SUMIFS(Captura_Facturas_Mobil!$E:$E, Captura_Facturas_Mobil!$N:$N, A126, Captura_Facturas_Mobil!$E:$E,"&gt;"&amp;0), 27))</f>
        <v/>
      </c>
      <c r="F126" s="14725">
        <f>D126 * E126</f>
        <v/>
      </c>
      <c r="G126" s="14726">
        <f>IF(C126+D126=0, "", C126 - F126)</f>
        <v/>
      </c>
      <c r="H126" s="14727">
        <f>IF(C126+D126=0, "", IF(G126&gt;10, "⚠️ Pagamos de MÁS (o se fue a Tanque)", IF(G126&lt;-10, "🚨 Máquinas quemaron MÁS de lo pagado", "✅ Cuadrado")))</f>
        <v/>
      </c>
    </row>
    <row r="127">
      <c r="A127" s="14728" t="n">
        <v>21</v>
      </c>
      <c r="B127" s="14729" t="inlineStr">
        <is>
          <t>Planta Asflato Huixquilucan</t>
        </is>
      </c>
      <c r="C127" s="14730">
        <f>SUMIFS(Estados_Cuenta_Mobil!$F:$F, Estados_Cuenta_Mobil!$C:$C, A127, Estados_Cuenta_Mobil!$D:$D, B127)</f>
        <v/>
      </c>
      <c r="D127" s="14731">
        <f>SUMIFS(Captura_Obra!$F:$F, Captura_Obra!$M:$M, A127, Captura_Obra!$B:$B, B127)</f>
        <v/>
      </c>
      <c r="E127" s="14732">
        <f>IFERROR(SUMIFS(Captura_Facturas_Mobil!$G:$G, Captura_Facturas_Mobil!$N:$N, A127, Captura_Facturas_Mobil!$D:$D, B127) / SUMIFS(Captura_Facturas_Mobil!$E:$E, Captura_Facturas_Mobil!$N:$N, A127, Captura_Facturas_Mobil!$D:$D, B127), IFERROR(SUMIFS(Captura_Facturas_Mobil!$G:$G, Captura_Facturas_Mobil!$N:$N, A127)/SUMIFS(Captura_Facturas_Mobil!$E:$E, Captura_Facturas_Mobil!$N:$N, A127, Captura_Facturas_Mobil!$E:$E,"&gt;"&amp;0), 27))</f>
        <v/>
      </c>
      <c r="F127" s="14733">
        <f>D127 * E127</f>
        <v/>
      </c>
      <c r="G127" s="14734">
        <f>IF(C127+D127=0, "", C127 - F127)</f>
        <v/>
      </c>
      <c r="H127" s="14735">
        <f>IF(C127+D127=0, "", IF(G127&gt;10, "⚠️ Pagamos de MÁS (o se fue a Tanque)", IF(G127&lt;-10, "🚨 Máquinas quemaron MÁS de lo pagado", "✅ Cuadrado")))</f>
        <v/>
      </c>
    </row>
    <row r="128">
      <c r="A128" s="14736" t="n">
        <v>21</v>
      </c>
      <c r="B128" s="14737" t="inlineStr">
        <is>
          <t>Dragones</t>
        </is>
      </c>
      <c r="C128" s="14738">
        <f>SUMIFS(Estados_Cuenta_Mobil!$F:$F, Estados_Cuenta_Mobil!$C:$C, A128, Estados_Cuenta_Mobil!$D:$D, B128)</f>
        <v/>
      </c>
      <c r="D128" s="14739">
        <f>SUMIFS(Captura_Obra!$F:$F, Captura_Obra!$M:$M, A128, Captura_Obra!$B:$B, B128)</f>
        <v/>
      </c>
      <c r="E128" s="14740">
        <f>IFERROR(SUMIFS(Captura_Facturas_Mobil!$G:$G, Captura_Facturas_Mobil!$N:$N, A128, Captura_Facturas_Mobil!$D:$D, B128) / SUMIFS(Captura_Facturas_Mobil!$E:$E, Captura_Facturas_Mobil!$N:$N, A128, Captura_Facturas_Mobil!$D:$D, B128), IFERROR(SUMIFS(Captura_Facturas_Mobil!$G:$G, Captura_Facturas_Mobil!$N:$N, A128)/SUMIFS(Captura_Facturas_Mobil!$E:$E, Captura_Facturas_Mobil!$N:$N, A128, Captura_Facturas_Mobil!$E:$E,"&gt;"&amp;0), 27))</f>
        <v/>
      </c>
      <c r="F128" s="14741">
        <f>D128 * E128</f>
        <v/>
      </c>
      <c r="G128" s="14742">
        <f>IF(C128+D128=0, "", C128 - F128)</f>
        <v/>
      </c>
      <c r="H128" s="14743">
        <f>IF(C128+D128=0, "", IF(G128&gt;10, "⚠️ Pagamos de MÁS (o se fue a Tanque)", IF(G128&lt;-10, "🚨 Máquinas quemaron MÁS de lo pagado", "✅ Cuadrado")))</f>
        <v/>
      </c>
    </row>
    <row r="129">
      <c r="A129" s="14744" t="n">
        <v>21</v>
      </c>
      <c r="B129" s="14745" t="inlineStr">
        <is>
          <t>Jalisco</t>
        </is>
      </c>
      <c r="C129" s="14746">
        <f>SUMIFS(Estados_Cuenta_Mobil!$F:$F, Estados_Cuenta_Mobil!$C:$C, A129, Estados_Cuenta_Mobil!$D:$D, B129)</f>
        <v/>
      </c>
      <c r="D129" s="14747">
        <f>SUMIFS(Captura_Obra!$F:$F, Captura_Obra!$M:$M, A129, Captura_Obra!$B:$B, B129)</f>
        <v/>
      </c>
      <c r="E129" s="14748">
        <f>IFERROR(SUMIFS(Captura_Facturas_Mobil!$G:$G, Captura_Facturas_Mobil!$N:$N, A129, Captura_Facturas_Mobil!$D:$D, B129) / SUMIFS(Captura_Facturas_Mobil!$E:$E, Captura_Facturas_Mobil!$N:$N, A129, Captura_Facturas_Mobil!$D:$D, B129), IFERROR(SUMIFS(Captura_Facturas_Mobil!$G:$G, Captura_Facturas_Mobil!$N:$N, A129)/SUMIFS(Captura_Facturas_Mobil!$E:$E, Captura_Facturas_Mobil!$N:$N, A129, Captura_Facturas_Mobil!$E:$E,"&gt;"&amp;0), 27))</f>
        <v/>
      </c>
      <c r="F129" s="14749">
        <f>D129 * E129</f>
        <v/>
      </c>
      <c r="G129" s="14750">
        <f>IF(C129+D129=0, "", C129 - F129)</f>
        <v/>
      </c>
      <c r="H129" s="14751">
        <f>IF(C129+D129=0, "", IF(G129&gt;10, "⚠️ Pagamos de MÁS (o se fue a Tanque)", IF(G129&lt;-10, "🚨 Máquinas quemaron MÁS de lo pagado", "✅ Cuadrado")))</f>
        <v/>
      </c>
    </row>
    <row r="130">
      <c r="A130" s="14752" t="n">
        <v>21</v>
      </c>
      <c r="B130" s="14753" t="inlineStr">
        <is>
          <t>Colegio Militar</t>
        </is>
      </c>
      <c r="C130" s="14754">
        <f>SUMIFS(Estados_Cuenta_Mobil!$F:$F, Estados_Cuenta_Mobil!$C:$C, A130, Estados_Cuenta_Mobil!$D:$D, B130)</f>
        <v/>
      </c>
      <c r="D130" s="14755">
        <f>SUMIFS(Captura_Obra!$F:$F, Captura_Obra!$M:$M, A130, Captura_Obra!$B:$B, B130)</f>
        <v/>
      </c>
      <c r="E130" s="14756">
        <f>IFERROR(SUMIFS(Captura_Facturas_Mobil!$G:$G, Captura_Facturas_Mobil!$N:$N, A130, Captura_Facturas_Mobil!$D:$D, B130) / SUMIFS(Captura_Facturas_Mobil!$E:$E, Captura_Facturas_Mobil!$N:$N, A130, Captura_Facturas_Mobil!$D:$D, B130), IFERROR(SUMIFS(Captura_Facturas_Mobil!$G:$G, Captura_Facturas_Mobil!$N:$N, A130)/SUMIFS(Captura_Facturas_Mobil!$E:$E, Captura_Facturas_Mobil!$N:$N, A130, Captura_Facturas_Mobil!$E:$E,"&gt;"&amp;0), 27))</f>
        <v/>
      </c>
      <c r="F130" s="14757">
        <f>D130 * E130</f>
        <v/>
      </c>
      <c r="G130" s="14758">
        <f>IF(C130+D130=0, "", C130 - F130)</f>
        <v/>
      </c>
      <c r="H130" s="14759">
        <f>IF(C130+D130=0, "", IF(G130&gt;10, "⚠️ Pagamos de MÁS (o se fue a Tanque)", IF(G130&lt;-10, "🚨 Máquinas quemaron MÁS de lo pagado", "✅ Cuadrado")))</f>
        <v/>
      </c>
    </row>
    <row r="131">
      <c r="A131" s="14760" t="n">
        <v>21</v>
      </c>
      <c r="B131" s="14761" t="inlineStr">
        <is>
          <t>NO DETECTADA</t>
        </is>
      </c>
      <c r="C131" s="14762">
        <f>SUMIFS(Estados_Cuenta_Mobil!$F:$F, Estados_Cuenta_Mobil!$C:$C, A131, Estados_Cuenta_Mobil!$D:$D, B131)</f>
        <v/>
      </c>
      <c r="D131" s="14763">
        <f>SUMIFS(Captura_Obra!$F:$F, Captura_Obra!$M:$M, A131, Captura_Obra!$B:$B, B131)</f>
        <v/>
      </c>
      <c r="E131" s="14764">
        <f>IFERROR(SUMIFS(Captura_Facturas_Mobil!$G:$G, Captura_Facturas_Mobil!$N:$N, A131, Captura_Facturas_Mobil!$D:$D, B131) / SUMIFS(Captura_Facturas_Mobil!$E:$E, Captura_Facturas_Mobil!$N:$N, A131, Captura_Facturas_Mobil!$D:$D, B131), IFERROR(SUMIFS(Captura_Facturas_Mobil!$G:$G, Captura_Facturas_Mobil!$N:$N, A131)/SUMIFS(Captura_Facturas_Mobil!$E:$E, Captura_Facturas_Mobil!$N:$N, A131, Captura_Facturas_Mobil!$E:$E,"&gt;"&amp;0), 27))</f>
        <v/>
      </c>
      <c r="F131" s="14765">
        <f>D131 * E131</f>
        <v/>
      </c>
      <c r="G131" s="14766">
        <f>IF(C131+D131=0, "", C131 - F131)</f>
        <v/>
      </c>
      <c r="H131" s="14767">
        <f>IF(C131+D131=0, "", IF(G131&gt;10, "⚠️ Pagamos de MÁS (o se fue a Tanque)", IF(G131&lt;-10, "🚨 Máquinas quemaron MÁS de lo pagado", "✅ Cuadrado")))</f>
        <v/>
      </c>
    </row>
    <row r="132">
      <c r="A132" s="14768" t="n">
        <v>22</v>
      </c>
      <c r="B132" s="14769" t="inlineStr">
        <is>
          <t>México-Toluca</t>
        </is>
      </c>
      <c r="C132" s="14770">
        <f>SUMIFS(Estados_Cuenta_Mobil!$F:$F, Estados_Cuenta_Mobil!$C:$C, A132, Estados_Cuenta_Mobil!$D:$D, B132)</f>
        <v/>
      </c>
      <c r="D132" s="14771">
        <f>SUMIFS(Captura_Obra!$F:$F, Captura_Obra!$M:$M, A132, Captura_Obra!$B:$B, B132)</f>
        <v/>
      </c>
      <c r="E132" s="14772">
        <f>IFERROR(SUMIFS(Captura_Facturas_Mobil!$G:$G, Captura_Facturas_Mobil!$N:$N, A132, Captura_Facturas_Mobil!$D:$D, B132) / SUMIFS(Captura_Facturas_Mobil!$E:$E, Captura_Facturas_Mobil!$N:$N, A132, Captura_Facturas_Mobil!$D:$D, B132), IFERROR(SUMIFS(Captura_Facturas_Mobil!$G:$G, Captura_Facturas_Mobil!$N:$N, A132)/SUMIFS(Captura_Facturas_Mobil!$E:$E, Captura_Facturas_Mobil!$N:$N, A132, Captura_Facturas_Mobil!$E:$E,"&gt;"&amp;0), 27))</f>
        <v/>
      </c>
      <c r="F132" s="14773">
        <f>D132 * E132</f>
        <v/>
      </c>
      <c r="G132" s="14774">
        <f>IF(C132+D132=0, "", C132 - F132)</f>
        <v/>
      </c>
      <c r="H132" s="14775">
        <f>IF(C132+D132=0, "", IF(G132&gt;10, "⚠️ Pagamos de MÁS (o se fue a Tanque)", IF(G132&lt;-10, "🚨 Máquinas quemaron MÁS de lo pagado", "✅ Cuadrado")))</f>
        <v/>
      </c>
    </row>
    <row r="133">
      <c r="A133" s="14776" t="n">
        <v>22</v>
      </c>
      <c r="B133" s="14777" t="inlineStr">
        <is>
          <t>Lerma - Tres Marías</t>
        </is>
      </c>
      <c r="C133" s="14778">
        <f>SUMIFS(Estados_Cuenta_Mobil!$F:$F, Estados_Cuenta_Mobil!$C:$C, A133, Estados_Cuenta_Mobil!$D:$D, B133)</f>
        <v/>
      </c>
      <c r="D133" s="14779">
        <f>SUMIFS(Captura_Obra!$F:$F, Captura_Obra!$M:$M, A133, Captura_Obra!$B:$B, B133)</f>
        <v/>
      </c>
      <c r="E133" s="14780">
        <f>IFERROR(SUMIFS(Captura_Facturas_Mobil!$G:$G, Captura_Facturas_Mobil!$N:$N, A133, Captura_Facturas_Mobil!$D:$D, B133) / SUMIFS(Captura_Facturas_Mobil!$E:$E, Captura_Facturas_Mobil!$N:$N, A133, Captura_Facturas_Mobil!$D:$D, B133), IFERROR(SUMIFS(Captura_Facturas_Mobil!$G:$G, Captura_Facturas_Mobil!$N:$N, A133)/SUMIFS(Captura_Facturas_Mobil!$E:$E, Captura_Facturas_Mobil!$N:$N, A133, Captura_Facturas_Mobil!$E:$E,"&gt;"&amp;0), 27))</f>
        <v/>
      </c>
      <c r="F133" s="14781">
        <f>D133 * E133</f>
        <v/>
      </c>
      <c r="G133" s="14782">
        <f>IF(C133+D133=0, "", C133 - F133)</f>
        <v/>
      </c>
      <c r="H133" s="14783">
        <f>IF(C133+D133=0, "", IF(G133&gt;10, "⚠️ Pagamos de MÁS (o se fue a Tanque)", IF(G133&lt;-10, "🚨 Máquinas quemaron MÁS de lo pagado", "✅ Cuadrado")))</f>
        <v/>
      </c>
    </row>
    <row r="134">
      <c r="A134" s="14784" t="n">
        <v>22</v>
      </c>
      <c r="B134" s="14785" t="inlineStr">
        <is>
          <t>Chamapa-Lechería</t>
        </is>
      </c>
      <c r="C134" s="14786">
        <f>SUMIFS(Estados_Cuenta_Mobil!$F:$F, Estados_Cuenta_Mobil!$C:$C, A134, Estados_Cuenta_Mobil!$D:$D, B134)</f>
        <v/>
      </c>
      <c r="D134" s="14787">
        <f>SUMIFS(Captura_Obra!$F:$F, Captura_Obra!$M:$M, A134, Captura_Obra!$B:$B, B134)</f>
        <v/>
      </c>
      <c r="E134" s="14788">
        <f>IFERROR(SUMIFS(Captura_Facturas_Mobil!$G:$G, Captura_Facturas_Mobil!$N:$N, A134, Captura_Facturas_Mobil!$D:$D, B134) / SUMIFS(Captura_Facturas_Mobil!$E:$E, Captura_Facturas_Mobil!$N:$N, A134, Captura_Facturas_Mobil!$D:$D, B134), IFERROR(SUMIFS(Captura_Facturas_Mobil!$G:$G, Captura_Facturas_Mobil!$N:$N, A134)/SUMIFS(Captura_Facturas_Mobil!$E:$E, Captura_Facturas_Mobil!$N:$N, A134, Captura_Facturas_Mobil!$E:$E,"&gt;"&amp;0), 27))</f>
        <v/>
      </c>
      <c r="F134" s="14789">
        <f>D134 * E134</f>
        <v/>
      </c>
      <c r="G134" s="14790">
        <f>IF(C134+D134=0, "", C134 - F134)</f>
        <v/>
      </c>
      <c r="H134" s="14791">
        <f>IF(C134+D134=0, "", IF(G134&gt;10, "⚠️ Pagamos de MÁS (o se fue a Tanque)", IF(G134&lt;-10, "🚨 Máquinas quemaron MÁS de lo pagado", "✅ Cuadrado")))</f>
        <v/>
      </c>
    </row>
    <row r="135">
      <c r="A135" s="14792" t="n">
        <v>22</v>
      </c>
      <c r="B135" s="14793" t="inlineStr">
        <is>
          <t>Bacheo Toluca</t>
        </is>
      </c>
      <c r="C135" s="14794">
        <f>SUMIFS(Estados_Cuenta_Mobil!$F:$F, Estados_Cuenta_Mobil!$C:$C, A135, Estados_Cuenta_Mobil!$D:$D, B135)</f>
        <v/>
      </c>
      <c r="D135" s="14795">
        <f>SUMIFS(Captura_Obra!$F:$F, Captura_Obra!$M:$M, A135, Captura_Obra!$B:$B, B135)</f>
        <v/>
      </c>
      <c r="E135" s="14796">
        <f>IFERROR(SUMIFS(Captura_Facturas_Mobil!$G:$G, Captura_Facturas_Mobil!$N:$N, A135, Captura_Facturas_Mobil!$D:$D, B135) / SUMIFS(Captura_Facturas_Mobil!$E:$E, Captura_Facturas_Mobil!$N:$N, A135, Captura_Facturas_Mobil!$D:$D, B135), IFERROR(SUMIFS(Captura_Facturas_Mobil!$G:$G, Captura_Facturas_Mobil!$N:$N, A135)/SUMIFS(Captura_Facturas_Mobil!$E:$E, Captura_Facturas_Mobil!$N:$N, A135, Captura_Facturas_Mobil!$E:$E,"&gt;"&amp;0), 27))</f>
        <v/>
      </c>
      <c r="F135" s="14797">
        <f>D135 * E135</f>
        <v/>
      </c>
      <c r="G135" s="14798">
        <f>IF(C135+D135=0, "", C135 - F135)</f>
        <v/>
      </c>
      <c r="H135" s="14799">
        <f>IF(C135+D135=0, "", IF(G135&gt;10, "⚠️ Pagamos de MÁS (o se fue a Tanque)", IF(G135&lt;-10, "🚨 Máquinas quemaron MÁS de lo pagado", "✅ Cuadrado")))</f>
        <v/>
      </c>
    </row>
    <row r="136">
      <c r="A136" s="14800" t="n">
        <v>22</v>
      </c>
      <c r="B136" s="14801" t="inlineStr">
        <is>
          <t>Planta Asfalto Pegaso</t>
        </is>
      </c>
      <c r="C136" s="14802">
        <f>SUMIFS(Estados_Cuenta_Mobil!$F:$F, Estados_Cuenta_Mobil!$C:$C, A136, Estados_Cuenta_Mobil!$D:$D, B136)</f>
        <v/>
      </c>
      <c r="D136" s="14803">
        <f>SUMIFS(Captura_Obra!$F:$F, Captura_Obra!$M:$M, A136, Captura_Obra!$B:$B, B136)</f>
        <v/>
      </c>
      <c r="E136" s="14804">
        <f>IFERROR(SUMIFS(Captura_Facturas_Mobil!$G:$G, Captura_Facturas_Mobil!$N:$N, A136, Captura_Facturas_Mobil!$D:$D, B136) / SUMIFS(Captura_Facturas_Mobil!$E:$E, Captura_Facturas_Mobil!$N:$N, A136, Captura_Facturas_Mobil!$D:$D, B136), IFERROR(SUMIFS(Captura_Facturas_Mobil!$G:$G, Captura_Facturas_Mobil!$N:$N, A136)/SUMIFS(Captura_Facturas_Mobil!$E:$E, Captura_Facturas_Mobil!$N:$N, A136, Captura_Facturas_Mobil!$E:$E,"&gt;"&amp;0), 27))</f>
        <v/>
      </c>
      <c r="F136" s="14805">
        <f>D136 * E136</f>
        <v/>
      </c>
      <c r="G136" s="14806">
        <f>IF(C136+D136=0, "", C136 - F136)</f>
        <v/>
      </c>
      <c r="H136" s="14807">
        <f>IF(C136+D136=0, "", IF(G136&gt;10, "⚠️ Pagamos de MÁS (o se fue a Tanque)", IF(G136&lt;-10, "🚨 Máquinas quemaron MÁS de lo pagado", "✅ Cuadrado")))</f>
        <v/>
      </c>
    </row>
    <row r="137">
      <c r="A137" s="14808" t="n">
        <v>22</v>
      </c>
      <c r="B137" s="14809" t="inlineStr">
        <is>
          <t>Planta Asflato Huixquilucan</t>
        </is>
      </c>
      <c r="C137" s="14810">
        <f>SUMIFS(Estados_Cuenta_Mobil!$F:$F, Estados_Cuenta_Mobil!$C:$C, A137, Estados_Cuenta_Mobil!$D:$D, B137)</f>
        <v/>
      </c>
      <c r="D137" s="14811">
        <f>SUMIFS(Captura_Obra!$F:$F, Captura_Obra!$M:$M, A137, Captura_Obra!$B:$B, B137)</f>
        <v/>
      </c>
      <c r="E137" s="14812">
        <f>IFERROR(SUMIFS(Captura_Facturas_Mobil!$G:$G, Captura_Facturas_Mobil!$N:$N, A137, Captura_Facturas_Mobil!$D:$D, B137) / SUMIFS(Captura_Facturas_Mobil!$E:$E, Captura_Facturas_Mobil!$N:$N, A137, Captura_Facturas_Mobil!$D:$D, B137), IFERROR(SUMIFS(Captura_Facturas_Mobil!$G:$G, Captura_Facturas_Mobil!$N:$N, A137)/SUMIFS(Captura_Facturas_Mobil!$E:$E, Captura_Facturas_Mobil!$N:$N, A137, Captura_Facturas_Mobil!$E:$E,"&gt;"&amp;0), 27))</f>
        <v/>
      </c>
      <c r="F137" s="14813">
        <f>D137 * E137</f>
        <v/>
      </c>
      <c r="G137" s="14814">
        <f>IF(C137+D137=0, "", C137 - F137)</f>
        <v/>
      </c>
      <c r="H137" s="14815">
        <f>IF(C137+D137=0, "", IF(G137&gt;10, "⚠️ Pagamos de MÁS (o se fue a Tanque)", IF(G137&lt;-10, "🚨 Máquinas quemaron MÁS de lo pagado", "✅ Cuadrado")))</f>
        <v/>
      </c>
    </row>
    <row r="138">
      <c r="A138" s="14816" t="n">
        <v>22</v>
      </c>
      <c r="B138" s="14817" t="inlineStr">
        <is>
          <t>Dragones</t>
        </is>
      </c>
      <c r="C138" s="14818">
        <f>SUMIFS(Estados_Cuenta_Mobil!$F:$F, Estados_Cuenta_Mobil!$C:$C, A138, Estados_Cuenta_Mobil!$D:$D, B138)</f>
        <v/>
      </c>
      <c r="D138" s="14819">
        <f>SUMIFS(Captura_Obra!$F:$F, Captura_Obra!$M:$M, A138, Captura_Obra!$B:$B, B138)</f>
        <v/>
      </c>
      <c r="E138" s="14820">
        <f>IFERROR(SUMIFS(Captura_Facturas_Mobil!$G:$G, Captura_Facturas_Mobil!$N:$N, A138, Captura_Facturas_Mobil!$D:$D, B138) / SUMIFS(Captura_Facturas_Mobil!$E:$E, Captura_Facturas_Mobil!$N:$N, A138, Captura_Facturas_Mobil!$D:$D, B138), IFERROR(SUMIFS(Captura_Facturas_Mobil!$G:$G, Captura_Facturas_Mobil!$N:$N, A138)/SUMIFS(Captura_Facturas_Mobil!$E:$E, Captura_Facturas_Mobil!$N:$N, A138, Captura_Facturas_Mobil!$E:$E,"&gt;"&amp;0), 27))</f>
        <v/>
      </c>
      <c r="F138" s="14821">
        <f>D138 * E138</f>
        <v/>
      </c>
      <c r="G138" s="14822">
        <f>IF(C138+D138=0, "", C138 - F138)</f>
        <v/>
      </c>
      <c r="H138" s="14823">
        <f>IF(C138+D138=0, "", IF(G138&gt;10, "⚠️ Pagamos de MÁS (o se fue a Tanque)", IF(G138&lt;-10, "🚨 Máquinas quemaron MÁS de lo pagado", "✅ Cuadrado")))</f>
        <v/>
      </c>
    </row>
    <row r="139">
      <c r="A139" s="14824" t="n">
        <v>22</v>
      </c>
      <c r="B139" s="14825" t="inlineStr">
        <is>
          <t>Jalisco</t>
        </is>
      </c>
      <c r="C139" s="14826">
        <f>SUMIFS(Estados_Cuenta_Mobil!$F:$F, Estados_Cuenta_Mobil!$C:$C, A139, Estados_Cuenta_Mobil!$D:$D, B139)</f>
        <v/>
      </c>
      <c r="D139" s="14827">
        <f>SUMIFS(Captura_Obra!$F:$F, Captura_Obra!$M:$M, A139, Captura_Obra!$B:$B, B139)</f>
        <v/>
      </c>
      <c r="E139" s="14828">
        <f>IFERROR(SUMIFS(Captura_Facturas_Mobil!$G:$G, Captura_Facturas_Mobil!$N:$N, A139, Captura_Facturas_Mobil!$D:$D, B139) / SUMIFS(Captura_Facturas_Mobil!$E:$E, Captura_Facturas_Mobil!$N:$N, A139, Captura_Facturas_Mobil!$D:$D, B139), IFERROR(SUMIFS(Captura_Facturas_Mobil!$G:$G, Captura_Facturas_Mobil!$N:$N, A139)/SUMIFS(Captura_Facturas_Mobil!$E:$E, Captura_Facturas_Mobil!$N:$N, A139, Captura_Facturas_Mobil!$E:$E,"&gt;"&amp;0), 27))</f>
        <v/>
      </c>
      <c r="F139" s="14829">
        <f>D139 * E139</f>
        <v/>
      </c>
      <c r="G139" s="14830">
        <f>IF(C139+D139=0, "", C139 - F139)</f>
        <v/>
      </c>
      <c r="H139" s="14831">
        <f>IF(C139+D139=0, "", IF(G139&gt;10, "⚠️ Pagamos de MÁS (o se fue a Tanque)", IF(G139&lt;-10, "🚨 Máquinas quemaron MÁS de lo pagado", "✅ Cuadrado")))</f>
        <v/>
      </c>
    </row>
    <row r="140">
      <c r="A140" s="14832" t="n">
        <v>22</v>
      </c>
      <c r="B140" s="14833" t="inlineStr">
        <is>
          <t>Colegio Militar</t>
        </is>
      </c>
      <c r="C140" s="14834">
        <f>SUMIFS(Estados_Cuenta_Mobil!$F:$F, Estados_Cuenta_Mobil!$C:$C, A140, Estados_Cuenta_Mobil!$D:$D, B140)</f>
        <v/>
      </c>
      <c r="D140" s="14835">
        <f>SUMIFS(Captura_Obra!$F:$F, Captura_Obra!$M:$M, A140, Captura_Obra!$B:$B, B140)</f>
        <v/>
      </c>
      <c r="E140" s="14836">
        <f>IFERROR(SUMIFS(Captura_Facturas_Mobil!$G:$G, Captura_Facturas_Mobil!$N:$N, A140, Captura_Facturas_Mobil!$D:$D, B140) / SUMIFS(Captura_Facturas_Mobil!$E:$E, Captura_Facturas_Mobil!$N:$N, A140, Captura_Facturas_Mobil!$D:$D, B140), IFERROR(SUMIFS(Captura_Facturas_Mobil!$G:$G, Captura_Facturas_Mobil!$N:$N, A140)/SUMIFS(Captura_Facturas_Mobil!$E:$E, Captura_Facturas_Mobil!$N:$N, A140, Captura_Facturas_Mobil!$E:$E,"&gt;"&amp;0), 27))</f>
        <v/>
      </c>
      <c r="F140" s="14837">
        <f>D140 * E140</f>
        <v/>
      </c>
      <c r="G140" s="14838">
        <f>IF(C140+D140=0, "", C140 - F140)</f>
        <v/>
      </c>
      <c r="H140" s="14839">
        <f>IF(C140+D140=0, "", IF(G140&gt;10, "⚠️ Pagamos de MÁS (o se fue a Tanque)", IF(G140&lt;-10, "🚨 Máquinas quemaron MÁS de lo pagado", "✅ Cuadrado")))</f>
        <v/>
      </c>
    </row>
    <row r="141">
      <c r="A141" s="14840" t="n">
        <v>22</v>
      </c>
      <c r="B141" s="14841" t="inlineStr">
        <is>
          <t>NO DETECTADA</t>
        </is>
      </c>
      <c r="C141" s="14842">
        <f>SUMIFS(Estados_Cuenta_Mobil!$F:$F, Estados_Cuenta_Mobil!$C:$C, A141, Estados_Cuenta_Mobil!$D:$D, B141)</f>
        <v/>
      </c>
      <c r="D141" s="14843">
        <f>SUMIFS(Captura_Obra!$F:$F, Captura_Obra!$M:$M, A141, Captura_Obra!$B:$B, B141)</f>
        <v/>
      </c>
      <c r="E141" s="14844">
        <f>IFERROR(SUMIFS(Captura_Facturas_Mobil!$G:$G, Captura_Facturas_Mobil!$N:$N, A141, Captura_Facturas_Mobil!$D:$D, B141) / SUMIFS(Captura_Facturas_Mobil!$E:$E, Captura_Facturas_Mobil!$N:$N, A141, Captura_Facturas_Mobil!$D:$D, B141), IFERROR(SUMIFS(Captura_Facturas_Mobil!$G:$G, Captura_Facturas_Mobil!$N:$N, A141)/SUMIFS(Captura_Facturas_Mobil!$E:$E, Captura_Facturas_Mobil!$N:$N, A141, Captura_Facturas_Mobil!$E:$E,"&gt;"&amp;0), 27))</f>
        <v/>
      </c>
      <c r="F141" s="14845">
        <f>D141 * E141</f>
        <v/>
      </c>
      <c r="G141" s="14846">
        <f>IF(C141+D141=0, "", C141 - F141)</f>
        <v/>
      </c>
      <c r="H141" s="14847">
        <f>IF(C141+D141=0, "", IF(G141&gt;10, "⚠️ Pagamos de MÁS (o se fue a Tanque)", IF(G141&lt;-10, "🚨 Máquinas quemaron MÁS de lo pagado", "✅ Cuadrado")))</f>
        <v/>
      </c>
    </row>
    <row r="142">
      <c r="A142" s="14848" t="n">
        <v>23</v>
      </c>
      <c r="B142" s="14849" t="inlineStr">
        <is>
          <t>México-Toluca</t>
        </is>
      </c>
      <c r="C142" s="14850">
        <f>SUMIFS(Estados_Cuenta_Mobil!$F:$F, Estados_Cuenta_Mobil!$C:$C, A142, Estados_Cuenta_Mobil!$D:$D, B142)</f>
        <v/>
      </c>
      <c r="D142" s="14851">
        <f>SUMIFS(Captura_Obra!$F:$F, Captura_Obra!$M:$M, A142, Captura_Obra!$B:$B, B142)</f>
        <v/>
      </c>
      <c r="E142" s="14852">
        <f>IFERROR(SUMIFS(Captura_Facturas_Mobil!$G:$G, Captura_Facturas_Mobil!$N:$N, A142, Captura_Facturas_Mobil!$D:$D, B142) / SUMIFS(Captura_Facturas_Mobil!$E:$E, Captura_Facturas_Mobil!$N:$N, A142, Captura_Facturas_Mobil!$D:$D, B142), IFERROR(SUMIFS(Captura_Facturas_Mobil!$G:$G, Captura_Facturas_Mobil!$N:$N, A142)/SUMIFS(Captura_Facturas_Mobil!$E:$E, Captura_Facturas_Mobil!$N:$N, A142, Captura_Facturas_Mobil!$E:$E,"&gt;"&amp;0), 27))</f>
        <v/>
      </c>
      <c r="F142" s="14853">
        <f>D142 * E142</f>
        <v/>
      </c>
      <c r="G142" s="14854">
        <f>IF(C142+D142=0, "", C142 - F142)</f>
        <v/>
      </c>
      <c r="H142" s="14855">
        <f>IF(C142+D142=0, "", IF(G142&gt;10, "⚠️ Pagamos de MÁS (o se fue a Tanque)", IF(G142&lt;-10, "🚨 Máquinas quemaron MÁS de lo pagado", "✅ Cuadrado")))</f>
        <v/>
      </c>
    </row>
    <row r="143">
      <c r="A143" s="14856" t="n">
        <v>23</v>
      </c>
      <c r="B143" s="14857" t="inlineStr">
        <is>
          <t>Lerma - Tres Marías</t>
        </is>
      </c>
      <c r="C143" s="14858">
        <f>SUMIFS(Estados_Cuenta_Mobil!$F:$F, Estados_Cuenta_Mobil!$C:$C, A143, Estados_Cuenta_Mobil!$D:$D, B143)</f>
        <v/>
      </c>
      <c r="D143" s="14859">
        <f>SUMIFS(Captura_Obra!$F:$F, Captura_Obra!$M:$M, A143, Captura_Obra!$B:$B, B143)</f>
        <v/>
      </c>
      <c r="E143" s="14860">
        <f>IFERROR(SUMIFS(Captura_Facturas_Mobil!$G:$G, Captura_Facturas_Mobil!$N:$N, A143, Captura_Facturas_Mobil!$D:$D, B143) / SUMIFS(Captura_Facturas_Mobil!$E:$E, Captura_Facturas_Mobil!$N:$N, A143, Captura_Facturas_Mobil!$D:$D, B143), IFERROR(SUMIFS(Captura_Facturas_Mobil!$G:$G, Captura_Facturas_Mobil!$N:$N, A143)/SUMIFS(Captura_Facturas_Mobil!$E:$E, Captura_Facturas_Mobil!$N:$N, A143, Captura_Facturas_Mobil!$E:$E,"&gt;"&amp;0), 27))</f>
        <v/>
      </c>
      <c r="F143" s="14861">
        <f>D143 * E143</f>
        <v/>
      </c>
      <c r="G143" s="14862">
        <f>IF(C143+D143=0, "", C143 - F143)</f>
        <v/>
      </c>
      <c r="H143" s="14863">
        <f>IF(C143+D143=0, "", IF(G143&gt;10, "⚠️ Pagamos de MÁS (o se fue a Tanque)", IF(G143&lt;-10, "🚨 Máquinas quemaron MÁS de lo pagado", "✅ Cuadrado")))</f>
        <v/>
      </c>
    </row>
    <row r="144">
      <c r="A144" s="14864" t="n">
        <v>23</v>
      </c>
      <c r="B144" s="14865" t="inlineStr">
        <is>
          <t>Chamapa-Lechería</t>
        </is>
      </c>
      <c r="C144" s="14866">
        <f>SUMIFS(Estados_Cuenta_Mobil!$F:$F, Estados_Cuenta_Mobil!$C:$C, A144, Estados_Cuenta_Mobil!$D:$D, B144)</f>
        <v/>
      </c>
      <c r="D144" s="14867">
        <f>SUMIFS(Captura_Obra!$F:$F, Captura_Obra!$M:$M, A144, Captura_Obra!$B:$B, B144)</f>
        <v/>
      </c>
      <c r="E144" s="14868">
        <f>IFERROR(SUMIFS(Captura_Facturas_Mobil!$G:$G, Captura_Facturas_Mobil!$N:$N, A144, Captura_Facturas_Mobil!$D:$D, B144) / SUMIFS(Captura_Facturas_Mobil!$E:$E, Captura_Facturas_Mobil!$N:$N, A144, Captura_Facturas_Mobil!$D:$D, B144), IFERROR(SUMIFS(Captura_Facturas_Mobil!$G:$G, Captura_Facturas_Mobil!$N:$N, A144)/SUMIFS(Captura_Facturas_Mobil!$E:$E, Captura_Facturas_Mobil!$N:$N, A144, Captura_Facturas_Mobil!$E:$E,"&gt;"&amp;0), 27))</f>
        <v/>
      </c>
      <c r="F144" s="14869">
        <f>D144 * E144</f>
        <v/>
      </c>
      <c r="G144" s="14870">
        <f>IF(C144+D144=0, "", C144 - F144)</f>
        <v/>
      </c>
      <c r="H144" s="14871">
        <f>IF(C144+D144=0, "", IF(G144&gt;10, "⚠️ Pagamos de MÁS (o se fue a Tanque)", IF(G144&lt;-10, "🚨 Máquinas quemaron MÁS de lo pagado", "✅ Cuadrado")))</f>
        <v/>
      </c>
    </row>
    <row r="145">
      <c r="A145" s="14872" t="n">
        <v>23</v>
      </c>
      <c r="B145" s="14873" t="inlineStr">
        <is>
          <t>Bacheo Toluca</t>
        </is>
      </c>
      <c r="C145" s="14874">
        <f>SUMIFS(Estados_Cuenta_Mobil!$F:$F, Estados_Cuenta_Mobil!$C:$C, A145, Estados_Cuenta_Mobil!$D:$D, B145)</f>
        <v/>
      </c>
      <c r="D145" s="14875">
        <f>SUMIFS(Captura_Obra!$F:$F, Captura_Obra!$M:$M, A145, Captura_Obra!$B:$B, B145)</f>
        <v/>
      </c>
      <c r="E145" s="14876">
        <f>IFERROR(SUMIFS(Captura_Facturas_Mobil!$G:$G, Captura_Facturas_Mobil!$N:$N, A145, Captura_Facturas_Mobil!$D:$D, B145) / SUMIFS(Captura_Facturas_Mobil!$E:$E, Captura_Facturas_Mobil!$N:$N, A145, Captura_Facturas_Mobil!$D:$D, B145), IFERROR(SUMIFS(Captura_Facturas_Mobil!$G:$G, Captura_Facturas_Mobil!$N:$N, A145)/SUMIFS(Captura_Facturas_Mobil!$E:$E, Captura_Facturas_Mobil!$N:$N, A145, Captura_Facturas_Mobil!$E:$E,"&gt;"&amp;0), 27))</f>
        <v/>
      </c>
      <c r="F145" s="14877">
        <f>D145 * E145</f>
        <v/>
      </c>
      <c r="G145" s="14878">
        <f>IF(C145+D145=0, "", C145 - F145)</f>
        <v/>
      </c>
      <c r="H145" s="14879">
        <f>IF(C145+D145=0, "", IF(G145&gt;10, "⚠️ Pagamos de MÁS (o se fue a Tanque)", IF(G145&lt;-10, "🚨 Máquinas quemaron MÁS de lo pagado", "✅ Cuadrado")))</f>
        <v/>
      </c>
    </row>
    <row r="146">
      <c r="A146" s="14880" t="n">
        <v>23</v>
      </c>
      <c r="B146" s="14881" t="inlineStr">
        <is>
          <t>Planta Asfalto Pegaso</t>
        </is>
      </c>
      <c r="C146" s="14882">
        <f>SUMIFS(Estados_Cuenta_Mobil!$F:$F, Estados_Cuenta_Mobil!$C:$C, A146, Estados_Cuenta_Mobil!$D:$D, B146)</f>
        <v/>
      </c>
      <c r="D146" s="14883">
        <f>SUMIFS(Captura_Obra!$F:$F, Captura_Obra!$M:$M, A146, Captura_Obra!$B:$B, B146)</f>
        <v/>
      </c>
      <c r="E146" s="14884">
        <f>IFERROR(SUMIFS(Captura_Facturas_Mobil!$G:$G, Captura_Facturas_Mobil!$N:$N, A146, Captura_Facturas_Mobil!$D:$D, B146) / SUMIFS(Captura_Facturas_Mobil!$E:$E, Captura_Facturas_Mobil!$N:$N, A146, Captura_Facturas_Mobil!$D:$D, B146), IFERROR(SUMIFS(Captura_Facturas_Mobil!$G:$G, Captura_Facturas_Mobil!$N:$N, A146)/SUMIFS(Captura_Facturas_Mobil!$E:$E, Captura_Facturas_Mobil!$N:$N, A146, Captura_Facturas_Mobil!$E:$E,"&gt;"&amp;0), 27))</f>
        <v/>
      </c>
      <c r="F146" s="14885">
        <f>D146 * E146</f>
        <v/>
      </c>
      <c r="G146" s="14886">
        <f>IF(C146+D146=0, "", C146 - F146)</f>
        <v/>
      </c>
      <c r="H146" s="14887">
        <f>IF(C146+D146=0, "", IF(G146&gt;10, "⚠️ Pagamos de MÁS (o se fue a Tanque)", IF(G146&lt;-10, "🚨 Máquinas quemaron MÁS de lo pagado", "✅ Cuadrado")))</f>
        <v/>
      </c>
    </row>
    <row r="147">
      <c r="A147" s="14888" t="n">
        <v>23</v>
      </c>
      <c r="B147" s="14889" t="inlineStr">
        <is>
          <t>Planta Asflato Huixquilucan</t>
        </is>
      </c>
      <c r="C147" s="14890">
        <f>SUMIFS(Estados_Cuenta_Mobil!$F:$F, Estados_Cuenta_Mobil!$C:$C, A147, Estados_Cuenta_Mobil!$D:$D, B147)</f>
        <v/>
      </c>
      <c r="D147" s="14891">
        <f>SUMIFS(Captura_Obra!$F:$F, Captura_Obra!$M:$M, A147, Captura_Obra!$B:$B, B147)</f>
        <v/>
      </c>
      <c r="E147" s="14892">
        <f>IFERROR(SUMIFS(Captura_Facturas_Mobil!$G:$G, Captura_Facturas_Mobil!$N:$N, A147, Captura_Facturas_Mobil!$D:$D, B147) / SUMIFS(Captura_Facturas_Mobil!$E:$E, Captura_Facturas_Mobil!$N:$N, A147, Captura_Facturas_Mobil!$D:$D, B147), IFERROR(SUMIFS(Captura_Facturas_Mobil!$G:$G, Captura_Facturas_Mobil!$N:$N, A147)/SUMIFS(Captura_Facturas_Mobil!$E:$E, Captura_Facturas_Mobil!$N:$N, A147, Captura_Facturas_Mobil!$E:$E,"&gt;"&amp;0), 27))</f>
        <v/>
      </c>
      <c r="F147" s="14893">
        <f>D147 * E147</f>
        <v/>
      </c>
      <c r="G147" s="14894">
        <f>IF(C147+D147=0, "", C147 - F147)</f>
        <v/>
      </c>
      <c r="H147" s="14895">
        <f>IF(C147+D147=0, "", IF(G147&gt;10, "⚠️ Pagamos de MÁS (o se fue a Tanque)", IF(G147&lt;-10, "🚨 Máquinas quemaron MÁS de lo pagado", "✅ Cuadrado")))</f>
        <v/>
      </c>
    </row>
    <row r="148">
      <c r="A148" s="14896" t="n">
        <v>23</v>
      </c>
      <c r="B148" s="14897" t="inlineStr">
        <is>
          <t>Dragones</t>
        </is>
      </c>
      <c r="C148" s="14898">
        <f>SUMIFS(Estados_Cuenta_Mobil!$F:$F, Estados_Cuenta_Mobil!$C:$C, A148, Estados_Cuenta_Mobil!$D:$D, B148)</f>
        <v/>
      </c>
      <c r="D148" s="14899">
        <f>SUMIFS(Captura_Obra!$F:$F, Captura_Obra!$M:$M, A148, Captura_Obra!$B:$B, B148)</f>
        <v/>
      </c>
      <c r="E148" s="14900">
        <f>IFERROR(SUMIFS(Captura_Facturas_Mobil!$G:$G, Captura_Facturas_Mobil!$N:$N, A148, Captura_Facturas_Mobil!$D:$D, B148) / SUMIFS(Captura_Facturas_Mobil!$E:$E, Captura_Facturas_Mobil!$N:$N, A148, Captura_Facturas_Mobil!$D:$D, B148), IFERROR(SUMIFS(Captura_Facturas_Mobil!$G:$G, Captura_Facturas_Mobil!$N:$N, A148)/SUMIFS(Captura_Facturas_Mobil!$E:$E, Captura_Facturas_Mobil!$N:$N, A148, Captura_Facturas_Mobil!$E:$E,"&gt;"&amp;0), 27))</f>
        <v/>
      </c>
      <c r="F148" s="14901">
        <f>D148 * E148</f>
        <v/>
      </c>
      <c r="G148" s="14902">
        <f>IF(C148+D148=0, "", C148 - F148)</f>
        <v/>
      </c>
      <c r="H148" s="14903">
        <f>IF(C148+D148=0, "", IF(G148&gt;10, "⚠️ Pagamos de MÁS (o se fue a Tanque)", IF(G148&lt;-10, "🚨 Máquinas quemaron MÁS de lo pagado", "✅ Cuadrado")))</f>
        <v/>
      </c>
    </row>
    <row r="149">
      <c r="A149" s="14904" t="n">
        <v>23</v>
      </c>
      <c r="B149" s="14905" t="inlineStr">
        <is>
          <t>Jalisco</t>
        </is>
      </c>
      <c r="C149" s="14906">
        <f>SUMIFS(Estados_Cuenta_Mobil!$F:$F, Estados_Cuenta_Mobil!$C:$C, A149, Estados_Cuenta_Mobil!$D:$D, B149)</f>
        <v/>
      </c>
      <c r="D149" s="14907">
        <f>SUMIFS(Captura_Obra!$F:$F, Captura_Obra!$M:$M, A149, Captura_Obra!$B:$B, B149)</f>
        <v/>
      </c>
      <c r="E149" s="14908">
        <f>IFERROR(SUMIFS(Captura_Facturas_Mobil!$G:$G, Captura_Facturas_Mobil!$N:$N, A149, Captura_Facturas_Mobil!$D:$D, B149) / SUMIFS(Captura_Facturas_Mobil!$E:$E, Captura_Facturas_Mobil!$N:$N, A149, Captura_Facturas_Mobil!$D:$D, B149), IFERROR(SUMIFS(Captura_Facturas_Mobil!$G:$G, Captura_Facturas_Mobil!$N:$N, A149)/SUMIFS(Captura_Facturas_Mobil!$E:$E, Captura_Facturas_Mobil!$N:$N, A149, Captura_Facturas_Mobil!$E:$E,"&gt;"&amp;0), 27))</f>
        <v/>
      </c>
      <c r="F149" s="14909">
        <f>D149 * E149</f>
        <v/>
      </c>
      <c r="G149" s="14910">
        <f>IF(C149+D149=0, "", C149 - F149)</f>
        <v/>
      </c>
      <c r="H149" s="14911">
        <f>IF(C149+D149=0, "", IF(G149&gt;10, "⚠️ Pagamos de MÁS (o se fue a Tanque)", IF(G149&lt;-10, "🚨 Máquinas quemaron MÁS de lo pagado", "✅ Cuadrado")))</f>
        <v/>
      </c>
    </row>
    <row r="150">
      <c r="A150" s="14912" t="n">
        <v>23</v>
      </c>
      <c r="B150" s="14913" t="inlineStr">
        <is>
          <t>Colegio Militar</t>
        </is>
      </c>
      <c r="C150" s="14914">
        <f>SUMIFS(Estados_Cuenta_Mobil!$F:$F, Estados_Cuenta_Mobil!$C:$C, A150, Estados_Cuenta_Mobil!$D:$D, B150)</f>
        <v/>
      </c>
      <c r="D150" s="14915">
        <f>SUMIFS(Captura_Obra!$F:$F, Captura_Obra!$M:$M, A150, Captura_Obra!$B:$B, B150)</f>
        <v/>
      </c>
      <c r="E150" s="14916">
        <f>IFERROR(SUMIFS(Captura_Facturas_Mobil!$G:$G, Captura_Facturas_Mobil!$N:$N, A150, Captura_Facturas_Mobil!$D:$D, B150) / SUMIFS(Captura_Facturas_Mobil!$E:$E, Captura_Facturas_Mobil!$N:$N, A150, Captura_Facturas_Mobil!$D:$D, B150), IFERROR(SUMIFS(Captura_Facturas_Mobil!$G:$G, Captura_Facturas_Mobil!$N:$N, A150)/SUMIFS(Captura_Facturas_Mobil!$E:$E, Captura_Facturas_Mobil!$N:$N, A150, Captura_Facturas_Mobil!$E:$E,"&gt;"&amp;0), 27))</f>
        <v/>
      </c>
      <c r="F150" s="14917">
        <f>D150 * E150</f>
        <v/>
      </c>
      <c r="G150" s="14918">
        <f>IF(C150+D150=0, "", C150 - F150)</f>
        <v/>
      </c>
      <c r="H150" s="14919">
        <f>IF(C150+D150=0, "", IF(G150&gt;10, "⚠️ Pagamos de MÁS (o se fue a Tanque)", IF(G150&lt;-10, "🚨 Máquinas quemaron MÁS de lo pagado", "✅ Cuadrado")))</f>
        <v/>
      </c>
    </row>
    <row r="151">
      <c r="A151" s="14920" t="n">
        <v>23</v>
      </c>
      <c r="B151" s="14921" t="inlineStr">
        <is>
          <t>NO DETECTADA</t>
        </is>
      </c>
      <c r="C151" s="14922">
        <f>SUMIFS(Estados_Cuenta_Mobil!$F:$F, Estados_Cuenta_Mobil!$C:$C, A151, Estados_Cuenta_Mobil!$D:$D, B151)</f>
        <v/>
      </c>
      <c r="D151" s="14923">
        <f>SUMIFS(Captura_Obra!$F:$F, Captura_Obra!$M:$M, A151, Captura_Obra!$B:$B, B151)</f>
        <v/>
      </c>
      <c r="E151" s="14924">
        <f>IFERROR(SUMIFS(Captura_Facturas_Mobil!$G:$G, Captura_Facturas_Mobil!$N:$N, A151, Captura_Facturas_Mobil!$D:$D, B151) / SUMIFS(Captura_Facturas_Mobil!$E:$E, Captura_Facturas_Mobil!$N:$N, A151, Captura_Facturas_Mobil!$D:$D, B151), IFERROR(SUMIFS(Captura_Facturas_Mobil!$G:$G, Captura_Facturas_Mobil!$N:$N, A151)/SUMIFS(Captura_Facturas_Mobil!$E:$E, Captura_Facturas_Mobil!$N:$N, A151, Captura_Facturas_Mobil!$E:$E,"&gt;"&amp;0), 27))</f>
        <v/>
      </c>
      <c r="F151" s="14925">
        <f>D151 * E151</f>
        <v/>
      </c>
      <c r="G151" s="14926">
        <f>IF(C151+D151=0, "", C151 - F151)</f>
        <v/>
      </c>
      <c r="H151" s="14927">
        <f>IF(C151+D151=0, "", IF(G151&gt;10, "⚠️ Pagamos de MÁS (o se fue a Tanque)", IF(G151&lt;-10, "🚨 Máquinas quemaron MÁS de lo pagado", "✅ Cuadrado")))</f>
        <v/>
      </c>
    </row>
    <row r="152">
      <c r="A152" s="14928" t="n">
        <v>24</v>
      </c>
      <c r="B152" s="14929" t="inlineStr">
        <is>
          <t>México-Toluca</t>
        </is>
      </c>
      <c r="C152" s="14930">
        <f>SUMIFS(Estados_Cuenta_Mobil!$F:$F, Estados_Cuenta_Mobil!$C:$C, A152, Estados_Cuenta_Mobil!$D:$D, B152)</f>
        <v/>
      </c>
      <c r="D152" s="14931">
        <f>SUMIFS(Captura_Obra!$F:$F, Captura_Obra!$M:$M, A152, Captura_Obra!$B:$B, B152)</f>
        <v/>
      </c>
      <c r="E152" s="14932">
        <f>IFERROR(SUMIFS(Captura_Facturas_Mobil!$G:$G, Captura_Facturas_Mobil!$N:$N, A152, Captura_Facturas_Mobil!$D:$D, B152) / SUMIFS(Captura_Facturas_Mobil!$E:$E, Captura_Facturas_Mobil!$N:$N, A152, Captura_Facturas_Mobil!$D:$D, B152), IFERROR(SUMIFS(Captura_Facturas_Mobil!$G:$G, Captura_Facturas_Mobil!$N:$N, A152)/SUMIFS(Captura_Facturas_Mobil!$E:$E, Captura_Facturas_Mobil!$N:$N, A152, Captura_Facturas_Mobil!$E:$E,"&gt;"&amp;0), 27))</f>
        <v/>
      </c>
      <c r="F152" s="14933">
        <f>D152 * E152</f>
        <v/>
      </c>
      <c r="G152" s="14934">
        <f>IF(C152+D152=0, "", C152 - F152)</f>
        <v/>
      </c>
      <c r="H152" s="14935">
        <f>IF(C152+D152=0, "", IF(G152&gt;10, "⚠️ Pagamos de MÁS (o se fue a Tanque)", IF(G152&lt;-10, "🚨 Máquinas quemaron MÁS de lo pagado", "✅ Cuadrado")))</f>
        <v/>
      </c>
    </row>
    <row r="153">
      <c r="A153" s="14936" t="n">
        <v>24</v>
      </c>
      <c r="B153" s="14937" t="inlineStr">
        <is>
          <t>Lerma - Tres Marías</t>
        </is>
      </c>
      <c r="C153" s="14938">
        <f>SUMIFS(Estados_Cuenta_Mobil!$F:$F, Estados_Cuenta_Mobil!$C:$C, A153, Estados_Cuenta_Mobil!$D:$D, B153)</f>
        <v/>
      </c>
      <c r="D153" s="14939">
        <f>SUMIFS(Captura_Obra!$F:$F, Captura_Obra!$M:$M, A153, Captura_Obra!$B:$B, B153)</f>
        <v/>
      </c>
      <c r="E153" s="14940">
        <f>IFERROR(SUMIFS(Captura_Facturas_Mobil!$G:$G, Captura_Facturas_Mobil!$N:$N, A153, Captura_Facturas_Mobil!$D:$D, B153) / SUMIFS(Captura_Facturas_Mobil!$E:$E, Captura_Facturas_Mobil!$N:$N, A153, Captura_Facturas_Mobil!$D:$D, B153), IFERROR(SUMIFS(Captura_Facturas_Mobil!$G:$G, Captura_Facturas_Mobil!$N:$N, A153)/SUMIFS(Captura_Facturas_Mobil!$E:$E, Captura_Facturas_Mobil!$N:$N, A153, Captura_Facturas_Mobil!$E:$E,"&gt;"&amp;0), 27))</f>
        <v/>
      </c>
      <c r="F153" s="14941">
        <f>D153 * E153</f>
        <v/>
      </c>
      <c r="G153" s="14942">
        <f>IF(C153+D153=0, "", C153 - F153)</f>
        <v/>
      </c>
      <c r="H153" s="14943">
        <f>IF(C153+D153=0, "", IF(G153&gt;10, "⚠️ Pagamos de MÁS (o se fue a Tanque)", IF(G153&lt;-10, "🚨 Máquinas quemaron MÁS de lo pagado", "✅ Cuadrado")))</f>
        <v/>
      </c>
    </row>
    <row r="154">
      <c r="A154" s="14944" t="n">
        <v>24</v>
      </c>
      <c r="B154" s="14945" t="inlineStr">
        <is>
          <t>Chamapa-Lechería</t>
        </is>
      </c>
      <c r="C154" s="14946">
        <f>SUMIFS(Estados_Cuenta_Mobil!$F:$F, Estados_Cuenta_Mobil!$C:$C, A154, Estados_Cuenta_Mobil!$D:$D, B154)</f>
        <v/>
      </c>
      <c r="D154" s="14947">
        <f>SUMIFS(Captura_Obra!$F:$F, Captura_Obra!$M:$M, A154, Captura_Obra!$B:$B, B154)</f>
        <v/>
      </c>
      <c r="E154" s="14948">
        <f>IFERROR(SUMIFS(Captura_Facturas_Mobil!$G:$G, Captura_Facturas_Mobil!$N:$N, A154, Captura_Facturas_Mobil!$D:$D, B154) / SUMIFS(Captura_Facturas_Mobil!$E:$E, Captura_Facturas_Mobil!$N:$N, A154, Captura_Facturas_Mobil!$D:$D, B154), IFERROR(SUMIFS(Captura_Facturas_Mobil!$G:$G, Captura_Facturas_Mobil!$N:$N, A154)/SUMIFS(Captura_Facturas_Mobil!$E:$E, Captura_Facturas_Mobil!$N:$N, A154, Captura_Facturas_Mobil!$E:$E,"&gt;"&amp;0), 27))</f>
        <v/>
      </c>
      <c r="F154" s="14949">
        <f>D154 * E154</f>
        <v/>
      </c>
      <c r="G154" s="14950">
        <f>IF(C154+D154=0, "", C154 - F154)</f>
        <v/>
      </c>
      <c r="H154" s="14951">
        <f>IF(C154+D154=0, "", IF(G154&gt;10, "⚠️ Pagamos de MÁS (o se fue a Tanque)", IF(G154&lt;-10, "🚨 Máquinas quemaron MÁS de lo pagado", "✅ Cuadrado")))</f>
        <v/>
      </c>
    </row>
    <row r="155">
      <c r="A155" s="14952" t="n">
        <v>24</v>
      </c>
      <c r="B155" s="14953" t="inlineStr">
        <is>
          <t>Bacheo Toluca</t>
        </is>
      </c>
      <c r="C155" s="14954">
        <f>SUMIFS(Estados_Cuenta_Mobil!$F:$F, Estados_Cuenta_Mobil!$C:$C, A155, Estados_Cuenta_Mobil!$D:$D, B155)</f>
        <v/>
      </c>
      <c r="D155" s="14955">
        <f>SUMIFS(Captura_Obra!$F:$F, Captura_Obra!$M:$M, A155, Captura_Obra!$B:$B, B155)</f>
        <v/>
      </c>
      <c r="E155" s="14956">
        <f>IFERROR(SUMIFS(Captura_Facturas_Mobil!$G:$G, Captura_Facturas_Mobil!$N:$N, A155, Captura_Facturas_Mobil!$D:$D, B155) / SUMIFS(Captura_Facturas_Mobil!$E:$E, Captura_Facturas_Mobil!$N:$N, A155, Captura_Facturas_Mobil!$D:$D, B155), IFERROR(SUMIFS(Captura_Facturas_Mobil!$G:$G, Captura_Facturas_Mobil!$N:$N, A155)/SUMIFS(Captura_Facturas_Mobil!$E:$E, Captura_Facturas_Mobil!$N:$N, A155, Captura_Facturas_Mobil!$E:$E,"&gt;"&amp;0), 27))</f>
        <v/>
      </c>
      <c r="F155" s="14957">
        <f>D155 * E155</f>
        <v/>
      </c>
      <c r="G155" s="14958">
        <f>IF(C155+D155=0, "", C155 - F155)</f>
        <v/>
      </c>
      <c r="H155" s="14959">
        <f>IF(C155+D155=0, "", IF(G155&gt;10, "⚠️ Pagamos de MÁS (o se fue a Tanque)", IF(G155&lt;-10, "🚨 Máquinas quemaron MÁS de lo pagado", "✅ Cuadrado")))</f>
        <v/>
      </c>
    </row>
    <row r="156">
      <c r="A156" s="14960" t="n">
        <v>24</v>
      </c>
      <c r="B156" s="14961" t="inlineStr">
        <is>
          <t>Planta Asfalto Pegaso</t>
        </is>
      </c>
      <c r="C156" s="14962">
        <f>SUMIFS(Estados_Cuenta_Mobil!$F:$F, Estados_Cuenta_Mobil!$C:$C, A156, Estados_Cuenta_Mobil!$D:$D, B156)</f>
        <v/>
      </c>
      <c r="D156" s="14963">
        <f>SUMIFS(Captura_Obra!$F:$F, Captura_Obra!$M:$M, A156, Captura_Obra!$B:$B, B156)</f>
        <v/>
      </c>
      <c r="E156" s="14964">
        <f>IFERROR(SUMIFS(Captura_Facturas_Mobil!$G:$G, Captura_Facturas_Mobil!$N:$N, A156, Captura_Facturas_Mobil!$D:$D, B156) / SUMIFS(Captura_Facturas_Mobil!$E:$E, Captura_Facturas_Mobil!$N:$N, A156, Captura_Facturas_Mobil!$D:$D, B156), IFERROR(SUMIFS(Captura_Facturas_Mobil!$G:$G, Captura_Facturas_Mobil!$N:$N, A156)/SUMIFS(Captura_Facturas_Mobil!$E:$E, Captura_Facturas_Mobil!$N:$N, A156, Captura_Facturas_Mobil!$E:$E,"&gt;"&amp;0), 27))</f>
        <v/>
      </c>
      <c r="F156" s="14965">
        <f>D156 * E156</f>
        <v/>
      </c>
      <c r="G156" s="14966">
        <f>IF(C156+D156=0, "", C156 - F156)</f>
        <v/>
      </c>
      <c r="H156" s="14967">
        <f>IF(C156+D156=0, "", IF(G156&gt;10, "⚠️ Pagamos de MÁS (o se fue a Tanque)", IF(G156&lt;-10, "🚨 Máquinas quemaron MÁS de lo pagado", "✅ Cuadrado")))</f>
        <v/>
      </c>
    </row>
    <row r="157">
      <c r="A157" s="14968" t="n">
        <v>24</v>
      </c>
      <c r="B157" s="14969" t="inlineStr">
        <is>
          <t>Planta Asflato Huixquilucan</t>
        </is>
      </c>
      <c r="C157" s="14970">
        <f>SUMIFS(Estados_Cuenta_Mobil!$F:$F, Estados_Cuenta_Mobil!$C:$C, A157, Estados_Cuenta_Mobil!$D:$D, B157)</f>
        <v/>
      </c>
      <c r="D157" s="14971">
        <f>SUMIFS(Captura_Obra!$F:$F, Captura_Obra!$M:$M, A157, Captura_Obra!$B:$B, B157)</f>
        <v/>
      </c>
      <c r="E157" s="14972">
        <f>IFERROR(SUMIFS(Captura_Facturas_Mobil!$G:$G, Captura_Facturas_Mobil!$N:$N, A157, Captura_Facturas_Mobil!$D:$D, B157) / SUMIFS(Captura_Facturas_Mobil!$E:$E, Captura_Facturas_Mobil!$N:$N, A157, Captura_Facturas_Mobil!$D:$D, B157), IFERROR(SUMIFS(Captura_Facturas_Mobil!$G:$G, Captura_Facturas_Mobil!$N:$N, A157)/SUMIFS(Captura_Facturas_Mobil!$E:$E, Captura_Facturas_Mobil!$N:$N, A157, Captura_Facturas_Mobil!$E:$E,"&gt;"&amp;0), 27))</f>
        <v/>
      </c>
      <c r="F157" s="14973">
        <f>D157 * E157</f>
        <v/>
      </c>
      <c r="G157" s="14974">
        <f>IF(C157+D157=0, "", C157 - F157)</f>
        <v/>
      </c>
      <c r="H157" s="14975">
        <f>IF(C157+D157=0, "", IF(G157&gt;10, "⚠️ Pagamos de MÁS (o se fue a Tanque)", IF(G157&lt;-10, "🚨 Máquinas quemaron MÁS de lo pagado", "✅ Cuadrado")))</f>
        <v/>
      </c>
    </row>
    <row r="158">
      <c r="A158" s="14976" t="n">
        <v>24</v>
      </c>
      <c r="B158" s="14977" t="inlineStr">
        <is>
          <t>Dragones</t>
        </is>
      </c>
      <c r="C158" s="14978">
        <f>SUMIFS(Estados_Cuenta_Mobil!$F:$F, Estados_Cuenta_Mobil!$C:$C, A158, Estados_Cuenta_Mobil!$D:$D, B158)</f>
        <v/>
      </c>
      <c r="D158" s="14979">
        <f>SUMIFS(Captura_Obra!$F:$F, Captura_Obra!$M:$M, A158, Captura_Obra!$B:$B, B158)</f>
        <v/>
      </c>
      <c r="E158" s="14980">
        <f>IFERROR(SUMIFS(Captura_Facturas_Mobil!$G:$G, Captura_Facturas_Mobil!$N:$N, A158, Captura_Facturas_Mobil!$D:$D, B158) / SUMIFS(Captura_Facturas_Mobil!$E:$E, Captura_Facturas_Mobil!$N:$N, A158, Captura_Facturas_Mobil!$D:$D, B158), IFERROR(SUMIFS(Captura_Facturas_Mobil!$G:$G, Captura_Facturas_Mobil!$N:$N, A158)/SUMIFS(Captura_Facturas_Mobil!$E:$E, Captura_Facturas_Mobil!$N:$N, A158, Captura_Facturas_Mobil!$E:$E,"&gt;"&amp;0), 27))</f>
        <v/>
      </c>
      <c r="F158" s="14981">
        <f>D158 * E158</f>
        <v/>
      </c>
      <c r="G158" s="14982">
        <f>IF(C158+D158=0, "", C158 - F158)</f>
        <v/>
      </c>
      <c r="H158" s="14983">
        <f>IF(C158+D158=0, "", IF(G158&gt;10, "⚠️ Pagamos de MÁS (o se fue a Tanque)", IF(G158&lt;-10, "🚨 Máquinas quemaron MÁS de lo pagado", "✅ Cuadrado")))</f>
        <v/>
      </c>
    </row>
    <row r="159">
      <c r="A159" s="14984" t="n">
        <v>24</v>
      </c>
      <c r="B159" s="14985" t="inlineStr">
        <is>
          <t>Jalisco</t>
        </is>
      </c>
      <c r="C159" s="14986">
        <f>SUMIFS(Estados_Cuenta_Mobil!$F:$F, Estados_Cuenta_Mobil!$C:$C, A159, Estados_Cuenta_Mobil!$D:$D, B159)</f>
        <v/>
      </c>
      <c r="D159" s="14987">
        <f>SUMIFS(Captura_Obra!$F:$F, Captura_Obra!$M:$M, A159, Captura_Obra!$B:$B, B159)</f>
        <v/>
      </c>
      <c r="E159" s="14988">
        <f>IFERROR(SUMIFS(Captura_Facturas_Mobil!$G:$G, Captura_Facturas_Mobil!$N:$N, A159, Captura_Facturas_Mobil!$D:$D, B159) / SUMIFS(Captura_Facturas_Mobil!$E:$E, Captura_Facturas_Mobil!$N:$N, A159, Captura_Facturas_Mobil!$D:$D, B159), IFERROR(SUMIFS(Captura_Facturas_Mobil!$G:$G, Captura_Facturas_Mobil!$N:$N, A159)/SUMIFS(Captura_Facturas_Mobil!$E:$E, Captura_Facturas_Mobil!$N:$N, A159, Captura_Facturas_Mobil!$E:$E,"&gt;"&amp;0), 27))</f>
        <v/>
      </c>
      <c r="F159" s="14989">
        <f>D159 * E159</f>
        <v/>
      </c>
      <c r="G159" s="14990">
        <f>IF(C159+D159=0, "", C159 - F159)</f>
        <v/>
      </c>
      <c r="H159" s="14991">
        <f>IF(C159+D159=0, "", IF(G159&gt;10, "⚠️ Pagamos de MÁS (o se fue a Tanque)", IF(G159&lt;-10, "🚨 Máquinas quemaron MÁS de lo pagado", "✅ Cuadrado")))</f>
        <v/>
      </c>
    </row>
    <row r="160">
      <c r="A160" s="14992" t="n">
        <v>24</v>
      </c>
      <c r="B160" s="14993" t="inlineStr">
        <is>
          <t>Colegio Militar</t>
        </is>
      </c>
      <c r="C160" s="14994">
        <f>SUMIFS(Estados_Cuenta_Mobil!$F:$F, Estados_Cuenta_Mobil!$C:$C, A160, Estados_Cuenta_Mobil!$D:$D, B160)</f>
        <v/>
      </c>
      <c r="D160" s="14995">
        <f>SUMIFS(Captura_Obra!$F:$F, Captura_Obra!$M:$M, A160, Captura_Obra!$B:$B, B160)</f>
        <v/>
      </c>
      <c r="E160" s="14996">
        <f>IFERROR(SUMIFS(Captura_Facturas_Mobil!$G:$G, Captura_Facturas_Mobil!$N:$N, A160, Captura_Facturas_Mobil!$D:$D, B160) / SUMIFS(Captura_Facturas_Mobil!$E:$E, Captura_Facturas_Mobil!$N:$N, A160, Captura_Facturas_Mobil!$D:$D, B160), IFERROR(SUMIFS(Captura_Facturas_Mobil!$G:$G, Captura_Facturas_Mobil!$N:$N, A160)/SUMIFS(Captura_Facturas_Mobil!$E:$E, Captura_Facturas_Mobil!$N:$N, A160, Captura_Facturas_Mobil!$E:$E,"&gt;"&amp;0), 27))</f>
        <v/>
      </c>
      <c r="F160" s="14997">
        <f>D160 * E160</f>
        <v/>
      </c>
      <c r="G160" s="14998">
        <f>IF(C160+D160=0, "", C160 - F160)</f>
        <v/>
      </c>
      <c r="H160" s="14999">
        <f>IF(C160+D160=0, "", IF(G160&gt;10, "⚠️ Pagamos de MÁS (o se fue a Tanque)", IF(G160&lt;-10, "🚨 Máquinas quemaron MÁS de lo pagado", "✅ Cuadrado")))</f>
        <v/>
      </c>
    </row>
    <row r="161">
      <c r="A161" s="15000" t="n">
        <v>24</v>
      </c>
      <c r="B161" s="15001" t="inlineStr">
        <is>
          <t>NO DETECTADA</t>
        </is>
      </c>
      <c r="C161" s="15002">
        <f>SUMIFS(Estados_Cuenta_Mobil!$F:$F, Estados_Cuenta_Mobil!$C:$C, A161, Estados_Cuenta_Mobil!$D:$D, B161)</f>
        <v/>
      </c>
      <c r="D161" s="15003">
        <f>SUMIFS(Captura_Obra!$F:$F, Captura_Obra!$M:$M, A161, Captura_Obra!$B:$B, B161)</f>
        <v/>
      </c>
      <c r="E161" s="15004">
        <f>IFERROR(SUMIFS(Captura_Facturas_Mobil!$G:$G, Captura_Facturas_Mobil!$N:$N, A161, Captura_Facturas_Mobil!$D:$D, B161) / SUMIFS(Captura_Facturas_Mobil!$E:$E, Captura_Facturas_Mobil!$N:$N, A161, Captura_Facturas_Mobil!$D:$D, B161), IFERROR(SUMIFS(Captura_Facturas_Mobil!$G:$G, Captura_Facturas_Mobil!$N:$N, A161)/SUMIFS(Captura_Facturas_Mobil!$E:$E, Captura_Facturas_Mobil!$N:$N, A161, Captura_Facturas_Mobil!$E:$E,"&gt;"&amp;0), 27))</f>
        <v/>
      </c>
      <c r="F161" s="15005">
        <f>D161 * E161</f>
        <v/>
      </c>
      <c r="G161" s="15006">
        <f>IF(C161+D161=0, "", C161 - F161)</f>
        <v/>
      </c>
      <c r="H161" s="15007">
        <f>IF(C161+D161=0, "", IF(G161&gt;10, "⚠️ Pagamos de MÁS (o se fue a Tanque)", IF(G161&lt;-10, "🚨 Máquinas quemaron MÁS de lo pagado", "✅ Cuadrado")))</f>
        <v/>
      </c>
    </row>
    <row r="162">
      <c r="A162" s="15008" t="n">
        <v>25</v>
      </c>
      <c r="B162" s="15009" t="inlineStr">
        <is>
          <t>México-Toluca</t>
        </is>
      </c>
      <c r="C162" s="15010">
        <f>SUMIFS(Estados_Cuenta_Mobil!$F:$F, Estados_Cuenta_Mobil!$C:$C, A162, Estados_Cuenta_Mobil!$D:$D, B162)</f>
        <v/>
      </c>
      <c r="D162" s="15011">
        <f>SUMIFS(Captura_Obra!$F:$F, Captura_Obra!$M:$M, A162, Captura_Obra!$B:$B, B162)</f>
        <v/>
      </c>
      <c r="E162" s="15012">
        <f>IFERROR(SUMIFS(Captura_Facturas_Mobil!$G:$G, Captura_Facturas_Mobil!$N:$N, A162, Captura_Facturas_Mobil!$D:$D, B162) / SUMIFS(Captura_Facturas_Mobil!$E:$E, Captura_Facturas_Mobil!$N:$N, A162, Captura_Facturas_Mobil!$D:$D, B162), IFERROR(SUMIFS(Captura_Facturas_Mobil!$G:$G, Captura_Facturas_Mobil!$N:$N, A162)/SUMIFS(Captura_Facturas_Mobil!$E:$E, Captura_Facturas_Mobil!$N:$N, A162, Captura_Facturas_Mobil!$E:$E,"&gt;"&amp;0), 27))</f>
        <v/>
      </c>
      <c r="F162" s="15013">
        <f>D162 * E162</f>
        <v/>
      </c>
      <c r="G162" s="15014">
        <f>IF(C162+D162=0, "", C162 - F162)</f>
        <v/>
      </c>
      <c r="H162" s="15015">
        <f>IF(C162+D162=0, "", IF(G162&gt;10, "⚠️ Pagamos de MÁS (o se fue a Tanque)", IF(G162&lt;-10, "🚨 Máquinas quemaron MÁS de lo pagado", "✅ Cuadrado")))</f>
        <v/>
      </c>
    </row>
    <row r="163">
      <c r="A163" s="15016" t="n">
        <v>25</v>
      </c>
      <c r="B163" s="15017" t="inlineStr">
        <is>
          <t>Lerma - Tres Marías</t>
        </is>
      </c>
      <c r="C163" s="15018">
        <f>SUMIFS(Estados_Cuenta_Mobil!$F:$F, Estados_Cuenta_Mobil!$C:$C, A163, Estados_Cuenta_Mobil!$D:$D, B163)</f>
        <v/>
      </c>
      <c r="D163" s="15019">
        <f>SUMIFS(Captura_Obra!$F:$F, Captura_Obra!$M:$M, A163, Captura_Obra!$B:$B, B163)</f>
        <v/>
      </c>
      <c r="E163" s="15020">
        <f>IFERROR(SUMIFS(Captura_Facturas_Mobil!$G:$G, Captura_Facturas_Mobil!$N:$N, A163, Captura_Facturas_Mobil!$D:$D, B163) / SUMIFS(Captura_Facturas_Mobil!$E:$E, Captura_Facturas_Mobil!$N:$N, A163, Captura_Facturas_Mobil!$D:$D, B163), IFERROR(SUMIFS(Captura_Facturas_Mobil!$G:$G, Captura_Facturas_Mobil!$N:$N, A163)/SUMIFS(Captura_Facturas_Mobil!$E:$E, Captura_Facturas_Mobil!$N:$N, A163, Captura_Facturas_Mobil!$E:$E,"&gt;"&amp;0), 27))</f>
        <v/>
      </c>
      <c r="F163" s="15021">
        <f>D163 * E163</f>
        <v/>
      </c>
      <c r="G163" s="15022">
        <f>IF(C163+D163=0, "", C163 - F163)</f>
        <v/>
      </c>
      <c r="H163" s="15023">
        <f>IF(C163+D163=0, "", IF(G163&gt;10, "⚠️ Pagamos de MÁS (o se fue a Tanque)", IF(G163&lt;-10, "🚨 Máquinas quemaron MÁS de lo pagado", "✅ Cuadrado")))</f>
        <v/>
      </c>
    </row>
    <row r="164">
      <c r="A164" s="15024" t="n">
        <v>25</v>
      </c>
      <c r="B164" s="15025" t="inlineStr">
        <is>
          <t>Chamapa-Lechería</t>
        </is>
      </c>
      <c r="C164" s="15026">
        <f>SUMIFS(Estados_Cuenta_Mobil!$F:$F, Estados_Cuenta_Mobil!$C:$C, A164, Estados_Cuenta_Mobil!$D:$D, B164)</f>
        <v/>
      </c>
      <c r="D164" s="15027">
        <f>SUMIFS(Captura_Obra!$F:$F, Captura_Obra!$M:$M, A164, Captura_Obra!$B:$B, B164)</f>
        <v/>
      </c>
      <c r="E164" s="15028">
        <f>IFERROR(SUMIFS(Captura_Facturas_Mobil!$G:$G, Captura_Facturas_Mobil!$N:$N, A164, Captura_Facturas_Mobil!$D:$D, B164) / SUMIFS(Captura_Facturas_Mobil!$E:$E, Captura_Facturas_Mobil!$N:$N, A164, Captura_Facturas_Mobil!$D:$D, B164), IFERROR(SUMIFS(Captura_Facturas_Mobil!$G:$G, Captura_Facturas_Mobil!$N:$N, A164)/SUMIFS(Captura_Facturas_Mobil!$E:$E, Captura_Facturas_Mobil!$N:$N, A164, Captura_Facturas_Mobil!$E:$E,"&gt;"&amp;0), 27))</f>
        <v/>
      </c>
      <c r="F164" s="15029">
        <f>D164 * E164</f>
        <v/>
      </c>
      <c r="G164" s="15030">
        <f>IF(C164+D164=0, "", C164 - F164)</f>
        <v/>
      </c>
      <c r="H164" s="15031">
        <f>IF(C164+D164=0, "", IF(G164&gt;10, "⚠️ Pagamos de MÁS (o se fue a Tanque)", IF(G164&lt;-10, "🚨 Máquinas quemaron MÁS de lo pagado", "✅ Cuadrado")))</f>
        <v/>
      </c>
    </row>
    <row r="165">
      <c r="A165" s="15032" t="n">
        <v>25</v>
      </c>
      <c r="B165" s="15033" t="inlineStr">
        <is>
          <t>Bacheo Toluca</t>
        </is>
      </c>
      <c r="C165" s="15034">
        <f>SUMIFS(Estados_Cuenta_Mobil!$F:$F, Estados_Cuenta_Mobil!$C:$C, A165, Estados_Cuenta_Mobil!$D:$D, B165)</f>
        <v/>
      </c>
      <c r="D165" s="15035">
        <f>SUMIFS(Captura_Obra!$F:$F, Captura_Obra!$M:$M, A165, Captura_Obra!$B:$B, B165)</f>
        <v/>
      </c>
      <c r="E165" s="15036">
        <f>IFERROR(SUMIFS(Captura_Facturas_Mobil!$G:$G, Captura_Facturas_Mobil!$N:$N, A165, Captura_Facturas_Mobil!$D:$D, B165) / SUMIFS(Captura_Facturas_Mobil!$E:$E, Captura_Facturas_Mobil!$N:$N, A165, Captura_Facturas_Mobil!$D:$D, B165), IFERROR(SUMIFS(Captura_Facturas_Mobil!$G:$G, Captura_Facturas_Mobil!$N:$N, A165)/SUMIFS(Captura_Facturas_Mobil!$E:$E, Captura_Facturas_Mobil!$N:$N, A165, Captura_Facturas_Mobil!$E:$E,"&gt;"&amp;0), 27))</f>
        <v/>
      </c>
      <c r="F165" s="15037">
        <f>D165 * E165</f>
        <v/>
      </c>
      <c r="G165" s="15038">
        <f>IF(C165+D165=0, "", C165 - F165)</f>
        <v/>
      </c>
      <c r="H165" s="15039">
        <f>IF(C165+D165=0, "", IF(G165&gt;10, "⚠️ Pagamos de MÁS (o se fue a Tanque)", IF(G165&lt;-10, "🚨 Máquinas quemaron MÁS de lo pagado", "✅ Cuadrado")))</f>
        <v/>
      </c>
    </row>
    <row r="166">
      <c r="A166" s="15040" t="n">
        <v>25</v>
      </c>
      <c r="B166" s="15041" t="inlineStr">
        <is>
          <t>Planta Asfalto Pegaso</t>
        </is>
      </c>
      <c r="C166" s="15042">
        <f>SUMIFS(Estados_Cuenta_Mobil!$F:$F, Estados_Cuenta_Mobil!$C:$C, A166, Estados_Cuenta_Mobil!$D:$D, B166)</f>
        <v/>
      </c>
      <c r="D166" s="15043">
        <f>SUMIFS(Captura_Obra!$F:$F, Captura_Obra!$M:$M, A166, Captura_Obra!$B:$B, B166)</f>
        <v/>
      </c>
      <c r="E166" s="15044">
        <f>IFERROR(SUMIFS(Captura_Facturas_Mobil!$G:$G, Captura_Facturas_Mobil!$N:$N, A166, Captura_Facturas_Mobil!$D:$D, B166) / SUMIFS(Captura_Facturas_Mobil!$E:$E, Captura_Facturas_Mobil!$N:$N, A166, Captura_Facturas_Mobil!$D:$D, B166), IFERROR(SUMIFS(Captura_Facturas_Mobil!$G:$G, Captura_Facturas_Mobil!$N:$N, A166)/SUMIFS(Captura_Facturas_Mobil!$E:$E, Captura_Facturas_Mobil!$N:$N, A166, Captura_Facturas_Mobil!$E:$E,"&gt;"&amp;0), 27))</f>
        <v/>
      </c>
      <c r="F166" s="15045">
        <f>D166 * E166</f>
        <v/>
      </c>
      <c r="G166" s="15046">
        <f>IF(C166+D166=0, "", C166 - F166)</f>
        <v/>
      </c>
      <c r="H166" s="15047">
        <f>IF(C166+D166=0, "", IF(G166&gt;10, "⚠️ Pagamos de MÁS (o se fue a Tanque)", IF(G166&lt;-10, "🚨 Máquinas quemaron MÁS de lo pagado", "✅ Cuadrado")))</f>
        <v/>
      </c>
    </row>
    <row r="167">
      <c r="A167" s="15048" t="n">
        <v>25</v>
      </c>
      <c r="B167" s="15049" t="inlineStr">
        <is>
          <t>Planta Asflato Huixquilucan</t>
        </is>
      </c>
      <c r="C167" s="15050">
        <f>SUMIFS(Estados_Cuenta_Mobil!$F:$F, Estados_Cuenta_Mobil!$C:$C, A167, Estados_Cuenta_Mobil!$D:$D, B167)</f>
        <v/>
      </c>
      <c r="D167" s="15051">
        <f>SUMIFS(Captura_Obra!$F:$F, Captura_Obra!$M:$M, A167, Captura_Obra!$B:$B, B167)</f>
        <v/>
      </c>
      <c r="E167" s="15052">
        <f>IFERROR(SUMIFS(Captura_Facturas_Mobil!$G:$G, Captura_Facturas_Mobil!$N:$N, A167, Captura_Facturas_Mobil!$D:$D, B167) / SUMIFS(Captura_Facturas_Mobil!$E:$E, Captura_Facturas_Mobil!$N:$N, A167, Captura_Facturas_Mobil!$D:$D, B167), IFERROR(SUMIFS(Captura_Facturas_Mobil!$G:$G, Captura_Facturas_Mobil!$N:$N, A167)/SUMIFS(Captura_Facturas_Mobil!$E:$E, Captura_Facturas_Mobil!$N:$N, A167, Captura_Facturas_Mobil!$E:$E,"&gt;"&amp;0), 27))</f>
        <v/>
      </c>
      <c r="F167" s="15053">
        <f>D167 * E167</f>
        <v/>
      </c>
      <c r="G167" s="15054">
        <f>IF(C167+D167=0, "", C167 - F167)</f>
        <v/>
      </c>
      <c r="H167" s="15055">
        <f>IF(C167+D167=0, "", IF(G167&gt;10, "⚠️ Pagamos de MÁS (o se fue a Tanque)", IF(G167&lt;-10, "🚨 Máquinas quemaron MÁS de lo pagado", "✅ Cuadrado")))</f>
        <v/>
      </c>
    </row>
    <row r="168">
      <c r="A168" s="15056" t="n">
        <v>25</v>
      </c>
      <c r="B168" s="15057" t="inlineStr">
        <is>
          <t>Dragones</t>
        </is>
      </c>
      <c r="C168" s="15058">
        <f>SUMIFS(Estados_Cuenta_Mobil!$F:$F, Estados_Cuenta_Mobil!$C:$C, A168, Estados_Cuenta_Mobil!$D:$D, B168)</f>
        <v/>
      </c>
      <c r="D168" s="15059">
        <f>SUMIFS(Captura_Obra!$F:$F, Captura_Obra!$M:$M, A168, Captura_Obra!$B:$B, B168)</f>
        <v/>
      </c>
      <c r="E168" s="15060">
        <f>IFERROR(SUMIFS(Captura_Facturas_Mobil!$G:$G, Captura_Facturas_Mobil!$N:$N, A168, Captura_Facturas_Mobil!$D:$D, B168) / SUMIFS(Captura_Facturas_Mobil!$E:$E, Captura_Facturas_Mobil!$N:$N, A168, Captura_Facturas_Mobil!$D:$D, B168), IFERROR(SUMIFS(Captura_Facturas_Mobil!$G:$G, Captura_Facturas_Mobil!$N:$N, A168)/SUMIFS(Captura_Facturas_Mobil!$E:$E, Captura_Facturas_Mobil!$N:$N, A168, Captura_Facturas_Mobil!$E:$E,"&gt;"&amp;0), 27))</f>
        <v/>
      </c>
      <c r="F168" s="15061">
        <f>D168 * E168</f>
        <v/>
      </c>
      <c r="G168" s="15062">
        <f>IF(C168+D168=0, "", C168 - F168)</f>
        <v/>
      </c>
      <c r="H168" s="15063">
        <f>IF(C168+D168=0, "", IF(G168&gt;10, "⚠️ Pagamos de MÁS (o se fue a Tanque)", IF(G168&lt;-10, "🚨 Máquinas quemaron MÁS de lo pagado", "✅ Cuadrado")))</f>
        <v/>
      </c>
    </row>
    <row r="169">
      <c r="A169" s="15064" t="n">
        <v>25</v>
      </c>
      <c r="B169" s="15065" t="inlineStr">
        <is>
          <t>Jalisco</t>
        </is>
      </c>
      <c r="C169" s="15066">
        <f>SUMIFS(Estados_Cuenta_Mobil!$F:$F, Estados_Cuenta_Mobil!$C:$C, A169, Estados_Cuenta_Mobil!$D:$D, B169)</f>
        <v/>
      </c>
      <c r="D169" s="15067">
        <f>SUMIFS(Captura_Obra!$F:$F, Captura_Obra!$M:$M, A169, Captura_Obra!$B:$B, B169)</f>
        <v/>
      </c>
      <c r="E169" s="15068">
        <f>IFERROR(SUMIFS(Captura_Facturas_Mobil!$G:$G, Captura_Facturas_Mobil!$N:$N, A169, Captura_Facturas_Mobil!$D:$D, B169) / SUMIFS(Captura_Facturas_Mobil!$E:$E, Captura_Facturas_Mobil!$N:$N, A169, Captura_Facturas_Mobil!$D:$D, B169), IFERROR(SUMIFS(Captura_Facturas_Mobil!$G:$G, Captura_Facturas_Mobil!$N:$N, A169)/SUMIFS(Captura_Facturas_Mobil!$E:$E, Captura_Facturas_Mobil!$N:$N, A169, Captura_Facturas_Mobil!$E:$E,"&gt;"&amp;0), 27))</f>
        <v/>
      </c>
      <c r="F169" s="15069">
        <f>D169 * E169</f>
        <v/>
      </c>
      <c r="G169" s="15070">
        <f>IF(C169+D169=0, "", C169 - F169)</f>
        <v/>
      </c>
      <c r="H169" s="15071">
        <f>IF(C169+D169=0, "", IF(G169&gt;10, "⚠️ Pagamos de MÁS (o se fue a Tanque)", IF(G169&lt;-10, "🚨 Máquinas quemaron MÁS de lo pagado", "✅ Cuadrado")))</f>
        <v/>
      </c>
    </row>
    <row r="170">
      <c r="A170" s="15072" t="n">
        <v>25</v>
      </c>
      <c r="B170" s="15073" t="inlineStr">
        <is>
          <t>Colegio Militar</t>
        </is>
      </c>
      <c r="C170" s="15074">
        <f>SUMIFS(Estados_Cuenta_Mobil!$F:$F, Estados_Cuenta_Mobil!$C:$C, A170, Estados_Cuenta_Mobil!$D:$D, B170)</f>
        <v/>
      </c>
      <c r="D170" s="15075">
        <f>SUMIFS(Captura_Obra!$F:$F, Captura_Obra!$M:$M, A170, Captura_Obra!$B:$B, B170)</f>
        <v/>
      </c>
      <c r="E170" s="15076">
        <f>IFERROR(SUMIFS(Captura_Facturas_Mobil!$G:$G, Captura_Facturas_Mobil!$N:$N, A170, Captura_Facturas_Mobil!$D:$D, B170) / SUMIFS(Captura_Facturas_Mobil!$E:$E, Captura_Facturas_Mobil!$N:$N, A170, Captura_Facturas_Mobil!$D:$D, B170), IFERROR(SUMIFS(Captura_Facturas_Mobil!$G:$G, Captura_Facturas_Mobil!$N:$N, A170)/SUMIFS(Captura_Facturas_Mobil!$E:$E, Captura_Facturas_Mobil!$N:$N, A170, Captura_Facturas_Mobil!$E:$E,"&gt;"&amp;0), 27))</f>
        <v/>
      </c>
      <c r="F170" s="15077">
        <f>D170 * E170</f>
        <v/>
      </c>
      <c r="G170" s="15078">
        <f>IF(C170+D170=0, "", C170 - F170)</f>
        <v/>
      </c>
      <c r="H170" s="15079">
        <f>IF(C170+D170=0, "", IF(G170&gt;10, "⚠️ Pagamos de MÁS (o se fue a Tanque)", IF(G170&lt;-10, "🚨 Máquinas quemaron MÁS de lo pagado", "✅ Cuadrado")))</f>
        <v/>
      </c>
    </row>
    <row r="171">
      <c r="A171" s="15080" t="n">
        <v>25</v>
      </c>
      <c r="B171" s="15081" t="inlineStr">
        <is>
          <t>NO DETECTADA</t>
        </is>
      </c>
      <c r="C171" s="15082">
        <f>SUMIFS(Estados_Cuenta_Mobil!$F:$F, Estados_Cuenta_Mobil!$C:$C, A171, Estados_Cuenta_Mobil!$D:$D, B171)</f>
        <v/>
      </c>
      <c r="D171" s="15083">
        <f>SUMIFS(Captura_Obra!$F:$F, Captura_Obra!$M:$M, A171, Captura_Obra!$B:$B, B171)</f>
        <v/>
      </c>
      <c r="E171" s="15084">
        <f>IFERROR(SUMIFS(Captura_Facturas_Mobil!$G:$G, Captura_Facturas_Mobil!$N:$N, A171, Captura_Facturas_Mobil!$D:$D, B171) / SUMIFS(Captura_Facturas_Mobil!$E:$E, Captura_Facturas_Mobil!$N:$N, A171, Captura_Facturas_Mobil!$D:$D, B171), IFERROR(SUMIFS(Captura_Facturas_Mobil!$G:$G, Captura_Facturas_Mobil!$N:$N, A171)/SUMIFS(Captura_Facturas_Mobil!$E:$E, Captura_Facturas_Mobil!$N:$N, A171, Captura_Facturas_Mobil!$E:$E,"&gt;"&amp;0), 27))</f>
        <v/>
      </c>
      <c r="F171" s="15085">
        <f>D171 * E171</f>
        <v/>
      </c>
      <c r="G171" s="15086">
        <f>IF(C171+D171=0, "", C171 - F171)</f>
        <v/>
      </c>
      <c r="H171" s="15087">
        <f>IF(C171+D171=0, "", IF(G171&gt;10, "⚠️ Pagamos de MÁS (o se fue a Tanque)", IF(G171&lt;-10, "🚨 Máquinas quemaron MÁS de lo pagado", "✅ Cuadrado")))</f>
        <v/>
      </c>
    </row>
    <row r="172">
      <c r="A172" s="15088" t="n">
        <v>26</v>
      </c>
      <c r="B172" s="15089" t="inlineStr">
        <is>
          <t>México-Toluca</t>
        </is>
      </c>
      <c r="C172" s="15090">
        <f>SUMIFS(Estados_Cuenta_Mobil!$F:$F, Estados_Cuenta_Mobil!$C:$C, A172, Estados_Cuenta_Mobil!$D:$D, B172)</f>
        <v/>
      </c>
      <c r="D172" s="15091">
        <f>SUMIFS(Captura_Obra!$F:$F, Captura_Obra!$M:$M, A172, Captura_Obra!$B:$B, B172)</f>
        <v/>
      </c>
      <c r="E172" s="15092">
        <f>IFERROR(SUMIFS(Captura_Facturas_Mobil!$G:$G, Captura_Facturas_Mobil!$N:$N, A172, Captura_Facturas_Mobil!$D:$D, B172) / SUMIFS(Captura_Facturas_Mobil!$E:$E, Captura_Facturas_Mobil!$N:$N, A172, Captura_Facturas_Mobil!$D:$D, B172), IFERROR(SUMIFS(Captura_Facturas_Mobil!$G:$G, Captura_Facturas_Mobil!$N:$N, A172)/SUMIFS(Captura_Facturas_Mobil!$E:$E, Captura_Facturas_Mobil!$N:$N, A172, Captura_Facturas_Mobil!$E:$E,"&gt;"&amp;0), 27))</f>
        <v/>
      </c>
      <c r="F172" s="15093">
        <f>D172 * E172</f>
        <v/>
      </c>
      <c r="G172" s="15094">
        <f>IF(C172+D172=0, "", C172 - F172)</f>
        <v/>
      </c>
      <c r="H172" s="15095">
        <f>IF(C172+D172=0, "", IF(G172&gt;10, "⚠️ Pagamos de MÁS (o se fue a Tanque)", IF(G172&lt;-10, "🚨 Máquinas quemaron MÁS de lo pagado", "✅ Cuadrado")))</f>
        <v/>
      </c>
    </row>
    <row r="173">
      <c r="A173" s="15096" t="n">
        <v>26</v>
      </c>
      <c r="B173" s="15097" t="inlineStr">
        <is>
          <t>Lerma - Tres Marías</t>
        </is>
      </c>
      <c r="C173" s="15098">
        <f>SUMIFS(Estados_Cuenta_Mobil!$F:$F, Estados_Cuenta_Mobil!$C:$C, A173, Estados_Cuenta_Mobil!$D:$D, B173)</f>
        <v/>
      </c>
      <c r="D173" s="15099">
        <f>SUMIFS(Captura_Obra!$F:$F, Captura_Obra!$M:$M, A173, Captura_Obra!$B:$B, B173)</f>
        <v/>
      </c>
      <c r="E173" s="15100">
        <f>IFERROR(SUMIFS(Captura_Facturas_Mobil!$G:$G, Captura_Facturas_Mobil!$N:$N, A173, Captura_Facturas_Mobil!$D:$D, B173) / SUMIFS(Captura_Facturas_Mobil!$E:$E, Captura_Facturas_Mobil!$N:$N, A173, Captura_Facturas_Mobil!$D:$D, B173), IFERROR(SUMIFS(Captura_Facturas_Mobil!$G:$G, Captura_Facturas_Mobil!$N:$N, A173)/SUMIFS(Captura_Facturas_Mobil!$E:$E, Captura_Facturas_Mobil!$N:$N, A173, Captura_Facturas_Mobil!$E:$E,"&gt;"&amp;0), 27))</f>
        <v/>
      </c>
      <c r="F173" s="15101">
        <f>D173 * E173</f>
        <v/>
      </c>
      <c r="G173" s="15102">
        <f>IF(C173+D173=0, "", C173 - F173)</f>
        <v/>
      </c>
      <c r="H173" s="15103">
        <f>IF(C173+D173=0, "", IF(G173&gt;10, "⚠️ Pagamos de MÁS (o se fue a Tanque)", IF(G173&lt;-10, "🚨 Máquinas quemaron MÁS de lo pagado", "✅ Cuadrado")))</f>
        <v/>
      </c>
    </row>
    <row r="174">
      <c r="A174" s="15104" t="n">
        <v>26</v>
      </c>
      <c r="B174" s="15105" t="inlineStr">
        <is>
          <t>Chamapa-Lechería</t>
        </is>
      </c>
      <c r="C174" s="15106">
        <f>SUMIFS(Estados_Cuenta_Mobil!$F:$F, Estados_Cuenta_Mobil!$C:$C, A174, Estados_Cuenta_Mobil!$D:$D, B174)</f>
        <v/>
      </c>
      <c r="D174" s="15107">
        <f>SUMIFS(Captura_Obra!$F:$F, Captura_Obra!$M:$M, A174, Captura_Obra!$B:$B, B174)</f>
        <v/>
      </c>
      <c r="E174" s="15108">
        <f>IFERROR(SUMIFS(Captura_Facturas_Mobil!$G:$G, Captura_Facturas_Mobil!$N:$N, A174, Captura_Facturas_Mobil!$D:$D, B174) / SUMIFS(Captura_Facturas_Mobil!$E:$E, Captura_Facturas_Mobil!$N:$N, A174, Captura_Facturas_Mobil!$D:$D, B174), IFERROR(SUMIFS(Captura_Facturas_Mobil!$G:$G, Captura_Facturas_Mobil!$N:$N, A174)/SUMIFS(Captura_Facturas_Mobil!$E:$E, Captura_Facturas_Mobil!$N:$N, A174, Captura_Facturas_Mobil!$E:$E,"&gt;"&amp;0), 27))</f>
        <v/>
      </c>
      <c r="F174" s="15109">
        <f>D174 * E174</f>
        <v/>
      </c>
      <c r="G174" s="15110">
        <f>IF(C174+D174=0, "", C174 - F174)</f>
        <v/>
      </c>
      <c r="H174" s="15111">
        <f>IF(C174+D174=0, "", IF(G174&gt;10, "⚠️ Pagamos de MÁS (o se fue a Tanque)", IF(G174&lt;-10, "🚨 Máquinas quemaron MÁS de lo pagado", "✅ Cuadrado")))</f>
        <v/>
      </c>
    </row>
    <row r="175">
      <c r="A175" s="15112" t="n">
        <v>26</v>
      </c>
      <c r="B175" s="15113" t="inlineStr">
        <is>
          <t>Bacheo Toluca</t>
        </is>
      </c>
      <c r="C175" s="15114">
        <f>SUMIFS(Estados_Cuenta_Mobil!$F:$F, Estados_Cuenta_Mobil!$C:$C, A175, Estados_Cuenta_Mobil!$D:$D, B175)</f>
        <v/>
      </c>
      <c r="D175" s="15115">
        <f>SUMIFS(Captura_Obra!$F:$F, Captura_Obra!$M:$M, A175, Captura_Obra!$B:$B, B175)</f>
        <v/>
      </c>
      <c r="E175" s="15116">
        <f>IFERROR(SUMIFS(Captura_Facturas_Mobil!$G:$G, Captura_Facturas_Mobil!$N:$N, A175, Captura_Facturas_Mobil!$D:$D, B175) / SUMIFS(Captura_Facturas_Mobil!$E:$E, Captura_Facturas_Mobil!$N:$N, A175, Captura_Facturas_Mobil!$D:$D, B175), IFERROR(SUMIFS(Captura_Facturas_Mobil!$G:$G, Captura_Facturas_Mobil!$N:$N, A175)/SUMIFS(Captura_Facturas_Mobil!$E:$E, Captura_Facturas_Mobil!$N:$N, A175, Captura_Facturas_Mobil!$E:$E,"&gt;"&amp;0), 27))</f>
        <v/>
      </c>
      <c r="F175" s="15117">
        <f>D175 * E175</f>
        <v/>
      </c>
      <c r="G175" s="15118">
        <f>IF(C175+D175=0, "", C175 - F175)</f>
        <v/>
      </c>
      <c r="H175" s="15119">
        <f>IF(C175+D175=0, "", IF(G175&gt;10, "⚠️ Pagamos de MÁS (o se fue a Tanque)", IF(G175&lt;-10, "🚨 Máquinas quemaron MÁS de lo pagado", "✅ Cuadrado")))</f>
        <v/>
      </c>
    </row>
    <row r="176">
      <c r="A176" s="15120" t="n">
        <v>26</v>
      </c>
      <c r="B176" s="15121" t="inlineStr">
        <is>
          <t>Planta Asfalto Pegaso</t>
        </is>
      </c>
      <c r="C176" s="15122">
        <f>SUMIFS(Estados_Cuenta_Mobil!$F:$F, Estados_Cuenta_Mobil!$C:$C, A176, Estados_Cuenta_Mobil!$D:$D, B176)</f>
        <v/>
      </c>
      <c r="D176" s="15123">
        <f>SUMIFS(Captura_Obra!$F:$F, Captura_Obra!$M:$M, A176, Captura_Obra!$B:$B, B176)</f>
        <v/>
      </c>
      <c r="E176" s="15124">
        <f>IFERROR(SUMIFS(Captura_Facturas_Mobil!$G:$G, Captura_Facturas_Mobil!$N:$N, A176, Captura_Facturas_Mobil!$D:$D, B176) / SUMIFS(Captura_Facturas_Mobil!$E:$E, Captura_Facturas_Mobil!$N:$N, A176, Captura_Facturas_Mobil!$D:$D, B176), IFERROR(SUMIFS(Captura_Facturas_Mobil!$G:$G, Captura_Facturas_Mobil!$N:$N, A176)/SUMIFS(Captura_Facturas_Mobil!$E:$E, Captura_Facturas_Mobil!$N:$N, A176, Captura_Facturas_Mobil!$E:$E,"&gt;"&amp;0), 27))</f>
        <v/>
      </c>
      <c r="F176" s="15125">
        <f>D176 * E176</f>
        <v/>
      </c>
      <c r="G176" s="15126">
        <f>IF(C176+D176=0, "", C176 - F176)</f>
        <v/>
      </c>
      <c r="H176" s="15127">
        <f>IF(C176+D176=0, "", IF(G176&gt;10, "⚠️ Pagamos de MÁS (o se fue a Tanque)", IF(G176&lt;-10, "🚨 Máquinas quemaron MÁS de lo pagado", "✅ Cuadrado")))</f>
        <v/>
      </c>
    </row>
    <row r="177">
      <c r="A177" s="15128" t="n">
        <v>26</v>
      </c>
      <c r="B177" s="15129" t="inlineStr">
        <is>
          <t>Planta Asflato Huixquilucan</t>
        </is>
      </c>
      <c r="C177" s="15130">
        <f>SUMIFS(Estados_Cuenta_Mobil!$F:$F, Estados_Cuenta_Mobil!$C:$C, A177, Estados_Cuenta_Mobil!$D:$D, B177)</f>
        <v/>
      </c>
      <c r="D177" s="15131">
        <f>SUMIFS(Captura_Obra!$F:$F, Captura_Obra!$M:$M, A177, Captura_Obra!$B:$B, B177)</f>
        <v/>
      </c>
      <c r="E177" s="15132">
        <f>IFERROR(SUMIFS(Captura_Facturas_Mobil!$G:$G, Captura_Facturas_Mobil!$N:$N, A177, Captura_Facturas_Mobil!$D:$D, B177) / SUMIFS(Captura_Facturas_Mobil!$E:$E, Captura_Facturas_Mobil!$N:$N, A177, Captura_Facturas_Mobil!$D:$D, B177), IFERROR(SUMIFS(Captura_Facturas_Mobil!$G:$G, Captura_Facturas_Mobil!$N:$N, A177)/SUMIFS(Captura_Facturas_Mobil!$E:$E, Captura_Facturas_Mobil!$N:$N, A177, Captura_Facturas_Mobil!$E:$E,"&gt;"&amp;0), 27))</f>
        <v/>
      </c>
      <c r="F177" s="15133">
        <f>D177 * E177</f>
        <v/>
      </c>
      <c r="G177" s="15134">
        <f>IF(C177+D177=0, "", C177 - F177)</f>
        <v/>
      </c>
      <c r="H177" s="15135">
        <f>IF(C177+D177=0, "", IF(G177&gt;10, "⚠️ Pagamos de MÁS (o se fue a Tanque)", IF(G177&lt;-10, "🚨 Máquinas quemaron MÁS de lo pagado", "✅ Cuadrado")))</f>
        <v/>
      </c>
    </row>
    <row r="178">
      <c r="A178" s="15136" t="n">
        <v>26</v>
      </c>
      <c r="B178" s="15137" t="inlineStr">
        <is>
          <t>Dragones</t>
        </is>
      </c>
      <c r="C178" s="15138">
        <f>SUMIFS(Estados_Cuenta_Mobil!$F:$F, Estados_Cuenta_Mobil!$C:$C, A178, Estados_Cuenta_Mobil!$D:$D, B178)</f>
        <v/>
      </c>
      <c r="D178" s="15139">
        <f>SUMIFS(Captura_Obra!$F:$F, Captura_Obra!$M:$M, A178, Captura_Obra!$B:$B, B178)</f>
        <v/>
      </c>
      <c r="E178" s="15140">
        <f>IFERROR(SUMIFS(Captura_Facturas_Mobil!$G:$G, Captura_Facturas_Mobil!$N:$N, A178, Captura_Facturas_Mobil!$D:$D, B178) / SUMIFS(Captura_Facturas_Mobil!$E:$E, Captura_Facturas_Mobil!$N:$N, A178, Captura_Facturas_Mobil!$D:$D, B178), IFERROR(SUMIFS(Captura_Facturas_Mobil!$G:$G, Captura_Facturas_Mobil!$N:$N, A178)/SUMIFS(Captura_Facturas_Mobil!$E:$E, Captura_Facturas_Mobil!$N:$N, A178, Captura_Facturas_Mobil!$E:$E,"&gt;"&amp;0), 27))</f>
        <v/>
      </c>
      <c r="F178" s="15141">
        <f>D178 * E178</f>
        <v/>
      </c>
      <c r="G178" s="15142">
        <f>IF(C178+D178=0, "", C178 - F178)</f>
        <v/>
      </c>
      <c r="H178" s="15143">
        <f>IF(C178+D178=0, "", IF(G178&gt;10, "⚠️ Pagamos de MÁS (o se fue a Tanque)", IF(G178&lt;-10, "🚨 Máquinas quemaron MÁS de lo pagado", "✅ Cuadrado")))</f>
        <v/>
      </c>
    </row>
    <row r="179">
      <c r="A179" s="15144" t="n">
        <v>26</v>
      </c>
      <c r="B179" s="15145" t="inlineStr">
        <is>
          <t>Jalisco</t>
        </is>
      </c>
      <c r="C179" s="15146">
        <f>SUMIFS(Estados_Cuenta_Mobil!$F:$F, Estados_Cuenta_Mobil!$C:$C, A179, Estados_Cuenta_Mobil!$D:$D, B179)</f>
        <v/>
      </c>
      <c r="D179" s="15147">
        <f>SUMIFS(Captura_Obra!$F:$F, Captura_Obra!$M:$M, A179, Captura_Obra!$B:$B, B179)</f>
        <v/>
      </c>
      <c r="E179" s="15148">
        <f>IFERROR(SUMIFS(Captura_Facturas_Mobil!$G:$G, Captura_Facturas_Mobil!$N:$N, A179, Captura_Facturas_Mobil!$D:$D, B179) / SUMIFS(Captura_Facturas_Mobil!$E:$E, Captura_Facturas_Mobil!$N:$N, A179, Captura_Facturas_Mobil!$D:$D, B179), IFERROR(SUMIFS(Captura_Facturas_Mobil!$G:$G, Captura_Facturas_Mobil!$N:$N, A179)/SUMIFS(Captura_Facturas_Mobil!$E:$E, Captura_Facturas_Mobil!$N:$N, A179, Captura_Facturas_Mobil!$E:$E,"&gt;"&amp;0), 27))</f>
        <v/>
      </c>
      <c r="F179" s="15149">
        <f>D179 * E179</f>
        <v/>
      </c>
      <c r="G179" s="15150">
        <f>IF(C179+D179=0, "", C179 - F179)</f>
        <v/>
      </c>
      <c r="H179" s="15151">
        <f>IF(C179+D179=0, "", IF(G179&gt;10, "⚠️ Pagamos de MÁS (o se fue a Tanque)", IF(G179&lt;-10, "🚨 Máquinas quemaron MÁS de lo pagado", "✅ Cuadrado")))</f>
        <v/>
      </c>
    </row>
    <row r="180">
      <c r="A180" s="15152" t="n">
        <v>26</v>
      </c>
      <c r="B180" s="15153" t="inlineStr">
        <is>
          <t>Colegio Militar</t>
        </is>
      </c>
      <c r="C180" s="15154">
        <f>SUMIFS(Estados_Cuenta_Mobil!$F:$F, Estados_Cuenta_Mobil!$C:$C, A180, Estados_Cuenta_Mobil!$D:$D, B180)</f>
        <v/>
      </c>
      <c r="D180" s="15155">
        <f>SUMIFS(Captura_Obra!$F:$F, Captura_Obra!$M:$M, A180, Captura_Obra!$B:$B, B180)</f>
        <v/>
      </c>
      <c r="E180" s="15156">
        <f>IFERROR(SUMIFS(Captura_Facturas_Mobil!$G:$G, Captura_Facturas_Mobil!$N:$N, A180, Captura_Facturas_Mobil!$D:$D, B180) / SUMIFS(Captura_Facturas_Mobil!$E:$E, Captura_Facturas_Mobil!$N:$N, A180, Captura_Facturas_Mobil!$D:$D, B180), IFERROR(SUMIFS(Captura_Facturas_Mobil!$G:$G, Captura_Facturas_Mobil!$N:$N, A180)/SUMIFS(Captura_Facturas_Mobil!$E:$E, Captura_Facturas_Mobil!$N:$N, A180, Captura_Facturas_Mobil!$E:$E,"&gt;"&amp;0), 27))</f>
        <v/>
      </c>
      <c r="F180" s="15157">
        <f>D180 * E180</f>
        <v/>
      </c>
      <c r="G180" s="15158">
        <f>IF(C180+D180=0, "", C180 - F180)</f>
        <v/>
      </c>
      <c r="H180" s="15159">
        <f>IF(C180+D180=0, "", IF(G180&gt;10, "⚠️ Pagamos de MÁS (o se fue a Tanque)", IF(G180&lt;-10, "🚨 Máquinas quemaron MÁS de lo pagado", "✅ Cuadrado")))</f>
        <v/>
      </c>
    </row>
    <row r="181">
      <c r="A181" s="15160" t="n">
        <v>26</v>
      </c>
      <c r="B181" s="15161" t="inlineStr">
        <is>
          <t>NO DETECTADA</t>
        </is>
      </c>
      <c r="C181" s="15162">
        <f>SUMIFS(Estados_Cuenta_Mobil!$F:$F, Estados_Cuenta_Mobil!$C:$C, A181, Estados_Cuenta_Mobil!$D:$D, B181)</f>
        <v/>
      </c>
      <c r="D181" s="15163">
        <f>SUMIFS(Captura_Obra!$F:$F, Captura_Obra!$M:$M, A181, Captura_Obra!$B:$B, B181)</f>
        <v/>
      </c>
      <c r="E181" s="15164">
        <f>IFERROR(SUMIFS(Captura_Facturas_Mobil!$G:$G, Captura_Facturas_Mobil!$N:$N, A181, Captura_Facturas_Mobil!$D:$D, B181) / SUMIFS(Captura_Facturas_Mobil!$E:$E, Captura_Facturas_Mobil!$N:$N, A181, Captura_Facturas_Mobil!$D:$D, B181), IFERROR(SUMIFS(Captura_Facturas_Mobil!$G:$G, Captura_Facturas_Mobil!$N:$N, A181)/SUMIFS(Captura_Facturas_Mobil!$E:$E, Captura_Facturas_Mobil!$N:$N, A181, Captura_Facturas_Mobil!$E:$E,"&gt;"&amp;0), 27))</f>
        <v/>
      </c>
      <c r="F181" s="15165">
        <f>D181 * E181</f>
        <v/>
      </c>
      <c r="G181" s="15166">
        <f>IF(C181+D181=0, "", C181 - F181)</f>
        <v/>
      </c>
      <c r="H181" s="15167">
        <f>IF(C181+D181=0, "", IF(G181&gt;10, "⚠️ Pagamos de MÁS (o se fue a Tanque)", IF(G181&lt;-10, "🚨 Máquinas quemaron MÁS de lo pagado", "✅ Cuadrado")))</f>
        <v/>
      </c>
    </row>
    <row r="182">
      <c r="A182" s="15168" t="inlineStr">
        <is>
          <t>TOTAL GENERAL</t>
        </is>
      </c>
      <c r="B182" s="15169" t="n"/>
      <c r="C182" s="15170">
        <f>SUBTOTAL(9, C122:C181)</f>
        <v/>
      </c>
      <c r="D182" s="15171">
        <f>SUBTOTAL(9, D122:D181)</f>
        <v/>
      </c>
      <c r="E182" s="15172" t="n"/>
      <c r="F182" s="15173">
        <f>SUBTOTAL(9, F122:F181)</f>
        <v/>
      </c>
      <c r="G182" s="15174">
        <f>SUBTOTAL(9, G122:G181)</f>
        <v/>
      </c>
      <c r="H182" s="15175" t="n"/>
    </row>
    <row r="183" ht="14.4" customHeight="1" s="17580">
      <c r="A183" s="17638" t="inlineStr">
        <is>
          <t>ℹ️ Si la diferencia es muy alta y positiva, usualmente significa que el cobro incluye pipas almacenadas en tanque que la maquinaria aún no quema.</t>
        </is>
      </c>
    </row>
  </sheetData>
  <autoFilter ref="A121:J183"/>
  <mergeCells count="22">
    <mergeCell ref="A67:H67"/>
    <mergeCell ref="A15:H15"/>
    <mergeCell ref="A94:H94"/>
    <mergeCell ref="A55:I55"/>
    <mergeCell ref="A79:H79"/>
    <mergeCell ref="A42:C42"/>
    <mergeCell ref="A5:F5"/>
    <mergeCell ref="A183:H183"/>
    <mergeCell ref="A30:J30"/>
    <mergeCell ref="A29:C29"/>
    <mergeCell ref="A3:B3"/>
    <mergeCell ref="A120:H120"/>
    <mergeCell ref="A1:J1"/>
    <mergeCell ref="A21:H21"/>
    <mergeCell ref="A31:C31"/>
    <mergeCell ref="A39:I39"/>
    <mergeCell ref="D3:E3"/>
    <mergeCell ref="A41:J41"/>
    <mergeCell ref="A22:H22"/>
    <mergeCell ref="A36:I36"/>
    <mergeCell ref="A28:H28"/>
    <mergeCell ref="A58:H58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65"/>
  <sheetViews>
    <sheetView topLeftCell="A3" workbookViewId="0">
      <selection activeCell="D30" sqref="D30"/>
    </sheetView>
  </sheetViews>
  <sheetFormatPr baseColWidth="10" defaultRowHeight="13.8"/>
  <cols>
    <col width="14" customWidth="1" style="17580" min="1" max="1"/>
    <col width="22.796875" bestFit="1" customWidth="1" style="17580" min="2" max="2"/>
    <col width="15.09765625" bestFit="1" customWidth="1" style="17580" min="3" max="3"/>
    <col width="28" customWidth="1" style="17580" min="4" max="4"/>
    <col width="12.5" bestFit="1" customWidth="1" style="17580" min="5" max="5"/>
    <col width="17" customWidth="1" style="17580" min="6" max="8"/>
    <col width="20.3984375" bestFit="1" customWidth="1" style="17580" min="9" max="9"/>
    <col width="14" customWidth="1" style="17580" min="10" max="10"/>
    <col width="25" customWidth="1" style="17580" min="11" max="11"/>
  </cols>
  <sheetData>
    <row r="1" ht="17.4" customHeight="1" s="17580">
      <c r="A1" s="17654" t="inlineStr">
        <is>
          <t>ESTADOS DE CUENTA - GASOLINERA MOBIL (Derivados de Petróleo Castilla)</t>
        </is>
      </c>
    </row>
    <row r="2" ht="14.4" customHeight="1" s="17580">
      <c r="A2" s="17653" t="inlineStr">
        <is>
          <t>Cruce: Estado de Cuenta → Facturas CFDI → Consumo en Obra  |  Semanas: Lunes a Domingo</t>
        </is>
      </c>
    </row>
    <row r="4" ht="36" customHeight="1" s="17580">
      <c r="A4" s="11504" t="inlineStr">
        <is>
          <t>No. Factura</t>
        </is>
      </c>
      <c r="B4" s="11505" t="inlineStr">
        <is>
          <t>Fecha Suministro</t>
        </is>
      </c>
      <c r="C4" s="11506" t="inlineStr">
        <is>
          <t>Semana (Lun-Dom)</t>
        </is>
      </c>
      <c r="D4" s="11507" t="inlineStr">
        <is>
          <t>Obra / Centro de Trabajo</t>
        </is>
      </c>
      <c r="E4" s="11508" t="inlineStr">
        <is>
          <t>Cliente No.</t>
        </is>
      </c>
      <c r="F4" s="11509" t="inlineStr">
        <is>
          <t>Monto Estado Cta ($)</t>
        </is>
      </c>
      <c r="G4" s="11510" t="inlineStr">
        <is>
          <t>Monto en CFDI ($)</t>
        </is>
      </c>
      <c r="H4" s="11511" t="inlineStr">
        <is>
          <t>Diferencia EDO-CFDI ($)</t>
        </is>
      </c>
      <c r="I4" s="11512" t="inlineStr">
        <is>
          <t>Lts en CFDI</t>
        </is>
      </c>
      <c r="J4" s="11513" t="inlineStr">
        <is>
          <t>Costo ($/L) CFDI</t>
        </is>
      </c>
      <c r="K4" s="11514" t="inlineStr">
        <is>
          <t>Estatus</t>
        </is>
      </c>
    </row>
    <row r="5">
      <c r="A5" s="16103" t="inlineStr">
        <is>
          <t>A-9606</t>
        </is>
      </c>
      <c r="B5" s="16145" t="n">
        <v>46164.75</v>
      </c>
      <c r="C5" s="16187" t="n">
        <v>21</v>
      </c>
      <c r="D5" s="16229" t="inlineStr">
        <is>
          <t>Chamapa-Lechería</t>
        </is>
      </c>
      <c r="E5" s="16271" t="n">
        <v>41</v>
      </c>
      <c r="F5" s="16313" t="n">
        <v>31054.48</v>
      </c>
      <c r="G5" s="16355">
        <f>IFERROR(VLOOKUP(A5, Captura_Facturas_Mobil!$A:$G, 7, FALSE), 0)</f>
        <v/>
      </c>
      <c r="H5" s="16397">
        <f>IFERROR(F5 - G5, F5)</f>
        <v/>
      </c>
      <c r="I5" s="16439">
        <f>IFERROR(VLOOKUP(A5, Captura_Facturas_Mobil!$A:$E, 5, FALSE), 0)</f>
        <v/>
      </c>
      <c r="J5" s="16481">
        <f>IFERROR(IF(I5=0,"", G5/I5), "")</f>
        <v/>
      </c>
      <c r="K5" s="16523">
        <f>IFERROR(IF(G5=0, "⚠️ Sin CFDI", IF(ABS(H5)&lt;1, "✅ Cuadrado", IF(H5&gt;0, "📋 CFDI menor", "📋 CFDI mayor"))), "?")</f>
        <v/>
      </c>
    </row>
    <row r="6">
      <c r="A6" s="16112" t="inlineStr">
        <is>
          <t>A-9618</t>
        </is>
      </c>
      <c r="B6" s="16154" t="n">
        <v>46164.75</v>
      </c>
      <c r="C6" s="16196" t="n">
        <v>21</v>
      </c>
      <c r="D6" s="16238" t="inlineStr">
        <is>
          <t>Chamapa-Lechería</t>
        </is>
      </c>
      <c r="E6" s="16280" t="n">
        <v>41</v>
      </c>
      <c r="F6" s="16322" t="n">
        <v>26190.11</v>
      </c>
      <c r="G6" s="16364">
        <f>IFERROR(VLOOKUP(A6, Captura_Facturas_Mobil!$A:$G, 7, FALSE), 0)</f>
        <v/>
      </c>
      <c r="H6" s="16406">
        <f>IFERROR(F6 - G6, F6)</f>
        <v/>
      </c>
      <c r="I6" s="16448">
        <f>IFERROR(VLOOKUP(A6, Captura_Facturas_Mobil!$A:$E, 5, FALSE), 0)</f>
        <v/>
      </c>
      <c r="J6" s="16490">
        <f>IFERROR(IF(I6=0,"", G6/I6), "")</f>
        <v/>
      </c>
      <c r="K6" s="16532">
        <f>IFERROR(IF(G6=0, "⚠️ Sin CFDI", IF(ABS(H6)&lt;1, "✅ Cuadrado", IF(H6&gt;0, "📋 CFDI menor", "📋 CFDI mayor"))), "?")</f>
        <v/>
      </c>
    </row>
    <row r="7">
      <c r="A7" s="16107" t="inlineStr">
        <is>
          <t>A-9658</t>
        </is>
      </c>
      <c r="B7" s="16149" t="n">
        <v>46165.75</v>
      </c>
      <c r="C7" s="16191" t="n">
        <v>21</v>
      </c>
      <c r="D7" s="16233" t="inlineStr">
        <is>
          <t>Chamapa-Lechería</t>
        </is>
      </c>
      <c r="E7" s="16275" t="n">
        <v>41</v>
      </c>
      <c r="F7" s="16317" t="n">
        <v>20250.09</v>
      </c>
      <c r="G7" s="16359">
        <f>IFERROR(VLOOKUP(A7, Captura_Facturas_Mobil!$A:$G, 7, FALSE), 0)</f>
        <v/>
      </c>
      <c r="H7" s="16401">
        <f>IFERROR(F7 - G7, F7)</f>
        <v/>
      </c>
      <c r="I7" s="16443">
        <f>IFERROR(VLOOKUP(A7, Captura_Facturas_Mobil!$A:$E, 5, FALSE), 0)</f>
        <v/>
      </c>
      <c r="J7" s="16485">
        <f>IFERROR(IF(I7=0,"", G7/I7), "")</f>
        <v/>
      </c>
      <c r="K7" s="16527">
        <f>IFERROR(IF(G7=0, "⚠️ Sin CFDI", IF(ABS(H7)&lt;1, "✅ Cuadrado", IF(H7&gt;0, "📋 CFDI menor", "📋 CFDI mayor"))), "?")</f>
        <v/>
      </c>
    </row>
    <row r="8">
      <c r="A8" s="16117" t="inlineStr">
        <is>
          <t>A-9772</t>
        </is>
      </c>
      <c r="B8" s="16159" t="n">
        <v>46171.75</v>
      </c>
      <c r="C8" s="16201" t="n">
        <v>22</v>
      </c>
      <c r="D8" s="16243" t="inlineStr">
        <is>
          <t>Colegio Militar</t>
        </is>
      </c>
      <c r="E8" s="16285" t="n">
        <v>41</v>
      </c>
      <c r="F8" s="16327" t="n">
        <v>8100.05</v>
      </c>
      <c r="G8" s="16369">
        <f>IFERROR(VLOOKUP(A8, Captura_Facturas_Mobil!$A:$G, 7, FALSE), 0)</f>
        <v/>
      </c>
      <c r="H8" s="16411">
        <f>IFERROR(F8 - G8, F8)</f>
        <v/>
      </c>
      <c r="I8" s="16453">
        <f>IFERROR(VLOOKUP(A8, Captura_Facturas_Mobil!$A:$E, 5, FALSE), 0)</f>
        <v/>
      </c>
      <c r="J8" s="16495">
        <f>IFERROR(IF(I8=0,"", G8/I8), "")</f>
        <v/>
      </c>
      <c r="K8" s="16537">
        <f>IFERROR(IF(G8=0, "⚠️ Sin CFDI", IF(ABS(H8)&lt;1, "✅ Cuadrado", IF(H8&gt;0, "📋 CFDI menor", "📋 CFDI mayor"))), "?")</f>
        <v/>
      </c>
    </row>
    <row r="9">
      <c r="A9" s="16129" t="inlineStr">
        <is>
          <t>A-9646</t>
        </is>
      </c>
      <c r="B9" s="16171" t="n">
        <v>46167.75</v>
      </c>
      <c r="C9" s="16213" t="n">
        <v>22</v>
      </c>
      <c r="D9" s="16255" t="inlineStr">
        <is>
          <t>Chamapa-Lechería</t>
        </is>
      </c>
      <c r="E9" s="16297" t="n">
        <v>41</v>
      </c>
      <c r="F9" s="16339" t="n">
        <v>16740.89</v>
      </c>
      <c r="G9" s="16381">
        <f>IFERROR(VLOOKUP(A9, Captura_Facturas_Mobil!$A:$G, 7, FALSE), 0)</f>
        <v/>
      </c>
      <c r="H9" s="16423">
        <f>IFERROR(F9 - G9, F9)</f>
        <v/>
      </c>
      <c r="I9" s="16465">
        <f>IFERROR(VLOOKUP(A9, Captura_Facturas_Mobil!$A:$E, 5, FALSE), 0)</f>
        <v/>
      </c>
      <c r="J9" s="16507">
        <f>IFERROR(IF(I9=0,"", G9/I9), "")</f>
        <v/>
      </c>
      <c r="K9" s="16549">
        <f>IFERROR(IF(G9=0, "⚠️ Sin CFDI", IF(ABS(H9)&lt;1, "✅ Cuadrado", IF(H9&gt;0, "📋 CFDI menor", "📋 CFDI mayor"))), "?")</f>
        <v/>
      </c>
    </row>
    <row r="10">
      <c r="A10" s="16138" t="inlineStr">
        <is>
          <t>A-23783037</t>
        </is>
      </c>
      <c r="B10" s="16180" t="n">
        <v>46168.75</v>
      </c>
      <c r="C10" s="16222" t="n">
        <v>22</v>
      </c>
      <c r="D10" s="16264" t="inlineStr">
        <is>
          <t>Chamapa-Lechería</t>
        </is>
      </c>
      <c r="E10" s="16306" t="n">
        <v>41</v>
      </c>
      <c r="F10" s="16348" t="n">
        <v>12420.08</v>
      </c>
      <c r="G10" s="16390">
        <f>IFERROR(VLOOKUP(A10, Captura_Facturas_Mobil!$A:$G, 7, FALSE), 0)</f>
        <v/>
      </c>
      <c r="H10" s="16432">
        <f>IFERROR(F10 - G10, F10)</f>
        <v/>
      </c>
      <c r="I10" s="16474">
        <f>IFERROR(VLOOKUP(A10, Captura_Facturas_Mobil!$A:$E, 5, FALSE), 0)</f>
        <v/>
      </c>
      <c r="J10" s="16516">
        <f>IFERROR(IF(I10=0,"", G10/I10), "")</f>
        <v/>
      </c>
      <c r="K10" s="16558">
        <f>IFERROR(IF(G10=0, "⚠️ Sin CFDI", IF(ABS(H10)&lt;1, "✅ Cuadrado", IF(H10&gt;0, "📋 CFDI menor", "📋 CFDI mayor"))), "?")</f>
        <v/>
      </c>
    </row>
    <row r="11">
      <c r="A11" s="16122" t="inlineStr">
        <is>
          <t>A-9773</t>
        </is>
      </c>
      <c r="B11" s="16164" t="n">
        <v>46171.75</v>
      </c>
      <c r="C11" s="16206" t="n">
        <v>22</v>
      </c>
      <c r="D11" s="16248" t="inlineStr">
        <is>
          <t>Chamapa-Lechería</t>
        </is>
      </c>
      <c r="E11" s="16290" t="n">
        <v>41</v>
      </c>
      <c r="F11" s="16332" t="n">
        <v>20259.03</v>
      </c>
      <c r="G11" s="16374">
        <f>IFERROR(VLOOKUP(A11, Captura_Facturas_Mobil!$A:$G, 7, FALSE), 0)</f>
        <v/>
      </c>
      <c r="H11" s="16416">
        <f>IFERROR(F11 - G11, F11)</f>
        <v/>
      </c>
      <c r="I11" s="16458">
        <f>IFERROR(VLOOKUP(A11, Captura_Facturas_Mobil!$A:$E, 5, FALSE), 0)</f>
        <v/>
      </c>
      <c r="J11" s="16500">
        <f>IFERROR(IF(I11=0,"", G11/I11), "")</f>
        <v/>
      </c>
      <c r="K11" s="16542">
        <f>IFERROR(IF(G11=0, "⚠️ Sin CFDI", IF(ABS(H11)&lt;1, "✅ Cuadrado", IF(H11&gt;0, "📋 CFDI menor", "📋 CFDI mayor"))), "?")</f>
        <v/>
      </c>
    </row>
    <row r="12">
      <c r="A12" s="16116" t="inlineStr">
        <is>
          <t>A-9890</t>
        </is>
      </c>
      <c r="B12" s="16158" t="n">
        <v>46175.75</v>
      </c>
      <c r="C12" s="16200" t="n">
        <v>23</v>
      </c>
      <c r="D12" s="16242" t="inlineStr">
        <is>
          <t>México-Toluca</t>
        </is>
      </c>
      <c r="E12" s="16284" t="n">
        <v>41</v>
      </c>
      <c r="F12" s="16326" t="n">
        <v>18900.06</v>
      </c>
      <c r="G12" s="16368">
        <f>IFERROR(VLOOKUP(A12, Captura_Facturas_Mobil!$A:$G, 7, FALSE), 0)</f>
        <v/>
      </c>
      <c r="H12" s="16410">
        <f>IFERROR(F12 - G12, F12)</f>
        <v/>
      </c>
      <c r="I12" s="16452">
        <f>IFERROR(VLOOKUP(A12, Captura_Facturas_Mobil!$A:$E, 5, FALSE), 0)</f>
        <v/>
      </c>
      <c r="J12" s="16494">
        <f>IFERROR(IF(I12=0,"", G12/I12), "")</f>
        <v/>
      </c>
      <c r="K12" s="16536">
        <f>IFERROR(IF(G12=0, "⚠️ Sin CFDI", IF(ABS(H12)&lt;1, "✅ Cuadrado", IF(H12&gt;0, "📋 CFDI menor", "📋 CFDI mayor"))), "?")</f>
        <v/>
      </c>
    </row>
    <row r="13">
      <c r="A13" s="16111" t="inlineStr">
        <is>
          <t>A-9904</t>
        </is>
      </c>
      <c r="B13" s="16153" t="n">
        <v>46177.75</v>
      </c>
      <c r="C13" s="16195" t="n">
        <v>23</v>
      </c>
      <c r="D13" s="16237" t="inlineStr">
        <is>
          <t>México-Toluca</t>
        </is>
      </c>
      <c r="E13" s="16279" t="n">
        <v>41</v>
      </c>
      <c r="F13" s="16321" t="n">
        <v>13770.05</v>
      </c>
      <c r="G13" s="16363">
        <f>IFERROR(VLOOKUP(A13, Captura_Facturas_Mobil!$A:$G, 7, FALSE), 0)</f>
        <v/>
      </c>
      <c r="H13" s="16405">
        <f>IFERROR(F13 - G13, F13)</f>
        <v/>
      </c>
      <c r="I13" s="16447">
        <f>IFERROR(VLOOKUP(A13, Captura_Facturas_Mobil!$A:$E, 5, FALSE), 0)</f>
        <v/>
      </c>
      <c r="J13" s="16489">
        <f>IFERROR(IF(I13=0,"", G13/I13), "")</f>
        <v/>
      </c>
      <c r="K13" s="16531">
        <f>IFERROR(IF(G13=0, "⚠️ Sin CFDI", IF(ABS(H13)&lt;1, "✅ Cuadrado", IF(H13&gt;0, "📋 CFDI menor", "📋 CFDI mayor"))), "?")</f>
        <v/>
      </c>
    </row>
    <row r="14">
      <c r="A14" s="16106" t="inlineStr">
        <is>
          <t>A-9915</t>
        </is>
      </c>
      <c r="B14" s="16148" t="n">
        <v>46178.75</v>
      </c>
      <c r="C14" s="16190" t="n">
        <v>23</v>
      </c>
      <c r="D14" s="16232" t="inlineStr">
        <is>
          <t>México-Toluca</t>
        </is>
      </c>
      <c r="E14" s="16274" t="n">
        <v>41</v>
      </c>
      <c r="F14" s="16316" t="n">
        <v>7830.05</v>
      </c>
      <c r="G14" s="16358">
        <f>IFERROR(VLOOKUP(A14, Captura_Facturas_Mobil!$A:$G, 7, FALSE), 0)</f>
        <v/>
      </c>
      <c r="H14" s="16400">
        <f>IFERROR(F14 - G14, F14)</f>
        <v/>
      </c>
      <c r="I14" s="16442">
        <f>IFERROR(VLOOKUP(A14, Captura_Facturas_Mobil!$A:$E, 5, FALSE), 0)</f>
        <v/>
      </c>
      <c r="J14" s="16484">
        <f>IFERROR(IF(I14=0,"", G14/I14), "")</f>
        <v/>
      </c>
      <c r="K14" s="16526">
        <f>IFERROR(IF(G14=0, "⚠️ Sin CFDI", IF(ABS(H14)&lt;1, "✅ Cuadrado", IF(H14&gt;0, "📋 CFDI menor", "📋 CFDI mayor"))), "?")</f>
        <v/>
      </c>
    </row>
    <row r="15">
      <c r="A15" s="16131" t="inlineStr">
        <is>
          <t>A-9917</t>
        </is>
      </c>
      <c r="B15" s="16173" t="n">
        <v>46178.75</v>
      </c>
      <c r="C15" s="16215" t="n">
        <v>23</v>
      </c>
      <c r="D15" s="16257" t="inlineStr">
        <is>
          <t>Planta Asflato Huixquilucan</t>
        </is>
      </c>
      <c r="E15" s="16299" t="n">
        <v>39</v>
      </c>
      <c r="F15" s="16341" t="n">
        <v>16200.1</v>
      </c>
      <c r="G15" s="16383">
        <f>IFERROR(VLOOKUP(A15, Captura_Facturas_Mobil!$A:$G, 7, FALSE), 0)</f>
        <v/>
      </c>
      <c r="H15" s="16425">
        <f>IFERROR(F15 - G15, F15)</f>
        <v/>
      </c>
      <c r="I15" s="16467">
        <f>IFERROR(VLOOKUP(A15, Captura_Facturas_Mobil!$A:$E, 5, FALSE), 0)</f>
        <v/>
      </c>
      <c r="J15" s="16509">
        <f>IFERROR(IF(I15=0,"", G15/I15), "")</f>
        <v/>
      </c>
      <c r="K15" s="16551">
        <f>IFERROR(IF(G15=0, "⚠️ Sin CFDI", IF(ABS(H15)&lt;1, "✅ Cuadrado", IF(H15&gt;0, "📋 CFDI menor", "📋 CFDI mayor"))), "?")</f>
        <v/>
      </c>
    </row>
    <row r="16">
      <c r="A16" s="16140" t="inlineStr">
        <is>
          <t>A-23873042</t>
        </is>
      </c>
      <c r="B16" s="16182" t="n">
        <v>46174.75</v>
      </c>
      <c r="C16" s="16224" t="n">
        <v>23</v>
      </c>
      <c r="D16" s="16266" t="inlineStr">
        <is>
          <t>Chamapa-Lechería</t>
        </is>
      </c>
      <c r="E16" s="16308" t="n">
        <v>41</v>
      </c>
      <c r="F16" s="16350" t="n">
        <v>20682.11</v>
      </c>
      <c r="G16" s="16392">
        <f>IFERROR(VLOOKUP(A16, Captura_Facturas_Mobil!$A:$G, 7, FALSE), 0)</f>
        <v/>
      </c>
      <c r="H16" s="16434">
        <f>IFERROR(F16 - G16, F16)</f>
        <v/>
      </c>
      <c r="I16" s="16476">
        <f>IFERROR(VLOOKUP(A16, Captura_Facturas_Mobil!$A:$E, 5, FALSE), 0)</f>
        <v/>
      </c>
      <c r="J16" s="16518">
        <f>IFERROR(IF(I16=0,"", G16/I16), "")</f>
        <v/>
      </c>
      <c r="K16" s="16560">
        <f>IFERROR(IF(G16=0, "⚠️ Sin CFDI", IF(ABS(H16)&lt;1, "✅ Cuadrado", IF(H16&gt;0, "📋 CFDI menor", "📋 CFDI mayor"))), "?")</f>
        <v/>
      </c>
    </row>
    <row r="17">
      <c r="A17" s="16124" t="inlineStr">
        <is>
          <t>A-9888</t>
        </is>
      </c>
      <c r="B17" s="16166" t="n">
        <v>46175.75</v>
      </c>
      <c r="C17" s="16208" t="n">
        <v>23</v>
      </c>
      <c r="D17" s="16250" t="inlineStr">
        <is>
          <t>Chamapa-Lechería</t>
        </is>
      </c>
      <c r="E17" s="16292" t="n">
        <v>41</v>
      </c>
      <c r="F17" s="16334" t="n">
        <v>18630.06</v>
      </c>
      <c r="G17" s="16376">
        <f>IFERROR(VLOOKUP(A17, Captura_Facturas_Mobil!$A:$G, 7, FALSE), 0)</f>
        <v/>
      </c>
      <c r="H17" s="16418">
        <f>IFERROR(F17 - G17, F17)</f>
        <v/>
      </c>
      <c r="I17" s="16460">
        <f>IFERROR(VLOOKUP(A17, Captura_Facturas_Mobil!$A:$E, 5, FALSE), 0)</f>
        <v/>
      </c>
      <c r="J17" s="16502">
        <f>IFERROR(IF(I17=0,"", G17/I17), "")</f>
        <v/>
      </c>
      <c r="K17" s="16544">
        <f>IFERROR(IF(G17=0, "⚠️ Sin CFDI", IF(ABS(H17)&lt;1, "✅ Cuadrado", IF(H17&gt;0, "📋 CFDI menor", "📋 CFDI mayor"))), "?")</f>
        <v/>
      </c>
    </row>
    <row r="18">
      <c r="A18" s="16142" t="inlineStr">
        <is>
          <t>A-9901</t>
        </is>
      </c>
      <c r="B18" s="16184" t="n">
        <v>46176.75</v>
      </c>
      <c r="C18" s="16226" t="n">
        <v>23</v>
      </c>
      <c r="D18" s="16268" t="inlineStr">
        <is>
          <t>Chamapa-Lechería</t>
        </is>
      </c>
      <c r="E18" s="16310" t="n">
        <v>41</v>
      </c>
      <c r="F18" s="16352" t="n">
        <v>22140.06</v>
      </c>
      <c r="G18" s="16394">
        <f>IFERROR(VLOOKUP(A18, Captura_Facturas_Mobil!$A:$G, 7, FALSE), 0)</f>
        <v/>
      </c>
      <c r="H18" s="16436">
        <f>IFERROR(F18 - G18, F18)</f>
        <v/>
      </c>
      <c r="I18" s="16478">
        <f>IFERROR(VLOOKUP(A18, Captura_Facturas_Mobil!$A:$E, 5, FALSE), 0)</f>
        <v/>
      </c>
      <c r="J18" s="16520">
        <f>IFERROR(IF(I18=0,"", G18/I18), "")</f>
        <v/>
      </c>
      <c r="K18" s="16562">
        <f>IFERROR(IF(G18=0, "⚠️ Sin CFDI", IF(ABS(H18)&lt;1, "✅ Cuadrado", IF(H18&gt;0, "📋 CFDI menor", "📋 CFDI mayor"))), "?")</f>
        <v/>
      </c>
    </row>
    <row r="19">
      <c r="A19" s="16126" t="inlineStr">
        <is>
          <t>A-9930</t>
        </is>
      </c>
      <c r="B19" s="16168" t="n">
        <v>46178.75</v>
      </c>
      <c r="C19" s="16210" t="n">
        <v>23</v>
      </c>
      <c r="D19" s="16252" t="inlineStr">
        <is>
          <t>Chamapa-Lechería</t>
        </is>
      </c>
      <c r="E19" s="16294" t="n">
        <v>41</v>
      </c>
      <c r="F19" s="16336" t="n">
        <v>18063.08</v>
      </c>
      <c r="G19" s="16378">
        <f>IFERROR(VLOOKUP(A19, Captura_Facturas_Mobil!$A:$G, 7, FALSE), 0)</f>
        <v/>
      </c>
      <c r="H19" s="16420">
        <f>IFERROR(F19 - G19, F19)</f>
        <v/>
      </c>
      <c r="I19" s="16462">
        <f>IFERROR(VLOOKUP(A19, Captura_Facturas_Mobil!$A:$E, 5, FALSE), 0)</f>
        <v/>
      </c>
      <c r="J19" s="16504">
        <f>IFERROR(IF(I19=0,"", G19/I19), "")</f>
        <v/>
      </c>
      <c r="K19" s="16546">
        <f>IFERROR(IF(G19=0, "⚠️ Sin CFDI", IF(ABS(H19)&lt;1, "✅ Cuadrado", IF(H19&gt;0, "📋 CFDI menor", "📋 CFDI mayor"))), "?")</f>
        <v/>
      </c>
    </row>
    <row r="20">
      <c r="A20" s="16144" t="inlineStr">
        <is>
          <t>A-9962</t>
        </is>
      </c>
      <c r="B20" s="16186" t="n">
        <v>46181.75</v>
      </c>
      <c r="C20" s="16228" t="n">
        <v>24</v>
      </c>
      <c r="D20" s="16270" t="inlineStr">
        <is>
          <t>México-Toluca</t>
        </is>
      </c>
      <c r="E20" s="16312" t="n">
        <v>41</v>
      </c>
      <c r="F20" s="16354" t="n">
        <v>17280.08</v>
      </c>
      <c r="G20" s="16396">
        <f>IFERROR(VLOOKUP(A20, Captura_Facturas_Mobil!$A:$G, 7, FALSE), 0)</f>
        <v/>
      </c>
      <c r="H20" s="16438">
        <f>IFERROR(F20 - G20, F20)</f>
        <v/>
      </c>
      <c r="I20" s="16480">
        <f>IFERROR(VLOOKUP(A20, Captura_Facturas_Mobil!$A:$E, 5, FALSE), 0)</f>
        <v/>
      </c>
      <c r="J20" s="16522">
        <f>IFERROR(IF(I20=0,"", G20/I20), "")</f>
        <v/>
      </c>
      <c r="K20" s="16564">
        <f>IFERROR(IF(G20=0, "⚠️ Sin CFDI", IF(ABS(H20)&lt;1, "✅ Cuadrado", IF(H20&gt;0, "📋 CFDI menor", "📋 CFDI mayor"))), "?")</f>
        <v/>
      </c>
    </row>
    <row r="21">
      <c r="A21" s="16128" t="inlineStr">
        <is>
          <t>A-10034</t>
        </is>
      </c>
      <c r="B21" s="16170" t="n">
        <v>46185.75</v>
      </c>
      <c r="C21" s="16212" t="n">
        <v>24</v>
      </c>
      <c r="D21" s="16254" t="inlineStr">
        <is>
          <t>México-Toluca</t>
        </is>
      </c>
      <c r="E21" s="16296" t="n">
        <v>41</v>
      </c>
      <c r="F21" s="16338" t="n">
        <v>14580.08</v>
      </c>
      <c r="G21" s="16380">
        <f>IFERROR(VLOOKUP(A21, Captura_Facturas_Mobil!$A:$G, 7, FALSE), 0)</f>
        <v/>
      </c>
      <c r="H21" s="16422">
        <f>IFERROR(F21 - G21, F21)</f>
        <v/>
      </c>
      <c r="I21" s="16464">
        <f>IFERROR(VLOOKUP(A21, Captura_Facturas_Mobil!$A:$E, 5, FALSE), 0)</f>
        <v/>
      </c>
      <c r="J21" s="16506">
        <f>IFERROR(IF(I21=0,"", G21/I21), "")</f>
        <v/>
      </c>
      <c r="K21" s="16548">
        <f>IFERROR(IF(G21=0, "⚠️ Sin CFDI", IF(ABS(H21)&lt;1, "✅ Cuadrado", IF(H21&gt;0, "📋 CFDI menor", "📋 CFDI mayor"))), "?")</f>
        <v/>
      </c>
    </row>
    <row r="22">
      <c r="A22" s="16135" t="inlineStr">
        <is>
          <t>A-9965</t>
        </is>
      </c>
      <c r="B22" s="16177" t="n">
        <v>46181.75</v>
      </c>
      <c r="C22" s="16219" t="n">
        <v>24</v>
      </c>
      <c r="D22" s="16261" t="inlineStr">
        <is>
          <t>Planta Asflato Huixquilucan</t>
        </is>
      </c>
      <c r="E22" s="16303" t="n">
        <v>39</v>
      </c>
      <c r="F22" s="16345" t="n">
        <v>21600.15</v>
      </c>
      <c r="G22" s="16387">
        <f>IFERROR(VLOOKUP(A22, Captura_Facturas_Mobil!$A:$G, 7, FALSE), 0)</f>
        <v/>
      </c>
      <c r="H22" s="16429">
        <f>IFERROR(F22 - G22, F22)</f>
        <v/>
      </c>
      <c r="I22" s="16471">
        <f>IFERROR(VLOOKUP(A22, Captura_Facturas_Mobil!$A:$E, 5, FALSE), 0)</f>
        <v/>
      </c>
      <c r="J22" s="16513">
        <f>IFERROR(IF(I22=0,"", G22/I22), "")</f>
        <v/>
      </c>
      <c r="K22" s="16555">
        <f>IFERROR(IF(G22=0, "⚠️ Sin CFDI", IF(ABS(H22)&lt;1, "✅ Cuadrado", IF(H22&gt;0, "📋 CFDI menor", "📋 CFDI mayor"))), "?")</f>
        <v/>
      </c>
    </row>
    <row r="23">
      <c r="A23" s="16118" t="inlineStr">
        <is>
          <t>A-9984</t>
        </is>
      </c>
      <c r="B23" s="16160" t="n">
        <v>46182.75</v>
      </c>
      <c r="C23" s="16202" t="n">
        <v>24</v>
      </c>
      <c r="D23" s="16244" t="inlineStr">
        <is>
          <t>Planta Asflato Huixquilucan</t>
        </is>
      </c>
      <c r="E23" s="16286" t="n">
        <v>39</v>
      </c>
      <c r="F23" s="16328" t="n">
        <v>16200.1</v>
      </c>
      <c r="G23" s="16370">
        <f>IFERROR(VLOOKUP(A23, Captura_Facturas_Mobil!$A:$G, 7, FALSE), 0)</f>
        <v/>
      </c>
      <c r="H23" s="16412">
        <f>IFERROR(F23 - G23, F23)</f>
        <v/>
      </c>
      <c r="I23" s="16454">
        <f>IFERROR(VLOOKUP(A23, Captura_Facturas_Mobil!$A:$E, 5, FALSE), 0)</f>
        <v/>
      </c>
      <c r="J23" s="16496">
        <f>IFERROR(IF(I23=0,"", G23/I23), "")</f>
        <v/>
      </c>
      <c r="K23" s="16538">
        <f>IFERROR(IF(G23=0, "⚠️ Sin CFDI", IF(ABS(H23)&lt;1, "✅ Cuadrado", IF(H23&gt;0, "📋 CFDI menor", "📋 CFDI mayor"))), "?")</f>
        <v/>
      </c>
    </row>
    <row r="24">
      <c r="A24" s="16132" t="inlineStr">
        <is>
          <t>A-10016</t>
        </is>
      </c>
      <c r="B24" s="16174" t="n">
        <v>46184.75</v>
      </c>
      <c r="C24" s="16216" t="n">
        <v>24</v>
      </c>
      <c r="D24" s="16258" t="inlineStr">
        <is>
          <t>Planta Asflato Huixquilucan</t>
        </is>
      </c>
      <c r="E24" s="16300" t="n">
        <v>39</v>
      </c>
      <c r="F24" s="16342" t="n">
        <v>5370.98</v>
      </c>
      <c r="G24" s="16384">
        <f>IFERROR(VLOOKUP(A24, Captura_Facturas_Mobil!$A:$G, 7, FALSE), 0)</f>
        <v/>
      </c>
      <c r="H24" s="16426">
        <f>IFERROR(F24 - G24, F24)</f>
        <v/>
      </c>
      <c r="I24" s="16468">
        <f>IFERROR(VLOOKUP(A24, Captura_Facturas_Mobil!$A:$E, 5, FALSE), 0)</f>
        <v/>
      </c>
      <c r="J24" s="16510">
        <f>IFERROR(IF(I24=0,"", G24/I24), "")</f>
        <v/>
      </c>
      <c r="K24" s="16552">
        <f>IFERROR(IF(G24=0, "⚠️ Sin CFDI", IF(ABS(H24)&lt;1, "✅ Cuadrado", IF(H24&gt;0, "📋 CFDI menor", "📋 CFDI mayor"))), "?")</f>
        <v/>
      </c>
    </row>
    <row r="25">
      <c r="A25" s="16136" t="inlineStr">
        <is>
          <t>A-10020</t>
        </is>
      </c>
      <c r="B25" s="16178" t="n">
        <v>46185.75</v>
      </c>
      <c r="C25" s="16220" t="n">
        <v>24</v>
      </c>
      <c r="D25" s="16262" t="inlineStr">
        <is>
          <t>Planta Asflato Huixquilucan</t>
        </is>
      </c>
      <c r="E25" s="16304" t="n">
        <v>39</v>
      </c>
      <c r="F25" s="16346" t="n">
        <v>13493.2</v>
      </c>
      <c r="G25" s="16388">
        <f>IFERROR(VLOOKUP(A25, Captura_Facturas_Mobil!$A:$G, 7, FALSE), 0)</f>
        <v/>
      </c>
      <c r="H25" s="16430">
        <f>IFERROR(F25 - G25, F25)</f>
        <v/>
      </c>
      <c r="I25" s="16472">
        <f>IFERROR(VLOOKUP(A25, Captura_Facturas_Mobil!$A:$E, 5, FALSE), 0)</f>
        <v/>
      </c>
      <c r="J25" s="16514">
        <f>IFERROR(IF(I25=0,"", G25/I25), "")</f>
        <v/>
      </c>
      <c r="K25" s="16556">
        <f>IFERROR(IF(G25=0, "⚠️ Sin CFDI", IF(ABS(H25)&lt;1, "✅ Cuadrado", IF(H25&gt;0, "📋 CFDI menor", "📋 CFDI mayor"))), "?")</f>
        <v/>
      </c>
    </row>
    <row r="26">
      <c r="A26" s="16119" t="inlineStr">
        <is>
          <t>A-9964</t>
        </is>
      </c>
      <c r="B26" s="16161" t="n">
        <v>46181.75</v>
      </c>
      <c r="C26" s="16203" t="n">
        <v>24</v>
      </c>
      <c r="D26" s="16245" t="inlineStr">
        <is>
          <t>Maquinaria Pegaso</t>
        </is>
      </c>
      <c r="E26" s="16287" t="n">
        <v>39</v>
      </c>
      <c r="F26" s="16329" t="n">
        <v>75600.21000000001</v>
      </c>
      <c r="G26" s="16371">
        <f>IFERROR(VLOOKUP(A26, Captura_Facturas_Mobil!$A:$G, 7, FALSE), 0)</f>
        <v/>
      </c>
      <c r="H26" s="16413">
        <f>IFERROR(F26 - G26, F26)</f>
        <v/>
      </c>
      <c r="I26" s="16455">
        <f>IFERROR(VLOOKUP(A26, Captura_Facturas_Mobil!$A:$E, 5, FALSE), 0)</f>
        <v/>
      </c>
      <c r="J26" s="16497">
        <f>IFERROR(IF(I26=0,"", G26/I26), "")</f>
        <v/>
      </c>
      <c r="K26" s="16539">
        <f>IFERROR(IF(G26=0, "⚠️ Sin CFDI", IF(ABS(H26)&lt;1, "✅ Cuadrado", IF(H26&gt;0, "📋 CFDI menor", "📋 CFDI mayor"))), "?")</f>
        <v/>
      </c>
    </row>
    <row r="27">
      <c r="A27" s="16133" t="inlineStr">
        <is>
          <t>A-9987</t>
        </is>
      </c>
      <c r="B27" s="16175" t="n">
        <v>46182.75</v>
      </c>
      <c r="C27" s="16217" t="n">
        <v>24</v>
      </c>
      <c r="D27" s="16259" t="inlineStr">
        <is>
          <t>Chamapa-Lechería</t>
        </is>
      </c>
      <c r="E27" s="16301" t="n">
        <v>41</v>
      </c>
      <c r="F27" s="16343" t="n">
        <v>18360.83</v>
      </c>
      <c r="G27" s="16385">
        <f>IFERROR(VLOOKUP(A27, Captura_Facturas_Mobil!$A:$G, 7, FALSE), 0)</f>
        <v/>
      </c>
      <c r="H27" s="16427">
        <f>IFERROR(F27 - G27, F27)</f>
        <v/>
      </c>
      <c r="I27" s="16469">
        <f>IFERROR(VLOOKUP(A27, Captura_Facturas_Mobil!$A:$E, 5, FALSE), 0)</f>
        <v/>
      </c>
      <c r="J27" s="16511">
        <f>IFERROR(IF(I27=0,"", G27/I27), "")</f>
        <v/>
      </c>
      <c r="K27" s="16553">
        <f>IFERROR(IF(G27=0, "⚠️ Sin CFDI", IF(ABS(H27)&lt;1, "✅ Cuadrado", IF(H27&gt;0, "📋 CFDI menor", "📋 CFDI mayor"))), "?")</f>
        <v/>
      </c>
    </row>
    <row r="28">
      <c r="A28" s="16137" t="inlineStr">
        <is>
          <t>A-10052</t>
        </is>
      </c>
      <c r="B28" s="16179" t="n">
        <v>46188.75</v>
      </c>
      <c r="C28" s="16221" t="n">
        <v>25</v>
      </c>
      <c r="D28" s="16263" t="inlineStr">
        <is>
          <t>México-Toluca</t>
        </is>
      </c>
      <c r="E28" s="16305" t="n">
        <v>41</v>
      </c>
      <c r="F28" s="16347" t="n">
        <v>13500.06</v>
      </c>
      <c r="G28" s="16389">
        <f>IFERROR(VLOOKUP(A28, Captura_Facturas_Mobil!$A:$G, 7, FALSE), 0)</f>
        <v/>
      </c>
      <c r="H28" s="16431">
        <f>IFERROR(F28 - G28, F28)</f>
        <v/>
      </c>
      <c r="I28" s="16473">
        <f>IFERROR(VLOOKUP(A28, Captura_Facturas_Mobil!$A:$E, 5, FALSE), 0)</f>
        <v/>
      </c>
      <c r="J28" s="16515">
        <f>IFERROR(IF(I28=0,"", G28/I28), "")</f>
        <v/>
      </c>
      <c r="K28" s="16557">
        <f>IFERROR(IF(G28=0, "⚠️ Sin CFDI", IF(ABS(H28)&lt;1, "✅ Cuadrado", IF(H28&gt;0, "📋 CFDI menor", "📋 CFDI mayor"))), "?")</f>
        <v/>
      </c>
    </row>
    <row r="29">
      <c r="A29" s="16121" t="inlineStr">
        <is>
          <t>A-10058</t>
        </is>
      </c>
      <c r="B29" s="16163" t="n">
        <v>46189.75</v>
      </c>
      <c r="C29" s="16205" t="n">
        <v>25</v>
      </c>
      <c r="D29" s="16247" t="inlineStr">
        <is>
          <t>México-Toluca</t>
        </is>
      </c>
      <c r="E29" s="16289" t="n">
        <v>41</v>
      </c>
      <c r="F29" s="16331" t="n">
        <v>13500.06</v>
      </c>
      <c r="G29" s="16373">
        <f>IFERROR(VLOOKUP(A29, Captura_Facturas_Mobil!$A:$G, 7, FALSE), 0)</f>
        <v/>
      </c>
      <c r="H29" s="16415">
        <f>IFERROR(F29 - G29, F29)</f>
        <v/>
      </c>
      <c r="I29" s="16457">
        <f>IFERROR(VLOOKUP(A29, Captura_Facturas_Mobil!$A:$E, 5, FALSE), 0)</f>
        <v/>
      </c>
      <c r="J29" s="16499">
        <f>IFERROR(IF(I29=0,"", G29/I29), "")</f>
        <v/>
      </c>
      <c r="K29" s="16541">
        <f>IFERROR(IF(G29=0, "⚠️ Sin CFDI", IF(ABS(H29)&lt;1, "✅ Cuadrado", IF(H29&gt;0, "📋 CFDI menor", "📋 CFDI mayor"))), "?")</f>
        <v/>
      </c>
    </row>
    <row r="30">
      <c r="A30" s="16115" t="inlineStr">
        <is>
          <t>A-10078</t>
        </is>
      </c>
      <c r="B30" s="16157" t="n">
        <v>46190.75</v>
      </c>
      <c r="C30" s="16199" t="n">
        <v>25</v>
      </c>
      <c r="D30" s="16241" t="inlineStr">
        <is>
          <t>México-Toluca</t>
        </is>
      </c>
      <c r="E30" s="16283" t="n">
        <v>41</v>
      </c>
      <c r="F30" s="16325" t="n">
        <v>14040.05</v>
      </c>
      <c r="G30" s="16367">
        <f>IFERROR(VLOOKUP(A30, Captura_Facturas_Mobil!$A:$G, 7, FALSE), 0)</f>
        <v/>
      </c>
      <c r="H30" s="16409">
        <f>IFERROR(F30 - G30, F30)</f>
        <v/>
      </c>
      <c r="I30" s="16451">
        <f>IFERROR(VLOOKUP(A30, Captura_Facturas_Mobil!$A:$E, 5, FALSE), 0)</f>
        <v/>
      </c>
      <c r="J30" s="16493">
        <f>IFERROR(IF(I30=0,"", G30/I30), "")</f>
        <v/>
      </c>
      <c r="K30" s="16535">
        <f>IFERROR(IF(G30=0, "⚠️ Sin CFDI", IF(ABS(H30)&lt;1, "✅ Cuadrado", IF(H30&gt;0, "📋 CFDI menor", "📋 CFDI mayor"))), "?")</f>
        <v/>
      </c>
    </row>
    <row r="31">
      <c r="A31" s="16110" t="inlineStr">
        <is>
          <t>A-10087</t>
        </is>
      </c>
      <c r="B31" s="16152" t="n">
        <v>46191.75</v>
      </c>
      <c r="C31" s="16194" t="n">
        <v>25</v>
      </c>
      <c r="D31" s="16236" t="inlineStr">
        <is>
          <t>México-Toluca</t>
        </is>
      </c>
      <c r="E31" s="16278" t="n">
        <v>41</v>
      </c>
      <c r="F31" s="16320" t="n">
        <v>13230.1</v>
      </c>
      <c r="G31" s="16362">
        <f>IFERROR(VLOOKUP(A31, Captura_Facturas_Mobil!$A:$G, 7, FALSE), 0)</f>
        <v/>
      </c>
      <c r="H31" s="16404">
        <f>IFERROR(F31 - G31, F31)</f>
        <v/>
      </c>
      <c r="I31" s="16446">
        <f>IFERROR(VLOOKUP(A31, Captura_Facturas_Mobil!$A:$E, 5, FALSE), 0)</f>
        <v/>
      </c>
      <c r="J31" s="16488">
        <f>IFERROR(IF(I31=0,"", G31/I31), "")</f>
        <v/>
      </c>
      <c r="K31" s="16530">
        <f>IFERROR(IF(G31=0, "⚠️ Sin CFDI", IF(ABS(H31)&lt;1, "✅ Cuadrado", IF(H31&gt;0, "📋 CFDI menor", "📋 CFDI mayor"))), "?")</f>
        <v/>
      </c>
    </row>
    <row r="32">
      <c r="A32" s="16105" t="inlineStr">
        <is>
          <t>A-10108</t>
        </is>
      </c>
      <c r="B32" s="16147" t="n">
        <v>46192.75</v>
      </c>
      <c r="C32" s="16189" t="n">
        <v>25</v>
      </c>
      <c r="D32" s="16231" t="inlineStr">
        <is>
          <t>México-Toluca</t>
        </is>
      </c>
      <c r="E32" s="16273" t="n">
        <v>41</v>
      </c>
      <c r="F32" s="16315" t="n">
        <v>10800.1</v>
      </c>
      <c r="G32" s="16357">
        <f>IFERROR(VLOOKUP(A32, Captura_Facturas_Mobil!$A:$G, 7, FALSE), 0)</f>
        <v/>
      </c>
      <c r="H32" s="16399">
        <f>IFERROR(F32 - G32, F32)</f>
        <v/>
      </c>
      <c r="I32" s="16441">
        <f>IFERROR(VLOOKUP(A32, Captura_Facturas_Mobil!$A:$E, 5, FALSE), 0)</f>
        <v/>
      </c>
      <c r="J32" s="16483">
        <f>IFERROR(IF(I32=0,"", G32/I32), "")</f>
        <v/>
      </c>
      <c r="K32" s="16525">
        <f>IFERROR(IF(G32=0, "⚠️ Sin CFDI", IF(ABS(H32)&lt;1, "✅ Cuadrado", IF(H32&gt;0, "📋 CFDI menor", "📋 CFDI mayor"))), "?")</f>
        <v/>
      </c>
    </row>
    <row r="33">
      <c r="A33" s="16120" t="inlineStr">
        <is>
          <t>A-10053</t>
        </is>
      </c>
      <c r="B33" s="16162" t="n">
        <v>46188.75</v>
      </c>
      <c r="C33" s="16204" t="n">
        <v>25</v>
      </c>
      <c r="D33" s="16246" t="inlineStr">
        <is>
          <t>Planta Asflato Huixquilucan</t>
        </is>
      </c>
      <c r="E33" s="16288" t="n">
        <v>39</v>
      </c>
      <c r="F33" s="16330" t="n">
        <v>21600.15</v>
      </c>
      <c r="G33" s="16372">
        <f>IFERROR(VLOOKUP(A33, Captura_Facturas_Mobil!$A:$G, 7, FALSE), 0)</f>
        <v/>
      </c>
      <c r="H33" s="16414">
        <f>IFERROR(F33 - G33, F33)</f>
        <v/>
      </c>
      <c r="I33" s="16456">
        <f>IFERROR(VLOOKUP(A33, Captura_Facturas_Mobil!$A:$E, 5, FALSE), 0)</f>
        <v/>
      </c>
      <c r="J33" s="16498">
        <f>IFERROR(IF(I33=0,"", G33/I33), "")</f>
        <v/>
      </c>
      <c r="K33" s="16540">
        <f>IFERROR(IF(G33=0, "⚠️ Sin CFDI", IF(ABS(H33)&lt;1, "✅ Cuadrado", IF(H33&gt;0, "📋 CFDI menor", "📋 CFDI mayor"))), "?")</f>
        <v/>
      </c>
    </row>
    <row r="34">
      <c r="A34" s="16114" t="inlineStr">
        <is>
          <t>A-10072</t>
        </is>
      </c>
      <c r="B34" s="16156" t="n">
        <v>46190.75</v>
      </c>
      <c r="C34" s="16198" t="n">
        <v>25</v>
      </c>
      <c r="D34" s="16240" t="inlineStr">
        <is>
          <t>Planta Asflato Huixquilucan</t>
        </is>
      </c>
      <c r="E34" s="16282" t="n">
        <v>39</v>
      </c>
      <c r="F34" s="16324" t="n">
        <v>16200.1</v>
      </c>
      <c r="G34" s="16366">
        <f>IFERROR(VLOOKUP(A34, Captura_Facturas_Mobil!$A:$G, 7, FALSE), 0)</f>
        <v/>
      </c>
      <c r="H34" s="16408">
        <f>IFERROR(F34 - G34, F34)</f>
        <v/>
      </c>
      <c r="I34" s="16450">
        <f>IFERROR(VLOOKUP(A34, Captura_Facturas_Mobil!$A:$E, 5, FALSE), 0)</f>
        <v/>
      </c>
      <c r="J34" s="16492">
        <f>IFERROR(IF(I34=0,"", G34/I34), "")</f>
        <v/>
      </c>
      <c r="K34" s="16534">
        <f>IFERROR(IF(G34=0, "⚠️ Sin CFDI", IF(ABS(H34)&lt;1, "✅ Cuadrado", IF(H34&gt;0, "📋 CFDI menor", "📋 CFDI mayor"))), "?")</f>
        <v/>
      </c>
    </row>
    <row r="35">
      <c r="A35" s="16109" t="inlineStr">
        <is>
          <t>A-10091</t>
        </is>
      </c>
      <c r="B35" s="16151" t="n">
        <v>46191.75</v>
      </c>
      <c r="C35" s="16193" t="n">
        <v>25</v>
      </c>
      <c r="D35" s="16235" t="inlineStr">
        <is>
          <t>Planta Asflato Huixquilucan</t>
        </is>
      </c>
      <c r="E35" s="16277" t="n">
        <v>39</v>
      </c>
      <c r="F35" s="16319" t="n">
        <v>13500.06</v>
      </c>
      <c r="G35" s="16361">
        <f>IFERROR(VLOOKUP(A35, Captura_Facturas_Mobil!$A:$G, 7, FALSE), 0)</f>
        <v/>
      </c>
      <c r="H35" s="16403">
        <f>IFERROR(F35 - G35, F35)</f>
        <v/>
      </c>
      <c r="I35" s="16445">
        <f>IFERROR(VLOOKUP(A35, Captura_Facturas_Mobil!$A:$E, 5, FALSE), 0)</f>
        <v/>
      </c>
      <c r="J35" s="16487">
        <f>IFERROR(IF(I35=0,"", G35/I35), "")</f>
        <v/>
      </c>
      <c r="K35" s="16529">
        <f>IFERROR(IF(G35=0, "⚠️ Sin CFDI", IF(ABS(H35)&lt;1, "✅ Cuadrado", IF(H35&gt;0, "📋 CFDI menor", "📋 CFDI mayor"))), "?")</f>
        <v/>
      </c>
    </row>
    <row r="36">
      <c r="A36" s="16104" t="inlineStr">
        <is>
          <t>A-23783082</t>
        </is>
      </c>
      <c r="B36" s="16146" t="n">
        <v>46193.75</v>
      </c>
      <c r="C36" s="16188" t="n">
        <v>25</v>
      </c>
      <c r="D36" s="16230" t="inlineStr">
        <is>
          <t>Planta Asflato Huixquilucan</t>
        </is>
      </c>
      <c r="E36" s="16272" t="n">
        <v>39</v>
      </c>
      <c r="F36" s="16314" t="n">
        <v>16200.1</v>
      </c>
      <c r="G36" s="16356">
        <f>IFERROR(VLOOKUP(A36, Captura_Facturas_Mobil!$A:$G, 7, FALSE), 0)</f>
        <v/>
      </c>
      <c r="H36" s="16398">
        <f>IFERROR(F36 - G36, F36)</f>
        <v/>
      </c>
      <c r="I36" s="16440">
        <f>IFERROR(VLOOKUP(A36, Captura_Facturas_Mobil!$A:$E, 5, FALSE), 0)</f>
        <v/>
      </c>
      <c r="J36" s="16482">
        <f>IFERROR(IF(I36=0,"", G36/I36), "")</f>
        <v/>
      </c>
      <c r="K36" s="16524">
        <f>IFERROR(IF(G36=0, "⚠️ Sin CFDI", IF(ABS(H36)&lt;1, "✅ Cuadrado", IF(H36&gt;0, "📋 CFDI menor", "📋 CFDI mayor"))), "?")</f>
        <v/>
      </c>
    </row>
    <row r="37">
      <c r="A37" s="16113" t="inlineStr">
        <is>
          <t>A-10088</t>
        </is>
      </c>
      <c r="B37" s="16155" t="n">
        <v>46191.75</v>
      </c>
      <c r="C37" s="16197" t="n">
        <v>25</v>
      </c>
      <c r="D37" s="16239" t="inlineStr">
        <is>
          <t>Maquinaria Pegaso</t>
        </is>
      </c>
      <c r="E37" s="16281" t="n">
        <v>39</v>
      </c>
      <c r="F37" s="16323" t="n">
        <v>108000.36</v>
      </c>
      <c r="G37" s="16365">
        <f>IFERROR(VLOOKUP(A37, Captura_Facturas_Mobil!$A:$G, 7, FALSE), 0)</f>
        <v/>
      </c>
      <c r="H37" s="16407">
        <f>IFERROR(F37 - G37, F37)</f>
        <v/>
      </c>
      <c r="I37" s="16449">
        <f>IFERROR(VLOOKUP(A37, Captura_Facturas_Mobil!$A:$E, 5, FALSE), 0)</f>
        <v/>
      </c>
      <c r="J37" s="16491">
        <f>IFERROR(IF(I37=0,"", G37/I37), "")</f>
        <v/>
      </c>
      <c r="K37" s="16533">
        <f>IFERROR(IF(G37=0, "⚠️ Sin CFDI", IF(ABS(H37)&lt;1, "✅ Cuadrado", IF(H37&gt;0, "📋 CFDI menor", "📋 CFDI mayor"))), "?")</f>
        <v/>
      </c>
    </row>
    <row r="38">
      <c r="A38" s="16108" t="inlineStr">
        <is>
          <t>A-10090</t>
        </is>
      </c>
      <c r="B38" s="16150" t="n">
        <v>46191.75</v>
      </c>
      <c r="C38" s="16192" t="n">
        <v>25</v>
      </c>
      <c r="D38" s="16234" t="inlineStr">
        <is>
          <t>Maquinaria Pegaso</t>
        </is>
      </c>
      <c r="E38" s="16276" t="n">
        <v>39</v>
      </c>
      <c r="F38" s="16318" t="n">
        <v>3869.7</v>
      </c>
      <c r="G38" s="16360">
        <f>IFERROR(VLOOKUP(A38, Captura_Facturas_Mobil!$A:$G, 7, FALSE), 0)</f>
        <v/>
      </c>
      <c r="H38" s="16402">
        <f>IFERROR(F38 - G38, F38)</f>
        <v/>
      </c>
      <c r="I38" s="16444">
        <f>IFERROR(VLOOKUP(A38, Captura_Facturas_Mobil!$A:$E, 5, FALSE), 0)</f>
        <v/>
      </c>
      <c r="J38" s="16486">
        <f>IFERROR(IF(I38=0,"", G38/I38), "")</f>
        <v/>
      </c>
      <c r="K38" s="16528">
        <f>IFERROR(IF(G38=0, "⚠️ Sin CFDI", IF(ABS(H38)&lt;1, "✅ Cuadrado", IF(H38&gt;0, "📋 CFDI menor", "📋 CFDI mayor"))), "?")</f>
        <v/>
      </c>
    </row>
    <row r="39">
      <c r="A39" s="16130" t="inlineStr">
        <is>
          <t>A-10148</t>
        </is>
      </c>
      <c r="B39" s="16172" t="n">
        <v>46195.75</v>
      </c>
      <c r="C39" s="16214" t="n">
        <v>26</v>
      </c>
      <c r="D39" s="16256" t="inlineStr">
        <is>
          <t>México-Toluca</t>
        </is>
      </c>
      <c r="E39" s="16298" t="n">
        <v>41</v>
      </c>
      <c r="F39" s="16340" t="n">
        <v>17820</v>
      </c>
      <c r="G39" s="16382">
        <f>IFERROR(VLOOKUP(A39, Captura_Facturas_Mobil!$A:$G, 7, FALSE), 0)</f>
        <v/>
      </c>
      <c r="H39" s="16424">
        <f>IFERROR(F39 - G39, F39)</f>
        <v/>
      </c>
      <c r="I39" s="16466">
        <f>IFERROR(VLOOKUP(A39, Captura_Facturas_Mobil!$A:$E, 5, FALSE), 0)</f>
        <v/>
      </c>
      <c r="J39" s="16508">
        <f>IFERROR(IF(I39=0,"", G39/I39), "")</f>
        <v/>
      </c>
      <c r="K39" s="16550">
        <f>IFERROR(IF(G39=0, "⚠️ Sin CFDI", IF(ABS(H39)&lt;1, "✅ Cuadrado", IF(H39&gt;0, "📋 CFDI menor", "📋 CFDI mayor"))), "?")</f>
        <v/>
      </c>
    </row>
    <row r="40">
      <c r="A40" s="16139" t="inlineStr">
        <is>
          <t>A-10166</t>
        </is>
      </c>
      <c r="B40" s="16181" t="n">
        <v>46196.75</v>
      </c>
      <c r="C40" s="16223" t="n">
        <v>26</v>
      </c>
      <c r="D40" s="16265" t="inlineStr">
        <is>
          <t>México-Toluca</t>
        </is>
      </c>
      <c r="E40" s="16307" t="n">
        <v>41</v>
      </c>
      <c r="F40" s="16349" t="n">
        <v>1500</v>
      </c>
      <c r="G40" s="16391">
        <f>IFERROR(VLOOKUP(A40, Captura_Facturas_Mobil!$A:$G, 7, FALSE), 0)</f>
        <v/>
      </c>
      <c r="H40" s="16433">
        <f>IFERROR(F40 - G40, F40)</f>
        <v/>
      </c>
      <c r="I40" s="16475">
        <f>IFERROR(VLOOKUP(A40, Captura_Facturas_Mobil!$A:$E, 5, FALSE), 0)</f>
        <v/>
      </c>
      <c r="J40" s="16517">
        <f>IFERROR(IF(I40=0,"", G40/I40), "")</f>
        <v/>
      </c>
      <c r="K40" s="16559">
        <f>IFERROR(IF(G40=0, "⚠️ Sin CFDI", IF(ABS(H40)&lt;1, "✅ Cuadrado", IF(H40&gt;0, "📋 CFDI menor", "📋 CFDI mayor"))), "?")</f>
        <v/>
      </c>
    </row>
    <row r="41">
      <c r="A41" s="16123" t="inlineStr">
        <is>
          <t>A-10167</t>
        </is>
      </c>
      <c r="B41" s="16165" t="n">
        <v>46196.75</v>
      </c>
      <c r="C41" s="16207" t="n">
        <v>26</v>
      </c>
      <c r="D41" s="16249" t="inlineStr">
        <is>
          <t>México-Toluca</t>
        </is>
      </c>
      <c r="E41" s="16291" t="n">
        <v>41</v>
      </c>
      <c r="F41" s="16333" t="n">
        <v>1000</v>
      </c>
      <c r="G41" s="16375">
        <f>IFERROR(VLOOKUP(A41, Captura_Facturas_Mobil!$A:$G, 7, FALSE), 0)</f>
        <v/>
      </c>
      <c r="H41" s="16417">
        <f>IFERROR(F41 - G41, F41)</f>
        <v/>
      </c>
      <c r="I41" s="16459">
        <f>IFERROR(VLOOKUP(A41, Captura_Facturas_Mobil!$A:$E, 5, FALSE), 0)</f>
        <v/>
      </c>
      <c r="J41" s="16501">
        <f>IFERROR(IF(I41=0,"", G41/I41), "")</f>
        <v/>
      </c>
      <c r="K41" s="16543">
        <f>IFERROR(IF(G41=0, "⚠️ Sin CFDI", IF(ABS(H41)&lt;1, "✅ Cuadrado", IF(H41&gt;0, "📋 CFDI menor", "📋 CFDI mayor"))), "?")</f>
        <v/>
      </c>
    </row>
    <row r="42">
      <c r="A42" s="16141" t="inlineStr">
        <is>
          <t>A-10168</t>
        </is>
      </c>
      <c r="B42" s="16183" t="n">
        <v>46196.75</v>
      </c>
      <c r="C42" s="16225" t="n">
        <v>26</v>
      </c>
      <c r="D42" s="16267" t="inlineStr">
        <is>
          <t>México-Toluca</t>
        </is>
      </c>
      <c r="E42" s="16309" t="n">
        <v>41</v>
      </c>
      <c r="F42" s="16351" t="n">
        <v>1500</v>
      </c>
      <c r="G42" s="16393">
        <f>IFERROR(VLOOKUP(A42, Captura_Facturas_Mobil!$A:$G, 7, FALSE), 0)</f>
        <v/>
      </c>
      <c r="H42" s="16435">
        <f>IFERROR(F42 - G42, F42)</f>
        <v/>
      </c>
      <c r="I42" s="16477">
        <f>IFERROR(VLOOKUP(A42, Captura_Facturas_Mobil!$A:$E, 5, FALSE), 0)</f>
        <v/>
      </c>
      <c r="J42" s="16519">
        <f>IFERROR(IF(I42=0,"", G42/I42), "")</f>
        <v/>
      </c>
      <c r="K42" s="16561">
        <f>IFERROR(IF(G42=0, "⚠️ Sin CFDI", IF(ABS(H42)&lt;1, "✅ Cuadrado", IF(H42&gt;0, "📋 CFDI menor", "📋 CFDI mayor"))), "?")</f>
        <v/>
      </c>
    </row>
    <row r="43">
      <c r="A43" s="16125" t="inlineStr">
        <is>
          <t>A-10198</t>
        </is>
      </c>
      <c r="B43" s="16167" t="n">
        <v>46197.75</v>
      </c>
      <c r="C43" s="16209" t="n">
        <v>26</v>
      </c>
      <c r="D43" s="16251" t="inlineStr">
        <is>
          <t>México-Toluca</t>
        </is>
      </c>
      <c r="E43" s="16293" t="n">
        <v>41</v>
      </c>
      <c r="F43" s="16335" t="n">
        <v>14850.08</v>
      </c>
      <c r="G43" s="16377">
        <f>IFERROR(VLOOKUP(A43, Captura_Facturas_Mobil!$A:$G, 7, FALSE), 0)</f>
        <v/>
      </c>
      <c r="H43" s="16419">
        <f>IFERROR(F43 - G43, F43)</f>
        <v/>
      </c>
      <c r="I43" s="16461">
        <f>IFERROR(VLOOKUP(A43, Captura_Facturas_Mobil!$A:$E, 5, FALSE), 0)</f>
        <v/>
      </c>
      <c r="J43" s="16503">
        <f>IFERROR(IF(I43=0,"", G43/I43), "")</f>
        <v/>
      </c>
      <c r="K43" s="16545">
        <f>IFERROR(IF(G43=0, "⚠️ Sin CFDI", IF(ABS(H43)&lt;1, "✅ Cuadrado", IF(H43&gt;0, "📋 CFDI menor", "📋 CFDI mayor"))), "?")</f>
        <v/>
      </c>
    </row>
    <row r="44">
      <c r="A44" s="16143" t="inlineStr">
        <is>
          <t>A-10213</t>
        </is>
      </c>
      <c r="B44" s="16185" t="n">
        <v>46198.75</v>
      </c>
      <c r="C44" s="16227" t="n">
        <v>26</v>
      </c>
      <c r="D44" s="16269" t="inlineStr">
        <is>
          <t>México-Toluca</t>
        </is>
      </c>
      <c r="E44" s="16311" t="n">
        <v>41</v>
      </c>
      <c r="F44" s="16353" t="n">
        <v>1000</v>
      </c>
      <c r="G44" s="16395">
        <f>IFERROR(VLOOKUP(A44, Captura_Facturas_Mobil!$A:$G, 7, FALSE), 0)</f>
        <v/>
      </c>
      <c r="H44" s="16437">
        <f>IFERROR(F44 - G44, F44)</f>
        <v/>
      </c>
      <c r="I44" s="16479">
        <f>IFERROR(VLOOKUP(A44, Captura_Facturas_Mobil!$A:$E, 5, FALSE), 0)</f>
        <v/>
      </c>
      <c r="J44" s="16521">
        <f>IFERROR(IF(I44=0,"", G44/I44), "")</f>
        <v/>
      </c>
      <c r="K44" s="16563">
        <f>IFERROR(IF(G44=0, "⚠️ Sin CFDI", IF(ABS(H44)&lt;1, "✅ Cuadrado", IF(H44&gt;0, "📋 CFDI menor", "📋 CFDI mayor"))), "?")</f>
        <v/>
      </c>
    </row>
    <row r="45">
      <c r="A45" s="16127" t="inlineStr">
        <is>
          <t>A-10214</t>
        </is>
      </c>
      <c r="B45" s="16169" t="n">
        <v>46198.75</v>
      </c>
      <c r="C45" s="16211" t="n">
        <v>26</v>
      </c>
      <c r="D45" s="16253" t="inlineStr">
        <is>
          <t>México-Toluca</t>
        </is>
      </c>
      <c r="E45" s="16295" t="n">
        <v>41</v>
      </c>
      <c r="F45" s="16337" t="n">
        <v>1500.08</v>
      </c>
      <c r="G45" s="16379">
        <f>IFERROR(VLOOKUP(A45, Captura_Facturas_Mobil!$A:$G, 7, FALSE), 0)</f>
        <v/>
      </c>
      <c r="H45" s="16421">
        <f>IFERROR(F45 - G45, F45)</f>
        <v/>
      </c>
      <c r="I45" s="16463">
        <f>IFERROR(VLOOKUP(A45, Captura_Facturas_Mobil!$A:$E, 5, FALSE), 0)</f>
        <v/>
      </c>
      <c r="J45" s="16505">
        <f>IFERROR(IF(I45=0,"", G45/I45), "")</f>
        <v/>
      </c>
      <c r="K45" s="16547">
        <f>IFERROR(IF(G45=0, "⚠️ Sin CFDI", IF(ABS(H45)&lt;1, "✅ Cuadrado", IF(H45&gt;0, "📋 CFDI menor", "📋 CFDI mayor"))), "?")</f>
        <v/>
      </c>
    </row>
    <row r="46">
      <c r="A46" s="16134" t="inlineStr">
        <is>
          <t>A-10211</t>
        </is>
      </c>
      <c r="B46" s="16176" t="n">
        <v>46198.75</v>
      </c>
      <c r="C46" s="16218" t="n">
        <v>26</v>
      </c>
      <c r="D46" s="16260" t="inlineStr">
        <is>
          <t>México-Toluca</t>
        </is>
      </c>
      <c r="E46" s="16302" t="n">
        <v>41</v>
      </c>
      <c r="F46" s="16344" t="n">
        <v>14850.08</v>
      </c>
      <c r="G46" s="16386">
        <f>IFERROR(VLOOKUP(A46, Captura_Facturas_Mobil!$A:$G, 7, FALSE), 0)</f>
        <v/>
      </c>
      <c r="H46" s="16428">
        <f>IFERROR(F46 - G46, F46)</f>
        <v/>
      </c>
      <c r="I46" s="16470">
        <f>IFERROR(VLOOKUP(A46, Captura_Facturas_Mobil!$A:$E, 5, FALSE), 0)</f>
        <v/>
      </c>
      <c r="J46" s="16512">
        <f>IFERROR(IF(I46=0,"", G46/I46), "")</f>
        <v/>
      </c>
      <c r="K46" s="16554">
        <f>IFERROR(IF(G46=0, "⚠️ Sin CFDI", IF(ABS(H46)&lt;1, "✅ Cuadrado", IF(H46&gt;0, "📋 CFDI menor", "📋 CFDI mayor"))), "?")</f>
        <v/>
      </c>
    </row>
    <row r="47">
      <c r="A47" s="11515" t="inlineStr">
        <is>
          <t>TOTAL GENERAL</t>
        </is>
      </c>
      <c r="F47" s="11516">
        <f>SUM(F5:F46)</f>
        <v/>
      </c>
      <c r="G47" s="11517">
        <f>SUM(G5:G46)</f>
        <v/>
      </c>
      <c r="H47" s="11518">
        <f>SUM(H5:H46)</f>
        <v/>
      </c>
      <c r="I47" s="11519">
        <f>SUM(I5:I46)</f>
        <v/>
      </c>
    </row>
    <row r="50" ht="16.8" customHeight="1" s="17580">
      <c r="A50" s="17655" t="inlineStr">
        <is>
          <t>RESUMEN POR SEMANA (Lunes a Domingo)</t>
        </is>
      </c>
    </row>
    <row r="51">
      <c r="A51" s="11520" t="inlineStr">
        <is>
          <t>Semana</t>
        </is>
      </c>
      <c r="B51" s="11521" t="inlineStr">
        <is>
          <t>Obra</t>
        </is>
      </c>
      <c r="C51" s="11522" t="inlineStr">
        <is>
          <t>$ Estado Cuenta</t>
        </is>
      </c>
      <c r="D51" s="11523" t="inlineStr">
        <is>
          <t>$ Facturas CFDI</t>
        </is>
      </c>
      <c r="E51" s="11524" t="inlineStr">
        <is>
          <t>Diferencia ($)</t>
        </is>
      </c>
      <c r="F51" s="11525" t="inlineStr">
        <is>
          <t>Litros CFDI</t>
        </is>
      </c>
      <c r="G51" s="11526" t="inlineStr">
        <is>
          <t>Costo Prom $/L</t>
        </is>
      </c>
      <c r="H51" s="11527" t="inlineStr">
        <is>
          <t>Lts Obra Reales</t>
        </is>
      </c>
      <c r="I51" s="11528" t="inlineStr">
        <is>
          <t>Balance Financiero ($)</t>
        </is>
      </c>
    </row>
    <row r="52">
      <c r="A52" s="11529" t="n">
        <v>21</v>
      </c>
      <c r="B52" s="11530" t="inlineStr">
        <is>
          <t>Chamapa-Lechería</t>
        </is>
      </c>
      <c r="C52" s="11531">
        <f>IFERROR(SUMIFS($F$5:$F46, $C$5:$C46, A52, $D$5:$D46, B52), 0)</f>
        <v/>
      </c>
      <c r="D52" s="11532">
        <f>IFERROR(SUMIFS($G$5:$G46, $C$5:$C46, A52, $D$5:$D46, B52), 0)</f>
        <v/>
      </c>
      <c r="E52" s="11533">
        <f>C52 - D52</f>
        <v/>
      </c>
      <c r="F52" s="11534">
        <f>IFERROR(SUMIFS($I$5:$I46, $C$5:$C46, A52, $D$5:$D46, B52), 0)</f>
        <v/>
      </c>
      <c r="G52" s="11535">
        <f>IFERROR(IF(F52=0,"",D52/F52), "")</f>
        <v/>
      </c>
      <c r="H52" s="11536">
        <f>IFERROR(SUMIFS(Captura_Obra!$F:$F, Captura_Obra!$B:$B, B52, Captura_Obra!$M:$M, A52), 0)</f>
        <v/>
      </c>
      <c r="I52" s="11537">
        <f>IFERROR(C52 - (H52 * IF(F52=0,0,D52/F52)), "")</f>
        <v/>
      </c>
    </row>
    <row r="53">
      <c r="A53" s="11538" t="n">
        <v>22</v>
      </c>
      <c r="B53" s="11539" t="inlineStr">
        <is>
          <t>Colegio Militar</t>
        </is>
      </c>
      <c r="C53" s="11540">
        <f>IFERROR(SUMIFS($F$5:$F46, $C$5:$C46, A53, $D$5:$D46, B53), 0)</f>
        <v/>
      </c>
      <c r="D53" s="11541">
        <f>IFERROR(SUMIFS($G$5:$G46, $C$5:$C46, A53, $D$5:$D46, B53), 0)</f>
        <v/>
      </c>
      <c r="E53" s="11542">
        <f>C53 - D53</f>
        <v/>
      </c>
      <c r="F53" s="11543">
        <f>IFERROR(SUMIFS($I$5:$I46, $C$5:$C46, A53, $D$5:$D46, B53), 0)</f>
        <v/>
      </c>
      <c r="G53" s="11544">
        <f>IFERROR(IF(F53=0,"",D53/F53), "")</f>
        <v/>
      </c>
      <c r="H53" s="11545">
        <f>IFERROR(SUMIFS(Captura_Obra!$F:$F, Captura_Obra!$B:$B, B53, Captura_Obra!$M:$M, A53), 0)</f>
        <v/>
      </c>
      <c r="I53" s="11546">
        <f>IFERROR(C53 - (H53 * IF(F53=0,0,D53/F53)), "")</f>
        <v/>
      </c>
    </row>
    <row r="54">
      <c r="A54" s="11547" t="n">
        <v>22</v>
      </c>
      <c r="B54" s="11548" t="inlineStr">
        <is>
          <t>Chamapa-Lechería</t>
        </is>
      </c>
      <c r="C54" s="11549">
        <f>IFERROR(SUMIFS($F$5:$F46, $C$5:$C46, A54, $D$5:$D46, B54), 0)</f>
        <v/>
      </c>
      <c r="D54" s="11550">
        <f>IFERROR(SUMIFS($G$5:$G46, $C$5:$C46, A54, $D$5:$D46, B54), 0)</f>
        <v/>
      </c>
      <c r="E54" s="11551">
        <f>C54 - D54</f>
        <v/>
      </c>
      <c r="F54" s="11552">
        <f>IFERROR(SUMIFS($I$5:$I46, $C$5:$C46, A54, $D$5:$D46, B54), 0)</f>
        <v/>
      </c>
      <c r="G54" s="11553">
        <f>IFERROR(IF(F54=0,"",D54/F54), "")</f>
        <v/>
      </c>
      <c r="H54" s="11554">
        <f>IFERROR(SUMIFS(Captura_Obra!$F:$F, Captura_Obra!$B:$B, B54, Captura_Obra!$M:$M, A54), 0)</f>
        <v/>
      </c>
      <c r="I54" s="11555">
        <f>IFERROR(C54 - (H54 * IF(F54=0,0,D54/F54)), "")</f>
        <v/>
      </c>
    </row>
    <row r="55">
      <c r="A55" s="11556" t="n">
        <v>23</v>
      </c>
      <c r="B55" s="11557" t="inlineStr">
        <is>
          <t>México-Toluca</t>
        </is>
      </c>
      <c r="C55" s="11558">
        <f>IFERROR(SUMIFS($F$5:$F46, $C$5:$C46, A55, $D$5:$D46, B55), 0)</f>
        <v/>
      </c>
      <c r="D55" s="11559">
        <f>IFERROR(SUMIFS($G$5:$G46, $C$5:$C46, A55, $D$5:$D46, B55), 0)</f>
        <v/>
      </c>
      <c r="E55" s="11560">
        <f>C55 - D55</f>
        <v/>
      </c>
      <c r="F55" s="11561">
        <f>IFERROR(SUMIFS($I$5:$I46, $C$5:$C46, A55, $D$5:$D46, B55), 0)</f>
        <v/>
      </c>
      <c r="G55" s="11562">
        <f>IFERROR(IF(F55=0,"",D55/F55), "")</f>
        <v/>
      </c>
      <c r="H55" s="11563">
        <f>IFERROR(SUMIFS(Captura_Obra!$F:$F, Captura_Obra!$B:$B, B55, Captura_Obra!$M:$M, A55), 0)</f>
        <v/>
      </c>
      <c r="I55" s="11564">
        <f>IFERROR(C55 - (H55 * IF(F55=0,0,D55/F55)), "")</f>
        <v/>
      </c>
    </row>
    <row r="56">
      <c r="A56" s="11565" t="n">
        <v>23</v>
      </c>
      <c r="B56" s="11566" t="inlineStr">
        <is>
          <t>Planta Asflato Huixquilucan</t>
        </is>
      </c>
      <c r="C56" s="11567">
        <f>IFERROR(SUMIFS($F$5:$F46, $C$5:$C46, A56, $D$5:$D46, B56), 0)</f>
        <v/>
      </c>
      <c r="D56" s="11568">
        <f>IFERROR(SUMIFS($G$5:$G46, $C$5:$C46, A56, $D$5:$D46, B56), 0)</f>
        <v/>
      </c>
      <c r="E56" s="11569">
        <f>C56 - D56</f>
        <v/>
      </c>
      <c r="F56" s="11570">
        <f>IFERROR(SUMIFS($I$5:$I46, $C$5:$C46, A56, $D$5:$D46, B56), 0)</f>
        <v/>
      </c>
      <c r="G56" s="11571">
        <f>IFERROR(IF(F56=0,"",D56/F56), "")</f>
        <v/>
      </c>
      <c r="H56" s="11572">
        <f>IFERROR(SUMIFS(Captura_Obra!$F:$F, Captura_Obra!$B:$B, B56, Captura_Obra!$M:$M, A56), 0)</f>
        <v/>
      </c>
      <c r="I56" s="11573">
        <f>IFERROR(C56 - (H56 * IF(F56=0,0,D56/F56)), "")</f>
        <v/>
      </c>
    </row>
    <row r="57">
      <c r="A57" s="11574" t="n">
        <v>23</v>
      </c>
      <c r="B57" s="11575" t="inlineStr">
        <is>
          <t>Chamapa-Lechería</t>
        </is>
      </c>
      <c r="C57" s="11576">
        <f>IFERROR(SUMIFS($F$5:$F46, $C$5:$C46, A57, $D$5:$D46, B57), 0)</f>
        <v/>
      </c>
      <c r="D57" s="11577">
        <f>IFERROR(SUMIFS($G$5:$G46, $C$5:$C46, A57, $D$5:$D46, B57), 0)</f>
        <v/>
      </c>
      <c r="E57" s="11578">
        <f>C57 - D57</f>
        <v/>
      </c>
      <c r="F57" s="11579">
        <f>IFERROR(SUMIFS($I$5:$I46, $C$5:$C46, A57, $D$5:$D46, B57), 0)</f>
        <v/>
      </c>
      <c r="G57" s="11580">
        <f>IFERROR(IF(F57=0,"",D57/F57), "")</f>
        <v/>
      </c>
      <c r="H57" s="11581">
        <f>IFERROR(SUMIFS(Captura_Obra!$F:$F, Captura_Obra!$B:$B, B57, Captura_Obra!$M:$M, A57), 0)</f>
        <v/>
      </c>
      <c r="I57" s="11582">
        <f>IFERROR(C57 - (H57 * IF(F57=0,0,D57/F57)), "")</f>
        <v/>
      </c>
    </row>
    <row r="58">
      <c r="A58" s="11583" t="n">
        <v>24</v>
      </c>
      <c r="B58" s="11584" t="inlineStr">
        <is>
          <t>México-Toluca</t>
        </is>
      </c>
      <c r="C58" s="11585">
        <f>IFERROR(SUMIFS($F$5:$F46, $C$5:$C46, A58, $D$5:$D46, B58), 0)</f>
        <v/>
      </c>
      <c r="D58" s="11586">
        <f>IFERROR(SUMIFS($G$5:$G46, $C$5:$C46, A58, $D$5:$D46, B58), 0)</f>
        <v/>
      </c>
      <c r="E58" s="11587">
        <f>C58 - D58</f>
        <v/>
      </c>
      <c r="F58" s="11588">
        <f>IFERROR(SUMIFS($I$5:$I46, $C$5:$C46, A58, $D$5:$D46, B58), 0)</f>
        <v/>
      </c>
      <c r="G58" s="11589">
        <f>IFERROR(IF(F58=0,"",D58/F58), "")</f>
        <v/>
      </c>
      <c r="H58" s="11590">
        <f>IFERROR(SUMIFS(Captura_Obra!$F:$F, Captura_Obra!$B:$B, B58, Captura_Obra!$M:$M, A58), 0)</f>
        <v/>
      </c>
      <c r="I58" s="11591">
        <f>IFERROR(C58 - (H58 * IF(F58=0,0,D58/F58)), "")</f>
        <v/>
      </c>
    </row>
    <row r="59">
      <c r="A59" s="11592" t="n">
        <v>24</v>
      </c>
      <c r="B59" s="11593" t="inlineStr">
        <is>
          <t>Planta Asflato Huixquilucan</t>
        </is>
      </c>
      <c r="C59" s="11594">
        <f>IFERROR(SUMIFS($F$5:$F46, $C$5:$C46, A59, $D$5:$D46, B59), 0)</f>
        <v/>
      </c>
      <c r="D59" s="11595">
        <f>IFERROR(SUMIFS($G$5:$G46, $C$5:$C46, A59, $D$5:$D46, B59), 0)</f>
        <v/>
      </c>
      <c r="E59" s="11596">
        <f>C59 - D59</f>
        <v/>
      </c>
      <c r="F59" s="11597">
        <f>IFERROR(SUMIFS($I$5:$I46, $C$5:$C46, A59, $D$5:$D46, B59), 0)</f>
        <v/>
      </c>
      <c r="G59" s="11598">
        <f>IFERROR(IF(F59=0,"",D59/F59), "")</f>
        <v/>
      </c>
      <c r="H59" s="11599">
        <f>IFERROR(SUMIFS(Captura_Obra!$F:$F, Captura_Obra!$B:$B, B59, Captura_Obra!$M:$M, A59), 0)</f>
        <v/>
      </c>
      <c r="I59" s="11600">
        <f>IFERROR(C59 - (H59 * IF(F59=0,0,D59/F59)), "")</f>
        <v/>
      </c>
    </row>
    <row r="60">
      <c r="A60" s="11601" t="n">
        <v>24</v>
      </c>
      <c r="B60" s="11602" t="inlineStr">
        <is>
          <t>Planta Asfalto Pegaso</t>
        </is>
      </c>
      <c r="C60" s="11603">
        <f>IFERROR(SUMIFS($F$5:$F46, $C$5:$C46, A60, $D$5:$D46, B60), 0)</f>
        <v/>
      </c>
      <c r="D60" s="11604">
        <f>IFERROR(SUMIFS($G$5:$G46, $C$5:$C46, A60, $D$5:$D46, B60), 0)</f>
        <v/>
      </c>
      <c r="E60" s="11605">
        <f>C60 - D60</f>
        <v/>
      </c>
      <c r="F60" s="11606">
        <f>IFERROR(SUMIFS($I$5:$I46, $C$5:$C46, A60, $D$5:$D46, B60), 0)</f>
        <v/>
      </c>
      <c r="G60" s="11607">
        <f>IFERROR(IF(F60=0,"",D60/F60), "")</f>
        <v/>
      </c>
      <c r="H60" s="11608">
        <f>IFERROR(SUMIFS(Captura_Obra!$F:$F, Captura_Obra!$B:$B, B60, Captura_Obra!$M:$M, A60), 0)</f>
        <v/>
      </c>
      <c r="I60" s="11609">
        <f>IFERROR(C60 - (H60 * IF(F60=0,0,D60/F60)), "")</f>
        <v/>
      </c>
    </row>
    <row r="61">
      <c r="A61" s="11610" t="n">
        <v>24</v>
      </c>
      <c r="B61" s="11611" t="inlineStr">
        <is>
          <t>Chamapa-Lechería</t>
        </is>
      </c>
      <c r="C61" s="11612">
        <f>IFERROR(SUMIFS($F$5:$F46, $C$5:$C46, A61, $D$5:$D46, B61), 0)</f>
        <v/>
      </c>
      <c r="D61" s="11613">
        <f>IFERROR(SUMIFS($G$5:$G46, $C$5:$C46, A61, $D$5:$D46, B61), 0)</f>
        <v/>
      </c>
      <c r="E61" s="11614">
        <f>C61 - D61</f>
        <v/>
      </c>
      <c r="F61" s="11615">
        <f>IFERROR(SUMIFS($I$5:$I46, $C$5:$C46, A61, $D$5:$D46, B61), 0)</f>
        <v/>
      </c>
      <c r="G61" s="11616">
        <f>IFERROR(IF(F61=0,"",D61/F61), "")</f>
        <v/>
      </c>
      <c r="H61" s="11617">
        <f>IFERROR(SUMIFS(Captura_Obra!$F:$F, Captura_Obra!$B:$B, B61, Captura_Obra!$M:$M, A61), 0)</f>
        <v/>
      </c>
      <c r="I61" s="11618">
        <f>IFERROR(C61 - (H61 * IF(F61=0,0,D61/F61)), "")</f>
        <v/>
      </c>
    </row>
    <row r="62">
      <c r="A62" s="11619" t="n">
        <v>25</v>
      </c>
      <c r="B62" s="11620" t="inlineStr">
        <is>
          <t>México-Toluca</t>
        </is>
      </c>
      <c r="C62" s="11621">
        <f>IFERROR(SUMIFS($F$5:$F46, $C$5:$C46, A62, $D$5:$D46, B62), 0)</f>
        <v/>
      </c>
      <c r="D62" s="11622">
        <f>IFERROR(SUMIFS($G$5:$G46, $C$5:$C46, A62, $D$5:$D46, B62), 0)</f>
        <v/>
      </c>
      <c r="E62" s="11623">
        <f>C62 - D62</f>
        <v/>
      </c>
      <c r="F62" s="11624">
        <f>IFERROR(SUMIFS($I$5:$I46, $C$5:$C46, A62, $D$5:$D46, B62), 0)</f>
        <v/>
      </c>
      <c r="G62" s="11625">
        <f>IFERROR(IF(F62=0,"",D62/F62), "")</f>
        <v/>
      </c>
      <c r="H62" s="11626">
        <f>IFERROR(SUMIFS(Captura_Obra!$F:$F, Captura_Obra!$B:$B, B62, Captura_Obra!$M:$M, A62), 0)</f>
        <v/>
      </c>
      <c r="I62" s="11627">
        <f>IFERROR(C62 - (H62 * IF(F62=0,0,D62/F62)), "")</f>
        <v/>
      </c>
    </row>
    <row r="63">
      <c r="A63" s="11628" t="n">
        <v>25</v>
      </c>
      <c r="B63" s="11629" t="inlineStr">
        <is>
          <t>Planta Asflato Huixquilucan</t>
        </is>
      </c>
      <c r="C63" s="11630">
        <f>IFERROR(SUMIFS($F$5:$F46, $C$5:$C46, A63, $D$5:$D46, B63), 0)</f>
        <v/>
      </c>
      <c r="D63" s="11631">
        <f>IFERROR(SUMIFS($G$5:$G46, $C$5:$C46, A63, $D$5:$D46, B63), 0)</f>
        <v/>
      </c>
      <c r="E63" s="11632">
        <f>C63 - D63</f>
        <v/>
      </c>
      <c r="F63" s="11633">
        <f>IFERROR(SUMIFS($I$5:$I46, $C$5:$C46, A63, $D$5:$D46, B63), 0)</f>
        <v/>
      </c>
      <c r="G63" s="11634">
        <f>IFERROR(IF(F63=0,"",D63/F63), "")</f>
        <v/>
      </c>
      <c r="H63" s="11635">
        <f>IFERROR(SUMIFS(Captura_Obra!$F:$F, Captura_Obra!$B:$B, B63, Captura_Obra!$M:$M, A63), 0)</f>
        <v/>
      </c>
      <c r="I63" s="11636">
        <f>IFERROR(C63 - (H63 * IF(F63=0,0,D63/F63)), "")</f>
        <v/>
      </c>
    </row>
    <row r="64">
      <c r="A64" s="11637" t="n">
        <v>25</v>
      </c>
      <c r="B64" s="11638" t="inlineStr">
        <is>
          <t>Planta Asfalto Pegaso</t>
        </is>
      </c>
      <c r="C64" s="11639">
        <f>IFERROR(SUMIFS($F$5:$F46, $C$5:$C46, A64, $D$5:$D46, B64), 0)</f>
        <v/>
      </c>
      <c r="D64" s="11640">
        <f>IFERROR(SUMIFS($G$5:$G46, $C$5:$C46, A64, $D$5:$D46, B64), 0)</f>
        <v/>
      </c>
      <c r="E64" s="11641">
        <f>C64 - D64</f>
        <v/>
      </c>
      <c r="F64" s="11642">
        <f>IFERROR(SUMIFS($I$5:$I46, $C$5:$C46, A64, $D$5:$D46, B64), 0)</f>
        <v/>
      </c>
      <c r="G64" s="11643">
        <f>IFERROR(IF(F64=0,"",D64/F64), "")</f>
        <v/>
      </c>
      <c r="H64" s="11644">
        <f>IFERROR(SUMIFS(Captura_Obra!$F:$F, Captura_Obra!$B:$B, B64, Captura_Obra!$M:$M, A64), 0)</f>
        <v/>
      </c>
      <c r="I64" s="11645">
        <f>IFERROR(C64 - (H64 * IF(F64=0,0,D64/F64)), "")</f>
        <v/>
      </c>
    </row>
    <row r="65">
      <c r="A65" s="11646" t="n">
        <v>26</v>
      </c>
      <c r="B65" s="11647" t="inlineStr">
        <is>
          <t>México-Toluca</t>
        </is>
      </c>
      <c r="C65" s="11648">
        <f>IFERROR(SUMIFS($F$5:$F46, $C$5:$C46, A65, $D$5:$D46, B65), 0)</f>
        <v/>
      </c>
      <c r="D65" s="11649">
        <f>IFERROR(SUMIFS($G$5:$G46, $C$5:$C46, A65, $D$5:$D46, B65), 0)</f>
        <v/>
      </c>
      <c r="E65" s="11650">
        <f>C65 - D65</f>
        <v/>
      </c>
      <c r="F65" s="11651">
        <f>IFERROR(SUMIFS($I$5:$I46, $C$5:$C46, A65, $D$5:$D46, B65), 0)</f>
        <v/>
      </c>
      <c r="G65" s="11652">
        <f>IFERROR(IF(F65=0,"",D65/F65), "")</f>
        <v/>
      </c>
      <c r="H65" s="11653">
        <f>IFERROR(SUMIFS(Captura_Obra!$F:$F, Captura_Obra!$B:$B, B65, Captura_Obra!$M:$M, A65), 0)</f>
        <v/>
      </c>
      <c r="I65" s="11654">
        <f>IFERROR(C65 - (H65 * IF(F65=0,0,D65/F65)), "")</f>
        <v/>
      </c>
    </row>
  </sheetData>
  <autoFilter ref="A4:K47">
    <sortState ref="A5:K47">
      <sortCondition ref="C4:C47"/>
    </sortState>
  </autoFilter>
  <mergeCells count="3">
    <mergeCell ref="A2:K2"/>
    <mergeCell ref="A1:K1"/>
    <mergeCell ref="A50:K50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217"/>
  <sheetViews>
    <sheetView topLeftCell="A49" workbookViewId="0">
      <selection activeCell="A1" sqref="A1:O1"/>
    </sheetView>
  </sheetViews>
  <sheetFormatPr baseColWidth="10" defaultRowHeight="13.8"/>
  <cols>
    <col width="9" customWidth="1" style="17580" min="1" max="1"/>
    <col width="13" customWidth="1" style="17580" min="2" max="2"/>
    <col width="14" customWidth="1" style="17580" min="3" max="3"/>
    <col width="32" customWidth="1" style="17580" min="4" max="4"/>
    <col width="30" customWidth="1" style="17580" min="5" max="5"/>
    <col width="14" customWidth="1" style="17580" min="6" max="7"/>
    <col width="12" customWidth="1" style="17580" min="8" max="8"/>
    <col width="13" customWidth="1" style="17580" min="9" max="9"/>
    <col width="12" customWidth="1" style="17580" min="10" max="10"/>
    <col width="25" customWidth="1" style="17580" min="11" max="11"/>
    <col width="22" customWidth="1" style="17580" min="12" max="12"/>
    <col width="30" customWidth="1" style="17580" min="13" max="13"/>
    <col width="14" customWidth="1" style="17580" min="14" max="14"/>
    <col width="40" customWidth="1" style="17580" min="15" max="15"/>
  </cols>
  <sheetData>
    <row r="1" ht="17.4" customHeight="1" s="17580">
      <c r="A1" s="17660" t="inlineStr">
        <is>
          <t>GC-GAS-003 | CONTROL DE GASOLINA - VEHÍCULOS Y EQUIPOS MENORES</t>
        </is>
      </c>
    </row>
    <row r="2" ht="14.4" customHeight="1" s="17580">
      <c r="A2" s="17656" t="inlineStr">
        <is>
          <t>GT + Trituradora Roca Dura | Autorización Semanal vs Carga Real | Gasolineras: LEVET / MOBIL HUIXQUILUCAN / TARJETA SÍVALE</t>
        </is>
      </c>
    </row>
    <row r="4" ht="15.6" customHeight="1" s="17580">
      <c r="A4" s="17662" t="inlineStr">
        <is>
          <t>1. CATÁLOGO DE VEHÍCULOS AUTORIZADOS (Semana Base)</t>
        </is>
      </c>
    </row>
    <row r="5" ht="31.95" customHeight="1" s="17580">
      <c r="A5" s="11655" t="inlineStr">
        <is>
          <t>#</t>
        </is>
      </c>
      <c r="B5" s="11656" t="inlineStr">
        <is>
          <t>Grupo</t>
        </is>
      </c>
      <c r="C5" s="11657" t="inlineStr">
        <is>
          <t>No. UT</t>
        </is>
      </c>
      <c r="D5" s="11658" t="inlineStr">
        <is>
          <t>Responsable</t>
        </is>
      </c>
      <c r="E5" s="11659" t="inlineStr">
        <is>
          <t>Unidad / Vehículo</t>
        </is>
      </c>
      <c r="F5" s="11660" t="inlineStr">
        <is>
          <t>Placas</t>
        </is>
      </c>
      <c r="G5" s="11661" t="inlineStr">
        <is>
          <t>Centro de Trabajo</t>
        </is>
      </c>
      <c r="H5" s="11662" t="inlineStr">
        <is>
          <t>$ Autorizado Semanal</t>
        </is>
      </c>
      <c r="I5" s="11663" t="inlineStr">
        <is>
          <t>Gasolinera Asignada</t>
        </is>
      </c>
      <c r="J5" s="11664" t="inlineStr">
        <is>
          <t>Notas</t>
        </is>
      </c>
    </row>
    <row r="6">
      <c r="A6" s="17658" t="inlineStr">
        <is>
          <t>GRUPO TRUJANO (GT)</t>
        </is>
      </c>
    </row>
    <row r="7">
      <c r="A7" s="11665" t="n">
        <v>1</v>
      </c>
      <c r="B7" s="11666" t="inlineStr">
        <is>
          <t>GT</t>
        </is>
      </c>
      <c r="C7" s="11667" t="n"/>
      <c r="D7" s="11668" t="inlineStr">
        <is>
          <t>ING.ARMANDO COLIN</t>
        </is>
      </c>
      <c r="E7" s="11669" t="inlineStr">
        <is>
          <t>CHEVROLET S10</t>
        </is>
      </c>
      <c r="F7" s="11670" t="inlineStr">
        <is>
          <t>PAT-8298</t>
        </is>
      </c>
      <c r="G7" s="11671" t="inlineStr">
        <is>
          <t>Bacheo Toluca</t>
        </is>
      </c>
      <c r="H7" s="11672" t="n">
        <v>1200</v>
      </c>
      <c r="I7" s="11673" t="inlineStr">
        <is>
          <t>LEVET</t>
        </is>
      </c>
      <c r="J7" s="11674" t="n"/>
    </row>
    <row r="8">
      <c r="A8" s="11675" t="n">
        <v>2</v>
      </c>
      <c r="B8" s="11676" t="inlineStr">
        <is>
          <t>GT</t>
        </is>
      </c>
      <c r="C8" s="11677" t="n"/>
      <c r="D8" s="11678" t="inlineStr">
        <is>
          <t>ING.ARMANDO COLIN -EQUIPO MENOR</t>
        </is>
      </c>
      <c r="E8" s="11679" t="inlineStr">
        <is>
          <t>CORTADORA/PR8</t>
        </is>
      </c>
      <c r="F8" s="11680" t="inlineStr">
        <is>
          <t>—</t>
        </is>
      </c>
      <c r="G8" s="11681" t="inlineStr">
        <is>
          <t>Bacheo Toluca</t>
        </is>
      </c>
      <c r="H8" s="11682" t="n">
        <v>500</v>
      </c>
      <c r="I8" s="11683" t="inlineStr">
        <is>
          <t>LEVET</t>
        </is>
      </c>
      <c r="J8" s="11684" t="n"/>
    </row>
    <row r="9">
      <c r="A9" s="11685" t="n">
        <v>3</v>
      </c>
      <c r="B9" s="11686" t="inlineStr">
        <is>
          <t>GT</t>
        </is>
      </c>
      <c r="C9" s="11687" t="n"/>
      <c r="D9" s="11688" t="inlineStr">
        <is>
          <t>ING.ANTONIO IBAÑEZ</t>
        </is>
      </c>
      <c r="E9" s="11689" t="inlineStr">
        <is>
          <t>RAM 1200 DODGE</t>
        </is>
      </c>
      <c r="F9" s="11690" t="inlineStr">
        <is>
          <t>LHB-188-D</t>
        </is>
      </c>
      <c r="G9" s="11691" t="inlineStr">
        <is>
          <t>Maquinaria (Gral)</t>
        </is>
      </c>
      <c r="H9" s="11692" t="n">
        <v>2500</v>
      </c>
      <c r="I9" s="11693" t="inlineStr">
        <is>
          <t>LEVET</t>
        </is>
      </c>
      <c r="J9" s="11694" t="n"/>
    </row>
    <row r="10" ht="41.4" customHeight="1" s="17580">
      <c r="A10" s="11695" t="n">
        <v>4</v>
      </c>
      <c r="B10" s="11696" t="inlineStr">
        <is>
          <t>GT</t>
        </is>
      </c>
      <c r="C10" s="11697" t="n"/>
      <c r="D10" s="11698" t="inlineStr">
        <is>
          <t>MECANICO ALBERTO HERNANDEZ DE JESUS</t>
        </is>
      </c>
      <c r="E10" s="11699" t="inlineStr">
        <is>
          <t>CHEVROLET S10</t>
        </is>
      </c>
      <c r="F10" s="11700" t="inlineStr">
        <is>
          <t>NXP-3814</t>
        </is>
      </c>
      <c r="G10" s="11701" t="inlineStr">
        <is>
          <t>México-Toluca</t>
        </is>
      </c>
      <c r="H10" s="11702" t="n">
        <v>1500</v>
      </c>
      <c r="I10" s="11703" t="inlineStr">
        <is>
          <t>LEVET</t>
        </is>
      </c>
      <c r="J10" s="11704" t="inlineStr">
        <is>
          <t>22/06 cargó en MOBIL HUIX (discrepancia gasolinera)</t>
        </is>
      </c>
    </row>
    <row r="11">
      <c r="A11" s="11705" t="n">
        <v>5</v>
      </c>
      <c r="B11" s="11706" t="inlineStr">
        <is>
          <t>GT</t>
        </is>
      </c>
      <c r="C11" s="11707" t="n"/>
      <c r="D11" s="11708" t="inlineStr">
        <is>
          <t>MECANICO JUAN CARLOS NAZAR</t>
        </is>
      </c>
      <c r="E11" s="11709" t="inlineStr">
        <is>
          <t>PICK UP DODGE</t>
        </is>
      </c>
      <c r="F11" s="11710" t="inlineStr">
        <is>
          <t>PCW-9238</t>
        </is>
      </c>
      <c r="G11" s="11711" t="inlineStr">
        <is>
          <t>Planta Asfalto Pegaso</t>
        </is>
      </c>
      <c r="H11" s="11712" t="n">
        <v>1500</v>
      </c>
      <c r="I11" s="11713" t="inlineStr">
        <is>
          <t>LEVET</t>
        </is>
      </c>
      <c r="J11" s="11714" t="n"/>
    </row>
    <row r="12">
      <c r="A12" s="11715" t="n">
        <v>6</v>
      </c>
      <c r="B12" s="11716" t="inlineStr">
        <is>
          <t>GT</t>
        </is>
      </c>
      <c r="C12" s="11717" t="n"/>
      <c r="D12" s="11718" t="inlineStr">
        <is>
          <t>MECANICO EDGAR VELAZQUEZ ESQUIVEL</t>
        </is>
      </c>
      <c r="E12" s="11719" t="inlineStr">
        <is>
          <t>RAM-700</t>
        </is>
      </c>
      <c r="F12" s="11720" t="inlineStr">
        <is>
          <t>PCW-9391</t>
        </is>
      </c>
      <c r="G12" s="11721" t="inlineStr">
        <is>
          <t>Planta Asfalto Pegaso</t>
        </is>
      </c>
      <c r="H12" s="11722" t="n">
        <v>1500</v>
      </c>
      <c r="I12" s="11723" t="inlineStr">
        <is>
          <t>LEVET</t>
        </is>
      </c>
      <c r="J12" s="11724" t="n"/>
    </row>
    <row r="13">
      <c r="A13" s="11725" t="n">
        <v>7</v>
      </c>
      <c r="B13" s="11726" t="inlineStr">
        <is>
          <t>GT</t>
        </is>
      </c>
      <c r="C13" s="11727" t="n"/>
      <c r="D13" s="11728" t="inlineStr">
        <is>
          <t>ING.DIEGO CARREOLA</t>
        </is>
      </c>
      <c r="E13" s="11729" t="inlineStr">
        <is>
          <t>L200</t>
        </is>
      </c>
      <c r="F13" s="11730" t="inlineStr">
        <is>
          <t>NYC-829-C</t>
        </is>
      </c>
      <c r="G13" s="11731" t="inlineStr">
        <is>
          <t>Bacheo Toluca</t>
        </is>
      </c>
      <c r="H13" s="11732" t="n">
        <v>1500</v>
      </c>
      <c r="I13" s="11733" t="inlineStr">
        <is>
          <t>LEVET</t>
        </is>
      </c>
      <c r="J13" s="11734" t="n"/>
    </row>
    <row r="14">
      <c r="A14" s="11735" t="n">
        <v>8</v>
      </c>
      <c r="B14" s="11736" t="inlineStr">
        <is>
          <t>GT</t>
        </is>
      </c>
      <c r="C14" s="11737" t="n"/>
      <c r="D14" s="11738" t="inlineStr">
        <is>
          <t>ING.DIEGO CARREOLA -EQUIPOS MENORES</t>
        </is>
      </c>
      <c r="E14" s="11739" t="inlineStr">
        <is>
          <t>Equipos Menores</t>
        </is>
      </c>
      <c r="F14" s="11740" t="inlineStr">
        <is>
          <t>—</t>
        </is>
      </c>
      <c r="G14" s="11741" t="inlineStr">
        <is>
          <t>Bacheo Toluca</t>
        </is>
      </c>
      <c r="H14" s="11742" t="n">
        <v>500</v>
      </c>
      <c r="I14" s="11743" t="inlineStr">
        <is>
          <t>LEVET</t>
        </is>
      </c>
      <c r="J14" s="11744" t="n"/>
    </row>
    <row r="15">
      <c r="A15" s="11745" t="n">
        <v>9</v>
      </c>
      <c r="B15" s="11746" t="inlineStr">
        <is>
          <t>GT</t>
        </is>
      </c>
      <c r="C15" s="11747" t="n"/>
      <c r="D15" s="11748" t="inlineStr">
        <is>
          <t>ING JAVIER PÉREZ DÍAZ</t>
        </is>
      </c>
      <c r="E15" s="11749" t="inlineStr">
        <is>
          <t>L200</t>
        </is>
      </c>
      <c r="F15" s="11750" t="inlineStr">
        <is>
          <t>MHL-758-A</t>
        </is>
      </c>
      <c r="G15" s="11751" t="inlineStr">
        <is>
          <t>México-Toluca</t>
        </is>
      </c>
      <c r="H15" s="11752" t="n">
        <v>3000</v>
      </c>
      <c r="I15" s="11753" t="inlineStr">
        <is>
          <t>MOBIL HUIXQUILUCAN</t>
        </is>
      </c>
      <c r="J15" s="11754" t="n"/>
    </row>
    <row r="16">
      <c r="A16" s="11755" t="n">
        <v>10</v>
      </c>
      <c r="B16" s="11756" t="inlineStr">
        <is>
          <t>GT</t>
        </is>
      </c>
      <c r="C16" s="11757" t="n"/>
      <c r="D16" s="11758" t="inlineStr">
        <is>
          <t>ALEXIS RENDÓN DOMÍNGUEZ</t>
        </is>
      </c>
      <c r="E16" s="11759" t="inlineStr">
        <is>
          <t>URBAN TOYOTA</t>
        </is>
      </c>
      <c r="F16" s="11760" t="inlineStr">
        <is>
          <t>PBT-1230</t>
        </is>
      </c>
      <c r="G16" s="11761" t="inlineStr">
        <is>
          <t>México-Toluca</t>
        </is>
      </c>
      <c r="H16" s="11762" t="n">
        <v>2500</v>
      </c>
      <c r="I16" s="11763" t="inlineStr">
        <is>
          <t>MOBIL HUIXQUILUCAN</t>
        </is>
      </c>
      <c r="J16" s="11764" t="n"/>
    </row>
    <row r="17">
      <c r="A17" s="11765" t="n">
        <v>11</v>
      </c>
      <c r="B17" s="11766" t="inlineStr">
        <is>
          <t>GT</t>
        </is>
      </c>
      <c r="C17" s="11767" t="n"/>
      <c r="D17" s="11768" t="inlineStr">
        <is>
          <t>CRISTIAN REYES GOMORA</t>
        </is>
      </c>
      <c r="E17" s="11769" t="inlineStr">
        <is>
          <t>DODGE RAM 3 1/2</t>
        </is>
      </c>
      <c r="F17" s="11770" t="inlineStr">
        <is>
          <t>LH-4973</t>
        </is>
      </c>
      <c r="G17" s="11771" t="inlineStr">
        <is>
          <t>México-Toluca</t>
        </is>
      </c>
      <c r="H17" s="11772" t="n">
        <v>4000</v>
      </c>
      <c r="I17" s="11773" t="inlineStr">
        <is>
          <t>MOBIL HUIXQUILUCAN</t>
        </is>
      </c>
      <c r="J17" s="11774" t="n"/>
    </row>
    <row r="18">
      <c r="A18" s="11775" t="n">
        <v>12</v>
      </c>
      <c r="B18" s="11776" t="inlineStr">
        <is>
          <t>GT</t>
        </is>
      </c>
      <c r="C18" s="11777" t="n"/>
      <c r="D18" s="11778" t="inlineStr">
        <is>
          <t>ING.APOLINAR REYES BOLAINA</t>
        </is>
      </c>
      <c r="E18" s="11779" t="inlineStr">
        <is>
          <t>L200</t>
        </is>
      </c>
      <c r="F18" s="11780" t="inlineStr">
        <is>
          <t>NYZ-971-C</t>
        </is>
      </c>
      <c r="G18" s="11781" t="inlineStr">
        <is>
          <t>Lerma - Tres Marías</t>
        </is>
      </c>
      <c r="H18" s="11782" t="n">
        <v>2500</v>
      </c>
      <c r="I18" s="11783" t="inlineStr">
        <is>
          <t>LEVET</t>
        </is>
      </c>
      <c r="J18" s="11784" t="n"/>
    </row>
    <row r="19">
      <c r="A19" s="11785" t="n">
        <v>13</v>
      </c>
      <c r="B19" s="11786" t="inlineStr">
        <is>
          <t>GT</t>
        </is>
      </c>
      <c r="C19" s="11787" t="n"/>
      <c r="D19" s="11788" t="inlineStr">
        <is>
          <t>LEONCIO MARTINEZ PASCACIO</t>
        </is>
      </c>
      <c r="E19" s="11789" t="inlineStr">
        <is>
          <t>L200</t>
        </is>
      </c>
      <c r="F19" s="11790" t="inlineStr">
        <is>
          <t>NYZ-790-C</t>
        </is>
      </c>
      <c r="G19" s="11791" t="inlineStr">
        <is>
          <t>Lerma - Tres Marías</t>
        </is>
      </c>
      <c r="H19" s="11792" t="n">
        <v>1500</v>
      </c>
      <c r="I19" s="11793" t="inlineStr">
        <is>
          <t>LEVET</t>
        </is>
      </c>
      <c r="J19" s="11794" t="n"/>
    </row>
    <row r="20">
      <c r="A20" s="11795" t="n">
        <v>14</v>
      </c>
      <c r="B20" s="11796" t="inlineStr">
        <is>
          <t>GT</t>
        </is>
      </c>
      <c r="C20" s="11797" t="n"/>
      <c r="D20" s="11798" t="inlineStr">
        <is>
          <t>CARMELO ALVAREZ</t>
        </is>
      </c>
      <c r="E20" s="11799" t="inlineStr">
        <is>
          <t>DODGE RAM 3 1/2</t>
        </is>
      </c>
      <c r="F20" s="11800" t="inlineStr">
        <is>
          <t>LH-4974-6</t>
        </is>
      </c>
      <c r="G20" s="11801" t="inlineStr">
        <is>
          <t>Lerma - Tres Marías</t>
        </is>
      </c>
      <c r="H20" s="11802" t="n">
        <v>3000</v>
      </c>
      <c r="I20" s="11803" t="inlineStr">
        <is>
          <t>LEVET</t>
        </is>
      </c>
      <c r="J20" s="11804" t="n"/>
    </row>
    <row r="21">
      <c r="A21" s="11805" t="n">
        <v>15</v>
      </c>
      <c r="B21" s="11806" t="inlineStr">
        <is>
          <t>GT</t>
        </is>
      </c>
      <c r="C21" s="11807" t="n"/>
      <c r="D21" s="11808" t="inlineStr">
        <is>
          <t>DIEGO FERNANDEZ SANTIAGO</t>
        </is>
      </c>
      <c r="E21" s="11809" t="inlineStr">
        <is>
          <t>CAMIONETA URBAN</t>
        </is>
      </c>
      <c r="F21" s="11810" t="inlineStr">
        <is>
          <t>TB-T1-229</t>
        </is>
      </c>
      <c r="G21" s="11811" t="inlineStr">
        <is>
          <t>Lerma - Tres Marías</t>
        </is>
      </c>
      <c r="H21" s="11812" t="n">
        <v>2500</v>
      </c>
      <c r="I21" s="11813" t="inlineStr">
        <is>
          <t>LEVET</t>
        </is>
      </c>
      <c r="J21" s="11814" t="n"/>
    </row>
    <row r="22">
      <c r="A22" s="11815" t="n">
        <v>16</v>
      </c>
      <c r="B22" s="11816" t="inlineStr">
        <is>
          <t>GT</t>
        </is>
      </c>
      <c r="C22" s="11817" t="n"/>
      <c r="D22" s="11818" t="inlineStr">
        <is>
          <t>ING.APOLINAR REYES -EQUIPO MENOR</t>
        </is>
      </c>
      <c r="E22" s="11819" t="inlineStr">
        <is>
          <t>CORTADORA DE CONCRETO</t>
        </is>
      </c>
      <c r="F22" s="11820" t="inlineStr">
        <is>
          <t>—</t>
        </is>
      </c>
      <c r="G22" s="11821" t="inlineStr">
        <is>
          <t>Lerma - Tres Marías</t>
        </is>
      </c>
      <c r="H22" s="11822" t="n">
        <v>300</v>
      </c>
      <c r="I22" s="11823" t="inlineStr">
        <is>
          <t>LEVET</t>
        </is>
      </c>
      <c r="J22" s="11824" t="n"/>
    </row>
    <row r="23">
      <c r="A23" s="11825" t="n">
        <v>17</v>
      </c>
      <c r="B23" s="11826" t="inlineStr">
        <is>
          <t>GT</t>
        </is>
      </c>
      <c r="C23" s="11827" t="n"/>
      <c r="D23" s="11828" t="inlineStr">
        <is>
          <t>ING.APOLINAR REYES -EQUIPO MENOR</t>
        </is>
      </c>
      <c r="E23" s="11829" t="inlineStr">
        <is>
          <t>MOTOR AUX PETROLIZADORA</t>
        </is>
      </c>
      <c r="F23" s="11830" t="inlineStr">
        <is>
          <t>—</t>
        </is>
      </c>
      <c r="G23" s="11831" t="inlineStr">
        <is>
          <t>Lerma - Tres Marías</t>
        </is>
      </c>
      <c r="H23" s="11832" t="n">
        <v>300</v>
      </c>
      <c r="I23" s="11833" t="inlineStr">
        <is>
          <t>LEVET</t>
        </is>
      </c>
      <c r="J23" s="11834" t="n"/>
    </row>
    <row r="24">
      <c r="A24" s="11835" t="n">
        <v>18</v>
      </c>
      <c r="B24" s="11836" t="inlineStr">
        <is>
          <t>GT</t>
        </is>
      </c>
      <c r="C24" s="11837" t="n"/>
      <c r="D24" s="11838" t="inlineStr">
        <is>
          <t>ING.APOLINAR REYES -EQUIPO MENOR</t>
        </is>
      </c>
      <c r="E24" s="11839" t="inlineStr">
        <is>
          <t>MOTOR AUX PIPA DE AGUA</t>
        </is>
      </c>
      <c r="F24" s="11840" t="inlineStr">
        <is>
          <t>—</t>
        </is>
      </c>
      <c r="G24" s="11841" t="inlineStr">
        <is>
          <t>Lerma - Tres Marías</t>
        </is>
      </c>
      <c r="H24" s="11842" t="n">
        <v>300</v>
      </c>
      <c r="I24" s="11843" t="inlineStr">
        <is>
          <t>LEVET</t>
        </is>
      </c>
      <c r="J24" s="11844" t="n"/>
    </row>
    <row r="25">
      <c r="A25" s="11845" t="n">
        <v>19</v>
      </c>
      <c r="B25" s="11846" t="inlineStr">
        <is>
          <t>GT</t>
        </is>
      </c>
      <c r="C25" s="11847" t="n"/>
      <c r="D25" s="11848" t="inlineStr">
        <is>
          <t>LUIS VALDEZ</t>
        </is>
      </c>
      <c r="E25" s="11849" t="inlineStr">
        <is>
          <t>FORD RANGER</t>
        </is>
      </c>
      <c r="F25" s="11850" t="inlineStr">
        <is>
          <t>PCU-7482</t>
        </is>
      </c>
      <c r="G25" s="11851" t="inlineStr">
        <is>
          <t>Planta Asflato Huixquilucan</t>
        </is>
      </c>
      <c r="H25" s="11852" t="n">
        <v>2500</v>
      </c>
      <c r="I25" s="11853" t="inlineStr">
        <is>
          <t>MOBIL HUIXQUILUCAN</t>
        </is>
      </c>
      <c r="J25" s="11854" t="n"/>
    </row>
    <row r="26">
      <c r="A26" s="11855" t="n">
        <v>20</v>
      </c>
      <c r="B26" s="11856" t="inlineStr">
        <is>
          <t>GT</t>
        </is>
      </c>
      <c r="C26" s="11857" t="n"/>
      <c r="D26" s="11858" t="inlineStr">
        <is>
          <t>LUIS VALDEZ -EQUIPO MENOR</t>
        </is>
      </c>
      <c r="E26" s="11859" t="inlineStr">
        <is>
          <t>GENERADOR DE LUZ LAB</t>
        </is>
      </c>
      <c r="F26" s="11860" t="inlineStr">
        <is>
          <t>—</t>
        </is>
      </c>
      <c r="G26" s="11861" t="inlineStr">
        <is>
          <t>Planta Asflato Huixquilucan</t>
        </is>
      </c>
      <c r="H26" s="11862" t="n">
        <v>1000</v>
      </c>
      <c r="I26" s="11863" t="inlineStr">
        <is>
          <t>MOBIL HUIXQUILUCAN</t>
        </is>
      </c>
      <c r="J26" s="11864" t="n"/>
    </row>
    <row r="27">
      <c r="A27" s="11865" t="n">
        <v>21</v>
      </c>
      <c r="B27" s="11866" t="inlineStr">
        <is>
          <t>GT</t>
        </is>
      </c>
      <c r="C27" s="11867" t="n"/>
      <c r="D27" s="11868" t="inlineStr">
        <is>
          <t>CLEMENTE SANABRIA</t>
        </is>
      </c>
      <c r="E27" s="11869" t="inlineStr">
        <is>
          <t>RAM L200</t>
        </is>
      </c>
      <c r="F27" s="11870" t="inlineStr">
        <is>
          <t>LHB-184-D</t>
        </is>
      </c>
      <c r="G27" s="11871" t="inlineStr">
        <is>
          <t>Transportes Flotilla</t>
        </is>
      </c>
      <c r="H27" s="11872" t="n">
        <v>2500</v>
      </c>
      <c r="I27" s="11873" t="inlineStr">
        <is>
          <t>LEVET</t>
        </is>
      </c>
      <c r="J27" s="11874" t="n"/>
    </row>
    <row r="28">
      <c r="A28" s="11875" t="n">
        <v>22</v>
      </c>
      <c r="B28" s="11876" t="inlineStr">
        <is>
          <t>GT</t>
        </is>
      </c>
      <c r="C28" s="11877" t="n"/>
      <c r="D28" s="11878" t="inlineStr">
        <is>
          <t>BRAYAN CHAVEZ</t>
        </is>
      </c>
      <c r="E28" s="11879" t="inlineStr">
        <is>
          <t>TORNADO</t>
        </is>
      </c>
      <c r="F28" s="11880" t="inlineStr">
        <is>
          <t>NUZ-948-C</t>
        </is>
      </c>
      <c r="G28" s="11881" t="inlineStr">
        <is>
          <t>Transportes Flotilla</t>
        </is>
      </c>
      <c r="H28" s="11882" t="n">
        <v>1000</v>
      </c>
      <c r="I28" s="11883" t="inlineStr">
        <is>
          <t>LEVET</t>
        </is>
      </c>
      <c r="J28" s="11884" t="n"/>
    </row>
    <row r="29">
      <c r="A29" s="11885" t="n">
        <v>23</v>
      </c>
      <c r="B29" s="11886" t="inlineStr">
        <is>
          <t>GT</t>
        </is>
      </c>
      <c r="C29" s="11887" t="n"/>
      <c r="D29" s="11888" t="inlineStr">
        <is>
          <t>BRAYAN CHAVEZ -MOTORES LOWBOY</t>
        </is>
      </c>
      <c r="E29" s="11889" t="inlineStr">
        <is>
          <t>Motor Lowboy 1</t>
        </is>
      </c>
      <c r="F29" s="11890" t="inlineStr">
        <is>
          <t>—</t>
        </is>
      </c>
      <c r="G29" s="11891" t="inlineStr">
        <is>
          <t>Transportes Flotilla</t>
        </is>
      </c>
      <c r="H29" s="11892" t="n">
        <v>500</v>
      </c>
      <c r="I29" s="11893" t="inlineStr">
        <is>
          <t>LEVET</t>
        </is>
      </c>
      <c r="J29" s="11894" t="n"/>
    </row>
    <row r="30">
      <c r="A30" s="11895" t="n">
        <v>24</v>
      </c>
      <c r="B30" s="11896" t="inlineStr">
        <is>
          <t>GT</t>
        </is>
      </c>
      <c r="C30" s="11897" t="n"/>
      <c r="D30" s="11898" t="inlineStr">
        <is>
          <t>BRAYAN CHAVEZ -MOTORES LOWBOY</t>
        </is>
      </c>
      <c r="E30" s="11899" t="inlineStr">
        <is>
          <t>Motor Lowboy 2</t>
        </is>
      </c>
      <c r="F30" s="11900" t="inlineStr">
        <is>
          <t>—</t>
        </is>
      </c>
      <c r="G30" s="11901" t="inlineStr">
        <is>
          <t>Transportes Flotilla</t>
        </is>
      </c>
      <c r="H30" s="11902" t="n">
        <v>500</v>
      </c>
      <c r="I30" s="11903" t="inlineStr">
        <is>
          <t>LEVET</t>
        </is>
      </c>
      <c r="J30" s="11904" t="n"/>
    </row>
    <row r="31">
      <c r="A31" s="11905" t="n">
        <v>25</v>
      </c>
      <c r="B31" s="11906" t="inlineStr">
        <is>
          <t>GT</t>
        </is>
      </c>
      <c r="C31" s="11907" t="n"/>
      <c r="D31" s="11908" t="inlineStr">
        <is>
          <t>ING.ROBERTO ORTEGA</t>
        </is>
      </c>
      <c r="E31" s="11909" t="inlineStr">
        <is>
          <t>L200</t>
        </is>
      </c>
      <c r="F31" s="11910" t="inlineStr">
        <is>
          <t>MNX-601-B</t>
        </is>
      </c>
      <c r="G31" s="11911" t="inlineStr">
        <is>
          <t>San Pedro Totoltepec</t>
        </is>
      </c>
      <c r="H31" s="11912" t="n">
        <v>800</v>
      </c>
      <c r="I31" s="11913" t="inlineStr">
        <is>
          <t>LEVET</t>
        </is>
      </c>
      <c r="J31" s="11914" t="n"/>
    </row>
    <row r="32">
      <c r="A32" s="11915" t="n">
        <v>26</v>
      </c>
      <c r="B32" s="11916" t="inlineStr">
        <is>
          <t>GT</t>
        </is>
      </c>
      <c r="C32" s="11917" t="n"/>
      <c r="D32" s="11918" t="inlineStr">
        <is>
          <t>ING.ROBERTO ORTEGA EQUIPOS MENORES</t>
        </is>
      </c>
      <c r="E32" s="11919" t="inlineStr">
        <is>
          <t>Equipos Menores</t>
        </is>
      </c>
      <c r="F32" s="11920" t="inlineStr">
        <is>
          <t>—</t>
        </is>
      </c>
      <c r="G32" s="11921" t="inlineStr">
        <is>
          <t>San Pedro Totoltepec</t>
        </is>
      </c>
      <c r="H32" s="11922" t="n">
        <v>0</v>
      </c>
      <c r="I32" s="11923" t="inlineStr">
        <is>
          <t>LEVET</t>
        </is>
      </c>
      <c r="J32" s="11924" t="n"/>
    </row>
    <row r="33">
      <c r="A33" s="11925" t="n">
        <v>27</v>
      </c>
      <c r="B33" s="11926" t="inlineStr">
        <is>
          <t>GT</t>
        </is>
      </c>
      <c r="C33" s="11927" t="n"/>
      <c r="D33" s="11928" t="inlineStr">
        <is>
          <t>ARQ. SAMUEL ORTEGA</t>
        </is>
      </c>
      <c r="E33" s="11929" t="inlineStr">
        <is>
          <t>L200</t>
        </is>
      </c>
      <c r="F33" s="11930" t="inlineStr">
        <is>
          <t>NZT-266-B</t>
        </is>
      </c>
      <c r="G33" s="11931" t="inlineStr">
        <is>
          <t>México-Toluca</t>
        </is>
      </c>
      <c r="H33" s="11932" t="n">
        <v>3000</v>
      </c>
      <c r="I33" s="11933" t="inlineStr">
        <is>
          <t>MOBIL HUIXQUILUCAN</t>
        </is>
      </c>
      <c r="J33" s="11934" t="n"/>
    </row>
    <row r="34">
      <c r="G34" s="11935" t="inlineStr">
        <is>
          <t>Subtotal GT</t>
        </is>
      </c>
      <c r="H34" s="11936">
        <f>SUM(H7:H33)</f>
        <v/>
      </c>
    </row>
    <row r="35">
      <c r="A35" s="17661" t="inlineStr">
        <is>
          <t>MINAS (GT LEVET)</t>
        </is>
      </c>
    </row>
    <row r="36">
      <c r="A36" s="11937" t="n">
        <v>28</v>
      </c>
      <c r="B36" s="11938" t="inlineStr">
        <is>
          <t>MINAS</t>
        </is>
      </c>
      <c r="C36" s="11939" t="n"/>
      <c r="D36" s="11940" t="inlineStr">
        <is>
          <t>LAZARO PINAL</t>
        </is>
      </c>
      <c r="E36" s="11941" t="n"/>
      <c r="F36" s="11942" t="inlineStr">
        <is>
          <t>—</t>
        </is>
      </c>
      <c r="G36" s="11943" t="inlineStr">
        <is>
          <t>Minas (General)</t>
        </is>
      </c>
      <c r="H36" s="11944" t="n">
        <v>1700</v>
      </c>
      <c r="I36" s="11945" t="inlineStr">
        <is>
          <t>LEVET</t>
        </is>
      </c>
      <c r="J36" s="11946" t="n"/>
    </row>
    <row r="37">
      <c r="A37" s="11947" t="n">
        <v>29</v>
      </c>
      <c r="B37" s="11948" t="inlineStr">
        <is>
          <t>MINAS</t>
        </is>
      </c>
      <c r="C37" s="11949" t="n"/>
      <c r="D37" s="11950" t="inlineStr">
        <is>
          <t>CARLOS REYES</t>
        </is>
      </c>
      <c r="E37" s="11951" t="n"/>
      <c r="F37" s="11952" t="inlineStr">
        <is>
          <t>—</t>
        </is>
      </c>
      <c r="G37" s="11953" t="inlineStr">
        <is>
          <t>Minas (General)</t>
        </is>
      </c>
      <c r="H37" s="11954" t="n">
        <v>2500</v>
      </c>
      <c r="I37" s="11955" t="inlineStr">
        <is>
          <t>LEVET</t>
        </is>
      </c>
      <c r="J37" s="11956" t="n"/>
    </row>
    <row r="38">
      <c r="A38" s="11957" t="n">
        <v>30</v>
      </c>
      <c r="B38" s="11958" t="inlineStr">
        <is>
          <t>MINAS</t>
        </is>
      </c>
      <c r="C38" s="11959" t="n"/>
      <c r="D38" s="11960" t="inlineStr">
        <is>
          <t>FLOR ARANDA</t>
        </is>
      </c>
      <c r="E38" s="11961" t="n"/>
      <c r="F38" s="11962" t="inlineStr">
        <is>
          <t>—</t>
        </is>
      </c>
      <c r="G38" s="11963" t="inlineStr">
        <is>
          <t>Minas (General)</t>
        </is>
      </c>
      <c r="H38" s="11964" t="n">
        <v>2000</v>
      </c>
      <c r="I38" s="11965" t="inlineStr">
        <is>
          <t>LEVET</t>
        </is>
      </c>
      <c r="J38" s="11966" t="n"/>
    </row>
    <row r="39">
      <c r="A39" s="11967" t="n">
        <v>31</v>
      </c>
      <c r="B39" s="11968" t="inlineStr">
        <is>
          <t>MINAS</t>
        </is>
      </c>
      <c r="C39" s="11969" t="n"/>
      <c r="D39" s="11970" t="inlineStr">
        <is>
          <t>JESUS MARIN</t>
        </is>
      </c>
      <c r="E39" s="11971" t="n"/>
      <c r="F39" s="11972" t="inlineStr">
        <is>
          <t>—</t>
        </is>
      </c>
      <c r="G39" s="11973" t="inlineStr">
        <is>
          <t>Minas (General)</t>
        </is>
      </c>
      <c r="H39" s="11974" t="n">
        <v>2000</v>
      </c>
      <c r="I39" s="11975" t="inlineStr">
        <is>
          <t>LEVET</t>
        </is>
      </c>
      <c r="J39" s="11976" t="n"/>
    </row>
    <row r="40">
      <c r="G40" s="11977" t="inlineStr">
        <is>
          <t>Subtotal MINAS</t>
        </is>
      </c>
      <c r="H40" s="11978">
        <f>SUM(H36:H39)</f>
        <v/>
      </c>
    </row>
    <row r="41">
      <c r="A41" s="17663" t="inlineStr">
        <is>
          <t>TRITURADORA ROCA DURA SAN MIGUEL</t>
        </is>
      </c>
    </row>
    <row r="42">
      <c r="A42" s="11979" t="n">
        <v>32</v>
      </c>
      <c r="B42" s="11980" t="inlineStr">
        <is>
          <t>TRITURADORA</t>
        </is>
      </c>
      <c r="C42" s="11981" t="inlineStr">
        <is>
          <t>S/N</t>
        </is>
      </c>
      <c r="D42" s="11982" t="inlineStr">
        <is>
          <t>CARLOS REYES TRUJANO</t>
        </is>
      </c>
      <c r="E42" s="11983" t="inlineStr">
        <is>
          <t>TOYOTA TACOMA</t>
        </is>
      </c>
      <c r="F42" s="11984" t="inlineStr">
        <is>
          <t>33K-849</t>
        </is>
      </c>
      <c r="G42" s="11985" t="inlineStr">
        <is>
          <t>Mina Tabernillas</t>
        </is>
      </c>
      <c r="H42" s="11986" t="n">
        <v>2500</v>
      </c>
      <c r="I42" s="11987" t="inlineStr">
        <is>
          <t>LEVET</t>
        </is>
      </c>
      <c r="J42" s="11988" t="n"/>
    </row>
    <row r="43">
      <c r="A43" s="11989" t="n">
        <v>33</v>
      </c>
      <c r="B43" s="11990" t="inlineStr">
        <is>
          <t>TRITURADORA</t>
        </is>
      </c>
      <c r="C43" s="11991" t="inlineStr">
        <is>
          <t>UT-36</t>
        </is>
      </c>
      <c r="D43" s="11992" t="inlineStr">
        <is>
          <t>LAZARO PINAL RIOS</t>
        </is>
      </c>
      <c r="E43" s="11993" t="inlineStr">
        <is>
          <t>MITSUBISHI L200</t>
        </is>
      </c>
      <c r="F43" s="11994" t="inlineStr">
        <is>
          <t>MHL-757-A</t>
        </is>
      </c>
      <c r="G43" s="11995" t="inlineStr">
        <is>
          <t>Mina Tabernillas</t>
        </is>
      </c>
      <c r="H43" s="11996" t="n">
        <v>1500</v>
      </c>
      <c r="I43" s="11997" t="inlineStr">
        <is>
          <t>LEVET</t>
        </is>
      </c>
      <c r="J43" s="11998" t="n"/>
    </row>
    <row r="44">
      <c r="A44" s="11999" t="n">
        <v>34</v>
      </c>
      <c r="B44" s="12000" t="inlineStr">
        <is>
          <t>TRITURADORA</t>
        </is>
      </c>
      <c r="C44" s="12001" t="inlineStr">
        <is>
          <t>UT-29</t>
        </is>
      </c>
      <c r="D44" s="12002" t="inlineStr">
        <is>
          <t>ARMANDO LANDIN MORENO</t>
        </is>
      </c>
      <c r="E44" s="12003" t="inlineStr">
        <is>
          <t>MITSUBISHI L200 D/C</t>
        </is>
      </c>
      <c r="F44" s="12004" t="inlineStr">
        <is>
          <t>LHB-180-D</t>
        </is>
      </c>
      <c r="G44" s="12005" t="inlineStr">
        <is>
          <t>Mina Tabernillas</t>
        </is>
      </c>
      <c r="H44" s="12006" t="n">
        <v>2000</v>
      </c>
      <c r="I44" s="12007" t="inlineStr">
        <is>
          <t>LEVET</t>
        </is>
      </c>
      <c r="J44" s="12008" t="n"/>
    </row>
    <row r="45">
      <c r="A45" s="12009" t="n">
        <v>35</v>
      </c>
      <c r="B45" s="12010" t="inlineStr">
        <is>
          <t>TRITURADORA</t>
        </is>
      </c>
      <c r="C45" s="12011" t="inlineStr">
        <is>
          <t>UT-13</t>
        </is>
      </c>
      <c r="D45" s="12012" t="inlineStr">
        <is>
          <t>ABNER OSORIO BARTOLO</t>
        </is>
      </c>
      <c r="E45" s="12013" t="inlineStr">
        <is>
          <t>MITSUBISHI L200 D/C</t>
        </is>
      </c>
      <c r="F45" s="12014" t="inlineStr">
        <is>
          <t>NYZ-828-C</t>
        </is>
      </c>
      <c r="G45" s="12015" t="inlineStr">
        <is>
          <t>Mina Zumpahuacan</t>
        </is>
      </c>
      <c r="H45" s="12016" t="n">
        <v>1500</v>
      </c>
      <c r="I45" s="12017" t="inlineStr">
        <is>
          <t>LEVET</t>
        </is>
      </c>
      <c r="J45" s="12018" t="n"/>
    </row>
    <row r="46">
      <c r="A46" s="12019" t="n">
        <v>36</v>
      </c>
      <c r="B46" s="12020" t="inlineStr">
        <is>
          <t>TRITURADORA</t>
        </is>
      </c>
      <c r="C46" s="12021" t="inlineStr">
        <is>
          <t>UT-6</t>
        </is>
      </c>
      <c r="D46" s="12022" t="inlineStr">
        <is>
          <t>ISAAC GONZALEZ GONZALEZ</t>
        </is>
      </c>
      <c r="E46" s="12023" t="inlineStr">
        <is>
          <t>MITSUBISHI L200 D/C</t>
        </is>
      </c>
      <c r="F46" s="12024" t="inlineStr">
        <is>
          <t>NYZ-839-C</t>
        </is>
      </c>
      <c r="G46" s="12025" t="inlineStr">
        <is>
          <t>Mina Zumpahuacan</t>
        </is>
      </c>
      <c r="H46" s="12026" t="n">
        <v>1500</v>
      </c>
      <c r="I46" s="12027" t="inlineStr">
        <is>
          <t>LEVET</t>
        </is>
      </c>
      <c r="J46" s="12028" t="n"/>
    </row>
    <row r="47">
      <c r="A47" s="12029" t="n">
        <v>37</v>
      </c>
      <c r="B47" s="12030" t="inlineStr">
        <is>
          <t>TRITURADORA</t>
        </is>
      </c>
      <c r="C47" s="12031" t="inlineStr">
        <is>
          <t>UT-15</t>
        </is>
      </c>
      <c r="D47" s="12032" t="inlineStr">
        <is>
          <t>JESUS MARIN GARCIA</t>
        </is>
      </c>
      <c r="E47" s="12033" t="inlineStr">
        <is>
          <t>CHEVROLET S10</t>
        </is>
      </c>
      <c r="F47" s="12034" t="inlineStr">
        <is>
          <t>PCU-8771</t>
        </is>
      </c>
      <c r="G47" s="12035" t="inlineStr">
        <is>
          <t>Mina Cuajomac</t>
        </is>
      </c>
      <c r="H47" s="12036" t="n">
        <v>2000</v>
      </c>
      <c r="I47" s="12037" t="inlineStr">
        <is>
          <t>LEVET</t>
        </is>
      </c>
      <c r="J47" s="12038" t="n"/>
    </row>
    <row r="48">
      <c r="B48" t="n">
        <v>46195</v>
      </c>
      <c r="C48" t="inlineStr">
        <is>
          <t>NYZ971C</t>
        </is>
      </c>
      <c r="D48" t="inlineStr">
        <is>
          <t>APOLINAR REYES</t>
        </is>
      </c>
      <c r="E48" t="inlineStr">
        <is>
          <t>LERMA TENANGO</t>
        </is>
      </c>
      <c r="G48" s="12039" t="n">
        <v>1473.84</v>
      </c>
      <c r="H48" s="12040" t="n">
        <v>64.38800000000001</v>
      </c>
      <c r="I48" t="n">
        <v>22.89</v>
      </c>
      <c r="K48" t="inlineStr">
        <is>
          <t>LEVET</t>
        </is>
      </c>
    </row>
    <row r="49">
      <c r="B49" t="n">
        <v>46195</v>
      </c>
      <c r="C49" t="inlineStr">
        <is>
          <t>NUZ948C</t>
        </is>
      </c>
      <c r="D49" t="inlineStr">
        <is>
          <t>BRYAN CHAVEZ</t>
        </is>
      </c>
      <c r="E49" t="inlineStr">
        <is>
          <t>TRANSPORTES FLOTILLA</t>
        </is>
      </c>
      <c r="G49" s="12041" t="n">
        <v>800</v>
      </c>
      <c r="H49" s="12042" t="n">
        <v>34.95</v>
      </c>
      <c r="I49" t="n">
        <v>22.89</v>
      </c>
      <c r="K49" t="inlineStr">
        <is>
          <t>LEVET</t>
        </is>
      </c>
    </row>
    <row r="50">
      <c r="B50" t="n">
        <v>46195</v>
      </c>
      <c r="C50" t="inlineStr">
        <is>
          <t>NUZ948C</t>
        </is>
      </c>
      <c r="D50" t="inlineStr">
        <is>
          <t>BRYAN CHAVEZ</t>
        </is>
      </c>
      <c r="E50" t="inlineStr">
        <is>
          <t>TRANSPORTES FLOTILLA</t>
        </is>
      </c>
      <c r="G50" t="n">
        <v>500</v>
      </c>
      <c r="H50" t="n">
        <v>21.844</v>
      </c>
      <c r="I50" t="n">
        <v>22.89</v>
      </c>
      <c r="K50" t="inlineStr">
        <is>
          <t>LEVET</t>
        </is>
      </c>
    </row>
    <row r="51" ht="15.6" customHeight="1" s="17580">
      <c r="A51" s="17657" t="inlineStr">
        <is>
          <t>2. CAPTURA DE CARGAS REALES (Una fila por carga / ticket)</t>
        </is>
      </c>
    </row>
    <row r="52" ht="36" customHeight="1" s="17580">
      <c r="A52" s="12043" t="inlineStr">
        <is>
          <t>Semana</t>
        </is>
      </c>
      <c r="B52" s="12044" t="n">
        <v>46195</v>
      </c>
      <c r="C52" s="12045" t="inlineStr">
        <is>
          <t>MNX601B</t>
        </is>
      </c>
      <c r="D52" s="12046" t="inlineStr">
        <is>
          <t>ROBERTO ORTEGA</t>
        </is>
      </c>
      <c r="E52" s="12047" t="inlineStr">
        <is>
          <t>REVOLUCION Y LERDO, SAN PEDRO TOTO</t>
        </is>
      </c>
      <c r="F52" s="12048" t="inlineStr">
        <is>
          <t>$ Autorizado (Cat.)</t>
        </is>
      </c>
      <c r="G52" s="12049" t="n">
        <v>800</v>
      </c>
      <c r="H52" s="12050" t="n">
        <v>34.95</v>
      </c>
      <c r="I52" s="12051" t="n">
        <v>22.89</v>
      </c>
      <c r="J52" s="12052" t="inlineStr">
        <is>
          <t>Remanente ($)</t>
        </is>
      </c>
      <c r="K52" s="12053" t="inlineStr">
        <is>
          <t>LEVET</t>
        </is>
      </c>
      <c r="L52" s="12054" t="inlineStr">
        <is>
          <t>Gasolinera Autorizada</t>
        </is>
      </c>
      <c r="M52" s="12055" t="inlineStr">
        <is>
          <t>Diferencia Gasolinera</t>
        </is>
      </c>
      <c r="N52" s="12056" t="inlineStr">
        <is>
          <t>Diferencia $</t>
        </is>
      </c>
      <c r="O52" s="12057" t="inlineStr">
        <is>
          <t>Estatus / Notas</t>
        </is>
      </c>
    </row>
    <row r="53">
      <c r="A53" s="12058" t="n">
        <v>26</v>
      </c>
      <c r="B53" s="12059" t="n">
        <v>46195</v>
      </c>
      <c r="C53" s="12060" t="inlineStr">
        <is>
          <t>PAT8298</t>
        </is>
      </c>
      <c r="D53" s="12061" t="inlineStr">
        <is>
          <t>ARMANDO COLIN</t>
        </is>
      </c>
      <c r="E53" s="12062" t="inlineStr">
        <is>
          <t>BACHEO TOLUCA</t>
        </is>
      </c>
      <c r="F53" s="12063" t="n">
        <v>1500</v>
      </c>
      <c r="G53" s="12064" t="n">
        <v>500</v>
      </c>
      <c r="H53" s="12065" t="n">
        <v>21.844</v>
      </c>
      <c r="I53" s="12066" t="n">
        <v>22.89</v>
      </c>
      <c r="J53" s="12067" t="n">
        <v>500</v>
      </c>
      <c r="K53" s="12068" t="inlineStr">
        <is>
          <t>LEVET</t>
        </is>
      </c>
      <c r="L53" s="12069" t="inlineStr">
        <is>
          <t>LEVET</t>
        </is>
      </c>
      <c r="M53" s="12070" t="inlineStr">
        <is>
          <t>❌ MOBIL HUIXQUILUCAN (aut: LEVET)</t>
        </is>
      </c>
      <c r="N53" s="12071" t="n">
        <v>-500</v>
      </c>
      <c r="O53" s="12072" t="inlineStr">
        <is>
          <t>⚠️ Cargó en MOBIL (autorizado: LEVET)</t>
        </is>
      </c>
    </row>
    <row r="54">
      <c r="A54" s="12073" t="n">
        <v>26</v>
      </c>
      <c r="B54" s="12074" t="n">
        <v>46195</v>
      </c>
      <c r="C54" s="12075" t="inlineStr">
        <is>
          <t>PCU7482</t>
        </is>
      </c>
      <c r="D54" s="12076" t="inlineStr">
        <is>
          <t>LUIS VALDEZ</t>
        </is>
      </c>
      <c r="E54" s="12077" t="inlineStr">
        <is>
          <t>P. ASFALTO HUIX</t>
        </is>
      </c>
      <c r="F54" s="12078" t="n">
        <v>3000</v>
      </c>
      <c r="G54" s="12079" t="n">
        <v>1000</v>
      </c>
      <c r="H54" s="12080" t="n">
        <v>43.687</v>
      </c>
      <c r="I54" s="12081" t="n">
        <v>22.89</v>
      </c>
      <c r="J54" s="12082" t="n">
        <v>1000</v>
      </c>
      <c r="K54" s="12083" t="inlineStr">
        <is>
          <t>LEVET</t>
        </is>
      </c>
      <c r="L54" s="12084" t="inlineStr">
        <is>
          <t>MOBIL HUIXQUILUCAN</t>
        </is>
      </c>
      <c r="M54" s="12085" t="inlineStr">
        <is>
          <t>✅ Correcta</t>
        </is>
      </c>
      <c r="N54" s="12086" t="n">
        <v>-1500</v>
      </c>
      <c r="O54" s="12087" t="inlineStr">
        <is>
          <t>✅ OK</t>
        </is>
      </c>
    </row>
    <row r="55">
      <c r="A55" s="12088" t="n">
        <v>26</v>
      </c>
      <c r="B55" s="12089" t="n">
        <v>46195</v>
      </c>
      <c r="C55" s="12090" t="inlineStr">
        <is>
          <t>LF05470</t>
        </is>
      </c>
      <c r="D55" s="12091" t="inlineStr">
        <is>
          <t xml:space="preserve">TOMAS </t>
        </is>
      </c>
      <c r="E55" s="12092" t="inlineStr">
        <is>
          <t>BACHEO TOLUCA CALLE VICENTE LOMBARDO</t>
        </is>
      </c>
      <c r="F55" s="12093" t="n">
        <v>4000</v>
      </c>
      <c r="G55" s="12094" t="n">
        <v>1500</v>
      </c>
      <c r="H55" s="12095" t="n">
        <v>65.53100000000001</v>
      </c>
      <c r="I55" s="12096" t="n">
        <v>22.89</v>
      </c>
      <c r="J55" s="12097" t="n">
        <v>2500</v>
      </c>
      <c r="K55" s="12098" t="inlineStr">
        <is>
          <t>LEVET</t>
        </is>
      </c>
      <c r="L55" s="12099" t="inlineStr">
        <is>
          <t>MOBIL HUIXQUILUCAN</t>
        </is>
      </c>
      <c r="M55" s="12100" t="inlineStr">
        <is>
          <t>✅ Correcta</t>
        </is>
      </c>
      <c r="N55" s="12101" t="n">
        <v>-2500</v>
      </c>
      <c r="O55" s="12102" t="inlineStr">
        <is>
          <t>⚠️ Consumo &lt; Autorizado ($4000 aut, $1500 cons)</t>
        </is>
      </c>
    </row>
    <row r="56">
      <c r="A56" s="12103" t="n">
        <v>26</v>
      </c>
      <c r="B56" s="12104" t="n">
        <v>46196</v>
      </c>
      <c r="C56" s="12105" t="inlineStr">
        <is>
          <t>TBT1229</t>
        </is>
      </c>
      <c r="D56" s="12106" t="inlineStr">
        <is>
          <t>DIEGO FERNANDEZ</t>
        </is>
      </c>
      <c r="E56" s="12107" t="inlineStr">
        <is>
          <t>LERMA TENANGO</t>
        </is>
      </c>
      <c r="F56" s="12108" t="n">
        <v>3000</v>
      </c>
      <c r="G56" s="12109" t="n">
        <v>1290.54</v>
      </c>
      <c r="H56" s="12110" t="n">
        <v>56.38</v>
      </c>
      <c r="I56" s="12111" t="n">
        <v>22.89</v>
      </c>
      <c r="J56" s="12112" t="n">
        <v>2000</v>
      </c>
      <c r="K56" s="12113" t="inlineStr">
        <is>
          <t>LEVET</t>
        </is>
      </c>
      <c r="L56" s="12114" t="inlineStr">
        <is>
          <t>MOBIL HUIXQUILUCAN</t>
        </is>
      </c>
      <c r="M56" s="12115" t="inlineStr">
        <is>
          <t>✅ Correcta</t>
        </is>
      </c>
      <c r="N56" s="12116" t="n">
        <v>-2000</v>
      </c>
      <c r="O56" s="12117" t="inlineStr">
        <is>
          <t>⚠️ Consumo &lt; Autorizado ($3000 aut, $1000 cons)</t>
        </is>
      </c>
    </row>
    <row r="57">
      <c r="A57" s="12118">
        <f>IF(B57="","", _xludf.WEEKNUM(B57, 2))</f>
        <v/>
      </c>
      <c r="B57" s="12119" t="n">
        <v>46196</v>
      </c>
      <c r="C57" s="12120" t="inlineStr">
        <is>
          <t>TBT1229</t>
        </is>
      </c>
      <c r="D57" s="12121" t="inlineStr">
        <is>
          <t>DIEGO FERNANDEZ</t>
        </is>
      </c>
      <c r="E57" s="12122" t="inlineStr">
        <is>
          <t>LERMA TENANGO</t>
        </is>
      </c>
      <c r="F57" s="12123">
        <f>IFERROR(INDEX(H$6:H49, MATCH(SUBSTITUTE(C57,"-",""), INDEX(SUBSTITUTE(F$6:F49,"-",""),0), 0)), 0)</f>
        <v/>
      </c>
      <c r="G57" s="12124" t="n">
        <v>1000</v>
      </c>
      <c r="H57" s="12125" t="n">
        <v>43.687</v>
      </c>
      <c r="I57" s="12126" t="n">
        <v>22.89</v>
      </c>
      <c r="J57" s="12127">
        <f>IFERROR(F57-G57, "")</f>
        <v/>
      </c>
      <c r="K57" s="12128" t="inlineStr">
        <is>
          <t>LEVET</t>
        </is>
      </c>
      <c r="L57" s="12129">
        <f>IFERROR(INDEX(I$6:I49, MATCH(SUBSTITUTE(C57,"-",""), INDEX(SUBSTITUTE(F$6:F49,"-",""),0), 0)), "")</f>
        <v/>
      </c>
      <c r="M57" s="12130">
        <f>IFERROR(IF(K57="","",IF(K57=L57,"✅ Correcta","❌ "&amp; K57 &amp;" (aut: "&amp; L57 &amp;")")), "")</f>
        <v/>
      </c>
      <c r="N57" s="12131">
        <f>IFERROR(G57-F57, "")</f>
        <v/>
      </c>
      <c r="O57" s="12132">
        <f>IFERROR(IF(C57="","",IF(F57=0,"⚠️ Sin Autorización (placa no en catálogo)",IF(N57=0,"✅ Cuadrado",IF(N57&gt;0,"❌ Exceso $"&amp;TEXT(N57,"#,##0.00"),"✅ OK - Saldo $"&amp;TEXT(ABS(N57),"#,##0.00"))))), "")</f>
        <v/>
      </c>
    </row>
    <row r="58">
      <c r="A58" s="12133">
        <f>IF(B58="","", _xludf.WEEKNUM(B58, 2))</f>
        <v/>
      </c>
      <c r="B58" s="12134" t="n">
        <v>46196</v>
      </c>
      <c r="C58" s="12135" t="inlineStr">
        <is>
          <t>LH49746</t>
        </is>
      </c>
      <c r="D58" s="12136" t="inlineStr">
        <is>
          <t>CARMELO ALVAREZ</t>
        </is>
      </c>
      <c r="E58" s="12137" t="inlineStr">
        <is>
          <t>LERMA TENANGO</t>
        </is>
      </c>
      <c r="F58" s="12138">
        <f>IFERROR(INDEX(H$6:H49, MATCH(SUBSTITUTE(C58,"-",""), INDEX(SUBSTITUTE(F$6:F49,"-",""),0), 0)), 0)</f>
        <v/>
      </c>
      <c r="G58" s="12139" t="n">
        <v>3000</v>
      </c>
      <c r="H58" s="12140" t="n">
        <v>131.062</v>
      </c>
      <c r="I58" s="12141" t="n">
        <v>22.89</v>
      </c>
      <c r="J58" s="12142">
        <f>IFERROR(F58-G58, "")</f>
        <v/>
      </c>
      <c r="K58" s="12143" t="inlineStr">
        <is>
          <t>LEVET</t>
        </is>
      </c>
      <c r="L58" s="12144">
        <f>IFERROR(INDEX(I$6:I49, MATCH(SUBSTITUTE(C58,"-",""), INDEX(SUBSTITUTE(F$6:F49,"-",""),0), 0)), "")</f>
        <v/>
      </c>
      <c r="M58" s="12145">
        <f>IFERROR(IF(K58="","",IF(K58=L58,"✅ Correcta","❌ "&amp; K58 &amp;" (aut: "&amp; L58 &amp;")")), "")</f>
        <v/>
      </c>
      <c r="N58" s="12146">
        <f>IFERROR(G58-F58, "")</f>
        <v/>
      </c>
      <c r="O58" s="12147">
        <f>IFERROR(IF(C58="","",IF(F58=0,"⚠️ Sin Autorización (placa no en catálogo)",IF(N58=0,"✅ Cuadrado",IF(N58&gt;0,"❌ Exceso $"&amp;TEXT(N58,"#,##0.00"),"✅ OK - Saldo $"&amp;TEXT(ABS(N58),"#,##0.00"))))), "")</f>
        <v/>
      </c>
    </row>
    <row r="59">
      <c r="A59" s="12148">
        <f>IF(B59="","", _xludf.WEEKNUM(B59, 2))</f>
        <v/>
      </c>
      <c r="B59" s="12149" t="n">
        <v>46196</v>
      </c>
      <c r="C59" s="12150" t="inlineStr">
        <is>
          <t>LHB188D</t>
        </is>
      </c>
      <c r="D59" s="12151" t="inlineStr">
        <is>
          <t>JOSE ANTONIO IBAÑEZ</t>
        </is>
      </c>
      <c r="E59" s="12152" t="inlineStr">
        <is>
          <t xml:space="preserve">MAQUINARIA </t>
        </is>
      </c>
      <c r="F59" s="12153">
        <f>IFERROR(INDEX(H$6:H49, MATCH(SUBSTITUTE(C59,"-",""), INDEX(SUBSTITUTE(F$6:F49,"-",""),0), 0)), 0)</f>
        <v/>
      </c>
      <c r="G59" s="12154" t="n">
        <v>1850.22</v>
      </c>
      <c r="H59" s="12155" t="n">
        <v>80.831</v>
      </c>
      <c r="I59" s="12156" t="n">
        <v>22.89</v>
      </c>
      <c r="J59" s="12157">
        <f>IFERROR(F59-G59, "")</f>
        <v/>
      </c>
      <c r="K59" s="12158" t="inlineStr">
        <is>
          <t>LEVET</t>
        </is>
      </c>
      <c r="L59" s="12159">
        <f>IFERROR(INDEX(I$6:I49, MATCH(SUBSTITUTE(C59,"-",""), INDEX(SUBSTITUTE(F$6:F49,"-",""),0), 0)), "")</f>
        <v/>
      </c>
      <c r="M59" s="12160">
        <f>IFERROR(IF(K59="","",IF(K59=L59,"✅ Correcta","❌ "&amp; K59 &amp;" (aut: "&amp; L59 &amp;")")), "")</f>
        <v/>
      </c>
      <c r="N59" s="12161">
        <f>IFERROR(G59-F59, "")</f>
        <v/>
      </c>
      <c r="O59" s="12162">
        <f>IFERROR(IF(C59="","",IF(F59=0,"⚠️ Sin Autorización (placa no en catálogo)",IF(N59=0,"✅ Cuadrado",IF(N59&gt;0,"❌ Exceso $"&amp;TEXT(N59,"#,##0.00"),"✅ OK - Saldo $"&amp;TEXT(ABS(N59),"#,##0.00"))))), "")</f>
        <v/>
      </c>
    </row>
    <row r="60">
      <c r="A60" s="12163">
        <f>IF(B60="","", _xludf.WEEKNUM(B60, 2))</f>
        <v/>
      </c>
      <c r="B60" s="12164" t="n">
        <v>46196</v>
      </c>
      <c r="C60" s="12165" t="inlineStr">
        <is>
          <t>MHL757A</t>
        </is>
      </c>
      <c r="D60" s="12166" t="inlineStr">
        <is>
          <t>LAZARO PINAL</t>
        </is>
      </c>
      <c r="E60" s="12167" t="inlineStr">
        <is>
          <t>MINA TABERNILLAS</t>
        </is>
      </c>
      <c r="F60" s="12168">
        <f>IFERROR(INDEX(H$6:H49, MATCH(SUBSTITUTE(C60,"-",""), INDEX(SUBSTITUTE(F$6:F49,"-",""),0), 0)), 0)</f>
        <v/>
      </c>
      <c r="G60" s="12169" t="n">
        <v>1700</v>
      </c>
      <c r="H60" s="12170" t="n">
        <v>74.268</v>
      </c>
      <c r="I60" s="12171" t="n">
        <v>22.89</v>
      </c>
      <c r="J60" s="12172">
        <f>IFERROR(F60-G60, "")</f>
        <v/>
      </c>
      <c r="K60" s="12173" t="inlineStr">
        <is>
          <t>LEVET</t>
        </is>
      </c>
      <c r="L60" s="12174">
        <f>IFERROR(INDEX(I$6:I49, MATCH(SUBSTITUTE(C60,"-",""), INDEX(SUBSTITUTE(F$6:F49,"-",""),0), 0)), "")</f>
        <v/>
      </c>
      <c r="M60" s="12175">
        <f>IFERROR(IF(K60="","",IF(K60=L60,"✅ Correcta","❌ "&amp; K60 &amp;" (aut: "&amp; L60 &amp;")")), "")</f>
        <v/>
      </c>
      <c r="N60" s="12176">
        <f>IFERROR(G60-F60, "")</f>
        <v/>
      </c>
      <c r="O60" s="12177">
        <f>IFERROR(IF(C60="","",IF(F60=0,"⚠️ Sin Autorización (placa no en catálogo)",IF(N60=0,"✅ Cuadrado",IF(N60&gt;0,"❌ Exceso $"&amp;TEXT(N60,"#,##0.00"),"✅ OK - Saldo $"&amp;TEXT(ABS(N60),"#,##0.00"))))), "")</f>
        <v/>
      </c>
    </row>
    <row r="61">
      <c r="A61" s="12178">
        <f>IF(B61="","", _xludf.WEEKNUM(B61, 2))</f>
        <v/>
      </c>
      <c r="B61" s="12179" t="n">
        <v>46197</v>
      </c>
      <c r="C61" s="12180" t="inlineStr">
        <is>
          <t>NYC829C</t>
        </is>
      </c>
      <c r="D61" s="12181" t="inlineStr">
        <is>
          <t>DIEGO CARREOLA</t>
        </is>
      </c>
      <c r="E61" s="12182" t="inlineStr">
        <is>
          <t>BACHEO TOLUCA CALLE VICENTE LOMBARDO</t>
        </is>
      </c>
      <c r="F61" s="12183">
        <f>IFERROR(INDEX(H$6:H49, MATCH(SUBSTITUTE(C61,"-",""), INDEX(SUBSTITUTE(F$6:F49,"-",""),0), 0)), 0)</f>
        <v/>
      </c>
      <c r="G61" s="12184" t="n">
        <v>1532.1</v>
      </c>
      <c r="H61" s="12185" t="n">
        <v>66.93300000000001</v>
      </c>
      <c r="I61" s="12186" t="n">
        <v>22.89</v>
      </c>
      <c r="J61" s="12187">
        <f>IFERROR(F61-G61, "")</f>
        <v/>
      </c>
      <c r="K61" s="12188" t="inlineStr">
        <is>
          <t>LEVET</t>
        </is>
      </c>
      <c r="L61" s="12189">
        <f>IFERROR(INDEX(I$6:I49, MATCH(SUBSTITUTE(C61,"-",""), INDEX(SUBSTITUTE(F$6:F49,"-",""),0), 0)), "")</f>
        <v/>
      </c>
      <c r="M61" s="12190">
        <f>IFERROR(IF(K61="","",IF(K61=L61,"✅ Correcta","❌ "&amp; K61 &amp;" (aut: "&amp; L61 &amp;")")), "")</f>
        <v/>
      </c>
      <c r="N61" s="12191">
        <f>IFERROR(G61-F61, "")</f>
        <v/>
      </c>
      <c r="O61" s="12192">
        <f>IFERROR(IF(C61="","",IF(F61=0,"⚠️ Sin Autorización (placa no en catálogo)",IF(N61=0,"✅ Cuadrado",IF(N61&gt;0,"❌ Exceso $"&amp;TEXT(N61,"#,##0.00"),"✅ OK - Saldo $"&amp;TEXT(ABS(N61),"#,##0.00"))))), "")</f>
        <v/>
      </c>
    </row>
    <row r="62">
      <c r="A62" s="12193">
        <f>IF(B62="","", _xludf.WEEKNUM(B62, 2))</f>
        <v/>
      </c>
      <c r="B62" s="12194" t="n">
        <v>46197</v>
      </c>
      <c r="C62" s="12195" t="inlineStr">
        <is>
          <t>33K849</t>
        </is>
      </c>
      <c r="D62" s="12196" t="inlineStr">
        <is>
          <t>CARLOS TRUJANO</t>
        </is>
      </c>
      <c r="E62" s="12197" t="inlineStr">
        <is>
          <t>MINA TABERNILLAS</t>
        </is>
      </c>
      <c r="F62" s="12198">
        <f>IFERROR(INDEX(H$6:H49, MATCH(SUBSTITUTE(C62,"-",""), INDEX(SUBSTITUTE(F$6:F49,"-",""),0), 0)), 0)</f>
        <v/>
      </c>
      <c r="G62" s="12199" t="n">
        <v>2010.26</v>
      </c>
      <c r="H62" s="12200" t="n">
        <v>72.078</v>
      </c>
      <c r="I62" s="12201" t="n">
        <v>27.89</v>
      </c>
      <c r="J62" s="12202">
        <f>IFERROR(F62-G62, "")</f>
        <v/>
      </c>
      <c r="K62" s="12203" t="inlineStr">
        <is>
          <t>LEVET</t>
        </is>
      </c>
      <c r="L62" s="12204">
        <f>IFERROR(INDEX(I$6:I49, MATCH(SUBSTITUTE(C62,"-",""), INDEX(SUBSTITUTE(F$6:F49,"-",""),0), 0)), "")</f>
        <v/>
      </c>
      <c r="M62" s="12205">
        <f>IFERROR(IF(K62="","",IF(K62=L62,"✅ Correcta","❌ "&amp; K62 &amp;" (aut: "&amp; L62 &amp;")")), "")</f>
        <v/>
      </c>
      <c r="N62" s="12206">
        <f>IFERROR(G62-F62, "")</f>
        <v/>
      </c>
      <c r="O62" s="12207">
        <f>IFERROR(IF(C62="","",IF(F62=0,"⚠️ Sin Autorización (placa no en catálogo)",IF(N62=0,"✅ Cuadrado",IF(N62&gt;0,"❌ Exceso $"&amp;TEXT(N62,"#,##0.00"),"✅ OK - Saldo $"&amp;TEXT(ABS(N62),"#,##0.00"))))), "")</f>
        <v/>
      </c>
    </row>
    <row r="63">
      <c r="A63" s="12208">
        <f>IF(B63="","", _xludf.WEEKNUM(B63, 2))</f>
        <v/>
      </c>
      <c r="B63" s="12209" t="n">
        <v>46197</v>
      </c>
      <c r="C63" s="12210" t="inlineStr">
        <is>
          <t>LF05470</t>
        </is>
      </c>
      <c r="D63" s="12211" t="inlineStr">
        <is>
          <t xml:space="preserve">TOMAS </t>
        </is>
      </c>
      <c r="E63" s="12212" t="inlineStr">
        <is>
          <t>BACHEO TOLUCA CALLE VICENTE LOMBARDO</t>
        </is>
      </c>
      <c r="F63" s="12213">
        <f>IFERROR(INDEX(H$6:H49, MATCH(SUBSTITUTE(C63,"-",""), INDEX(SUBSTITUTE(F$6:F49,"-",""),0), 0)), 0)</f>
        <v/>
      </c>
      <c r="G63" s="12214" t="n">
        <v>1500</v>
      </c>
      <c r="H63" s="12215" t="n">
        <v>65.53100000000001</v>
      </c>
      <c r="I63" s="12216" t="n">
        <v>22.89</v>
      </c>
      <c r="J63" s="12217">
        <f>IFERROR(F63-G63, "")</f>
        <v/>
      </c>
      <c r="K63" s="12218" t="inlineStr">
        <is>
          <t>LEVET</t>
        </is>
      </c>
      <c r="L63" s="12219">
        <f>IFERROR(INDEX(I$6:I49, MATCH(SUBSTITUTE(C63,"-",""), INDEX(SUBSTITUTE(F$6:F49,"-",""),0), 0)), "")</f>
        <v/>
      </c>
      <c r="M63" s="12220">
        <f>IFERROR(IF(K63="","",IF(K63=L63,"✅ Correcta","❌ "&amp; K63 &amp;" (aut: "&amp; L63 &amp;")")), "")</f>
        <v/>
      </c>
      <c r="N63" s="12221">
        <f>IFERROR(G63-F63, "")</f>
        <v/>
      </c>
      <c r="O63" s="12222">
        <f>IFERROR(IF(C63="","",IF(F63=0,"⚠️ Sin Autorización (placa no en catálogo)",IF(N63=0,"✅ Cuadrado",IF(N63&gt;0,"❌ Exceso $"&amp;TEXT(N63,"#,##0.00"),"✅ OK - Saldo $"&amp;TEXT(ABS(N63),"#,##0.00"))))), "")</f>
        <v/>
      </c>
    </row>
    <row r="64">
      <c r="A64" s="12223">
        <f>IF(B64="","", _xludf.WEEKNUM(B64, 2))</f>
        <v/>
      </c>
      <c r="B64" s="12224" t="n">
        <v>46197</v>
      </c>
      <c r="C64" s="12225" t="inlineStr">
        <is>
          <t>HG6103D</t>
        </is>
      </c>
      <c r="D64" s="12226" t="inlineStr">
        <is>
          <t>ENRIQUE COLIN</t>
        </is>
      </c>
      <c r="E64" s="12227" t="inlineStr">
        <is>
          <t>JDJ TRANSPORTES</t>
        </is>
      </c>
      <c r="F64" s="12228">
        <f>IFERROR(INDEX(H$6:H49, MATCH(SUBSTITUTE(C64,"-",""), INDEX(SUBSTITUTE(F$6:F49,"-",""),0), 0)), 0)</f>
        <v/>
      </c>
      <c r="G64" s="12229" t="n">
        <v>8910.969999999999</v>
      </c>
      <c r="H64" s="12230" t="n">
        <v>330.036</v>
      </c>
      <c r="I64" s="12231" t="n">
        <v>27</v>
      </c>
      <c r="J64" s="12232">
        <f>IFERROR(F64-G64, "")</f>
        <v/>
      </c>
      <c r="K64" s="12233" t="inlineStr">
        <is>
          <t>LEVET</t>
        </is>
      </c>
      <c r="L64" s="12234">
        <f>IFERROR(INDEX(I$6:I49, MATCH(SUBSTITUTE(C64,"-",""), INDEX(SUBSTITUTE(F$6:F49,"-",""),0), 0)), "")</f>
        <v/>
      </c>
      <c r="M64" s="12235">
        <f>IFERROR(IF(K64="","",IF(K64=L64,"✅ Correcta","❌ "&amp; K64 &amp;" (aut: "&amp; L64 &amp;")")), "")</f>
        <v/>
      </c>
      <c r="N64" s="12236">
        <f>IFERROR(G64-F64, "")</f>
        <v/>
      </c>
      <c r="O64" s="12237">
        <f>IFERROR(IF(C64="","",IF(F64=0,"⚠️ Sin Autorización (placa no en catálogo)",IF(N64=0,"✅ Cuadrado",IF(N64&gt;0,"❌ Exceso $"&amp;TEXT(N64,"#,##0.00"),"✅ OK - Saldo $"&amp;TEXT(ABS(N64),"#,##0.00"))))), "")</f>
        <v/>
      </c>
    </row>
    <row r="65">
      <c r="A65" s="12238">
        <f>IF(B65="","", _xludf.WEEKNUM(B65, 2))</f>
        <v/>
      </c>
      <c r="B65" s="12239" t="n">
        <v>46197</v>
      </c>
      <c r="C65" s="12240" t="inlineStr">
        <is>
          <t>MY7968B</t>
        </is>
      </c>
      <c r="D65" s="12241" t="inlineStr">
        <is>
          <t>JORGE GARCIA</t>
        </is>
      </c>
      <c r="E65" s="12242" t="inlineStr">
        <is>
          <t>JDJ TRANSPORTES</t>
        </is>
      </c>
      <c r="F65" s="12243">
        <f>IFERROR(INDEX(H$6:H49, MATCH(SUBSTITUTE(C65,"-",""), INDEX(SUBSTITUTE(F$6:F49,"-",""),0), 0)), 0)</f>
        <v/>
      </c>
      <c r="G65" s="12244" t="n">
        <v>9990</v>
      </c>
      <c r="H65" s="12245" t="n">
        <v>370</v>
      </c>
      <c r="I65" s="12246" t="n">
        <v>27</v>
      </c>
      <c r="J65" s="12247">
        <f>IFERROR(F65-G65, "")</f>
        <v/>
      </c>
      <c r="K65" s="12248" t="inlineStr">
        <is>
          <t>LEVET</t>
        </is>
      </c>
      <c r="L65" s="12249">
        <f>IFERROR(INDEX(I$6:I49, MATCH(SUBSTITUTE(C65,"-",""), INDEX(SUBSTITUTE(F$6:F49,"-",""),0), 0)), "")</f>
        <v/>
      </c>
      <c r="M65" s="12250">
        <f>IFERROR(IF(K65="","",IF(K65=L65,"✅ Correcta","❌ "&amp; K65 &amp;" (aut: "&amp; L65 &amp;")")), "")</f>
        <v/>
      </c>
      <c r="N65" s="12251">
        <f>IFERROR(G65-F65, "")</f>
        <v/>
      </c>
      <c r="O65" s="12252">
        <f>IFERROR(IF(C65="","",IF(F65=0,"⚠️ Sin Autorización (placa no en catálogo)",IF(N65=0,"✅ Cuadrado",IF(N65&gt;0,"❌ Exceso $"&amp;TEXT(N65,"#,##0.00"),"✅ OK - Saldo $"&amp;TEXT(ABS(N65),"#,##0.00"))))), "")</f>
        <v/>
      </c>
    </row>
    <row r="66">
      <c r="A66" s="12253">
        <f>IF(B66="","", _xludf.WEEKNUM(B66, 2))</f>
        <v/>
      </c>
      <c r="B66" s="12254" t="n">
        <v>46197</v>
      </c>
      <c r="C66" s="12255" t="inlineStr">
        <is>
          <t>LD57526</t>
        </is>
      </c>
      <c r="D66" s="12256" t="inlineStr">
        <is>
          <t>ARTURO HDZ</t>
        </is>
      </c>
      <c r="E66" s="12257" t="inlineStr">
        <is>
          <t>JDJ TRANSPORTES</t>
        </is>
      </c>
      <c r="F66" s="12258">
        <f>IFERROR(INDEX(H$6:H49, MATCH(SUBSTITUTE(C66,"-",""), INDEX(SUBSTITUTE(F$6:F49,"-",""),0), 0)), 0)</f>
        <v/>
      </c>
      <c r="G66" s="12259" t="n">
        <v>3510</v>
      </c>
      <c r="H66" s="12260" t="n">
        <v>130</v>
      </c>
      <c r="I66" s="12261" t="n">
        <v>27</v>
      </c>
      <c r="J66" s="12262">
        <f>IFERROR(F66-G66, "")</f>
        <v/>
      </c>
      <c r="K66" s="12263" t="inlineStr">
        <is>
          <t>LEVET</t>
        </is>
      </c>
      <c r="L66" s="12264">
        <f>IFERROR(INDEX(I$6:I49, MATCH(SUBSTITUTE(C66,"-",""), INDEX(SUBSTITUTE(F$6:F49,"-",""),0), 0)), "")</f>
        <v/>
      </c>
      <c r="M66" s="12265">
        <f>IFERROR(IF(K66="","",IF(K66=L66,"✅ Correcta","❌ "&amp; K66 &amp;" (aut: "&amp; L66 &amp;")")), "")</f>
        <v/>
      </c>
      <c r="N66" s="12266">
        <f>IFERROR(G66-F66, "")</f>
        <v/>
      </c>
      <c r="O66" s="12267">
        <f>IFERROR(IF(C66="","",IF(F66=0,"⚠️ Sin Autorización (placa no en catálogo)",IF(N66=0,"✅ Cuadrado",IF(N66&gt;0,"❌ Exceso $"&amp;TEXT(N66,"#,##0.00"),"✅ OK - Saldo $"&amp;TEXT(ABS(N66),"#,##0.00"))))), "")</f>
        <v/>
      </c>
    </row>
    <row r="67">
      <c r="A67" s="12268">
        <f>IF(B67="","", _xludf.WEEKNUM(B67, 2))</f>
        <v/>
      </c>
      <c r="B67" s="12269" t="n">
        <v>46197</v>
      </c>
      <c r="C67" s="12270" t="inlineStr">
        <is>
          <t>LD57526</t>
        </is>
      </c>
      <c r="D67" s="12271" t="inlineStr">
        <is>
          <t>ARTURO HDZ</t>
        </is>
      </c>
      <c r="E67" s="12272" t="inlineStr">
        <is>
          <t>JDJ TRANSPORTES</t>
        </is>
      </c>
      <c r="F67" s="12273">
        <f>IFERROR(INDEX(H$6:H49, MATCH(SUBSTITUTE(C67,"-",""), INDEX(SUBSTITUTE(F$6:F49,"-",""),0), 0)), 0)</f>
        <v/>
      </c>
      <c r="G67" s="12274" t="n">
        <v>9990</v>
      </c>
      <c r="H67" s="12275" t="n">
        <v>370</v>
      </c>
      <c r="I67" s="12276" t="n">
        <v>27</v>
      </c>
      <c r="J67" s="12277">
        <f>IFERROR(F67-G67, "")</f>
        <v/>
      </c>
      <c r="K67" s="12278" t="inlineStr">
        <is>
          <t>LEVET</t>
        </is>
      </c>
      <c r="L67" s="12279">
        <f>IFERROR(INDEX(I$6:I49, MATCH(SUBSTITUTE(C67,"-",""), INDEX(SUBSTITUTE(F$6:F49,"-",""),0), 0)), "")</f>
        <v/>
      </c>
      <c r="M67" s="12280">
        <f>IFERROR(IF(K67="","",IF(K67=L67,"✅ Correcta","❌ "&amp; K67 &amp;" (aut: "&amp; L67 &amp;")")), "")</f>
        <v/>
      </c>
      <c r="N67" s="12281">
        <f>IFERROR(G67-F67, "")</f>
        <v/>
      </c>
      <c r="O67" s="12282">
        <f>IFERROR(IF(C67="","",IF(F67=0,"⚠️ Sin Autorización (placa no en catálogo)",IF(N67=0,"✅ Cuadrado",IF(N67&gt;0,"❌ Exceso $"&amp;TEXT(N67,"#,##0.00"),"✅ OK - Saldo $"&amp;TEXT(ABS(N67),"#,##0.00"))))), "")</f>
        <v/>
      </c>
    </row>
    <row r="68">
      <c r="A68" s="12283">
        <f>IF(B68="","", _xludf.WEEKNUM(B68, 2))</f>
        <v/>
      </c>
      <c r="B68" s="12284" t="n">
        <v>46197</v>
      </c>
      <c r="C68" s="12285" t="inlineStr">
        <is>
          <t>NB1258D</t>
        </is>
      </c>
      <c r="D68" s="12286" t="inlineStr">
        <is>
          <t>SANTOS SOTERO</t>
        </is>
      </c>
      <c r="E68" s="12287" t="inlineStr">
        <is>
          <t>JDJ TRANSPORTES</t>
        </is>
      </c>
      <c r="F68" s="12288">
        <f>IFERROR(INDEX(H$6:H49, MATCH(SUBSTITUTE(C68,"-",""), INDEX(SUBSTITUTE(F$6:F49,"-",""),0), 0)), 0)</f>
        <v/>
      </c>
      <c r="G68" s="12289" t="n">
        <v>8100.11</v>
      </c>
      <c r="H68" s="12290" t="n">
        <v>300.004</v>
      </c>
      <c r="I68" s="12291" t="n">
        <v>27</v>
      </c>
      <c r="J68" s="12292">
        <f>IFERROR(F68-G68, "")</f>
        <v/>
      </c>
      <c r="K68" s="12293" t="inlineStr">
        <is>
          <t>LEVET</t>
        </is>
      </c>
      <c r="L68" s="12294">
        <f>IFERROR(INDEX(I$6:I49, MATCH(SUBSTITUTE(C68,"-",""), INDEX(SUBSTITUTE(F$6:F49,"-",""),0), 0)), "")</f>
        <v/>
      </c>
      <c r="M68" s="12295">
        <f>IFERROR(IF(K68="","",IF(K68=L68,"✅ Correcta","❌ "&amp; K68 &amp;" (aut: "&amp; L68 &amp;")")), "")</f>
        <v/>
      </c>
      <c r="N68" s="12296">
        <f>IFERROR(G68-F68, "")</f>
        <v/>
      </c>
      <c r="O68" s="12297">
        <f>IFERROR(IF(C68="","",IF(F68=0,"⚠️ Sin Autorización (placa no en catálogo)",IF(N68=0,"✅ Cuadrado",IF(N68&gt;0,"❌ Exceso $"&amp;TEXT(N68,"#,##0.00"),"✅ OK - Saldo $"&amp;TEXT(ABS(N68),"#,##0.00"))))), "")</f>
        <v/>
      </c>
    </row>
    <row r="69">
      <c r="A69" s="12298">
        <f>IF(B69="","", _xludf.WEEKNUM(B69, 2))</f>
        <v/>
      </c>
      <c r="B69" s="12299" t="n">
        <v>46197</v>
      </c>
      <c r="C69" s="12300" t="inlineStr">
        <is>
          <t>NR0950C</t>
        </is>
      </c>
      <c r="D69" s="12301" t="inlineStr">
        <is>
          <t>ALEJANDRO FLORES</t>
        </is>
      </c>
      <c r="E69" s="12302" t="inlineStr">
        <is>
          <t>JDJ TRANSPORTES</t>
        </is>
      </c>
      <c r="F69" s="12303">
        <f>IFERROR(INDEX(H$6:H49, MATCH(SUBSTITUTE(C69,"-",""), INDEX(SUBSTITUTE(F$6:F49,"-",""),0), 0)), 0)</f>
        <v/>
      </c>
      <c r="G69" s="12304" t="n">
        <v>6858</v>
      </c>
      <c r="H69" s="12305" t="n">
        <v>254</v>
      </c>
      <c r="I69" s="12306" t="n">
        <v>27</v>
      </c>
      <c r="J69" s="12307">
        <f>IFERROR(F69-G69, "")</f>
        <v/>
      </c>
      <c r="K69" s="12308" t="inlineStr">
        <is>
          <t>LEVET</t>
        </is>
      </c>
      <c r="L69" s="12309">
        <f>IFERROR(INDEX(I$6:I49, MATCH(SUBSTITUTE(C69,"-",""), INDEX(SUBSTITUTE(F$6:F49,"-",""),0), 0)), "")</f>
        <v/>
      </c>
      <c r="M69" s="12310">
        <f>IFERROR(IF(K69="","",IF(K69=L69,"✅ Correcta","❌ "&amp; K69 &amp;" (aut: "&amp; L69 &amp;")")), "")</f>
        <v/>
      </c>
      <c r="N69" s="12311">
        <f>IFERROR(G69-F69, "")</f>
        <v/>
      </c>
      <c r="O69" s="12312">
        <f>IFERROR(IF(C69="","",IF(F69=0,"⚠️ Sin Autorización (placa no en catálogo)",IF(N69=0,"✅ Cuadrado",IF(N69&gt;0,"❌ Exceso $"&amp;TEXT(N69,"#,##0.00"),"✅ OK - Saldo $"&amp;TEXT(ABS(N69),"#,##0.00"))))), "")</f>
        <v/>
      </c>
    </row>
    <row r="70">
      <c r="A70" s="12313">
        <f>IF(B70="","", _xludf.WEEKNUM(B70, 2))</f>
        <v/>
      </c>
      <c r="B70" s="12314" t="n">
        <v>46197</v>
      </c>
      <c r="C70" s="12315" t="inlineStr">
        <is>
          <t>LH16062</t>
        </is>
      </c>
      <c r="D70" s="12316" t="inlineStr">
        <is>
          <t>JULIO CESAR</t>
        </is>
      </c>
      <c r="E70" s="12317" t="inlineStr">
        <is>
          <t>JDJ TRANSPORTES</t>
        </is>
      </c>
      <c r="F70" s="12318">
        <f>IFERROR(INDEX(H$6:H49, MATCH(SUBSTITUTE(C70,"-",""), INDEX(SUBSTITUTE(F$6:F49,"-",""),0), 0)), 0)</f>
        <v/>
      </c>
      <c r="G70" s="12319" t="n">
        <v>8100</v>
      </c>
      <c r="H70" s="12320" t="n">
        <v>300</v>
      </c>
      <c r="I70" s="12321" t="n">
        <v>27</v>
      </c>
      <c r="J70" s="12322">
        <f>IFERROR(F70-G70, "")</f>
        <v/>
      </c>
      <c r="K70" s="12323" t="inlineStr">
        <is>
          <t>LEVET</t>
        </is>
      </c>
      <c r="L70" s="12324">
        <f>IFERROR(INDEX(I$6:I49, MATCH(SUBSTITUTE(C70,"-",""), INDEX(SUBSTITUTE(F$6:F49,"-",""),0), 0)), "")</f>
        <v/>
      </c>
      <c r="M70" s="12325">
        <f>IFERROR(IF(K70="","",IF(K70=L70,"✅ Correcta","❌ "&amp; K70 &amp;" (aut: "&amp; L70 &amp;")")), "")</f>
        <v/>
      </c>
      <c r="N70" s="12326">
        <f>IFERROR(G70-F70, "")</f>
        <v/>
      </c>
      <c r="O70" s="12327">
        <f>IFERROR(IF(C70="","",IF(F70=0,"⚠️ Sin Autorización (placa no en catálogo)",IF(N70=0,"✅ Cuadrado",IF(N70&gt;0,"❌ Exceso $"&amp;TEXT(N70,"#,##0.00"),"✅ OK - Saldo $"&amp;TEXT(ABS(N70),"#,##0.00"))))), "")</f>
        <v/>
      </c>
    </row>
    <row r="71">
      <c r="A71" s="12328">
        <f>IF(B71="","", _xludf.WEEKNUM(B71, 2))</f>
        <v/>
      </c>
      <c r="B71" s="12329" t="n">
        <v>46197</v>
      </c>
      <c r="C71" s="12330" t="inlineStr">
        <is>
          <t>NYZ790C</t>
        </is>
      </c>
      <c r="D71" s="12331" t="inlineStr">
        <is>
          <t>LEOCIO MTZ</t>
        </is>
      </c>
      <c r="E71" s="12332" t="inlineStr">
        <is>
          <t>LERMA TENANGO</t>
        </is>
      </c>
      <c r="F71" s="12333">
        <f>IFERROR(INDEX(H$6:H49, MATCH(SUBSTITUTE(C71,"-",""), INDEX(SUBSTITUTE(F$6:F49,"-",""),0), 0)), 0)</f>
        <v/>
      </c>
      <c r="G71" s="12334" t="n">
        <v>1500</v>
      </c>
      <c r="H71" s="12335" t="n">
        <v>65.53100000000001</v>
      </c>
      <c r="I71" s="12336" t="n">
        <v>22.89</v>
      </c>
      <c r="J71" s="12337">
        <f>IFERROR(F71-G71, "")</f>
        <v/>
      </c>
      <c r="K71" s="12338" t="inlineStr">
        <is>
          <t>LEVET</t>
        </is>
      </c>
      <c r="L71" s="12339">
        <f>IFERROR(INDEX(I$6:I49, MATCH(SUBSTITUTE(C71,"-",""), INDEX(SUBSTITUTE(F$6:F49,"-",""),0), 0)), "")</f>
        <v/>
      </c>
      <c r="M71" s="12340">
        <f>IFERROR(IF(K71="","",IF(K71=L71,"✅ Correcta","❌ "&amp; K71 &amp;" (aut: "&amp; L71 &amp;")")), "")</f>
        <v/>
      </c>
      <c r="N71" s="12341">
        <f>IFERROR(G71-F71, "")</f>
        <v/>
      </c>
      <c r="O71" s="12342">
        <f>IFERROR(IF(C71="","",IF(F71=0,"⚠️ Sin Autorización (placa no en catálogo)",IF(N71=0,"✅ Cuadrado",IF(N71&gt;0,"❌ Exceso $"&amp;TEXT(N71,"#,##0.00"),"✅ OK - Saldo $"&amp;TEXT(ABS(N71),"#,##0.00"))))), "")</f>
        <v/>
      </c>
    </row>
    <row r="72">
      <c r="A72" s="12343">
        <f>IF(B72="","", _xludf.WEEKNUM(B72, 2))</f>
        <v/>
      </c>
      <c r="B72" s="12344" t="n">
        <v>46198</v>
      </c>
      <c r="C72" s="12345" t="inlineStr">
        <is>
          <t xml:space="preserve">BIDON </t>
        </is>
      </c>
      <c r="D72" s="12346" t="inlineStr">
        <is>
          <t>TOMAS ARANDA</t>
        </is>
      </c>
      <c r="E72" s="12347" t="n"/>
      <c r="F72" s="12348">
        <f>IFERROR(INDEX(H$6:H49, MATCH(SUBSTITUTE(C72,"-",""), INDEX(SUBSTITUTE(F$6:F49,"-",""),0), 0)), 0)</f>
        <v/>
      </c>
      <c r="G72" s="12349" t="n">
        <v>400</v>
      </c>
      <c r="H72" s="12350" t="n">
        <v>17.475</v>
      </c>
      <c r="I72" s="12351" t="n">
        <v>22.89</v>
      </c>
      <c r="J72" s="12352">
        <f>IFERROR(F72-G72, "")</f>
        <v/>
      </c>
      <c r="K72" s="12353" t="inlineStr">
        <is>
          <t>LEVET</t>
        </is>
      </c>
      <c r="L72" s="12354">
        <f>IFERROR(INDEX(I$6:I49, MATCH(SUBSTITUTE(C72,"-",""), INDEX(SUBSTITUTE(F$6:F49,"-",""),0), 0)), "")</f>
        <v/>
      </c>
      <c r="M72" s="12355">
        <f>IFERROR(IF(K72="","",IF(K72=L72,"✅ Correcta","❌ "&amp; K72 &amp;" (aut: "&amp; L72 &amp;")")), "")</f>
        <v/>
      </c>
      <c r="N72" s="12356">
        <f>IFERROR(G72-F72, "")</f>
        <v/>
      </c>
      <c r="O72" s="12357">
        <f>IFERROR(IF(C72="","",IF(F72=0,"⚠️ Sin Autorización (placa no en catálogo)",IF(N72=0,"✅ Cuadrado",IF(N72&gt;0,"❌ Exceso $"&amp;TEXT(N72,"#,##0.00"),"✅ OK - Saldo $"&amp;TEXT(ABS(N72),"#,##0.00"))))), "")</f>
        <v/>
      </c>
    </row>
    <row r="73">
      <c r="A73" s="12358">
        <f>IF(B73="","", _xludf.WEEKNUM(B73, 2))</f>
        <v/>
      </c>
      <c r="B73" s="12359" t="n">
        <v>46199</v>
      </c>
      <c r="C73" s="12360" t="inlineStr">
        <is>
          <t>33K849</t>
        </is>
      </c>
      <c r="D73" s="12361" t="inlineStr">
        <is>
          <t>CARLOS TRUJANO</t>
        </is>
      </c>
      <c r="E73" s="12362" t="inlineStr">
        <is>
          <t>MINA TABERNILLAS</t>
        </is>
      </c>
      <c r="F73" s="12363">
        <f>IFERROR(INDEX(H$6:H49, MATCH(SUBSTITUTE(C73,"-",""), INDEX(SUBSTITUTE(F$6:F49,"-",""),0), 0)), 0)</f>
        <v/>
      </c>
      <c r="G73" s="12364" t="n">
        <v>386.67</v>
      </c>
      <c r="H73" s="12365" t="n">
        <v>13.864</v>
      </c>
      <c r="I73" s="12366" t="n">
        <v>27.89</v>
      </c>
      <c r="J73" s="12367">
        <f>IFERROR(F73-G73, "")</f>
        <v/>
      </c>
      <c r="K73" s="12368" t="inlineStr">
        <is>
          <t>LEVET</t>
        </is>
      </c>
      <c r="L73" s="12369">
        <f>IFERROR(INDEX(I$6:I49, MATCH(SUBSTITUTE(C73,"-",""), INDEX(SUBSTITUTE(F$6:F49,"-",""),0), 0)), "")</f>
        <v/>
      </c>
      <c r="M73" s="12370">
        <f>IFERROR(IF(K73="","",IF(K73=L73,"✅ Correcta","❌ "&amp; K73 &amp;" (aut: "&amp; L73 &amp;")")), "")</f>
        <v/>
      </c>
      <c r="N73" s="12371">
        <f>IFERROR(G73-F73, "")</f>
        <v/>
      </c>
      <c r="O73" s="12372">
        <f>IFERROR(IF(C73="","",IF(F73=0,"⚠️ Sin Autorización (placa no en catálogo)",IF(N73=0,"✅ Cuadrado",IF(N73&gt;0,"❌ Exceso $"&amp;TEXT(N73,"#,##0.00"),"✅ OK - Saldo $"&amp;TEXT(ABS(N73),"#,##0.00"))))), "")</f>
        <v/>
      </c>
    </row>
    <row r="74">
      <c r="A74" s="12373">
        <f>IF(B74="","", _xludf.WEEKNUM(B74, 2))</f>
        <v/>
      </c>
      <c r="B74" s="12374" t="n">
        <v>46200</v>
      </c>
      <c r="C74" s="12375" t="inlineStr">
        <is>
          <t>MNX601B</t>
        </is>
      </c>
      <c r="D74" s="12376" t="inlineStr">
        <is>
          <t>ROBERTO ORTEGA</t>
        </is>
      </c>
      <c r="E74" s="12377" t="inlineStr">
        <is>
          <t>REVOLUCION Y LERDO, SAN PEDRO TOTO</t>
        </is>
      </c>
      <c r="F74" s="12378">
        <f>IFERROR(INDEX(H$6:H49, MATCH(SUBSTITUTE(C74,"-",""), INDEX(SUBSTITUTE(F$6:F49,"-",""),0), 0)), 0)</f>
        <v/>
      </c>
      <c r="G74" s="12379" t="n">
        <v>300</v>
      </c>
      <c r="H74" s="12380" t="n">
        <v>13.106</v>
      </c>
      <c r="I74" s="12381" t="n">
        <v>22.89</v>
      </c>
      <c r="J74" s="12382">
        <f>IFERROR(F74-G74, "")</f>
        <v/>
      </c>
      <c r="K74" s="12383" t="inlineStr">
        <is>
          <t>LEVET</t>
        </is>
      </c>
      <c r="L74" s="12384">
        <f>IFERROR(INDEX(I$6:I49, MATCH(SUBSTITUTE(C74,"-",""), INDEX(SUBSTITUTE(F$6:F49,"-",""),0), 0)), "")</f>
        <v/>
      </c>
      <c r="M74" s="12385">
        <f>IFERROR(IF(K74="","",IF(K74=L74,"✅ Correcta","❌ "&amp; K74 &amp;" (aut: "&amp; L74 &amp;")")), "")</f>
        <v/>
      </c>
      <c r="N74" s="12386">
        <f>IFERROR(G74-F74, "")</f>
        <v/>
      </c>
      <c r="O74" s="12387">
        <f>IFERROR(IF(C74="","",IF(F74=0,"⚠️ Sin Autorización (placa no en catálogo)",IF(N74=0,"✅ Cuadrado",IF(N74&gt;0,"❌ Exceso $"&amp;TEXT(N74,"#,##0.00"),"✅ OK - Saldo $"&amp;TEXT(ABS(N74),"#,##0.00"))))), "")</f>
        <v/>
      </c>
    </row>
    <row r="75">
      <c r="A75" s="12388">
        <f>IF(B75="","", _xludf.WEEKNUM(B75, 2))</f>
        <v/>
      </c>
      <c r="B75" s="12389" t="n">
        <v>46201</v>
      </c>
      <c r="C75" s="12390" t="inlineStr">
        <is>
          <t>MNX601B</t>
        </is>
      </c>
      <c r="D75" s="12391" t="inlineStr">
        <is>
          <t>ROBERTO ORTEGA</t>
        </is>
      </c>
      <c r="E75" s="12392" t="inlineStr">
        <is>
          <t>REVOLUCION Y LERDO, SAN PEDRO TOTO</t>
        </is>
      </c>
      <c r="F75" s="12393">
        <f>IFERROR(INDEX(H$6:H49, MATCH(SUBSTITUTE(C75,"-",""), INDEX(SUBSTITUTE(F$6:F49,"-",""),0), 0)), 0)</f>
        <v/>
      </c>
      <c r="G75" s="12394" t="n">
        <v>1000</v>
      </c>
      <c r="H75" s="12395" t="n">
        <v>43.687</v>
      </c>
      <c r="I75" s="12396" t="n">
        <v>22.89</v>
      </c>
      <c r="J75" s="12397">
        <f>IFERROR(F75-G75, "")</f>
        <v/>
      </c>
      <c r="K75" s="12398" t="inlineStr">
        <is>
          <t>LEVET</t>
        </is>
      </c>
      <c r="L75" s="12399">
        <f>IFERROR(INDEX(I$6:I49, MATCH(SUBSTITUTE(C75,"-",""), INDEX(SUBSTITUTE(F$6:F49,"-",""),0), 0)), "")</f>
        <v/>
      </c>
      <c r="M75" s="12400">
        <f>IFERROR(IF(K75="","",IF(K75=L75,"✅ Correcta","❌ "&amp; K75 &amp;" (aut: "&amp; L75 &amp;")")), "")</f>
        <v/>
      </c>
      <c r="N75" s="12401">
        <f>IFERROR(G75-F75, "")</f>
        <v/>
      </c>
      <c r="O75" s="12402">
        <f>IFERROR(IF(C75="","",IF(F75=0,"⚠️ Sin Autorización (placa no en catálogo)",IF(N75=0,"✅ Cuadrado",IF(N75&gt;0,"❌ Exceso $"&amp;TEXT(N75,"#,##0.00"),"✅ OK - Saldo $"&amp;TEXT(ABS(N75),"#,##0.00"))))), "")</f>
        <v/>
      </c>
    </row>
    <row r="76">
      <c r="A76" s="12403">
        <f>IF(B76="","", _xludf.WEEKNUM(B76, 2))</f>
        <v/>
      </c>
      <c r="B76" s="12404" t="n"/>
      <c r="C76" s="12405" t="n"/>
      <c r="D76" s="12406" t="n"/>
      <c r="E76" s="12407" t="n"/>
      <c r="F76" s="12408">
        <f>IFERROR(INDEX(H$6:H49, MATCH(SUBSTITUTE(C76,"-",""), INDEX(SUBSTITUTE(F$6:F49,"-",""),0), 0)), 0)</f>
        <v/>
      </c>
      <c r="G76" s="12409" t="n"/>
      <c r="H76" s="12410" t="n"/>
      <c r="I76" s="12411" t="n"/>
      <c r="J76" s="12412">
        <f>IFERROR(F76-G76, "")</f>
        <v/>
      </c>
      <c r="K76" s="12413" t="inlineStr">
        <is>
          <t>LEVET</t>
        </is>
      </c>
      <c r="L76" s="12414">
        <f>IFERROR(INDEX(I$6:I49, MATCH(SUBSTITUTE(C76,"-",""), INDEX(SUBSTITUTE(F$6:F49,"-",""),0), 0)), "")</f>
        <v/>
      </c>
      <c r="M76" s="12415">
        <f>IFERROR(IF(K76="","",IF(K76=L76,"✅ Correcta","❌ "&amp; K76 &amp;" (aut: "&amp; L76 &amp;")")), "")</f>
        <v/>
      </c>
      <c r="N76" s="12416">
        <f>IFERROR(G76-F76, "")</f>
        <v/>
      </c>
      <c r="O76" s="12417">
        <f>IFERROR(IF(C76="","",IF(F76=0,"⚠️ Sin Autorización (placa no en catálogo)",IF(N76=0,"✅ Cuadrado",IF(N76&gt;0,"❌ Exceso $"&amp;TEXT(N76,"#,##0.00"),"✅ OK - Saldo $"&amp;TEXT(ABS(N76),"#,##0.00"))))), "")</f>
        <v/>
      </c>
    </row>
    <row r="77">
      <c r="A77" s="12418">
        <f>IF(B77="","", _xludf.WEEKNUM(B77, 2))</f>
        <v/>
      </c>
      <c r="B77" s="12419" t="n"/>
      <c r="C77" s="12420" t="n"/>
      <c r="D77" s="12421" t="n"/>
      <c r="E77" s="12422" t="n"/>
      <c r="F77" s="12423">
        <f>IFERROR(INDEX(H$6:H49, MATCH(SUBSTITUTE(C77,"-",""), INDEX(SUBSTITUTE(F$6:F49,"-",""),0), 0)), 0)</f>
        <v/>
      </c>
      <c r="G77" s="12424" t="n">
        <v>80002.71000000001</v>
      </c>
      <c r="H77" s="12425" t="inlineStr">
        <is>
          <t>SALDO X PAGAR</t>
        </is>
      </c>
      <c r="I77" s="12426" t="n"/>
      <c r="J77" s="12427">
        <f>IFERROR(F77-G77, "")</f>
        <v/>
      </c>
      <c r="K77" s="12428" t="inlineStr">
        <is>
          <t>LEVET</t>
        </is>
      </c>
      <c r="L77" s="12429">
        <f>IFERROR(INDEX(I$6:I49, MATCH(SUBSTITUTE(C77,"-",""), INDEX(SUBSTITUTE(F$6:F49,"-",""),0), 0)), "")</f>
        <v/>
      </c>
      <c r="M77" s="12430">
        <f>IFERROR(IF(K77="","",IF(K77=L77,"✅ Correcta","❌ "&amp; K77 &amp;" (aut: "&amp; L77 &amp;")")), "")</f>
        <v/>
      </c>
      <c r="N77" s="12431">
        <f>IFERROR(G77-F77, "")</f>
        <v/>
      </c>
      <c r="O77" s="12432">
        <f>IFERROR(IF(C77="","",IF(F77=0,"⚠️ Sin Autorización (placa no en catálogo)",IF(N77=0,"✅ Cuadrado",IF(N77&gt;0,"❌ Exceso $"&amp;TEXT(N77,"#,##0.00"),"✅ OK - Saldo $"&amp;TEXT(ABS(N77),"#,##0.00"))))), "")</f>
        <v/>
      </c>
    </row>
    <row r="78">
      <c r="A78" s="12433">
        <f>IF(B78="","", _xludf.WEEKNUM(B78, 2))</f>
        <v/>
      </c>
      <c r="B78" s="12434" t="n"/>
      <c r="C78" s="12435" t="n"/>
      <c r="D78" s="12436" t="n"/>
      <c r="E78" s="12437" t="n"/>
      <c r="F78" s="12438">
        <f>IFERROR(INDEX(H$6:H49, MATCH(SUBSTITUTE(C78,"-",""), INDEX(SUBSTITUTE(F$6:F49,"-",""),0), 0)), 0)</f>
        <v/>
      </c>
      <c r="G78" s="12439" t="n"/>
      <c r="H78" s="12440" t="n"/>
      <c r="I78" s="12441" t="n"/>
      <c r="J78" s="12442">
        <f>IFERROR(F78-G78, "")</f>
        <v/>
      </c>
      <c r="K78" s="12443" t="inlineStr">
        <is>
          <t>LEVET</t>
        </is>
      </c>
      <c r="L78" s="12444">
        <f>IFERROR(INDEX(I$6:I49, MATCH(SUBSTITUTE(C78,"-",""), INDEX(SUBSTITUTE(F$6:F49,"-",""),0), 0)), "")</f>
        <v/>
      </c>
      <c r="M78" s="12445">
        <f>IFERROR(IF(K78="","",IF(K78=L78,"✅ Correcta","❌ "&amp; K78 &amp;" (aut: "&amp; L78 &amp;")")), "")</f>
        <v/>
      </c>
      <c r="N78" s="12446">
        <f>IFERROR(G78-F78, "")</f>
        <v/>
      </c>
      <c r="O78" s="12447">
        <f>IFERROR(IF(C78="","",IF(F78=0,"⚠️ Sin Autorización (placa no en catálogo)",IF(N78=0,"✅ Cuadrado",IF(N78&gt;0,"❌ Exceso $"&amp;TEXT(N78,"#,##0.00"),"✅ OK - Saldo $"&amp;TEXT(ABS(N78),"#,##0.00"))))), "")</f>
        <v/>
      </c>
    </row>
    <row r="79">
      <c r="A79" s="12448">
        <f>IF(B79="","", _xludf.WEEKNUM(B79, 2))</f>
        <v/>
      </c>
      <c r="B79" s="12449" t="n"/>
      <c r="C79" s="12450" t="n"/>
      <c r="D79" s="12451" t="n"/>
      <c r="E79" s="12452" t="n"/>
      <c r="F79" s="12453">
        <f>IFERROR(INDEX(H$6:H49, MATCH(SUBSTITUTE(C79,"-",""), INDEX(SUBSTITUTE(F$6:F49,"-",""),0), 0)), 0)</f>
        <v/>
      </c>
      <c r="G79" s="12454" t="n"/>
      <c r="H79" s="12455" t="n"/>
      <c r="I79" s="12456" t="n"/>
      <c r="J79" s="12457">
        <f>IFERROR(F79-G79, "")</f>
        <v/>
      </c>
      <c r="K79" s="12458" t="inlineStr">
        <is>
          <t>LEVET</t>
        </is>
      </c>
      <c r="L79" s="12459">
        <f>IFERROR(INDEX(I$6:I49, MATCH(SUBSTITUTE(C79,"-",""), INDEX(SUBSTITUTE(F$6:F49,"-",""),0), 0)), "")</f>
        <v/>
      </c>
      <c r="M79" s="12460">
        <f>IFERROR(IF(K79="","",IF(K79=L79,"✅ Correcta","❌ "&amp; K79 &amp;" (aut: "&amp; L79 &amp;")")), "")</f>
        <v/>
      </c>
      <c r="N79" s="12461">
        <f>IFERROR(G79-F79, "")</f>
        <v/>
      </c>
      <c r="O79" s="12462">
        <f>IFERROR(IF(C79="","",IF(F79=0,"⚠️ Sin Autorización (placa no en catálogo)",IF(N79=0,"✅ Cuadrado",IF(N79&gt;0,"❌ Exceso $"&amp;TEXT(N79,"#,##0.00"),"✅ OK - Saldo $"&amp;TEXT(ABS(N79),"#,##0.00"))))), "")</f>
        <v/>
      </c>
    </row>
    <row r="80">
      <c r="A80" s="12463">
        <f>IF(B80="","", _xludf.WEEKNUM(B80, 2))</f>
        <v/>
      </c>
      <c r="B80" s="12464" t="n"/>
      <c r="C80" s="12465" t="n"/>
      <c r="D80" s="12466" t="n"/>
      <c r="E80" s="12467" t="n"/>
      <c r="F80" s="12468">
        <f>IFERROR(INDEX(H$6:H49, MATCH(SUBSTITUTE(C80,"-",""), INDEX(SUBSTITUTE(F$6:F49,"-",""),0), 0)), 0)</f>
        <v/>
      </c>
      <c r="G80" s="12469" t="n"/>
      <c r="H80" s="12470" t="n"/>
      <c r="I80" s="12471" t="n"/>
      <c r="J80" s="12472">
        <f>IFERROR(F80-G80, "")</f>
        <v/>
      </c>
      <c r="K80" s="12473" t="inlineStr">
        <is>
          <t>LEVET</t>
        </is>
      </c>
      <c r="L80" s="12474">
        <f>IFERROR(INDEX(I$6:I49, MATCH(SUBSTITUTE(C80,"-",""), INDEX(SUBSTITUTE(F$6:F49,"-",""),0), 0)), "")</f>
        <v/>
      </c>
      <c r="M80" s="12475">
        <f>IFERROR(IF(K80="","",IF(K80=L80,"✅ Correcta","❌ "&amp; K80 &amp;" (aut: "&amp; L80 &amp;")")), "")</f>
        <v/>
      </c>
      <c r="N80" s="12476">
        <f>IFERROR(G80-F80, "")</f>
        <v/>
      </c>
      <c r="O80" s="12477">
        <f>IFERROR(IF(C80="","",IF(F80=0,"⚠️ Sin Autorización (placa no en catálogo)",IF(N80=0,"✅ Cuadrado",IF(N80&gt;0,"❌ Exceso $"&amp;TEXT(N80,"#,##0.00"),"✅ OK - Saldo $"&amp;TEXT(ABS(N80),"#,##0.00"))))), "")</f>
        <v/>
      </c>
    </row>
    <row r="81">
      <c r="A81" s="12478">
        <f>IF(B81="","", _xludf.WEEKNUM(B81, 2))</f>
        <v/>
      </c>
      <c r="B81" s="12479" t="n"/>
      <c r="C81" s="12480" t="n"/>
      <c r="D81" s="12481" t="n"/>
      <c r="E81" s="12482" t="n"/>
      <c r="F81" s="12483">
        <f>IFERROR(INDEX(H$6:H49, MATCH(SUBSTITUTE(C81,"-",""), INDEX(SUBSTITUTE(F$6:F49,"-",""),0), 0)), 0)</f>
        <v/>
      </c>
      <c r="G81" s="12484" t="n"/>
      <c r="H81" s="12485" t="n"/>
      <c r="I81" s="12486" t="n"/>
      <c r="J81" s="12487">
        <f>IFERROR(F81-G81, "")</f>
        <v/>
      </c>
      <c r="K81" s="12488" t="inlineStr">
        <is>
          <t>LEVET</t>
        </is>
      </c>
      <c r="L81" s="12489">
        <f>IFERROR(INDEX(I$6:I49, MATCH(SUBSTITUTE(C81,"-",""), INDEX(SUBSTITUTE(F$6:F49,"-",""),0), 0)), "")</f>
        <v/>
      </c>
      <c r="M81" s="12490">
        <f>IFERROR(IF(K81="","",IF(K81=L81,"✅ Correcta","❌ "&amp; K81 &amp;" (aut: "&amp; L81 &amp;")")), "")</f>
        <v/>
      </c>
      <c r="N81" s="12491">
        <f>IFERROR(G81-F81, "")</f>
        <v/>
      </c>
      <c r="O81" s="12492">
        <f>IFERROR(IF(C81="","",IF(F81=0,"⚠️ Sin Autorización (placa no en catálogo)",IF(N81=0,"✅ Cuadrado",IF(N81&gt;0,"❌ Exceso $"&amp;TEXT(N81,"#,##0.00"),"✅ OK - Saldo $"&amp;TEXT(ABS(N81),"#,##0.00"))))), "")</f>
        <v/>
      </c>
    </row>
    <row r="82">
      <c r="A82" s="12493">
        <f>IF(B82="","", _xludf.WEEKNUM(B82, 2))</f>
        <v/>
      </c>
      <c r="B82" s="12494" t="n"/>
      <c r="C82" s="12495" t="n"/>
      <c r="D82" s="12496" t="n"/>
      <c r="E82" s="12497" t="n"/>
      <c r="F82" s="12498">
        <f>IFERROR(INDEX(H$6:H49, MATCH(SUBSTITUTE(C82,"-",""), INDEX(SUBSTITUTE(F$6:F49,"-",""),0), 0)), 0)</f>
        <v/>
      </c>
      <c r="G82" s="12499" t="n"/>
      <c r="H82" s="12500" t="n"/>
      <c r="I82" s="12501" t="n"/>
      <c r="J82" s="12502">
        <f>IFERROR(F82-G82, "")</f>
        <v/>
      </c>
      <c r="K82" s="12503" t="inlineStr">
        <is>
          <t>LEVET</t>
        </is>
      </c>
      <c r="L82" s="12504">
        <f>IFERROR(INDEX(I$6:I49, MATCH(SUBSTITUTE(C82,"-",""), INDEX(SUBSTITUTE(F$6:F49,"-",""),0), 0)), "")</f>
        <v/>
      </c>
      <c r="M82" s="12505">
        <f>IFERROR(IF(K82="","",IF(K82=L82,"✅ Correcta","❌ "&amp; K82 &amp;" (aut: "&amp; L82 &amp;")")), "")</f>
        <v/>
      </c>
      <c r="N82" s="12506">
        <f>IFERROR(G82-F82, "")</f>
        <v/>
      </c>
      <c r="O82" s="12507">
        <f>IFERROR(IF(C82="","",IF(F82=0,"⚠️ Sin Autorización (placa no en catálogo)",IF(N82=0,"✅ Cuadrado",IF(N82&gt;0,"❌ Exceso $"&amp;TEXT(N82,"#,##0.00"),"✅ OK - Saldo $"&amp;TEXT(ABS(N82),"#,##0.00"))))), "")</f>
        <v/>
      </c>
    </row>
    <row r="83">
      <c r="A83" s="12508">
        <f>IF(B83="","", _xludf.WEEKNUM(B83, 2))</f>
        <v/>
      </c>
      <c r="B83" s="12509" t="n"/>
      <c r="C83" s="12510" t="n"/>
      <c r="D83" s="12511" t="n"/>
      <c r="E83" s="12512" t="n"/>
      <c r="F83" s="12513">
        <f>IFERROR(INDEX(H$6:H49, MATCH(SUBSTITUTE(C83,"-",""), INDEX(SUBSTITUTE(F$6:F49,"-",""),0), 0)), 0)</f>
        <v/>
      </c>
      <c r="G83" s="12514" t="n"/>
      <c r="H83" s="12515" t="n"/>
      <c r="I83" s="12516" t="n"/>
      <c r="J83" s="12517">
        <f>IFERROR(F83-G83, "")</f>
        <v/>
      </c>
      <c r="K83" s="12518" t="inlineStr">
        <is>
          <t>LEVET</t>
        </is>
      </c>
      <c r="L83" s="12519">
        <f>IFERROR(INDEX(I$6:I49, MATCH(SUBSTITUTE(C83,"-",""), INDEX(SUBSTITUTE(F$6:F49,"-",""),0), 0)), "")</f>
        <v/>
      </c>
      <c r="M83" s="12520">
        <f>IFERROR(IF(K83="","",IF(K83=L83,"✅ Correcta","❌ "&amp; K83 &amp;" (aut: "&amp; L83 &amp;")")), "")</f>
        <v/>
      </c>
      <c r="N83" s="12521">
        <f>IFERROR(G83-F83, "")</f>
        <v/>
      </c>
      <c r="O83" s="12522">
        <f>IFERROR(IF(C83="","",IF(F83=0,"⚠️ Sin Autorización (placa no en catálogo)",IF(N83=0,"✅ Cuadrado",IF(N83&gt;0,"❌ Exceso $"&amp;TEXT(N83,"#,##0.00"),"✅ OK - Saldo $"&amp;TEXT(ABS(N83),"#,##0.00"))))), "")</f>
        <v/>
      </c>
    </row>
    <row r="84">
      <c r="A84" s="12523">
        <f>IF(B84="","", _xludf.WEEKNUM(B84, 2))</f>
        <v/>
      </c>
      <c r="B84" s="12524" t="n"/>
      <c r="C84" s="12525" t="n"/>
      <c r="D84" s="12526" t="n"/>
      <c r="E84" s="12527" t="n"/>
      <c r="F84" s="12528">
        <f>IFERROR(INDEX(H$6:H49, MATCH(SUBSTITUTE(C84,"-",""), INDEX(SUBSTITUTE(F$6:F49,"-",""),0), 0)), 0)</f>
        <v/>
      </c>
      <c r="G84" s="12529" t="n"/>
      <c r="H84" s="12530" t="n"/>
      <c r="I84" s="12531" t="n"/>
      <c r="J84" s="12532">
        <f>IFERROR(F84-G84, "")</f>
        <v/>
      </c>
      <c r="K84" s="12533" t="inlineStr">
        <is>
          <t>LEVET</t>
        </is>
      </c>
      <c r="L84" s="12534">
        <f>IFERROR(INDEX(I$6:I49, MATCH(SUBSTITUTE(C84,"-",""), INDEX(SUBSTITUTE(F$6:F49,"-",""),0), 0)), "")</f>
        <v/>
      </c>
      <c r="M84" s="12535">
        <f>IFERROR(IF(K84="","",IF(K84=L84,"✅ Correcta","❌ "&amp; K84 &amp;" (aut: "&amp; L84 &amp;")")), "")</f>
        <v/>
      </c>
      <c r="N84" s="12536">
        <f>IFERROR(G84-F84, "")</f>
        <v/>
      </c>
      <c r="O84" s="12537">
        <f>IFERROR(IF(C84="","",IF(F84=0,"⚠️ Sin Autorización (placa no en catálogo)",IF(N84=0,"✅ Cuadrado",IF(N84&gt;0,"❌ Exceso $"&amp;TEXT(N84,"#,##0.00"),"✅ OK - Saldo $"&amp;TEXT(ABS(N84),"#,##0.00"))))), "")</f>
        <v/>
      </c>
    </row>
    <row r="85">
      <c r="A85" s="12538">
        <f>IF(B85="","", _xludf.WEEKNUM(B85, 2))</f>
        <v/>
      </c>
      <c r="B85" s="12539" t="n"/>
      <c r="C85" s="12540" t="n"/>
      <c r="D85" s="12541">
        <f>IFERROR(INDEX(D$6:D49, MATCH(SUBSTITUTE(C85,"-",""), INDEX(SUBSTITUTE(F$6:F49,"-",""),0), 0)), "")</f>
        <v/>
      </c>
      <c r="E85" s="12542">
        <f>IFERROR(INDEX(G$6:G49, MATCH(SUBSTITUTE(C85,"-",""), INDEX(SUBSTITUTE(F$6:F49,"-",""),0), 0)), "")</f>
        <v/>
      </c>
      <c r="F85" s="12543">
        <f>IFERROR(INDEX(H$6:H49, MATCH(SUBSTITUTE(C85,"-",""), INDEX(SUBSTITUTE(F$6:F49,"-",""),0), 0)), 0)</f>
        <v/>
      </c>
      <c r="G85" s="12544" t="n"/>
      <c r="H85" s="12545" t="n"/>
      <c r="I85" s="12546" t="n"/>
      <c r="J85" s="12547">
        <f>IFERROR(F85-G85, "")</f>
        <v/>
      </c>
      <c r="K85" s="12548" t="n"/>
      <c r="L85" s="12549">
        <f>IFERROR(INDEX(I$6:I49, MATCH(SUBSTITUTE(C85,"-",""), INDEX(SUBSTITUTE(F$6:F49,"-",""),0), 0)), "")</f>
        <v/>
      </c>
      <c r="M85" s="12550">
        <f>IFERROR(IF(K85="","",IF(K85=L85,"✅ Correcta","❌ "&amp; K85 &amp;" (aut: "&amp; L85 &amp;")")), "")</f>
        <v/>
      </c>
      <c r="N85" s="12551">
        <f>IFERROR(G85-F85, "")</f>
        <v/>
      </c>
      <c r="O85" s="12552">
        <f>IFERROR(IF(C85="","",IF(F85=0,"⚠️ Sin Autorización (placa no en catálogo)",IF(N85=0,"✅ Cuadrado",IF(N85&gt;0,"❌ Exceso $"&amp;TEXT(N85,"#,##0.00"),"✅ OK - Saldo $"&amp;TEXT(ABS(N85),"#,##0.00"))))), "")</f>
        <v/>
      </c>
    </row>
    <row r="86">
      <c r="A86" s="12553">
        <f>IF(B86="","", _xludf.WEEKNUM(B86, 2))</f>
        <v/>
      </c>
      <c r="B86" s="12554" t="n"/>
      <c r="C86" s="12555" t="n"/>
      <c r="D86" s="12556">
        <f>IFERROR(INDEX(D$6:D49, MATCH(SUBSTITUTE(C86,"-",""), INDEX(SUBSTITUTE(F$6:F49,"-",""),0), 0)), "")</f>
        <v/>
      </c>
      <c r="E86" s="12557">
        <f>IFERROR(INDEX(G$6:G49, MATCH(SUBSTITUTE(C86,"-",""), INDEX(SUBSTITUTE(F$6:F49,"-",""),0), 0)), "")</f>
        <v/>
      </c>
      <c r="F86" s="12558">
        <f>IFERROR(INDEX(H$6:H49, MATCH(SUBSTITUTE(C86,"-",""), INDEX(SUBSTITUTE(F$6:F49,"-",""),0), 0)), 0)</f>
        <v/>
      </c>
      <c r="G86" s="12559" t="n"/>
      <c r="H86" s="12560" t="n"/>
      <c r="I86" s="12561" t="n"/>
      <c r="J86" s="12562">
        <f>IFERROR(F86-G86, "")</f>
        <v/>
      </c>
      <c r="K86" s="12563" t="n"/>
      <c r="L86" s="12564">
        <f>IFERROR(INDEX(I$6:I49, MATCH(SUBSTITUTE(C86,"-",""), INDEX(SUBSTITUTE(F$6:F49,"-",""),0), 0)), "")</f>
        <v/>
      </c>
      <c r="M86" s="12565">
        <f>IFERROR(IF(K86="","",IF(K86=L86,"✅ Correcta","❌ "&amp; K86 &amp;" (aut: "&amp; L86 &amp;")")), "")</f>
        <v/>
      </c>
      <c r="N86" s="12566">
        <f>IFERROR(G86-F86, "")</f>
        <v/>
      </c>
      <c r="O86" s="12567">
        <f>IFERROR(IF(C86="","",IF(F86=0,"⚠️ Sin Autorización (placa no en catálogo)",IF(N86=0,"✅ Cuadrado",IF(N86&gt;0,"❌ Exceso $"&amp;TEXT(N86,"#,##0.00"),"✅ OK - Saldo $"&amp;TEXT(ABS(N86),"#,##0.00"))))), "")</f>
        <v/>
      </c>
    </row>
    <row r="87">
      <c r="A87" s="12568">
        <f>IF(B87="","", _xludf.WEEKNUM(B87, 2))</f>
        <v/>
      </c>
      <c r="B87" s="12569" t="n"/>
      <c r="C87" s="12570" t="n"/>
      <c r="D87" s="12571">
        <f>IFERROR(INDEX(D$6:D49, MATCH(SUBSTITUTE(C87,"-",""), INDEX(SUBSTITUTE(F$6:F49,"-",""),0), 0)), "")</f>
        <v/>
      </c>
      <c r="E87" s="12572">
        <f>IFERROR(INDEX(G$6:G49, MATCH(SUBSTITUTE(C87,"-",""), INDEX(SUBSTITUTE(F$6:F49,"-",""),0), 0)), "")</f>
        <v/>
      </c>
      <c r="F87" s="12573">
        <f>IFERROR(INDEX(H$6:H49, MATCH(SUBSTITUTE(C87,"-",""), INDEX(SUBSTITUTE(F$6:F49,"-",""),0), 0)), 0)</f>
        <v/>
      </c>
      <c r="G87" s="12574" t="n"/>
      <c r="H87" s="12575" t="n"/>
      <c r="I87" s="12576" t="n"/>
      <c r="J87" s="12577">
        <f>IFERROR(F87-G87, "")</f>
        <v/>
      </c>
      <c r="K87" s="12578" t="n"/>
      <c r="L87" s="12579">
        <f>IFERROR(INDEX(I$6:I49, MATCH(SUBSTITUTE(C87,"-",""), INDEX(SUBSTITUTE(F$6:F49,"-",""),0), 0)), "")</f>
        <v/>
      </c>
      <c r="M87" s="12580">
        <f>IFERROR(IF(K87="","",IF(K87=L87,"✅ Correcta","❌ "&amp; K87 &amp;" (aut: "&amp; L87 &amp;")")), "")</f>
        <v/>
      </c>
      <c r="N87" s="12581">
        <f>IFERROR(G87-F87, "")</f>
        <v/>
      </c>
      <c r="O87" s="12582">
        <f>IFERROR(IF(C87="","",IF(F87=0,"⚠️ Sin Autorización (placa no en catálogo)",IF(N87=0,"✅ Cuadrado",IF(N87&gt;0,"❌ Exceso $"&amp;TEXT(N87,"#,##0.00"),"✅ OK - Saldo $"&amp;TEXT(ABS(N87),"#,##0.00"))))), "")</f>
        <v/>
      </c>
    </row>
    <row r="88">
      <c r="A88" s="12583">
        <f>IF(B88="","", _xludf.WEEKNUM(B88, 2))</f>
        <v/>
      </c>
      <c r="B88" s="12584" t="n"/>
      <c r="C88" s="12585" t="n"/>
      <c r="D88" s="12586">
        <f>IFERROR(INDEX(D$6:D49, MATCH(SUBSTITUTE(C88,"-",""), INDEX(SUBSTITUTE(F$6:F49,"-",""),0), 0)), "")</f>
        <v/>
      </c>
      <c r="E88" s="12587">
        <f>IFERROR(INDEX(G$6:G49, MATCH(SUBSTITUTE(C88,"-",""), INDEX(SUBSTITUTE(F$6:F49,"-",""),0), 0)), "")</f>
        <v/>
      </c>
      <c r="F88" s="12588">
        <f>IFERROR(INDEX(H$6:H49, MATCH(SUBSTITUTE(C88,"-",""), INDEX(SUBSTITUTE(F$6:F49,"-",""),0), 0)), 0)</f>
        <v/>
      </c>
      <c r="G88" s="12589" t="n"/>
      <c r="H88" s="12590" t="n"/>
      <c r="I88" s="12591" t="n"/>
      <c r="J88" s="12592">
        <f>IFERROR(F88-G88, "")</f>
        <v/>
      </c>
      <c r="K88" s="12593" t="n"/>
      <c r="L88" s="12594">
        <f>IFERROR(INDEX(I$6:I49, MATCH(SUBSTITUTE(C88,"-",""), INDEX(SUBSTITUTE(F$6:F49,"-",""),0), 0)), "")</f>
        <v/>
      </c>
      <c r="M88" s="12595">
        <f>IFERROR(IF(K88="","",IF(K88=L88,"✅ Correcta","❌ "&amp; K88 &amp;" (aut: "&amp; L88 &amp;")")), "")</f>
        <v/>
      </c>
      <c r="N88" s="12596">
        <f>IFERROR(G88-F88, "")</f>
        <v/>
      </c>
      <c r="O88" s="12597">
        <f>IFERROR(IF(C88="","",IF(F88=0,"⚠️ Sin Autorización (placa no en catálogo)",IF(N88=0,"✅ Cuadrado",IF(N88&gt;0,"❌ Exceso $"&amp;TEXT(N88,"#,##0.00"),"✅ OK - Saldo $"&amp;TEXT(ABS(N88),"#,##0.00"))))), "")</f>
        <v/>
      </c>
    </row>
    <row r="89">
      <c r="A89" s="12598">
        <f>IF(B89="","", _xludf.WEEKNUM(B89, 2))</f>
        <v/>
      </c>
      <c r="B89" s="12599" t="n"/>
      <c r="C89" s="12600" t="n"/>
      <c r="D89" s="12601">
        <f>IFERROR(INDEX(D$6:D49, MATCH(SUBSTITUTE(C89,"-",""), INDEX(SUBSTITUTE(F$6:F49,"-",""),0), 0)), "")</f>
        <v/>
      </c>
      <c r="E89" s="12602">
        <f>IFERROR(INDEX(G$6:G49, MATCH(SUBSTITUTE(C89,"-",""), INDEX(SUBSTITUTE(F$6:F49,"-",""),0), 0)), "")</f>
        <v/>
      </c>
      <c r="F89" s="12603">
        <f>IFERROR(INDEX(H$6:H49, MATCH(SUBSTITUTE(C89,"-",""), INDEX(SUBSTITUTE(F$6:F49,"-",""),0), 0)), 0)</f>
        <v/>
      </c>
      <c r="G89" s="12604" t="n"/>
      <c r="H89" s="12605" t="n"/>
      <c r="I89" s="12606" t="n"/>
      <c r="J89" s="12607">
        <f>IFERROR(F89-G89, "")</f>
        <v/>
      </c>
      <c r="K89" s="12608" t="n"/>
      <c r="L89" s="12609">
        <f>IFERROR(INDEX(I$6:I49, MATCH(SUBSTITUTE(C89,"-",""), INDEX(SUBSTITUTE(F$6:F49,"-",""),0), 0)), "")</f>
        <v/>
      </c>
      <c r="M89" s="12610">
        <f>IFERROR(IF(K89="","",IF(K89=L89,"✅ Correcta","❌ "&amp; K89 &amp;" (aut: "&amp; L89 &amp;")")), "")</f>
        <v/>
      </c>
      <c r="N89" s="12611">
        <f>IFERROR(G89-F89, "")</f>
        <v/>
      </c>
      <c r="O89" s="12612">
        <f>IFERROR(IF(C89="","",IF(F89=0,"⚠️ Sin Autorización (placa no en catálogo)",IF(N89=0,"✅ Cuadrado",IF(N89&gt;0,"❌ Exceso $"&amp;TEXT(N89,"#,##0.00"),"✅ OK - Saldo $"&amp;TEXT(ABS(N89),"#,##0.00"))))), "")</f>
        <v/>
      </c>
    </row>
    <row r="90">
      <c r="A90" s="12613">
        <f>IF(B90="","", _xludf.WEEKNUM(B90, 2))</f>
        <v/>
      </c>
      <c r="B90" s="12614" t="n"/>
      <c r="C90" s="12615" t="n"/>
      <c r="D90" s="12616">
        <f>IFERROR(INDEX(D$6:D49, MATCH(SUBSTITUTE(C90,"-",""), INDEX(SUBSTITUTE(F$6:F49,"-",""),0), 0)), "")</f>
        <v/>
      </c>
      <c r="E90" s="12617">
        <f>IFERROR(INDEX(G$6:G49, MATCH(SUBSTITUTE(C90,"-",""), INDEX(SUBSTITUTE(F$6:F49,"-",""),0), 0)), "")</f>
        <v/>
      </c>
      <c r="F90" s="12618">
        <f>IFERROR(INDEX(H$6:H49, MATCH(SUBSTITUTE(C90,"-",""), INDEX(SUBSTITUTE(F$6:F49,"-",""),0), 0)), 0)</f>
        <v/>
      </c>
      <c r="G90" s="12619" t="n"/>
      <c r="H90" s="12620" t="n"/>
      <c r="I90" s="12621" t="n"/>
      <c r="J90" s="12622">
        <f>IFERROR(F90-G90, "")</f>
        <v/>
      </c>
      <c r="K90" s="12623" t="n"/>
      <c r="L90" s="12624">
        <f>IFERROR(INDEX(I$6:I49, MATCH(SUBSTITUTE(C90,"-",""), INDEX(SUBSTITUTE(F$6:F49,"-",""),0), 0)), "")</f>
        <v/>
      </c>
      <c r="M90" s="12625">
        <f>IFERROR(IF(K90="","",IF(K90=L90,"✅ Correcta","❌ "&amp; K90 &amp;" (aut: "&amp; L90 &amp;")")), "")</f>
        <v/>
      </c>
      <c r="N90" s="12626">
        <f>IFERROR(G90-F90, "")</f>
        <v/>
      </c>
      <c r="O90" s="12627">
        <f>IFERROR(IF(C90="","",IF(F90=0,"⚠️ Sin Autorización (placa no en catálogo)",IF(N90=0,"✅ Cuadrado",IF(N90&gt;0,"❌ Exceso $"&amp;TEXT(N90,"#,##0.00"),"✅ OK - Saldo $"&amp;TEXT(ABS(N90),"#,##0.00"))))), "")</f>
        <v/>
      </c>
    </row>
    <row r="91">
      <c r="A91" s="12628">
        <f>IF(B91="","", _xludf.WEEKNUM(B91, 2))</f>
        <v/>
      </c>
      <c r="B91" s="12629" t="n"/>
      <c r="C91" s="12630" t="n"/>
      <c r="D91" s="12631">
        <f>IFERROR(INDEX(D$6:D49, MATCH(SUBSTITUTE(C91,"-",""), INDEX(SUBSTITUTE(F$6:F49,"-",""),0), 0)), "")</f>
        <v/>
      </c>
      <c r="E91" s="12632">
        <f>IFERROR(INDEX(G$6:G49, MATCH(SUBSTITUTE(C91,"-",""), INDEX(SUBSTITUTE(F$6:F49,"-",""),0), 0)), "")</f>
        <v/>
      </c>
      <c r="F91" s="12633">
        <f>IFERROR(INDEX(H$6:H49, MATCH(SUBSTITUTE(C91,"-",""), INDEX(SUBSTITUTE(F$6:F49,"-",""),0), 0)), 0)</f>
        <v/>
      </c>
      <c r="G91" s="12634" t="n"/>
      <c r="H91" s="12635" t="n"/>
      <c r="I91" s="12636" t="n"/>
      <c r="J91" s="12637">
        <f>IFERROR(F91-G91, "")</f>
        <v/>
      </c>
      <c r="K91" s="12638" t="n"/>
      <c r="L91" s="12639">
        <f>IFERROR(INDEX(I$6:I49, MATCH(SUBSTITUTE(C91,"-",""), INDEX(SUBSTITUTE(F$6:F49,"-",""),0), 0)), "")</f>
        <v/>
      </c>
      <c r="M91" s="12640">
        <f>IFERROR(IF(K91="","",IF(K91=L91,"✅ Correcta","❌ "&amp; K91 &amp;" (aut: "&amp; L91 &amp;")")), "")</f>
        <v/>
      </c>
      <c r="N91" s="12641">
        <f>IFERROR(G91-F91, "")</f>
        <v/>
      </c>
      <c r="O91" s="12642">
        <f>IFERROR(IF(C91="","",IF(F91=0,"⚠️ Sin Autorización (placa no en catálogo)",IF(N91=0,"✅ Cuadrado",IF(N91&gt;0,"❌ Exceso $"&amp;TEXT(N91,"#,##0.00"),"✅ OK - Saldo $"&amp;TEXT(ABS(N91),"#,##0.00"))))), "")</f>
        <v/>
      </c>
    </row>
    <row r="92">
      <c r="A92" s="12643">
        <f>IF(B92="","", _xludf.WEEKNUM(B92, 2))</f>
        <v/>
      </c>
      <c r="B92" s="12644" t="n"/>
      <c r="C92" s="12645" t="n"/>
      <c r="D92" s="12646">
        <f>IFERROR(INDEX(D$6:D49, MATCH(SUBSTITUTE(C92,"-",""), INDEX(SUBSTITUTE(F$6:F49,"-",""),0), 0)), "")</f>
        <v/>
      </c>
      <c r="E92" s="12647">
        <f>IFERROR(INDEX(G$6:G49, MATCH(SUBSTITUTE(C92,"-",""), INDEX(SUBSTITUTE(F$6:F49,"-",""),0), 0)), "")</f>
        <v/>
      </c>
      <c r="F92" s="12648">
        <f>IFERROR(INDEX(H$6:H49, MATCH(SUBSTITUTE(C92,"-",""), INDEX(SUBSTITUTE(F$6:F49,"-",""),0), 0)), 0)</f>
        <v/>
      </c>
      <c r="G92" s="12649" t="n"/>
      <c r="H92" s="12650" t="n"/>
      <c r="I92" s="12651" t="n"/>
      <c r="J92" s="12652">
        <f>IFERROR(F92-G92, "")</f>
        <v/>
      </c>
      <c r="K92" s="12653" t="n"/>
      <c r="L92" s="12654">
        <f>IFERROR(INDEX(I$6:I49, MATCH(SUBSTITUTE(C92,"-",""), INDEX(SUBSTITUTE(F$6:F49,"-",""),0), 0)), "")</f>
        <v/>
      </c>
      <c r="M92" s="12655">
        <f>IFERROR(IF(K92="","",IF(K92=L92,"✅ Correcta","❌ "&amp; K92 &amp;" (aut: "&amp; L92 &amp;")")), "")</f>
        <v/>
      </c>
      <c r="N92" s="12656">
        <f>IFERROR(G92-F92, "")</f>
        <v/>
      </c>
      <c r="O92" s="12657">
        <f>IFERROR(IF(C92="","",IF(F92=0,"⚠️ Sin Autorización (placa no en catálogo)",IF(N92=0,"✅ Cuadrado",IF(N92&gt;0,"❌ Exceso $"&amp;TEXT(N92,"#,##0.00"),"✅ OK - Saldo $"&amp;TEXT(ABS(N92),"#,##0.00"))))), "")</f>
        <v/>
      </c>
    </row>
    <row r="93">
      <c r="A93" s="12658">
        <f>IF(B93="","", _xludf.WEEKNUM(B93, 2))</f>
        <v/>
      </c>
      <c r="B93" s="12659" t="n"/>
      <c r="C93" s="12660" t="n"/>
      <c r="D93" s="12661">
        <f>IFERROR(INDEX(D$6:D49, MATCH(SUBSTITUTE(C93,"-",""), INDEX(SUBSTITUTE(F$6:F49,"-",""),0), 0)), "")</f>
        <v/>
      </c>
      <c r="E93" s="12662">
        <f>IFERROR(INDEX(G$6:G49, MATCH(SUBSTITUTE(C93,"-",""), INDEX(SUBSTITUTE(F$6:F49,"-",""),0), 0)), "")</f>
        <v/>
      </c>
      <c r="F93" s="12663">
        <f>IFERROR(INDEX(H$6:H49, MATCH(SUBSTITUTE(C93,"-",""), INDEX(SUBSTITUTE(F$6:F49,"-",""),0), 0)), 0)</f>
        <v/>
      </c>
      <c r="G93" s="12664" t="n"/>
      <c r="H93" s="12665" t="n"/>
      <c r="I93" s="12666" t="n"/>
      <c r="J93" s="12667">
        <f>IFERROR(F93-G93, "")</f>
        <v/>
      </c>
      <c r="K93" s="12668" t="n"/>
      <c r="L93" s="12669">
        <f>IFERROR(INDEX(I$6:I49, MATCH(SUBSTITUTE(C93,"-",""), INDEX(SUBSTITUTE(F$6:F49,"-",""),0), 0)), "")</f>
        <v/>
      </c>
      <c r="M93" s="12670">
        <f>IFERROR(IF(K93="","",IF(K93=L93,"✅ Correcta","❌ "&amp; K93 &amp;" (aut: "&amp; L93 &amp;")")), "")</f>
        <v/>
      </c>
      <c r="N93" s="12671">
        <f>IFERROR(G93-F93, "")</f>
        <v/>
      </c>
      <c r="O93" s="12672">
        <f>IFERROR(IF(C93="","",IF(F93=0,"⚠️ Sin Autorización (placa no en catálogo)",IF(N93=0,"✅ Cuadrado",IF(N93&gt;0,"❌ Exceso $"&amp;TEXT(N93,"#,##0.00"),"✅ OK - Saldo $"&amp;TEXT(ABS(N93),"#,##0.00"))))), "")</f>
        <v/>
      </c>
    </row>
    <row r="94">
      <c r="A94" s="12673">
        <f>IF(B94="","", _xludf.WEEKNUM(B94, 2))</f>
        <v/>
      </c>
      <c r="B94" s="12674" t="n"/>
      <c r="C94" s="12675" t="n"/>
      <c r="D94" s="12676">
        <f>IFERROR(INDEX(D$6:D49, MATCH(SUBSTITUTE(C94,"-",""), INDEX(SUBSTITUTE(F$6:F49,"-",""),0), 0)), "")</f>
        <v/>
      </c>
      <c r="E94" s="12677">
        <f>IFERROR(INDEX(G$6:G49, MATCH(SUBSTITUTE(C94,"-",""), INDEX(SUBSTITUTE(F$6:F49,"-",""),0), 0)), "")</f>
        <v/>
      </c>
      <c r="F94" s="12678">
        <f>IFERROR(INDEX(H$6:H49, MATCH(SUBSTITUTE(C94,"-",""), INDEX(SUBSTITUTE(F$6:F49,"-",""),0), 0)), 0)</f>
        <v/>
      </c>
      <c r="G94" s="12679" t="n"/>
      <c r="H94" s="12680" t="n"/>
      <c r="I94" s="12681" t="n"/>
      <c r="J94" s="12682">
        <f>IFERROR(F94-G94, "")</f>
        <v/>
      </c>
      <c r="K94" s="12683" t="n"/>
      <c r="L94" s="12684">
        <f>IFERROR(INDEX(I$6:I49, MATCH(SUBSTITUTE(C94,"-",""), INDEX(SUBSTITUTE(F$6:F49,"-",""),0), 0)), "")</f>
        <v/>
      </c>
      <c r="M94" s="12685">
        <f>IFERROR(IF(K94="","",IF(K94=L94,"✅ Correcta","❌ "&amp; K94 &amp;" (aut: "&amp; L94 &amp;")")), "")</f>
        <v/>
      </c>
      <c r="N94" s="12686">
        <f>IFERROR(G94-F94, "")</f>
        <v/>
      </c>
      <c r="O94" s="12687">
        <f>IFERROR(IF(C94="","",IF(F94=0,"⚠️ Sin Autorización (placa no en catálogo)",IF(N94=0,"✅ Cuadrado",IF(N94&gt;0,"❌ Exceso $"&amp;TEXT(N94,"#,##0.00"),"✅ OK - Saldo $"&amp;TEXT(ABS(N94),"#,##0.00"))))), "")</f>
        <v/>
      </c>
    </row>
    <row r="95">
      <c r="A95" s="12688">
        <f>IF(B95="","", _xludf.WEEKNUM(B95, 2))</f>
        <v/>
      </c>
      <c r="B95" s="12689" t="n"/>
      <c r="C95" s="12690" t="n"/>
      <c r="D95" s="12691">
        <f>IFERROR(INDEX(D$6:D49, MATCH(SUBSTITUTE(C95,"-",""), INDEX(SUBSTITUTE(F$6:F49,"-",""),0), 0)), "")</f>
        <v/>
      </c>
      <c r="E95" s="12692">
        <f>IFERROR(INDEX(G$6:G49, MATCH(SUBSTITUTE(C95,"-",""), INDEX(SUBSTITUTE(F$6:F49,"-",""),0), 0)), "")</f>
        <v/>
      </c>
      <c r="F95" s="12693">
        <f>IFERROR(INDEX(H$6:H49, MATCH(SUBSTITUTE(C95,"-",""), INDEX(SUBSTITUTE(F$6:F49,"-",""),0), 0)), 0)</f>
        <v/>
      </c>
      <c r="G95" s="12694" t="n"/>
      <c r="H95" s="12695" t="n"/>
      <c r="I95" s="12696" t="n"/>
      <c r="J95" s="12697">
        <f>IFERROR(F95-G95, "")</f>
        <v/>
      </c>
      <c r="K95" s="12698" t="n"/>
      <c r="L95" s="12699">
        <f>IFERROR(INDEX(I$6:I49, MATCH(SUBSTITUTE(C95,"-",""), INDEX(SUBSTITUTE(F$6:F49,"-",""),0), 0)), "")</f>
        <v/>
      </c>
      <c r="M95" s="12700">
        <f>IFERROR(IF(K95="","",IF(K95=L95,"✅ Correcta","❌ "&amp; K95 &amp;" (aut: "&amp; L95 &amp;")")), "")</f>
        <v/>
      </c>
      <c r="N95" s="12701">
        <f>IFERROR(G95-F95, "")</f>
        <v/>
      </c>
      <c r="O95" s="12702">
        <f>IFERROR(IF(C95="","",IF(F95=0,"⚠️ Sin Autorización (placa no en catálogo)",IF(N95=0,"✅ Cuadrado",IF(N95&gt;0,"❌ Exceso $"&amp;TEXT(N95,"#,##0.00"),"✅ OK - Saldo $"&amp;TEXT(ABS(N95),"#,##0.00"))))), "")</f>
        <v/>
      </c>
    </row>
    <row r="96">
      <c r="A96" s="12703">
        <f>IF(B96="","", _xludf.WEEKNUM(B96, 2))</f>
        <v/>
      </c>
      <c r="B96" s="12704" t="n"/>
      <c r="C96" s="12705" t="n"/>
      <c r="D96" s="12706">
        <f>IFERROR(INDEX(D$6:D49, MATCH(SUBSTITUTE(C96,"-",""), INDEX(SUBSTITUTE(F$6:F49,"-",""),0), 0)), "")</f>
        <v/>
      </c>
      <c r="E96" s="12707">
        <f>IFERROR(INDEX(G$6:G49, MATCH(SUBSTITUTE(C96,"-",""), INDEX(SUBSTITUTE(F$6:F49,"-",""),0), 0)), "")</f>
        <v/>
      </c>
      <c r="F96" s="12708">
        <f>IFERROR(INDEX(H$6:H49, MATCH(SUBSTITUTE(C96,"-",""), INDEX(SUBSTITUTE(F$6:F49,"-",""),0), 0)), 0)</f>
        <v/>
      </c>
      <c r="G96" s="12709" t="n"/>
      <c r="H96" s="12710" t="n"/>
      <c r="I96" s="12711" t="n"/>
      <c r="J96" s="12712">
        <f>IFERROR(F96-G96, "")</f>
        <v/>
      </c>
      <c r="K96" s="12713" t="n"/>
      <c r="L96" s="12714">
        <f>IFERROR(INDEX(I$6:I49, MATCH(SUBSTITUTE(C96,"-",""), INDEX(SUBSTITUTE(F$6:F49,"-",""),0), 0)), "")</f>
        <v/>
      </c>
      <c r="M96" s="12715">
        <f>IFERROR(IF(K96="","",IF(K96=L96,"✅ Correcta","❌ "&amp; K96 &amp;" (aut: "&amp; L96 &amp;")")), "")</f>
        <v/>
      </c>
      <c r="N96" s="12716">
        <f>IFERROR(G96-F96, "")</f>
        <v/>
      </c>
      <c r="O96" s="12717">
        <f>IFERROR(IF(C96="","",IF(F96=0,"⚠️ Sin Autorización (placa no en catálogo)",IF(N96=0,"✅ Cuadrado",IF(N96&gt;0,"❌ Exceso $"&amp;TEXT(N96,"#,##0.00"),"✅ OK - Saldo $"&amp;TEXT(ABS(N96),"#,##0.00"))))), "")</f>
        <v/>
      </c>
    </row>
    <row r="97">
      <c r="A97" s="12718">
        <f>IF(B97="","", _xludf.WEEKNUM(B97, 2))</f>
        <v/>
      </c>
      <c r="B97" s="12719" t="n"/>
      <c r="C97" s="12720" t="n"/>
      <c r="D97" s="12721">
        <f>IFERROR(INDEX(D$6:D49, MATCH(SUBSTITUTE(C97,"-",""), INDEX(SUBSTITUTE(F$6:F49,"-",""),0), 0)), "")</f>
        <v/>
      </c>
      <c r="E97" s="12722">
        <f>IFERROR(INDEX(G$6:G49, MATCH(SUBSTITUTE(C97,"-",""), INDEX(SUBSTITUTE(F$6:F49,"-",""),0), 0)), "")</f>
        <v/>
      </c>
      <c r="F97" s="12723">
        <f>IFERROR(INDEX(H$6:H49, MATCH(SUBSTITUTE(C97,"-",""), INDEX(SUBSTITUTE(F$6:F49,"-",""),0), 0)), 0)</f>
        <v/>
      </c>
      <c r="G97" s="12724" t="n"/>
      <c r="H97" s="12725" t="n"/>
      <c r="I97" s="12726" t="n"/>
      <c r="J97" s="12727">
        <f>IFERROR(F97-G97, "")</f>
        <v/>
      </c>
      <c r="K97" s="12728" t="n"/>
      <c r="L97" s="12729">
        <f>IFERROR(INDEX(I$6:I49, MATCH(SUBSTITUTE(C97,"-",""), INDEX(SUBSTITUTE(F$6:F49,"-",""),0), 0)), "")</f>
        <v/>
      </c>
      <c r="M97" s="12730">
        <f>IFERROR(IF(K97="","",IF(K97=L97,"✅ Correcta","❌ "&amp; K97 &amp;" (aut: "&amp; L97 &amp;")")), "")</f>
        <v/>
      </c>
      <c r="N97" s="12731">
        <f>IFERROR(G97-F97, "")</f>
        <v/>
      </c>
      <c r="O97" s="12732">
        <f>IFERROR(IF(C97="","",IF(F97=0,"⚠️ Sin Autorización (placa no en catálogo)",IF(N97=0,"✅ Cuadrado",IF(N97&gt;0,"❌ Exceso $"&amp;TEXT(N97,"#,##0.00"),"✅ OK - Saldo $"&amp;TEXT(ABS(N97),"#,##0.00"))))), "")</f>
        <v/>
      </c>
    </row>
    <row r="98">
      <c r="A98" s="12733">
        <f>IF(B98="","", _xludf.WEEKNUM(B98, 2))</f>
        <v/>
      </c>
      <c r="B98" s="12734" t="n"/>
      <c r="C98" s="12735" t="n"/>
      <c r="D98" s="12736">
        <f>IFERROR(INDEX(D$6:D49, MATCH(SUBSTITUTE(C98,"-",""), INDEX(SUBSTITUTE(F$6:F49,"-",""),0), 0)), "")</f>
        <v/>
      </c>
      <c r="E98" s="12737">
        <f>IFERROR(INDEX(G$6:G49, MATCH(SUBSTITUTE(C98,"-",""), INDEX(SUBSTITUTE(F$6:F49,"-",""),0), 0)), "")</f>
        <v/>
      </c>
      <c r="F98" s="12738">
        <f>IFERROR(INDEX(H$6:H49, MATCH(SUBSTITUTE(C98,"-",""), INDEX(SUBSTITUTE(F$6:F49,"-",""),0), 0)), 0)</f>
        <v/>
      </c>
      <c r="G98" s="12739" t="n"/>
      <c r="H98" s="12740" t="n"/>
      <c r="I98" s="12741" t="n"/>
      <c r="J98" s="12742">
        <f>IFERROR(F98-G98, "")</f>
        <v/>
      </c>
      <c r="K98" s="12743" t="n"/>
      <c r="L98" s="12744">
        <f>IFERROR(INDEX(I$6:I49, MATCH(SUBSTITUTE(C98,"-",""), INDEX(SUBSTITUTE(F$6:F49,"-",""),0), 0)), "")</f>
        <v/>
      </c>
      <c r="M98" s="12745">
        <f>IFERROR(IF(K98="","",IF(K98=L98,"✅ Correcta","❌ "&amp; K98 &amp;" (aut: "&amp; L98 &amp;")")), "")</f>
        <v/>
      </c>
      <c r="N98" s="12746">
        <f>IFERROR(G98-F98, "")</f>
        <v/>
      </c>
      <c r="O98" s="12747">
        <f>IFERROR(IF(C98="","",IF(F98=0,"⚠️ Sin Autorización (placa no en catálogo)",IF(N98=0,"✅ Cuadrado",IF(N98&gt;0,"❌ Exceso $"&amp;TEXT(N98,"#,##0.00"),"✅ OK - Saldo $"&amp;TEXT(ABS(N98),"#,##0.00"))))), "")</f>
        <v/>
      </c>
    </row>
    <row r="99">
      <c r="A99" s="12748">
        <f>IF(B99="","", _xludf.WEEKNUM(B99, 2))</f>
        <v/>
      </c>
      <c r="B99" s="12749" t="n"/>
      <c r="C99" s="12750" t="n"/>
      <c r="D99" s="12751">
        <f>IFERROR(INDEX(D$6:D49, MATCH(SUBSTITUTE(C99,"-",""), INDEX(SUBSTITUTE(F$6:F49,"-",""),0), 0)), "")</f>
        <v/>
      </c>
      <c r="E99" s="12752">
        <f>IFERROR(INDEX(G$6:G49, MATCH(SUBSTITUTE(C99,"-",""), INDEX(SUBSTITUTE(F$6:F49,"-",""),0), 0)), "")</f>
        <v/>
      </c>
      <c r="F99" s="12753">
        <f>IFERROR(INDEX(H$6:H49, MATCH(SUBSTITUTE(C99,"-",""), INDEX(SUBSTITUTE(F$6:F49,"-",""),0), 0)), 0)</f>
        <v/>
      </c>
      <c r="G99" s="12754" t="n"/>
      <c r="H99" s="12755" t="n"/>
      <c r="I99" s="12756" t="n"/>
      <c r="J99" s="12757">
        <f>IFERROR(F99-G99, "")</f>
        <v/>
      </c>
      <c r="K99" s="12758" t="n"/>
      <c r="L99" s="12759">
        <f>IFERROR(INDEX(I$6:I49, MATCH(SUBSTITUTE(C99,"-",""), INDEX(SUBSTITUTE(F$6:F49,"-",""),0), 0)), "")</f>
        <v/>
      </c>
      <c r="M99" s="12760">
        <f>IFERROR(IF(K99="","",IF(K99=L99,"✅ Correcta","❌ "&amp; K99 &amp;" (aut: "&amp; L99 &amp;")")), "")</f>
        <v/>
      </c>
      <c r="N99" s="12761">
        <f>IFERROR(G99-F99, "")</f>
        <v/>
      </c>
      <c r="O99" s="12762">
        <f>IFERROR(IF(C99="","",IF(F99=0,"⚠️ Sin Autorización (placa no en catálogo)",IF(N99=0,"✅ Cuadrado",IF(N99&gt;0,"❌ Exceso $"&amp;TEXT(N99,"#,##0.00"),"✅ OK - Saldo $"&amp;TEXT(ABS(N99),"#,##0.00"))))), "")</f>
        <v/>
      </c>
    </row>
    <row r="100">
      <c r="A100" s="12763">
        <f>IF(B100="","", _xludf.WEEKNUM(B100, 2))</f>
        <v/>
      </c>
      <c r="B100" s="12764" t="n"/>
      <c r="C100" s="12765" t="n"/>
      <c r="D100" s="12766">
        <f>IFERROR(INDEX(D$6:D49, MATCH(SUBSTITUTE(C100,"-",""), INDEX(SUBSTITUTE(F$6:F49,"-",""),0), 0)), "")</f>
        <v/>
      </c>
      <c r="E100" s="12767">
        <f>IFERROR(INDEX(G$6:G49, MATCH(SUBSTITUTE(C100,"-",""), INDEX(SUBSTITUTE(F$6:F49,"-",""),0), 0)), "")</f>
        <v/>
      </c>
      <c r="F100" s="12768">
        <f>IFERROR(INDEX(H$6:H49, MATCH(SUBSTITUTE(C100,"-",""), INDEX(SUBSTITUTE(F$6:F49,"-",""),0), 0)), 0)</f>
        <v/>
      </c>
      <c r="G100" s="12769" t="n"/>
      <c r="H100" s="12770" t="n"/>
      <c r="I100" s="12771" t="n"/>
      <c r="J100" s="12772">
        <f>IFERROR(F100-G100, "")</f>
        <v/>
      </c>
      <c r="K100" s="12773" t="n"/>
      <c r="L100" s="12774">
        <f>IFERROR(INDEX(I$6:I49, MATCH(SUBSTITUTE(C100,"-",""), INDEX(SUBSTITUTE(F$6:F49,"-",""),0), 0)), "")</f>
        <v/>
      </c>
      <c r="M100" s="12775">
        <f>IFERROR(IF(K100="","",IF(K100=L100,"✅ Correcta","❌ "&amp; K100 &amp;" (aut: "&amp; L100 &amp;")")), "")</f>
        <v/>
      </c>
      <c r="N100" s="12776">
        <f>IFERROR(G100-F100, "")</f>
        <v/>
      </c>
      <c r="O100" s="12777">
        <f>IFERROR(IF(C100="","",IF(F100=0,"⚠️ Sin Autorización (placa no en catálogo)",IF(N100=0,"✅ Cuadrado",IF(N100&gt;0,"❌ Exceso $"&amp;TEXT(N100,"#,##0.00"),"✅ OK - Saldo $"&amp;TEXT(ABS(N100),"#,##0.00"))))), "")</f>
        <v/>
      </c>
    </row>
    <row r="101">
      <c r="A101" s="12778">
        <f>IF(B101="","", _xludf.WEEKNUM(B101, 2))</f>
        <v/>
      </c>
      <c r="B101" s="12779" t="n"/>
      <c r="C101" s="12780" t="n"/>
      <c r="D101" s="12781">
        <f>IFERROR(INDEX(D$6:D49, MATCH(SUBSTITUTE(C101,"-",""), INDEX(SUBSTITUTE(F$6:F49,"-",""),0), 0)), "")</f>
        <v/>
      </c>
      <c r="E101" s="12782">
        <f>IFERROR(INDEX(G$6:G49, MATCH(SUBSTITUTE(C101,"-",""), INDEX(SUBSTITUTE(F$6:F49,"-",""),0), 0)), "")</f>
        <v/>
      </c>
      <c r="F101" s="12783">
        <f>IFERROR(INDEX(H$6:H49, MATCH(SUBSTITUTE(C101,"-",""), INDEX(SUBSTITUTE(F$6:F49,"-",""),0), 0)), 0)</f>
        <v/>
      </c>
      <c r="G101" s="12784" t="n"/>
      <c r="H101" s="12785" t="n"/>
      <c r="I101" s="12786" t="n"/>
      <c r="J101" s="12787">
        <f>IFERROR(F101-G101, "")</f>
        <v/>
      </c>
      <c r="K101" s="12788" t="n"/>
      <c r="L101" s="12789">
        <f>IFERROR(INDEX(I$6:I49, MATCH(SUBSTITUTE(C101,"-",""), INDEX(SUBSTITUTE(F$6:F49,"-",""),0), 0)), "")</f>
        <v/>
      </c>
      <c r="M101" s="12790">
        <f>IFERROR(IF(K101="","",IF(K101=L101,"✅ Correcta","❌ "&amp; K101 &amp;" (aut: "&amp; L101 &amp;")")), "")</f>
        <v/>
      </c>
      <c r="N101" s="12791">
        <f>IFERROR(G101-F101, "")</f>
        <v/>
      </c>
      <c r="O101" s="12792">
        <f>IFERROR(IF(C101="","",IF(F101=0,"⚠️ Sin Autorización (placa no en catálogo)",IF(N101=0,"✅ Cuadrado",IF(N101&gt;0,"❌ Exceso $"&amp;TEXT(N101,"#,##0.00"),"✅ OK - Saldo $"&amp;TEXT(ABS(N101),"#,##0.00"))))), "")</f>
        <v/>
      </c>
    </row>
    <row r="102">
      <c r="A102" s="12793">
        <f>IF(B102="","", _xludf.WEEKNUM(B102, 2))</f>
        <v/>
      </c>
      <c r="B102" s="12794" t="n"/>
      <c r="C102" s="12795" t="n"/>
      <c r="D102" s="12796">
        <f>IFERROR(INDEX(D$6:D49, MATCH(SUBSTITUTE(C102,"-",""), INDEX(SUBSTITUTE(F$6:F49,"-",""),0), 0)), "")</f>
        <v/>
      </c>
      <c r="E102" s="12797">
        <f>IFERROR(INDEX(G$6:G49, MATCH(SUBSTITUTE(C102,"-",""), INDEX(SUBSTITUTE(F$6:F49,"-",""),0), 0)), "")</f>
        <v/>
      </c>
      <c r="F102" s="12798">
        <f>IFERROR(INDEX(H$6:H49, MATCH(SUBSTITUTE(C102,"-",""), INDEX(SUBSTITUTE(F$6:F49,"-",""),0), 0)), 0)</f>
        <v/>
      </c>
      <c r="G102" s="12799" t="n"/>
      <c r="H102" s="12800" t="n"/>
      <c r="I102" s="12801" t="n"/>
      <c r="J102" s="12802">
        <f>IFERROR(F102-G102, "")</f>
        <v/>
      </c>
      <c r="K102" s="12803" t="n"/>
      <c r="L102" s="12804">
        <f>IFERROR(INDEX(I$6:I49, MATCH(SUBSTITUTE(C102,"-",""), INDEX(SUBSTITUTE(F$6:F49,"-",""),0), 0)), "")</f>
        <v/>
      </c>
      <c r="M102" s="12805">
        <f>IFERROR(IF(K102="","",IF(K102=L102,"✅ Correcta","❌ "&amp; K102 &amp;" (aut: "&amp; L102 &amp;")")), "")</f>
        <v/>
      </c>
      <c r="N102" s="12806">
        <f>IFERROR(G102-F102, "")</f>
        <v/>
      </c>
      <c r="O102" s="12807">
        <f>IFERROR(IF(C102="","",IF(F102=0,"⚠️ Sin Autorización (placa no en catálogo)",IF(N102=0,"✅ Cuadrado",IF(N102&gt;0,"❌ Exceso $"&amp;TEXT(N102,"#,##0.00"),"✅ OK - Saldo $"&amp;TEXT(ABS(N102),"#,##0.00"))))), "")</f>
        <v/>
      </c>
    </row>
    <row r="103">
      <c r="A103" s="12808">
        <f>IF(B103="","", _xludf.WEEKNUM(B103, 2))</f>
        <v/>
      </c>
      <c r="B103" s="12809" t="n"/>
      <c r="C103" s="12810" t="n"/>
      <c r="D103" s="12811">
        <f>IFERROR(INDEX(D$6:D49, MATCH(SUBSTITUTE(C103,"-",""), INDEX(SUBSTITUTE(F$6:F49,"-",""),0), 0)), "")</f>
        <v/>
      </c>
      <c r="E103" s="12812">
        <f>IFERROR(INDEX(G$6:G49, MATCH(SUBSTITUTE(C103,"-",""), INDEX(SUBSTITUTE(F$6:F49,"-",""),0), 0)), "")</f>
        <v/>
      </c>
      <c r="F103" s="12813">
        <f>IFERROR(INDEX(H$6:H49, MATCH(SUBSTITUTE(C103,"-",""), INDEX(SUBSTITUTE(F$6:F49,"-",""),0), 0)), 0)</f>
        <v/>
      </c>
      <c r="G103" s="12814" t="n"/>
      <c r="H103" s="12815" t="n"/>
      <c r="I103" s="12816" t="n"/>
      <c r="J103" s="12817">
        <f>IFERROR(F103-G103, "")</f>
        <v/>
      </c>
      <c r="K103" s="12818" t="n"/>
      <c r="L103" s="12819">
        <f>IFERROR(INDEX(I$6:I49, MATCH(SUBSTITUTE(C103,"-",""), INDEX(SUBSTITUTE(F$6:F49,"-",""),0), 0)), "")</f>
        <v/>
      </c>
      <c r="M103" s="12820">
        <f>IFERROR(IF(K103="","",IF(K103=L103,"✅ Correcta","❌ "&amp; K103 &amp;" (aut: "&amp; L103 &amp;")")), "")</f>
        <v/>
      </c>
      <c r="N103" s="12821">
        <f>IFERROR(G103-F103, "")</f>
        <v/>
      </c>
      <c r="O103" s="12822">
        <f>IFERROR(IF(C103="","",IF(F103=0,"⚠️ Sin Autorización (placa no en catálogo)",IF(N103=0,"✅ Cuadrado",IF(N103&gt;0,"❌ Exceso $"&amp;TEXT(N103,"#,##0.00"),"✅ OK - Saldo $"&amp;TEXT(ABS(N103),"#,##0.00"))))), "")</f>
        <v/>
      </c>
    </row>
    <row r="104">
      <c r="A104" s="12823">
        <f>IF(B104="","", _xludf.WEEKNUM(B104, 2))</f>
        <v/>
      </c>
      <c r="B104" s="12824" t="n"/>
      <c r="C104" s="12825" t="n"/>
      <c r="D104" s="12826">
        <f>IFERROR(INDEX(D$6:D49, MATCH(SUBSTITUTE(C104,"-",""), INDEX(SUBSTITUTE(F$6:F49,"-",""),0), 0)), "")</f>
        <v/>
      </c>
      <c r="E104" s="12827">
        <f>IFERROR(INDEX(G$6:G49, MATCH(SUBSTITUTE(C104,"-",""), INDEX(SUBSTITUTE(F$6:F49,"-",""),0), 0)), "")</f>
        <v/>
      </c>
      <c r="F104" s="12828">
        <f>IFERROR(INDEX(H$6:H49, MATCH(SUBSTITUTE(C104,"-",""), INDEX(SUBSTITUTE(F$6:F49,"-",""),0), 0)), 0)</f>
        <v/>
      </c>
      <c r="G104" s="12829" t="n"/>
      <c r="H104" s="12830" t="n"/>
      <c r="I104" s="12831" t="n"/>
      <c r="J104" s="12832">
        <f>IFERROR(F104-G104, "")</f>
        <v/>
      </c>
      <c r="K104" s="12833" t="n"/>
      <c r="L104" s="12834">
        <f>IFERROR(INDEX(I$6:I49, MATCH(SUBSTITUTE(C104,"-",""), INDEX(SUBSTITUTE(F$6:F49,"-",""),0), 0)), "")</f>
        <v/>
      </c>
      <c r="M104" s="12835">
        <f>IFERROR(IF(K104="","",IF(K104=L104,"✅ Correcta","❌ "&amp; K104 &amp;" (aut: "&amp; L104 &amp;")")), "")</f>
        <v/>
      </c>
      <c r="N104" s="12836">
        <f>IFERROR(G104-F104, "")</f>
        <v/>
      </c>
      <c r="O104" s="12837">
        <f>IFERROR(IF(C104="","",IF(F104=0,"⚠️ Sin Autorización (placa no en catálogo)",IF(N104=0,"✅ Cuadrado",IF(N104&gt;0,"❌ Exceso $"&amp;TEXT(N104,"#,##0.00"),"✅ OK - Saldo $"&amp;TEXT(ABS(N104),"#,##0.00"))))), "")</f>
        <v/>
      </c>
    </row>
    <row r="105">
      <c r="A105" s="12838">
        <f>IF(B105="","", _xludf.WEEKNUM(B105, 2))</f>
        <v/>
      </c>
      <c r="B105" s="12839" t="n"/>
      <c r="C105" s="12840" t="n"/>
      <c r="D105" s="12841">
        <f>IFERROR(INDEX(D$6:D49, MATCH(SUBSTITUTE(C105,"-",""), INDEX(SUBSTITUTE(F$6:F49,"-",""),0), 0)), "")</f>
        <v/>
      </c>
      <c r="E105" s="12842">
        <f>IFERROR(INDEX(G$6:G49, MATCH(SUBSTITUTE(C105,"-",""), INDEX(SUBSTITUTE(F$6:F49,"-",""),0), 0)), "")</f>
        <v/>
      </c>
      <c r="F105" s="12843">
        <f>IFERROR(INDEX(H$6:H49, MATCH(SUBSTITUTE(C105,"-",""), INDEX(SUBSTITUTE(F$6:F49,"-",""),0), 0)), 0)</f>
        <v/>
      </c>
      <c r="G105" s="12844" t="n"/>
      <c r="H105" s="12845" t="n"/>
      <c r="I105" s="12846" t="n"/>
      <c r="J105" s="12847">
        <f>IFERROR(F105-G105, "")</f>
        <v/>
      </c>
      <c r="K105" s="12848" t="n"/>
      <c r="L105" s="12849">
        <f>IFERROR(INDEX(I$6:I49, MATCH(SUBSTITUTE(C105,"-",""), INDEX(SUBSTITUTE(F$6:F49,"-",""),0), 0)), "")</f>
        <v/>
      </c>
      <c r="M105" s="12850">
        <f>IFERROR(IF(K105="","",IF(K105=L105,"✅ Correcta","❌ "&amp; K105 &amp;" (aut: "&amp; L105 &amp;")")), "")</f>
        <v/>
      </c>
      <c r="N105" s="12851">
        <f>IFERROR(G105-F105, "")</f>
        <v/>
      </c>
      <c r="O105" s="12852">
        <f>IFERROR(IF(C105="","",IF(F105=0,"⚠️ Sin Autorización (placa no en catálogo)",IF(N105=0,"✅ Cuadrado",IF(N105&gt;0,"❌ Exceso $"&amp;TEXT(N105,"#,##0.00"),"✅ OK - Saldo $"&amp;TEXT(ABS(N105),"#,##0.00"))))), "")</f>
        <v/>
      </c>
    </row>
    <row r="106">
      <c r="A106" s="12853">
        <f>IF(B106="","", _xludf.WEEKNUM(B106, 2))</f>
        <v/>
      </c>
      <c r="B106" s="12854" t="n"/>
      <c r="C106" s="12855" t="n"/>
      <c r="D106" s="12856">
        <f>IFERROR(INDEX(D$6:D49, MATCH(SUBSTITUTE(C106,"-",""), INDEX(SUBSTITUTE(F$6:F49,"-",""),0), 0)), "")</f>
        <v/>
      </c>
      <c r="E106" s="12857">
        <f>IFERROR(INDEX(G$6:G49, MATCH(SUBSTITUTE(C106,"-",""), INDEX(SUBSTITUTE(F$6:F49,"-",""),0), 0)), "")</f>
        <v/>
      </c>
      <c r="F106" s="12858">
        <f>IFERROR(INDEX(H$6:H49, MATCH(SUBSTITUTE(C106,"-",""), INDEX(SUBSTITUTE(F$6:F49,"-",""),0), 0)), 0)</f>
        <v/>
      </c>
      <c r="G106" s="12859" t="n"/>
      <c r="H106" s="12860" t="n"/>
      <c r="I106" s="12861" t="n"/>
      <c r="J106" s="12862">
        <f>IFERROR(F106-G106, "")</f>
        <v/>
      </c>
      <c r="K106" s="12863" t="n"/>
      <c r="L106" s="12864">
        <f>IFERROR(INDEX(I$6:I49, MATCH(SUBSTITUTE(C106,"-",""), INDEX(SUBSTITUTE(F$6:F49,"-",""),0), 0)), "")</f>
        <v/>
      </c>
      <c r="M106" s="12865">
        <f>IFERROR(IF(K106="","",IF(K106=L106,"✅ Correcta","❌ "&amp; K106 &amp;" (aut: "&amp; L106 &amp;")")), "")</f>
        <v/>
      </c>
      <c r="N106" s="12866">
        <f>IFERROR(G106-F106, "")</f>
        <v/>
      </c>
      <c r="O106" s="12867">
        <f>IFERROR(IF(C106="","",IF(F106=0,"⚠️ Sin Autorización (placa no en catálogo)",IF(N106=0,"✅ Cuadrado",IF(N106&gt;0,"❌ Exceso $"&amp;TEXT(N106,"#,##0.00"),"✅ OK - Saldo $"&amp;TEXT(ABS(N106),"#,##0.00"))))), "")</f>
        <v/>
      </c>
    </row>
    <row r="107">
      <c r="A107" s="12868">
        <f>IF(B107="","", _xludf.WEEKNUM(B107, 2))</f>
        <v/>
      </c>
      <c r="B107" s="12869" t="n"/>
      <c r="C107" s="12870" t="n"/>
      <c r="D107" s="12871">
        <f>IFERROR(INDEX(D$6:D49, MATCH(SUBSTITUTE(C107,"-",""), INDEX(SUBSTITUTE(F$6:F49,"-",""),0), 0)), "")</f>
        <v/>
      </c>
      <c r="E107" s="12872">
        <f>IFERROR(INDEX(G$6:G49, MATCH(SUBSTITUTE(C107,"-",""), INDEX(SUBSTITUTE(F$6:F49,"-",""),0), 0)), "")</f>
        <v/>
      </c>
      <c r="F107" s="12873">
        <f>IFERROR(INDEX(H$6:H49, MATCH(SUBSTITUTE(C107,"-",""), INDEX(SUBSTITUTE(F$6:F49,"-",""),0), 0)), 0)</f>
        <v/>
      </c>
      <c r="G107" s="12874" t="n"/>
      <c r="H107" s="12875" t="n"/>
      <c r="I107" s="12876" t="n"/>
      <c r="J107" s="12877">
        <f>IFERROR(F107-G107, "")</f>
        <v/>
      </c>
      <c r="K107" s="12878" t="n"/>
      <c r="L107" s="12879">
        <f>IFERROR(INDEX(I$6:I49, MATCH(SUBSTITUTE(C107,"-",""), INDEX(SUBSTITUTE(F$6:F49,"-",""),0), 0)), "")</f>
        <v/>
      </c>
      <c r="M107" s="12880">
        <f>IFERROR(IF(K107="","",IF(K107=L107,"✅ Correcta","❌ "&amp; K107 &amp;" (aut: "&amp; L107 &amp;")")), "")</f>
        <v/>
      </c>
      <c r="N107" s="12881">
        <f>IFERROR(G107-F107, "")</f>
        <v/>
      </c>
      <c r="O107" s="12882">
        <f>IFERROR(IF(C107="","",IF(F107=0,"⚠️ Sin Autorización (placa no en catálogo)",IF(N107=0,"✅ Cuadrado",IF(N107&gt;0,"❌ Exceso $"&amp;TEXT(N107,"#,##0.00"),"✅ OK - Saldo $"&amp;TEXT(ABS(N107),"#,##0.00"))))), "")</f>
        <v/>
      </c>
    </row>
    <row r="108">
      <c r="A108" s="12883">
        <f>IF(B108="","", _xludf.WEEKNUM(B108, 2))</f>
        <v/>
      </c>
      <c r="B108" s="12884" t="n"/>
      <c r="C108" s="12885" t="n"/>
      <c r="D108" s="12886">
        <f>IFERROR(INDEX(D$6:D49, MATCH(SUBSTITUTE(C108,"-",""), INDEX(SUBSTITUTE(F$6:F49,"-",""),0), 0)), "")</f>
        <v/>
      </c>
      <c r="E108" s="12887">
        <f>IFERROR(INDEX(G$6:G49, MATCH(SUBSTITUTE(C108,"-",""), INDEX(SUBSTITUTE(F$6:F49,"-",""),0), 0)), "")</f>
        <v/>
      </c>
      <c r="F108" s="12888">
        <f>IFERROR(INDEX(H$6:H49, MATCH(SUBSTITUTE(C108,"-",""), INDEX(SUBSTITUTE(F$6:F49,"-",""),0), 0)), 0)</f>
        <v/>
      </c>
      <c r="G108" s="12889" t="n"/>
      <c r="H108" s="12890" t="n"/>
      <c r="I108" s="12891" t="n"/>
      <c r="J108" s="12892">
        <f>IFERROR(F108-G108, "")</f>
        <v/>
      </c>
      <c r="K108" s="12893" t="n"/>
      <c r="L108" s="12894">
        <f>IFERROR(INDEX(I$6:I49, MATCH(SUBSTITUTE(C108,"-",""), INDEX(SUBSTITUTE(F$6:F49,"-",""),0), 0)), "")</f>
        <v/>
      </c>
      <c r="M108" s="12895">
        <f>IFERROR(IF(K108="","",IF(K108=L108,"✅ Correcta","❌ "&amp; K108 &amp;" (aut: "&amp; L108 &amp;")")), "")</f>
        <v/>
      </c>
      <c r="N108" s="12896">
        <f>IFERROR(G108-F108, "")</f>
        <v/>
      </c>
      <c r="O108" s="12897">
        <f>IFERROR(IF(C108="","",IF(F108=0,"⚠️ Sin Autorización (placa no en catálogo)",IF(N108=0,"✅ Cuadrado",IF(N108&gt;0,"❌ Exceso $"&amp;TEXT(N108,"#,##0.00"),"✅ OK - Saldo $"&amp;TEXT(ABS(N108),"#,##0.00"))))), "")</f>
        <v/>
      </c>
    </row>
    <row r="109">
      <c r="A109" s="12898">
        <f>IF(B109="","", _xludf.WEEKNUM(B109, 2))</f>
        <v/>
      </c>
      <c r="B109" s="12899" t="n"/>
      <c r="C109" s="12900" t="n"/>
      <c r="D109" s="12901">
        <f>IFERROR(INDEX(D$6:D49, MATCH(SUBSTITUTE(C109,"-",""), INDEX(SUBSTITUTE(F$6:F49,"-",""),0), 0)), "")</f>
        <v/>
      </c>
      <c r="E109" s="12902">
        <f>IFERROR(INDEX(G$6:G49, MATCH(SUBSTITUTE(C109,"-",""), INDEX(SUBSTITUTE(F$6:F49,"-",""),0), 0)), "")</f>
        <v/>
      </c>
      <c r="F109" s="12903">
        <f>IFERROR(INDEX(H$6:H49, MATCH(SUBSTITUTE(C109,"-",""), INDEX(SUBSTITUTE(F$6:F49,"-",""),0), 0)), 0)</f>
        <v/>
      </c>
      <c r="G109" s="12904" t="n"/>
      <c r="H109" s="12905" t="n"/>
      <c r="I109" s="12906" t="n"/>
      <c r="J109" s="12907">
        <f>IFERROR(F109-G109, "")</f>
        <v/>
      </c>
      <c r="K109" s="12908" t="n"/>
      <c r="L109" s="12909">
        <f>IFERROR(INDEX(I$6:I49, MATCH(SUBSTITUTE(C109,"-",""), INDEX(SUBSTITUTE(F$6:F49,"-",""),0), 0)), "")</f>
        <v/>
      </c>
      <c r="M109" s="12910">
        <f>IFERROR(IF(K109="","",IF(K109=L109,"✅ Correcta","❌ "&amp; K109 &amp;" (aut: "&amp; L109 &amp;")")), "")</f>
        <v/>
      </c>
      <c r="N109" s="12911">
        <f>IFERROR(G109-F109, "")</f>
        <v/>
      </c>
      <c r="O109" s="12912">
        <f>IFERROR(IF(C109="","",IF(F109=0,"⚠️ Sin Autorización (placa no en catálogo)",IF(N109=0,"✅ Cuadrado",IF(N109&gt;0,"❌ Exceso $"&amp;TEXT(N109,"#,##0.00"),"✅ OK - Saldo $"&amp;TEXT(ABS(N109),"#,##0.00"))))), "")</f>
        <v/>
      </c>
    </row>
    <row r="110">
      <c r="A110" s="12913">
        <f>IF(B110="","", _xludf.WEEKNUM(B110, 2))</f>
        <v/>
      </c>
      <c r="B110" s="12914" t="n"/>
      <c r="C110" s="12915" t="n"/>
      <c r="D110" s="12916">
        <f>IFERROR(INDEX(D$6:D49, MATCH(SUBSTITUTE(C110,"-",""), INDEX(SUBSTITUTE(F$6:F49,"-",""),0), 0)), "")</f>
        <v/>
      </c>
      <c r="E110" s="12917">
        <f>IFERROR(INDEX(G$6:G49, MATCH(SUBSTITUTE(C110,"-",""), INDEX(SUBSTITUTE(F$6:F49,"-",""),0), 0)), "")</f>
        <v/>
      </c>
      <c r="F110" s="12918">
        <f>IFERROR(INDEX(H$6:H49, MATCH(SUBSTITUTE(C110,"-",""), INDEX(SUBSTITUTE(F$6:F49,"-",""),0), 0)), 0)</f>
        <v/>
      </c>
      <c r="G110" s="12919" t="n"/>
      <c r="H110" s="12920" t="n"/>
      <c r="I110" s="12921" t="n"/>
      <c r="J110" s="12922">
        <f>IFERROR(F110-G110, "")</f>
        <v/>
      </c>
      <c r="K110" s="12923" t="n"/>
      <c r="L110" s="12924">
        <f>IFERROR(INDEX(I$6:I49, MATCH(SUBSTITUTE(C110,"-",""), INDEX(SUBSTITUTE(F$6:F49,"-",""),0), 0)), "")</f>
        <v/>
      </c>
      <c r="M110" s="12925">
        <f>IFERROR(IF(K110="","",IF(K110=L110,"✅ Correcta","❌ "&amp; K110 &amp;" (aut: "&amp; L110 &amp;")")), "")</f>
        <v/>
      </c>
      <c r="N110" s="12926">
        <f>IFERROR(G110-F110, "")</f>
        <v/>
      </c>
      <c r="O110" s="12927">
        <f>IFERROR(IF(C110="","",IF(F110=0,"⚠️ Sin Autorización (placa no en catálogo)",IF(N110=0,"✅ Cuadrado",IF(N110&gt;0,"❌ Exceso $"&amp;TEXT(N110,"#,##0.00"),"✅ OK - Saldo $"&amp;TEXT(ABS(N110),"#,##0.00"))))), "")</f>
        <v/>
      </c>
    </row>
    <row r="111">
      <c r="A111" s="12928">
        <f>IF(B111="","", _xludf.WEEKNUM(B111, 2))</f>
        <v/>
      </c>
      <c r="B111" s="12929" t="n"/>
      <c r="C111" s="12930" t="n"/>
      <c r="D111" s="12931">
        <f>IFERROR(INDEX(D$6:D49, MATCH(SUBSTITUTE(C111,"-",""), INDEX(SUBSTITUTE(F$6:F49,"-",""),0), 0)), "")</f>
        <v/>
      </c>
      <c r="E111" s="12932">
        <f>IFERROR(INDEX(G$6:G49, MATCH(SUBSTITUTE(C111,"-",""), INDEX(SUBSTITUTE(F$6:F49,"-",""),0), 0)), "")</f>
        <v/>
      </c>
      <c r="F111" s="12933">
        <f>IFERROR(INDEX(H$6:H49, MATCH(SUBSTITUTE(C111,"-",""), INDEX(SUBSTITUTE(F$6:F49,"-",""),0), 0)), 0)</f>
        <v/>
      </c>
      <c r="G111" s="12934" t="n"/>
      <c r="H111" s="12935" t="n"/>
      <c r="I111" s="12936" t="n"/>
      <c r="J111" s="12937">
        <f>IFERROR(F111-G111, "")</f>
        <v/>
      </c>
      <c r="K111" s="12938" t="n"/>
      <c r="L111" s="12939">
        <f>IFERROR(INDEX(I$6:I49, MATCH(SUBSTITUTE(C111,"-",""), INDEX(SUBSTITUTE(F$6:F49,"-",""),0), 0)), "")</f>
        <v/>
      </c>
      <c r="M111" s="12940">
        <f>IFERROR(IF(K111="","",IF(K111=L111,"✅ Correcta","❌ "&amp; K111 &amp;" (aut: "&amp; L111 &amp;")")), "")</f>
        <v/>
      </c>
      <c r="N111" s="12941">
        <f>IFERROR(G111-F111, "")</f>
        <v/>
      </c>
      <c r="O111" s="12942">
        <f>IFERROR(IF(C111="","",IF(F111=0,"⚠️ Sin Autorización (placa no en catálogo)",IF(N111=0,"✅ Cuadrado",IF(N111&gt;0,"❌ Exceso $"&amp;TEXT(N111,"#,##0.00"),"✅ OK - Saldo $"&amp;TEXT(ABS(N111),"#,##0.00"))))), "")</f>
        <v/>
      </c>
    </row>
    <row r="112">
      <c r="A112" s="12943">
        <f>IF(B112="","", _xludf.WEEKNUM(B112, 2))</f>
        <v/>
      </c>
      <c r="B112" s="12944" t="n"/>
      <c r="C112" s="12945" t="n"/>
      <c r="D112" s="12946">
        <f>IFERROR(INDEX(D$6:D49, MATCH(SUBSTITUTE(C112,"-",""), INDEX(SUBSTITUTE(F$6:F49,"-",""),0), 0)), "")</f>
        <v/>
      </c>
      <c r="E112" s="12947">
        <f>IFERROR(INDEX(G$6:G49, MATCH(SUBSTITUTE(C112,"-",""), INDEX(SUBSTITUTE(F$6:F49,"-",""),0), 0)), "")</f>
        <v/>
      </c>
      <c r="F112" s="12948">
        <f>IFERROR(INDEX(H$6:H49, MATCH(SUBSTITUTE(C112,"-",""), INDEX(SUBSTITUTE(F$6:F49,"-",""),0), 0)), 0)</f>
        <v/>
      </c>
      <c r="G112" s="12949" t="n"/>
      <c r="H112" s="12950" t="n"/>
      <c r="I112" s="12951" t="n"/>
      <c r="J112" s="12952">
        <f>IFERROR(F112-G112, "")</f>
        <v/>
      </c>
      <c r="K112" s="12953" t="n"/>
      <c r="L112" s="12954">
        <f>IFERROR(INDEX(I$6:I49, MATCH(SUBSTITUTE(C112,"-",""), INDEX(SUBSTITUTE(F$6:F49,"-",""),0), 0)), "")</f>
        <v/>
      </c>
      <c r="M112" s="12955">
        <f>IFERROR(IF(K112="","",IF(K112=L112,"✅ Correcta","❌ "&amp; K112 &amp;" (aut: "&amp; L112 &amp;")")), "")</f>
        <v/>
      </c>
      <c r="N112" s="12956">
        <f>IFERROR(G112-F112, "")</f>
        <v/>
      </c>
      <c r="O112" s="12957">
        <f>IFERROR(IF(C112="","",IF(F112=0,"⚠️ Sin Autorización (placa no en catálogo)",IF(N112=0,"✅ Cuadrado",IF(N112&gt;0,"❌ Exceso $"&amp;TEXT(N112,"#,##0.00"),"✅ OK - Saldo $"&amp;TEXT(ABS(N112),"#,##0.00"))))), "")</f>
        <v/>
      </c>
    </row>
    <row r="113">
      <c r="A113" s="12958">
        <f>IF(B113="","", _xludf.WEEKNUM(B113, 2))</f>
        <v/>
      </c>
      <c r="B113" s="12959" t="n"/>
      <c r="C113" s="12960" t="n"/>
      <c r="D113" s="12961">
        <f>IFERROR(INDEX(D$6:D49, MATCH(SUBSTITUTE(C113,"-",""), INDEX(SUBSTITUTE(F$6:F49,"-",""),0), 0)), "")</f>
        <v/>
      </c>
      <c r="E113" s="12962">
        <f>IFERROR(INDEX(G$6:G49, MATCH(SUBSTITUTE(C113,"-",""), INDEX(SUBSTITUTE(F$6:F49,"-",""),0), 0)), "")</f>
        <v/>
      </c>
      <c r="F113" s="12963">
        <f>IFERROR(INDEX(H$6:H49, MATCH(SUBSTITUTE(C113,"-",""), INDEX(SUBSTITUTE(F$6:F49,"-",""),0), 0)), 0)</f>
        <v/>
      </c>
      <c r="G113" s="12964" t="n"/>
      <c r="H113" s="12965" t="n"/>
      <c r="I113" s="12966" t="n"/>
      <c r="J113" s="12967">
        <f>IFERROR(F113-G113, "")</f>
        <v/>
      </c>
      <c r="K113" s="12968" t="n"/>
      <c r="L113" s="12969">
        <f>IFERROR(INDEX(I$6:I49, MATCH(SUBSTITUTE(C113,"-",""), INDEX(SUBSTITUTE(F$6:F49,"-",""),0), 0)), "")</f>
        <v/>
      </c>
      <c r="M113" s="12970">
        <f>IFERROR(IF(K113="","",IF(K113=L113,"✅ Correcta","❌ "&amp; K113 &amp;" (aut: "&amp; L113 &amp;")")), "")</f>
        <v/>
      </c>
      <c r="N113" s="12971">
        <f>IFERROR(G113-F113, "")</f>
        <v/>
      </c>
      <c r="O113" s="12972">
        <f>IFERROR(IF(C113="","",IF(F113=0,"⚠️ Sin Autorización (placa no en catálogo)",IF(N113=0,"✅ Cuadrado",IF(N113&gt;0,"❌ Exceso $"&amp;TEXT(N113,"#,##0.00"),"✅ OK - Saldo $"&amp;TEXT(ABS(N113),"#,##0.00"))))), "")</f>
        <v/>
      </c>
    </row>
    <row r="114">
      <c r="A114" s="12973">
        <f>IF(B114="","", _xludf.WEEKNUM(B114, 2))</f>
        <v/>
      </c>
      <c r="B114" s="12974" t="n"/>
      <c r="C114" s="12975" t="n"/>
      <c r="D114" s="12976">
        <f>IFERROR(INDEX(D$6:D49, MATCH(SUBSTITUTE(C114,"-",""), INDEX(SUBSTITUTE(F$6:F49,"-",""),0), 0)), "")</f>
        <v/>
      </c>
      <c r="E114" s="12977">
        <f>IFERROR(INDEX(G$6:G49, MATCH(SUBSTITUTE(C114,"-",""), INDEX(SUBSTITUTE(F$6:F49,"-",""),0), 0)), "")</f>
        <v/>
      </c>
      <c r="F114" s="12978">
        <f>IFERROR(INDEX(H$6:H49, MATCH(SUBSTITUTE(C114,"-",""), INDEX(SUBSTITUTE(F$6:F49,"-",""),0), 0)), 0)</f>
        <v/>
      </c>
      <c r="G114" s="12979" t="n"/>
      <c r="H114" s="12980" t="n"/>
      <c r="I114" s="12981" t="n"/>
      <c r="J114" s="12982">
        <f>IFERROR(F114-G114, "")</f>
        <v/>
      </c>
      <c r="K114" s="12983" t="n"/>
      <c r="L114" s="12984">
        <f>IFERROR(INDEX(I$6:I49, MATCH(SUBSTITUTE(C114,"-",""), INDEX(SUBSTITUTE(F$6:F49,"-",""),0), 0)), "")</f>
        <v/>
      </c>
      <c r="M114" s="12985">
        <f>IFERROR(IF(K114="","",IF(K114=L114,"✅ Correcta","❌ "&amp; K114 &amp;" (aut: "&amp; L114 &amp;")")), "")</f>
        <v/>
      </c>
      <c r="N114" s="12986">
        <f>IFERROR(G114-F114, "")</f>
        <v/>
      </c>
      <c r="O114" s="12987">
        <f>IFERROR(IF(C114="","",IF(F114=0,"⚠️ Sin Autorización (placa no en catálogo)",IF(N114=0,"✅ Cuadrado",IF(N114&gt;0,"❌ Exceso $"&amp;TEXT(N114,"#,##0.00"),"✅ OK - Saldo $"&amp;TEXT(ABS(N114),"#,##0.00"))))), "")</f>
        <v/>
      </c>
    </row>
    <row r="115">
      <c r="A115" s="12988">
        <f>IF(B115="","", _xludf.WEEKNUM(B115, 2))</f>
        <v/>
      </c>
      <c r="B115" s="12989" t="n"/>
      <c r="C115" s="12990" t="n"/>
      <c r="D115" s="12991">
        <f>IFERROR(INDEX(D$6:D49, MATCH(SUBSTITUTE(C115,"-",""), INDEX(SUBSTITUTE(F$6:F49,"-",""),0), 0)), "")</f>
        <v/>
      </c>
      <c r="E115" s="12992">
        <f>IFERROR(INDEX(G$6:G49, MATCH(SUBSTITUTE(C115,"-",""), INDEX(SUBSTITUTE(F$6:F49,"-",""),0), 0)), "")</f>
        <v/>
      </c>
      <c r="F115" s="12993">
        <f>IFERROR(INDEX(H$6:H49, MATCH(SUBSTITUTE(C115,"-",""), INDEX(SUBSTITUTE(F$6:F49,"-",""),0), 0)), 0)</f>
        <v/>
      </c>
      <c r="G115" s="12994" t="n"/>
      <c r="H115" s="12995" t="n"/>
      <c r="I115" s="12996" t="n"/>
      <c r="J115" s="12997">
        <f>IFERROR(F115-G115, "")</f>
        <v/>
      </c>
      <c r="K115" s="12998" t="n"/>
      <c r="L115" s="12999">
        <f>IFERROR(INDEX(I$6:I49, MATCH(SUBSTITUTE(C115,"-",""), INDEX(SUBSTITUTE(F$6:F49,"-",""),0), 0)), "")</f>
        <v/>
      </c>
      <c r="M115" s="13000">
        <f>IFERROR(IF(K115="","",IF(K115=L115,"✅ Correcta","❌ "&amp; K115 &amp;" (aut: "&amp; L115 &amp;")")), "")</f>
        <v/>
      </c>
      <c r="N115" s="13001">
        <f>IFERROR(G115-F115, "")</f>
        <v/>
      </c>
      <c r="O115" s="13002">
        <f>IFERROR(IF(C115="","",IF(F115=0,"⚠️ Sin Autorización (placa no en catálogo)",IF(N115=0,"✅ Cuadrado",IF(N115&gt;0,"❌ Exceso $"&amp;TEXT(N115,"#,##0.00"),"✅ OK - Saldo $"&amp;TEXT(ABS(N115),"#,##0.00"))))), "")</f>
        <v/>
      </c>
    </row>
    <row r="116">
      <c r="A116" s="13003">
        <f>IF(B116="","", _xludf.WEEKNUM(B116, 2))</f>
        <v/>
      </c>
      <c r="B116" s="13004" t="n"/>
      <c r="C116" s="13005" t="n"/>
      <c r="D116" s="13006">
        <f>IFERROR(INDEX(D$6:D49, MATCH(SUBSTITUTE(C116,"-",""), INDEX(SUBSTITUTE(F$6:F49,"-",""),0), 0)), "")</f>
        <v/>
      </c>
      <c r="E116" s="13007">
        <f>IFERROR(INDEX(G$6:G49, MATCH(SUBSTITUTE(C116,"-",""), INDEX(SUBSTITUTE(F$6:F49,"-",""),0), 0)), "")</f>
        <v/>
      </c>
      <c r="F116" s="13008">
        <f>IFERROR(INDEX(H$6:H49, MATCH(SUBSTITUTE(C116,"-",""), INDEX(SUBSTITUTE(F$6:F49,"-",""),0), 0)), 0)</f>
        <v/>
      </c>
      <c r="G116" s="13009" t="n"/>
      <c r="H116" s="13010" t="n"/>
      <c r="I116" s="13011" t="n"/>
      <c r="J116" s="13012">
        <f>IFERROR(F116-G116, "")</f>
        <v/>
      </c>
      <c r="K116" s="13013" t="n"/>
      <c r="L116" s="13014">
        <f>IFERROR(INDEX(I$6:I49, MATCH(SUBSTITUTE(C116,"-",""), INDEX(SUBSTITUTE(F$6:F49,"-",""),0), 0)), "")</f>
        <v/>
      </c>
      <c r="M116" s="13015">
        <f>IFERROR(IF(K116="","",IF(K116=L116,"✅ Correcta","❌ "&amp; K116 &amp;" (aut: "&amp; L116 &amp;")")), "")</f>
        <v/>
      </c>
      <c r="N116" s="13016">
        <f>IFERROR(G116-F116, "")</f>
        <v/>
      </c>
      <c r="O116" s="13017">
        <f>IFERROR(IF(C116="","",IF(F116=0,"⚠️ Sin Autorización (placa no en catálogo)",IF(N116=0,"✅ Cuadrado",IF(N116&gt;0,"❌ Exceso $"&amp;TEXT(N116,"#,##0.00"),"✅ OK - Saldo $"&amp;TEXT(ABS(N116),"#,##0.00"))))), "")</f>
        <v/>
      </c>
    </row>
    <row r="117">
      <c r="A117" s="13018">
        <f>IF(B117="","", _xludf.WEEKNUM(B117, 2))</f>
        <v/>
      </c>
      <c r="B117" s="13019" t="n"/>
      <c r="C117" s="13020" t="n"/>
      <c r="D117" s="13021">
        <f>IFERROR(INDEX(D$6:D49, MATCH(SUBSTITUTE(C117,"-",""), INDEX(SUBSTITUTE(F$6:F49,"-",""),0), 0)), "")</f>
        <v/>
      </c>
      <c r="E117" s="13022">
        <f>IFERROR(INDEX(G$6:G49, MATCH(SUBSTITUTE(C117,"-",""), INDEX(SUBSTITUTE(F$6:F49,"-",""),0), 0)), "")</f>
        <v/>
      </c>
      <c r="F117" s="13023">
        <f>IFERROR(INDEX(H$6:H49, MATCH(SUBSTITUTE(C117,"-",""), INDEX(SUBSTITUTE(F$6:F49,"-",""),0), 0)), 0)</f>
        <v/>
      </c>
      <c r="G117" s="13024" t="n"/>
      <c r="H117" s="13025" t="n"/>
      <c r="I117" s="13026" t="n"/>
      <c r="J117" s="13027">
        <f>IFERROR(F117-G117, "")</f>
        <v/>
      </c>
      <c r="K117" s="13028" t="n"/>
      <c r="L117" s="13029">
        <f>IFERROR(INDEX(I$6:I49, MATCH(SUBSTITUTE(C117,"-",""), INDEX(SUBSTITUTE(F$6:F49,"-",""),0), 0)), "")</f>
        <v/>
      </c>
      <c r="M117" s="13030">
        <f>IFERROR(IF(K117="","",IF(K117=L117,"✅ Correcta","❌ "&amp; K117 &amp;" (aut: "&amp; L117 &amp;")")), "")</f>
        <v/>
      </c>
      <c r="N117" s="13031">
        <f>IFERROR(G117-F117, "")</f>
        <v/>
      </c>
      <c r="O117" s="13032">
        <f>IFERROR(IF(C117="","",IF(F117=0,"⚠️ Sin Autorización (placa no en catálogo)",IF(N117=0,"✅ Cuadrado",IF(N117&gt;0,"❌ Exceso $"&amp;TEXT(N117,"#,##0.00"),"✅ OK - Saldo $"&amp;TEXT(ABS(N117),"#,##0.00"))))), "")</f>
        <v/>
      </c>
    </row>
    <row r="118">
      <c r="A118" s="13033">
        <f>IF(B118="","", _xludf.WEEKNUM(B118, 2))</f>
        <v/>
      </c>
      <c r="B118" s="13034" t="n"/>
      <c r="C118" s="13035" t="n"/>
      <c r="D118" s="13036">
        <f>IFERROR(INDEX(D$6:D49, MATCH(SUBSTITUTE(C118,"-",""), INDEX(SUBSTITUTE(F$6:F49,"-",""),0), 0)), "")</f>
        <v/>
      </c>
      <c r="E118" s="13037">
        <f>IFERROR(INDEX(G$6:G49, MATCH(SUBSTITUTE(C118,"-",""), INDEX(SUBSTITUTE(F$6:F49,"-",""),0), 0)), "")</f>
        <v/>
      </c>
      <c r="F118" s="13038">
        <f>IFERROR(INDEX(H$6:H49, MATCH(SUBSTITUTE(C118,"-",""), INDEX(SUBSTITUTE(F$6:F49,"-",""),0), 0)), 0)</f>
        <v/>
      </c>
      <c r="G118" s="13039" t="n"/>
      <c r="H118" s="13040" t="n"/>
      <c r="I118" s="13041" t="n"/>
      <c r="J118" s="13042">
        <f>IFERROR(F118-G118, "")</f>
        <v/>
      </c>
      <c r="K118" s="13043" t="n"/>
      <c r="L118" s="13044">
        <f>IFERROR(INDEX(I$6:I49, MATCH(SUBSTITUTE(C118,"-",""), INDEX(SUBSTITUTE(F$6:F49,"-",""),0), 0)), "")</f>
        <v/>
      </c>
      <c r="M118" s="13045">
        <f>IFERROR(IF(K118="","",IF(K118=L118,"✅ Correcta","❌ "&amp; K118 &amp;" (aut: "&amp; L118 &amp;")")), "")</f>
        <v/>
      </c>
      <c r="N118" s="13046">
        <f>IFERROR(G118-F118, "")</f>
        <v/>
      </c>
      <c r="O118" s="13047">
        <f>IFERROR(IF(C118="","",IF(F118=0,"⚠️ Sin Autorización (placa no en catálogo)",IF(N118=0,"✅ Cuadrado",IF(N118&gt;0,"❌ Exceso $"&amp;TEXT(N118,"#,##0.00"),"✅ OK - Saldo $"&amp;TEXT(ABS(N118),"#,##0.00"))))), "")</f>
        <v/>
      </c>
    </row>
    <row r="119">
      <c r="A119" s="13048">
        <f>IF(B119="","", _xludf.WEEKNUM(B119, 2))</f>
        <v/>
      </c>
      <c r="B119" s="13049" t="n"/>
      <c r="C119" s="13050" t="n"/>
      <c r="D119" s="13051">
        <f>IFERROR(INDEX(D$6:D49, MATCH(SUBSTITUTE(C119,"-",""), INDEX(SUBSTITUTE(F$6:F49,"-",""),0), 0)), "")</f>
        <v/>
      </c>
      <c r="E119" s="13052">
        <f>IFERROR(INDEX(G$6:G49, MATCH(SUBSTITUTE(C119,"-",""), INDEX(SUBSTITUTE(F$6:F49,"-",""),0), 0)), "")</f>
        <v/>
      </c>
      <c r="F119" s="13053">
        <f>IFERROR(INDEX(H$6:H49, MATCH(SUBSTITUTE(C119,"-",""), INDEX(SUBSTITUTE(F$6:F49,"-",""),0), 0)), 0)</f>
        <v/>
      </c>
      <c r="G119" s="13054" t="n"/>
      <c r="H119" s="13055" t="n"/>
      <c r="I119" s="13056" t="n"/>
      <c r="J119" s="13057">
        <f>IFERROR(F119-G119, "")</f>
        <v/>
      </c>
      <c r="K119" s="13058" t="n"/>
      <c r="L119" s="13059">
        <f>IFERROR(INDEX(I$6:I49, MATCH(SUBSTITUTE(C119,"-",""), INDEX(SUBSTITUTE(F$6:F49,"-",""),0), 0)), "")</f>
        <v/>
      </c>
      <c r="M119" s="13060">
        <f>IFERROR(IF(K119="","",IF(K119=L119,"✅ Correcta","❌ "&amp; K119 &amp;" (aut: "&amp; L119 &amp;")")), "")</f>
        <v/>
      </c>
      <c r="N119" s="13061">
        <f>IFERROR(G119-F119, "")</f>
        <v/>
      </c>
      <c r="O119" s="13062">
        <f>IFERROR(IF(C119="","",IF(F119=0,"⚠️ Sin Autorización (placa no en catálogo)",IF(N119=0,"✅ Cuadrado",IF(N119&gt;0,"❌ Exceso $"&amp;TEXT(N119,"#,##0.00"),"✅ OK - Saldo $"&amp;TEXT(ABS(N119),"#,##0.00"))))), "")</f>
        <v/>
      </c>
    </row>
    <row r="120">
      <c r="A120" s="13063">
        <f>IF(B120="","", _xludf.WEEKNUM(B120, 2))</f>
        <v/>
      </c>
      <c r="B120" s="13064" t="n"/>
      <c r="C120" s="13065" t="n"/>
      <c r="D120" s="13066">
        <f>IFERROR(INDEX(D$6:D49, MATCH(SUBSTITUTE(C120,"-",""), INDEX(SUBSTITUTE(F$6:F49,"-",""),0), 0)), "")</f>
        <v/>
      </c>
      <c r="E120" s="13067">
        <f>IFERROR(INDEX(G$6:G49, MATCH(SUBSTITUTE(C120,"-",""), INDEX(SUBSTITUTE(F$6:F49,"-",""),0), 0)), "")</f>
        <v/>
      </c>
      <c r="F120" s="13068">
        <f>IFERROR(INDEX(H$6:H49, MATCH(SUBSTITUTE(C120,"-",""), INDEX(SUBSTITUTE(F$6:F49,"-",""),0), 0)), 0)</f>
        <v/>
      </c>
      <c r="G120" s="13069" t="n"/>
      <c r="H120" s="13070" t="n"/>
      <c r="I120" s="13071" t="n"/>
      <c r="J120" s="13072">
        <f>IFERROR(F120-G120, "")</f>
        <v/>
      </c>
      <c r="K120" s="13073" t="n"/>
      <c r="L120" s="13074">
        <f>IFERROR(INDEX(I$6:I49, MATCH(SUBSTITUTE(C120,"-",""), INDEX(SUBSTITUTE(F$6:F49,"-",""),0), 0)), "")</f>
        <v/>
      </c>
      <c r="M120" s="13075">
        <f>IFERROR(IF(K120="","",IF(K120=L120,"✅ Correcta","❌ "&amp; K120 &amp;" (aut: "&amp; L120 &amp;")")), "")</f>
        <v/>
      </c>
      <c r="N120" s="13076">
        <f>IFERROR(G120-F120, "")</f>
        <v/>
      </c>
      <c r="O120" s="13077">
        <f>IFERROR(IF(C120="","",IF(F120=0,"⚠️ Sin Autorización (placa no en catálogo)",IF(N120=0,"✅ Cuadrado",IF(N120&gt;0,"❌ Exceso $"&amp;TEXT(N120,"#,##0.00"),"✅ OK - Saldo $"&amp;TEXT(ABS(N120),"#,##0.00"))))), "")</f>
        <v/>
      </c>
    </row>
    <row r="121">
      <c r="A121" s="13078">
        <f>IF(B121="","", _xludf.WEEKNUM(B121, 2))</f>
        <v/>
      </c>
      <c r="B121" s="13079" t="n"/>
      <c r="C121" s="13080" t="n"/>
      <c r="D121" s="13081">
        <f>IFERROR(INDEX(D$6:D49, MATCH(SUBSTITUTE(C121,"-",""), INDEX(SUBSTITUTE(F$6:F49,"-",""),0), 0)), "")</f>
        <v/>
      </c>
      <c r="E121" s="13082">
        <f>IFERROR(INDEX(G$6:G49, MATCH(SUBSTITUTE(C121,"-",""), INDEX(SUBSTITUTE(F$6:F49,"-",""),0), 0)), "")</f>
        <v/>
      </c>
      <c r="F121" s="13083">
        <f>IFERROR(INDEX(H$6:H49, MATCH(SUBSTITUTE(C121,"-",""), INDEX(SUBSTITUTE(F$6:F49,"-",""),0), 0)), 0)</f>
        <v/>
      </c>
      <c r="G121" s="13084" t="n"/>
      <c r="H121" s="13085" t="n"/>
      <c r="I121" s="13086" t="n"/>
      <c r="J121" s="13087">
        <f>IFERROR(F121-G121, "")</f>
        <v/>
      </c>
      <c r="K121" s="13088" t="n"/>
      <c r="L121" s="13089">
        <f>IFERROR(INDEX(I$6:I49, MATCH(SUBSTITUTE(C121,"-",""), INDEX(SUBSTITUTE(F$6:F49,"-",""),0), 0)), "")</f>
        <v/>
      </c>
      <c r="M121" s="13090">
        <f>IFERROR(IF(K121="","",IF(K121=L121,"✅ Correcta","❌ "&amp; K121 &amp;" (aut: "&amp; L121 &amp;")")), "")</f>
        <v/>
      </c>
      <c r="N121" s="13091">
        <f>IFERROR(G121-F121, "")</f>
        <v/>
      </c>
      <c r="O121" s="13092">
        <f>IFERROR(IF(C121="","",IF(F121=0,"⚠️ Sin Autorización (placa no en catálogo)",IF(N121=0,"✅ Cuadrado",IF(N121&gt;0,"❌ Exceso $"&amp;TEXT(N121,"#,##0.00"),"✅ OK - Saldo $"&amp;TEXT(ABS(N121),"#,##0.00"))))), "")</f>
        <v/>
      </c>
    </row>
    <row r="122">
      <c r="A122" s="13093">
        <f>IF(B122="","", _xludf.WEEKNUM(B122, 2))</f>
        <v/>
      </c>
      <c r="B122" s="13094" t="n"/>
      <c r="C122" s="13095" t="n"/>
      <c r="D122" s="13096">
        <f>IFERROR(INDEX(D$6:D49, MATCH(SUBSTITUTE(C122,"-",""), INDEX(SUBSTITUTE(F$6:F49,"-",""),0), 0)), "")</f>
        <v/>
      </c>
      <c r="E122" s="13097">
        <f>IFERROR(INDEX(G$6:G49, MATCH(SUBSTITUTE(C122,"-",""), INDEX(SUBSTITUTE(F$6:F49,"-",""),0), 0)), "")</f>
        <v/>
      </c>
      <c r="F122" s="13098">
        <f>IFERROR(INDEX(H$6:H49, MATCH(SUBSTITUTE(C122,"-",""), INDEX(SUBSTITUTE(F$6:F49,"-",""),0), 0)), 0)</f>
        <v/>
      </c>
      <c r="G122" s="13099" t="n"/>
      <c r="H122" s="13100" t="n"/>
      <c r="I122" s="13101" t="n"/>
      <c r="J122" s="13102">
        <f>IFERROR(F122-G122, "")</f>
        <v/>
      </c>
      <c r="K122" s="13103" t="n"/>
      <c r="L122" s="13104">
        <f>IFERROR(INDEX(I$6:I49, MATCH(SUBSTITUTE(C122,"-",""), INDEX(SUBSTITUTE(F$6:F49,"-",""),0), 0)), "")</f>
        <v/>
      </c>
      <c r="M122" s="13105">
        <f>IFERROR(IF(K122="","",IF(K122=L122,"✅ Correcta","❌ "&amp; K122 &amp;" (aut: "&amp; L122 &amp;")")), "")</f>
        <v/>
      </c>
      <c r="N122" s="13106">
        <f>IFERROR(G122-F122, "")</f>
        <v/>
      </c>
      <c r="O122" s="13107">
        <f>IFERROR(IF(C122="","",IF(F122=0,"⚠️ Sin Autorización (placa no en catálogo)",IF(N122=0,"✅ Cuadrado",IF(N122&gt;0,"❌ Exceso $"&amp;TEXT(N122,"#,##0.00"),"✅ OK - Saldo $"&amp;TEXT(ABS(N122),"#,##0.00"))))), "")</f>
        <v/>
      </c>
    </row>
    <row r="123">
      <c r="A123" s="13108">
        <f>IF(B123="","", _xludf.WEEKNUM(B123, 2))</f>
        <v/>
      </c>
      <c r="B123" s="13109" t="n"/>
      <c r="C123" s="13110" t="n"/>
      <c r="D123" s="13111">
        <f>IFERROR(INDEX(D$6:D49, MATCH(SUBSTITUTE(C123,"-",""), INDEX(SUBSTITUTE(F$6:F49,"-",""),0), 0)), "")</f>
        <v/>
      </c>
      <c r="E123" s="13112">
        <f>IFERROR(INDEX(G$6:G49, MATCH(SUBSTITUTE(C123,"-",""), INDEX(SUBSTITUTE(F$6:F49,"-",""),0), 0)), "")</f>
        <v/>
      </c>
      <c r="F123" s="13113">
        <f>IFERROR(INDEX(H$6:H49, MATCH(SUBSTITUTE(C123,"-",""), INDEX(SUBSTITUTE(F$6:F49,"-",""),0), 0)), 0)</f>
        <v/>
      </c>
      <c r="G123" s="13114" t="n"/>
      <c r="H123" s="13115" t="n"/>
      <c r="I123" s="13116" t="n"/>
      <c r="J123" s="13117">
        <f>IFERROR(F123-G123, "")</f>
        <v/>
      </c>
      <c r="K123" s="13118" t="n"/>
      <c r="L123" s="13119">
        <f>IFERROR(INDEX(I$6:I49, MATCH(SUBSTITUTE(C123,"-",""), INDEX(SUBSTITUTE(F$6:F49,"-",""),0), 0)), "")</f>
        <v/>
      </c>
      <c r="M123" s="13120">
        <f>IFERROR(IF(K123="","",IF(K123=L123,"✅ Correcta","❌ "&amp; K123 &amp;" (aut: "&amp; L123 &amp;")")), "")</f>
        <v/>
      </c>
      <c r="N123" s="13121">
        <f>IFERROR(G123-F123, "")</f>
        <v/>
      </c>
      <c r="O123" s="13122">
        <f>IFERROR(IF(C123="","",IF(F123=0,"⚠️ Sin Autorización (placa no en catálogo)",IF(N123=0,"✅ Cuadrado",IF(N123&gt;0,"❌ Exceso $"&amp;TEXT(N123,"#,##0.00"),"✅ OK - Saldo $"&amp;TEXT(ABS(N123),"#,##0.00"))))), "")</f>
        <v/>
      </c>
    </row>
    <row r="124">
      <c r="A124" s="13123">
        <f>IF(B124="","", _xludf.WEEKNUM(B124, 2))</f>
        <v/>
      </c>
      <c r="B124" s="13124" t="n"/>
      <c r="C124" s="13125" t="n"/>
      <c r="D124" s="13126">
        <f>IFERROR(INDEX(D$6:D49, MATCH(SUBSTITUTE(C124,"-",""), INDEX(SUBSTITUTE(F$6:F49,"-",""),0), 0)), "")</f>
        <v/>
      </c>
      <c r="E124" s="13127">
        <f>IFERROR(INDEX(G$6:G49, MATCH(SUBSTITUTE(C124,"-",""), INDEX(SUBSTITUTE(F$6:F49,"-",""),0), 0)), "")</f>
        <v/>
      </c>
      <c r="F124" s="13128">
        <f>IFERROR(INDEX(H$6:H49, MATCH(SUBSTITUTE(C124,"-",""), INDEX(SUBSTITUTE(F$6:F49,"-",""),0), 0)), 0)</f>
        <v/>
      </c>
      <c r="G124" s="13129" t="n"/>
      <c r="H124" s="13130" t="n"/>
      <c r="I124" s="13131" t="n"/>
      <c r="J124" s="13132">
        <f>IFERROR(F124-G124, "")</f>
        <v/>
      </c>
      <c r="K124" s="13133" t="n"/>
      <c r="L124" s="13134">
        <f>IFERROR(INDEX(I$6:I49, MATCH(SUBSTITUTE(C124,"-",""), INDEX(SUBSTITUTE(F$6:F49,"-",""),0), 0)), "")</f>
        <v/>
      </c>
      <c r="M124" s="13135">
        <f>IFERROR(IF(K124="","",IF(K124=L124,"✅ Correcta","❌ "&amp; K124 &amp;" (aut: "&amp; L124 &amp;")")), "")</f>
        <v/>
      </c>
      <c r="N124" s="13136">
        <f>IFERROR(G124-F124, "")</f>
        <v/>
      </c>
      <c r="O124" s="13137">
        <f>IFERROR(IF(C124="","",IF(F124=0,"⚠️ Sin Autorización (placa no en catálogo)",IF(N124=0,"✅ Cuadrado",IF(N124&gt;0,"❌ Exceso $"&amp;TEXT(N124,"#,##0.00"),"✅ OK - Saldo $"&amp;TEXT(ABS(N124),"#,##0.00"))))), "")</f>
        <v/>
      </c>
    </row>
    <row r="125">
      <c r="A125" s="13138">
        <f>IF(B125="","", _xludf.WEEKNUM(B125, 2))</f>
        <v/>
      </c>
      <c r="B125" s="13139" t="n"/>
      <c r="C125" s="13140" t="n"/>
      <c r="D125" s="13141">
        <f>IFERROR(INDEX(D$6:D49, MATCH(SUBSTITUTE(C125,"-",""), INDEX(SUBSTITUTE(F$6:F49,"-",""),0), 0)), "")</f>
        <v/>
      </c>
      <c r="E125" s="13142">
        <f>IFERROR(INDEX(G$6:G49, MATCH(SUBSTITUTE(C125,"-",""), INDEX(SUBSTITUTE(F$6:F49,"-",""),0), 0)), "")</f>
        <v/>
      </c>
      <c r="F125" s="13143">
        <f>IFERROR(INDEX(H$6:H49, MATCH(SUBSTITUTE(C125,"-",""), INDEX(SUBSTITUTE(F$6:F49,"-",""),0), 0)), 0)</f>
        <v/>
      </c>
      <c r="G125" s="13144" t="n"/>
      <c r="H125" s="13145" t="n"/>
      <c r="I125" s="13146" t="n"/>
      <c r="J125" s="13147">
        <f>IFERROR(F125-G125, "")</f>
        <v/>
      </c>
      <c r="K125" s="13148" t="n"/>
      <c r="L125" s="13149">
        <f>IFERROR(INDEX(I$6:I49, MATCH(SUBSTITUTE(C125,"-",""), INDEX(SUBSTITUTE(F$6:F49,"-",""),0), 0)), "")</f>
        <v/>
      </c>
      <c r="M125" s="13150">
        <f>IFERROR(IF(K125="","",IF(K125=L125,"✅ Correcta","❌ "&amp; K125 &amp;" (aut: "&amp; L125 &amp;")")), "")</f>
        <v/>
      </c>
      <c r="N125" s="13151">
        <f>IFERROR(G125-F125, "")</f>
        <v/>
      </c>
      <c r="O125" s="13152">
        <f>IFERROR(IF(C125="","",IF(F125=0,"⚠️ Sin Autorización (placa no en catálogo)",IF(N125=0,"✅ Cuadrado",IF(N125&gt;0,"❌ Exceso $"&amp;TEXT(N125,"#,##0.00"),"✅ OK - Saldo $"&amp;TEXT(ABS(N125),"#,##0.00"))))), "")</f>
        <v/>
      </c>
    </row>
    <row r="126">
      <c r="A126" s="13153">
        <f>IF(B126="","", _xludf.WEEKNUM(B126, 2))</f>
        <v/>
      </c>
      <c r="B126" s="13154" t="n"/>
      <c r="C126" s="13155" t="n"/>
      <c r="D126" s="13156">
        <f>IFERROR(INDEX(D$6:D49, MATCH(SUBSTITUTE(C126,"-",""), INDEX(SUBSTITUTE(F$6:F49,"-",""),0), 0)), "")</f>
        <v/>
      </c>
      <c r="E126" s="13157">
        <f>IFERROR(INDEX(G$6:G49, MATCH(SUBSTITUTE(C126,"-",""), INDEX(SUBSTITUTE(F$6:F49,"-",""),0), 0)), "")</f>
        <v/>
      </c>
      <c r="F126" s="13158">
        <f>IFERROR(INDEX(H$6:H49, MATCH(SUBSTITUTE(C126,"-",""), INDEX(SUBSTITUTE(F$6:F49,"-",""),0), 0)), 0)</f>
        <v/>
      </c>
      <c r="G126" s="13159" t="n"/>
      <c r="H126" s="13160" t="n"/>
      <c r="I126" s="13161" t="n"/>
      <c r="J126" s="13162">
        <f>IFERROR(F126-G126, "")</f>
        <v/>
      </c>
      <c r="K126" s="13163" t="n"/>
      <c r="L126" s="13164">
        <f>IFERROR(INDEX(I$6:I49, MATCH(SUBSTITUTE(C126,"-",""), INDEX(SUBSTITUTE(F$6:F49,"-",""),0), 0)), "")</f>
        <v/>
      </c>
      <c r="M126" s="13165">
        <f>IFERROR(IF(K126="","",IF(K126=L126,"✅ Correcta","❌ "&amp; K126 &amp;" (aut: "&amp; L126 &amp;")")), "")</f>
        <v/>
      </c>
      <c r="N126" s="13166">
        <f>IFERROR(G126-F126, "")</f>
        <v/>
      </c>
      <c r="O126" s="13167">
        <f>IFERROR(IF(C126="","",IF(F126=0,"⚠️ Sin Autorización (placa no en catálogo)",IF(N126=0,"✅ Cuadrado",IF(N126&gt;0,"❌ Exceso $"&amp;TEXT(N126,"#,##0.00"),"✅ OK - Saldo $"&amp;TEXT(ABS(N126),"#,##0.00"))))), "")</f>
        <v/>
      </c>
    </row>
    <row r="127">
      <c r="A127" s="13168">
        <f>IF(B127="","", _xludf.WEEKNUM(B127, 2))</f>
        <v/>
      </c>
      <c r="B127" s="13169" t="n"/>
      <c r="C127" s="13170" t="n"/>
      <c r="D127" s="13171">
        <f>IFERROR(INDEX(D$6:D49, MATCH(SUBSTITUTE(C127,"-",""), INDEX(SUBSTITUTE(F$6:F49,"-",""),0), 0)), "")</f>
        <v/>
      </c>
      <c r="E127" s="13172">
        <f>IFERROR(INDEX(G$6:G49, MATCH(SUBSTITUTE(C127,"-",""), INDEX(SUBSTITUTE(F$6:F49,"-",""),0), 0)), "")</f>
        <v/>
      </c>
      <c r="F127" s="13173">
        <f>IFERROR(INDEX(H$6:H49, MATCH(SUBSTITUTE(C127,"-",""), INDEX(SUBSTITUTE(F$6:F49,"-",""),0), 0)), 0)</f>
        <v/>
      </c>
      <c r="G127" s="13174" t="n"/>
      <c r="H127" s="13175" t="n"/>
      <c r="I127" s="13176" t="n"/>
      <c r="J127" s="13177">
        <f>IFERROR(F127-G127, "")</f>
        <v/>
      </c>
      <c r="K127" s="13178" t="n"/>
      <c r="L127" s="13179">
        <f>IFERROR(INDEX(I$6:I49, MATCH(SUBSTITUTE(C127,"-",""), INDEX(SUBSTITUTE(F$6:F49,"-",""),0), 0)), "")</f>
        <v/>
      </c>
      <c r="M127" s="13180">
        <f>IFERROR(IF(K127="","",IF(K127=L127,"✅ Correcta","❌ "&amp; K127 &amp;" (aut: "&amp; L127 &amp;")")), "")</f>
        <v/>
      </c>
      <c r="N127" s="13181">
        <f>IFERROR(G127-F127, "")</f>
        <v/>
      </c>
      <c r="O127" s="13182">
        <f>IFERROR(IF(C127="","",IF(F127=0,"⚠️ Sin Autorización (placa no en catálogo)",IF(N127=0,"✅ Cuadrado",IF(N127&gt;0,"❌ Exceso $"&amp;TEXT(N127,"#,##0.00"),"✅ OK - Saldo $"&amp;TEXT(ABS(N127),"#,##0.00"))))), "")</f>
        <v/>
      </c>
    </row>
    <row r="128">
      <c r="A128" s="13183">
        <f>IF(B128="","", _xludf.WEEKNUM(B128, 2))</f>
        <v/>
      </c>
      <c r="B128" s="13184" t="n"/>
      <c r="C128" s="13185" t="n"/>
      <c r="D128" s="13186">
        <f>IFERROR(INDEX(D$6:D49, MATCH(SUBSTITUTE(C128,"-",""), INDEX(SUBSTITUTE(F$6:F49,"-",""),0), 0)), "")</f>
        <v/>
      </c>
      <c r="E128" s="13187">
        <f>IFERROR(INDEX(G$6:G49, MATCH(SUBSTITUTE(C128,"-",""), INDEX(SUBSTITUTE(F$6:F49,"-",""),0), 0)), "")</f>
        <v/>
      </c>
      <c r="F128" s="13188">
        <f>IFERROR(INDEX(H$6:H49, MATCH(SUBSTITUTE(C128,"-",""), INDEX(SUBSTITUTE(F$6:F49,"-",""),0), 0)), 0)</f>
        <v/>
      </c>
      <c r="G128" s="13189" t="n"/>
      <c r="H128" s="13190" t="n"/>
      <c r="I128" s="13191" t="n"/>
      <c r="J128" s="13192">
        <f>IFERROR(F128-G128, "")</f>
        <v/>
      </c>
      <c r="K128" s="13193" t="n"/>
      <c r="L128" s="13194">
        <f>IFERROR(INDEX(I$6:I49, MATCH(SUBSTITUTE(C128,"-",""), INDEX(SUBSTITUTE(F$6:F49,"-",""),0), 0)), "")</f>
        <v/>
      </c>
      <c r="M128" s="13195">
        <f>IFERROR(IF(K128="","",IF(K128=L128,"✅ Correcta","❌ "&amp; K128 &amp;" (aut: "&amp; L128 &amp;")")), "")</f>
        <v/>
      </c>
      <c r="N128" s="13196">
        <f>IFERROR(G128-F128, "")</f>
        <v/>
      </c>
      <c r="O128" s="13197">
        <f>IFERROR(IF(C128="","",IF(F128=0,"⚠️ Sin Autorización (placa no en catálogo)",IF(N128=0,"✅ Cuadrado",IF(N128&gt;0,"❌ Exceso $"&amp;TEXT(N128,"#,##0.00"),"✅ OK - Saldo $"&amp;TEXT(ABS(N128),"#,##0.00"))))), "")</f>
        <v/>
      </c>
    </row>
    <row r="129">
      <c r="A129" s="13198">
        <f>IF(B129="","", _xludf.WEEKNUM(B129, 2))</f>
        <v/>
      </c>
      <c r="B129" s="13199" t="n"/>
      <c r="C129" s="13200" t="n"/>
      <c r="D129" s="13201">
        <f>IFERROR(INDEX(D$6:D49, MATCH(SUBSTITUTE(C129,"-",""), INDEX(SUBSTITUTE(F$6:F49,"-",""),0), 0)), "")</f>
        <v/>
      </c>
      <c r="E129" s="13202">
        <f>IFERROR(INDEX(G$6:G49, MATCH(SUBSTITUTE(C129,"-",""), INDEX(SUBSTITUTE(F$6:F49,"-",""),0), 0)), "")</f>
        <v/>
      </c>
      <c r="F129" s="13203">
        <f>IFERROR(INDEX(H$6:H49, MATCH(SUBSTITUTE(C129,"-",""), INDEX(SUBSTITUTE(F$6:F49,"-",""),0), 0)), 0)</f>
        <v/>
      </c>
      <c r="G129" s="13204" t="n"/>
      <c r="H129" s="13205" t="n"/>
      <c r="I129" s="13206" t="n"/>
      <c r="J129" s="13207">
        <f>IFERROR(F129-G129, "")</f>
        <v/>
      </c>
      <c r="K129" s="13208" t="n"/>
      <c r="L129" s="13209">
        <f>IFERROR(INDEX(I$6:I49, MATCH(SUBSTITUTE(C129,"-",""), INDEX(SUBSTITUTE(F$6:F49,"-",""),0), 0)), "")</f>
        <v/>
      </c>
      <c r="M129" s="13210">
        <f>IFERROR(IF(K129="","",IF(K129=L129,"✅ Correcta","❌ "&amp; K129 &amp;" (aut: "&amp; L129 &amp;")")), "")</f>
        <v/>
      </c>
      <c r="N129" s="13211">
        <f>IFERROR(G129-F129, "")</f>
        <v/>
      </c>
      <c r="O129" s="13212">
        <f>IFERROR(IF(C129="","",IF(F129=0,"⚠️ Sin Autorización (placa no en catálogo)",IF(N129=0,"✅ Cuadrado",IF(N129&gt;0,"❌ Exceso $"&amp;TEXT(N129,"#,##0.00"),"✅ OK - Saldo $"&amp;TEXT(ABS(N129),"#,##0.00"))))), "")</f>
        <v/>
      </c>
    </row>
    <row r="130">
      <c r="A130" s="13213">
        <f>IF(B130="","", _xludf.WEEKNUM(B130, 2))</f>
        <v/>
      </c>
      <c r="B130" s="13214" t="n"/>
      <c r="C130" s="13215" t="n"/>
      <c r="D130" s="13216">
        <f>IFERROR(INDEX(D$6:D49, MATCH(SUBSTITUTE(C130,"-",""), INDEX(SUBSTITUTE(F$6:F49,"-",""),0), 0)), "")</f>
        <v/>
      </c>
      <c r="E130" s="13217">
        <f>IFERROR(INDEX(G$6:G49, MATCH(SUBSTITUTE(C130,"-",""), INDEX(SUBSTITUTE(F$6:F49,"-",""),0), 0)), "")</f>
        <v/>
      </c>
      <c r="F130" s="13218">
        <f>IFERROR(INDEX(H$6:H49, MATCH(SUBSTITUTE(C130,"-",""), INDEX(SUBSTITUTE(F$6:F49,"-",""),0), 0)), 0)</f>
        <v/>
      </c>
      <c r="G130" s="13219" t="n"/>
      <c r="H130" s="13220" t="n"/>
      <c r="I130" s="13221" t="n"/>
      <c r="J130" s="13222">
        <f>IFERROR(F130-G130, "")</f>
        <v/>
      </c>
      <c r="K130" s="13223" t="n"/>
      <c r="L130" s="13224">
        <f>IFERROR(INDEX(I$6:I49, MATCH(SUBSTITUTE(C130,"-",""), INDEX(SUBSTITUTE(F$6:F49,"-",""),0), 0)), "")</f>
        <v/>
      </c>
      <c r="M130" s="13225">
        <f>IFERROR(IF(K130="","",IF(K130=L130,"✅ Correcta","❌ "&amp; K130 &amp;" (aut: "&amp; L130 &amp;")")), "")</f>
        <v/>
      </c>
      <c r="N130" s="13226">
        <f>IFERROR(G130-F130, "")</f>
        <v/>
      </c>
      <c r="O130" s="13227">
        <f>IFERROR(IF(C130="","",IF(F130=0,"⚠️ Sin Autorización (placa no en catálogo)",IF(N130=0,"✅ Cuadrado",IF(N130&gt;0,"❌ Exceso $"&amp;TEXT(N130,"#,##0.00"),"✅ OK - Saldo $"&amp;TEXT(ABS(N130),"#,##0.00"))))), "")</f>
        <v/>
      </c>
    </row>
    <row r="131">
      <c r="A131" s="13228">
        <f>IF(B131="","", _xludf.WEEKNUM(B131, 2))</f>
        <v/>
      </c>
      <c r="B131" s="13229" t="n"/>
      <c r="C131" s="13230" t="n"/>
      <c r="D131" s="13231">
        <f>IFERROR(INDEX(D$6:D49, MATCH(SUBSTITUTE(C131,"-",""), INDEX(SUBSTITUTE(F$6:F49,"-",""),0), 0)), "")</f>
        <v/>
      </c>
      <c r="E131" s="13232">
        <f>IFERROR(INDEX(G$6:G49, MATCH(SUBSTITUTE(C131,"-",""), INDEX(SUBSTITUTE(F$6:F49,"-",""),0), 0)), "")</f>
        <v/>
      </c>
      <c r="F131" s="13233">
        <f>IFERROR(INDEX(H$6:H49, MATCH(SUBSTITUTE(C131,"-",""), INDEX(SUBSTITUTE(F$6:F49,"-",""),0), 0)), 0)</f>
        <v/>
      </c>
      <c r="G131" s="13234" t="n"/>
      <c r="H131" s="13235" t="n"/>
      <c r="I131" s="13236" t="n"/>
      <c r="J131" s="13237">
        <f>IFERROR(F131-G131, "")</f>
        <v/>
      </c>
      <c r="K131" s="13238" t="n"/>
      <c r="L131" s="13239">
        <f>IFERROR(INDEX(I$6:I49, MATCH(SUBSTITUTE(C131,"-",""), INDEX(SUBSTITUTE(F$6:F49,"-",""),0), 0)), "")</f>
        <v/>
      </c>
      <c r="M131" s="13240">
        <f>IFERROR(IF(K131="","",IF(K131=L131,"✅ Correcta","❌ "&amp; K131 &amp;" (aut: "&amp; L131 &amp;")")), "")</f>
        <v/>
      </c>
      <c r="N131" s="13241">
        <f>IFERROR(G131-F131, "")</f>
        <v/>
      </c>
      <c r="O131" s="13242">
        <f>IFERROR(IF(C131="","",IF(F131=0,"⚠️ Sin Autorización (placa no en catálogo)",IF(N131=0,"✅ Cuadrado",IF(N131&gt;0,"❌ Exceso $"&amp;TEXT(N131,"#,##0.00"),"✅ OK - Saldo $"&amp;TEXT(ABS(N131),"#,##0.00"))))), "")</f>
        <v/>
      </c>
    </row>
    <row r="132">
      <c r="A132" s="13243">
        <f>IF(B132="","", _xludf.WEEKNUM(B132, 2))</f>
        <v/>
      </c>
      <c r="B132" s="13244" t="n"/>
      <c r="C132" s="13245" t="n"/>
      <c r="D132" s="13246">
        <f>IFERROR(INDEX(D$6:D49, MATCH(SUBSTITUTE(C132,"-",""), INDEX(SUBSTITUTE(F$6:F49,"-",""),0), 0)), "")</f>
        <v/>
      </c>
      <c r="E132" s="13247">
        <f>IFERROR(INDEX(G$6:G49, MATCH(SUBSTITUTE(C132,"-",""), INDEX(SUBSTITUTE(F$6:F49,"-",""),0), 0)), "")</f>
        <v/>
      </c>
      <c r="F132" s="13248">
        <f>IFERROR(INDEX(H$6:H49, MATCH(SUBSTITUTE(C132,"-",""), INDEX(SUBSTITUTE(F$6:F49,"-",""),0), 0)), 0)</f>
        <v/>
      </c>
      <c r="G132" s="13249" t="n"/>
      <c r="H132" s="13250" t="n"/>
      <c r="I132" s="13251" t="n"/>
      <c r="J132" s="13252">
        <f>IFERROR(F132-G132, "")</f>
        <v/>
      </c>
      <c r="K132" s="13253" t="n"/>
      <c r="L132" s="13254">
        <f>IFERROR(INDEX(I$6:I49, MATCH(SUBSTITUTE(C132,"-",""), INDEX(SUBSTITUTE(F$6:F49,"-",""),0), 0)), "")</f>
        <v/>
      </c>
      <c r="M132" s="13255">
        <f>IFERROR(IF(K132="","",IF(K132=L132,"✅ Correcta","❌ "&amp; K132 &amp;" (aut: "&amp; L132 &amp;")")), "")</f>
        <v/>
      </c>
      <c r="N132" s="13256">
        <f>IFERROR(G132-F132, "")</f>
        <v/>
      </c>
      <c r="O132" s="13257">
        <f>IFERROR(IF(C132="","",IF(F132=0,"⚠️ Sin Autorización (placa no en catálogo)",IF(N132=0,"✅ Cuadrado",IF(N132&gt;0,"❌ Exceso $"&amp;TEXT(N132,"#,##0.00"),"✅ OK - Saldo $"&amp;TEXT(ABS(N132),"#,##0.00"))))), "")</f>
        <v/>
      </c>
    </row>
    <row r="133">
      <c r="A133" s="13258">
        <f>IF(B133="","", _xludf.WEEKNUM(B133, 2))</f>
        <v/>
      </c>
      <c r="B133" s="13259" t="n"/>
      <c r="C133" s="13260" t="n"/>
      <c r="D133" s="13261">
        <f>IFERROR(INDEX(D$6:D49, MATCH(SUBSTITUTE(C133,"-",""), INDEX(SUBSTITUTE(F$6:F49,"-",""),0), 0)), "")</f>
        <v/>
      </c>
      <c r="E133" s="13262">
        <f>IFERROR(INDEX(G$6:G49, MATCH(SUBSTITUTE(C133,"-",""), INDEX(SUBSTITUTE(F$6:F49,"-",""),0), 0)), "")</f>
        <v/>
      </c>
      <c r="F133" s="13263">
        <f>IFERROR(INDEX(H$6:H49, MATCH(SUBSTITUTE(C133,"-",""), INDEX(SUBSTITUTE(F$6:F49,"-",""),0), 0)), 0)</f>
        <v/>
      </c>
      <c r="G133" s="13264" t="n"/>
      <c r="H133" s="13265" t="n"/>
      <c r="I133" s="13266" t="n"/>
      <c r="J133" s="13267">
        <f>IFERROR(F133-G133, "")</f>
        <v/>
      </c>
      <c r="K133" s="13268" t="n"/>
      <c r="L133" s="13269">
        <f>IFERROR(INDEX(I$6:I49, MATCH(SUBSTITUTE(C133,"-",""), INDEX(SUBSTITUTE(F$6:F49,"-",""),0), 0)), "")</f>
        <v/>
      </c>
      <c r="M133" s="13270">
        <f>IFERROR(IF(K133="","",IF(K133=L133,"✅ Correcta","❌ "&amp; K133 &amp;" (aut: "&amp; L133 &amp;")")), "")</f>
        <v/>
      </c>
      <c r="N133" s="13271">
        <f>IFERROR(G133-F133, "")</f>
        <v/>
      </c>
      <c r="O133" s="13272">
        <f>IFERROR(IF(C133="","",IF(F133=0,"⚠️ Sin Autorización (placa no en catálogo)",IF(N133=0,"✅ Cuadrado",IF(N133&gt;0,"❌ Exceso $"&amp;TEXT(N133,"#,##0.00"),"✅ OK - Saldo $"&amp;TEXT(ABS(N133),"#,##0.00"))))), "")</f>
        <v/>
      </c>
    </row>
    <row r="134">
      <c r="A134" s="13273">
        <f>IF(B134="","", _xludf.WEEKNUM(B134, 2))</f>
        <v/>
      </c>
      <c r="B134" s="13274" t="n"/>
      <c r="C134" s="13275" t="n"/>
      <c r="D134" s="13276">
        <f>IFERROR(INDEX(D$6:D49, MATCH(SUBSTITUTE(C134,"-",""), INDEX(SUBSTITUTE(F$6:F49,"-",""),0), 0)), "")</f>
        <v/>
      </c>
      <c r="E134" s="13277">
        <f>IFERROR(INDEX(G$6:G49, MATCH(SUBSTITUTE(C134,"-",""), INDEX(SUBSTITUTE(F$6:F49,"-",""),0), 0)), "")</f>
        <v/>
      </c>
      <c r="F134" s="13278">
        <f>IFERROR(INDEX(H$6:H49, MATCH(SUBSTITUTE(C134,"-",""), INDEX(SUBSTITUTE(F$6:F49,"-",""),0), 0)), 0)</f>
        <v/>
      </c>
      <c r="G134" s="13279" t="n"/>
      <c r="H134" s="13280" t="n"/>
      <c r="I134" s="13281" t="n"/>
      <c r="J134" s="13282">
        <f>IFERROR(F134-G134, "")</f>
        <v/>
      </c>
      <c r="K134" s="13283" t="n"/>
      <c r="L134" s="13284">
        <f>IFERROR(INDEX(I$6:I49, MATCH(SUBSTITUTE(C134,"-",""), INDEX(SUBSTITUTE(F$6:F49,"-",""),0), 0)), "")</f>
        <v/>
      </c>
      <c r="M134" s="13285">
        <f>IFERROR(IF(K134="","",IF(K134=L134,"✅ Correcta","❌ "&amp; K134 &amp;" (aut: "&amp; L134 &amp;")")), "")</f>
        <v/>
      </c>
      <c r="N134" s="13286">
        <f>IFERROR(G134-F134, "")</f>
        <v/>
      </c>
      <c r="O134" s="13287">
        <f>IFERROR(IF(C134="","",IF(F134=0,"⚠️ Sin Autorización (placa no en catálogo)",IF(N134=0,"✅ Cuadrado",IF(N134&gt;0,"❌ Exceso $"&amp;TEXT(N134,"#,##0.00"),"✅ OK - Saldo $"&amp;TEXT(ABS(N134),"#,##0.00"))))), "")</f>
        <v/>
      </c>
    </row>
    <row r="135">
      <c r="A135" s="13288">
        <f>IF(B135="","", _xludf.WEEKNUM(B135, 2))</f>
        <v/>
      </c>
      <c r="B135" s="13289" t="n"/>
      <c r="C135" s="13290" t="n"/>
      <c r="D135" s="13291">
        <f>IFERROR(INDEX(D$6:D49, MATCH(SUBSTITUTE(C135,"-",""), INDEX(SUBSTITUTE(F$6:F49,"-",""),0), 0)), "")</f>
        <v/>
      </c>
      <c r="E135" s="13292">
        <f>IFERROR(INDEX(G$6:G49, MATCH(SUBSTITUTE(C135,"-",""), INDEX(SUBSTITUTE(F$6:F49,"-",""),0), 0)), "")</f>
        <v/>
      </c>
      <c r="F135" s="13293">
        <f>IFERROR(INDEX(H$6:H49, MATCH(SUBSTITUTE(C135,"-",""), INDEX(SUBSTITUTE(F$6:F49,"-",""),0), 0)), 0)</f>
        <v/>
      </c>
      <c r="G135" s="13294" t="n"/>
      <c r="H135" s="13295" t="n"/>
      <c r="I135" s="13296" t="n"/>
      <c r="J135" s="13297">
        <f>IFERROR(F135-G135, "")</f>
        <v/>
      </c>
      <c r="K135" s="13298" t="n"/>
      <c r="L135" s="13299">
        <f>IFERROR(INDEX(I$6:I49, MATCH(SUBSTITUTE(C135,"-",""), INDEX(SUBSTITUTE(F$6:F49,"-",""),0), 0)), "")</f>
        <v/>
      </c>
      <c r="M135" s="13300">
        <f>IFERROR(IF(K135="","",IF(K135=L135,"✅ Correcta","❌ "&amp; K135 &amp;" (aut: "&amp; L135 &amp;")")), "")</f>
        <v/>
      </c>
      <c r="N135" s="13301">
        <f>IFERROR(G135-F135, "")</f>
        <v/>
      </c>
      <c r="O135" s="13302">
        <f>IFERROR(IF(C135="","",IF(F135=0,"⚠️ Sin Autorización (placa no en catálogo)",IF(N135=0,"✅ Cuadrado",IF(N135&gt;0,"❌ Exceso $"&amp;TEXT(N135,"#,##0.00"),"✅ OK - Saldo $"&amp;TEXT(ABS(N135),"#,##0.00"))))), "")</f>
        <v/>
      </c>
    </row>
    <row r="136">
      <c r="A136" s="13303">
        <f>IF(B136="","", _xludf.WEEKNUM(B136, 2))</f>
        <v/>
      </c>
      <c r="B136" s="13304" t="n"/>
      <c r="C136" s="13305" t="n"/>
      <c r="D136" s="13306">
        <f>IFERROR(INDEX(D$6:D49, MATCH(SUBSTITUTE(C136,"-",""), INDEX(SUBSTITUTE(F$6:F49,"-",""),0), 0)), "")</f>
        <v/>
      </c>
      <c r="E136" s="13307">
        <f>IFERROR(INDEX(G$6:G49, MATCH(SUBSTITUTE(C136,"-",""), INDEX(SUBSTITUTE(F$6:F49,"-",""),0), 0)), "")</f>
        <v/>
      </c>
      <c r="F136" s="13308">
        <f>IFERROR(INDEX(H$6:H49, MATCH(SUBSTITUTE(C136,"-",""), INDEX(SUBSTITUTE(F$6:F49,"-",""),0), 0)), 0)</f>
        <v/>
      </c>
      <c r="G136" s="13309" t="n"/>
      <c r="H136" s="13310" t="n"/>
      <c r="I136" s="13311" t="n"/>
      <c r="J136" s="13312">
        <f>IFERROR(F136-G136, "")</f>
        <v/>
      </c>
      <c r="K136" s="13313" t="n"/>
      <c r="L136" s="13314">
        <f>IFERROR(INDEX(I$6:I49, MATCH(SUBSTITUTE(C136,"-",""), INDEX(SUBSTITUTE(F$6:F49,"-",""),0), 0)), "")</f>
        <v/>
      </c>
      <c r="M136" s="13315">
        <f>IFERROR(IF(K136="","",IF(K136=L136,"✅ Correcta","❌ "&amp; K136 &amp;" (aut: "&amp; L136 &amp;")")), "")</f>
        <v/>
      </c>
      <c r="N136" s="13316">
        <f>IFERROR(G136-F136, "")</f>
        <v/>
      </c>
      <c r="O136" s="13317">
        <f>IFERROR(IF(C136="","",IF(F136=0,"⚠️ Sin Autorización (placa no en catálogo)",IF(N136=0,"✅ Cuadrado",IF(N136&gt;0,"❌ Exceso $"&amp;TEXT(N136,"#,##0.00"),"✅ OK - Saldo $"&amp;TEXT(ABS(N136),"#,##0.00"))))), "")</f>
        <v/>
      </c>
    </row>
    <row r="137">
      <c r="A137" s="13318">
        <f>IF(B137="","", _xludf.WEEKNUM(B137, 2))</f>
        <v/>
      </c>
      <c r="B137" s="13319" t="n"/>
      <c r="C137" s="13320" t="n"/>
      <c r="D137" s="13321">
        <f>IFERROR(INDEX(D$6:D49, MATCH(SUBSTITUTE(C137,"-",""), INDEX(SUBSTITUTE(F$6:F49,"-",""),0), 0)), "")</f>
        <v/>
      </c>
      <c r="E137" s="13322">
        <f>IFERROR(INDEX(G$6:G49, MATCH(SUBSTITUTE(C137,"-",""), INDEX(SUBSTITUTE(F$6:F49,"-",""),0), 0)), "")</f>
        <v/>
      </c>
      <c r="F137" s="13323">
        <f>IFERROR(INDEX(H$6:H49, MATCH(SUBSTITUTE(C137,"-",""), INDEX(SUBSTITUTE(F$6:F49,"-",""),0), 0)), 0)</f>
        <v/>
      </c>
      <c r="G137" s="13324" t="n"/>
      <c r="H137" s="13325" t="n"/>
      <c r="I137" s="13326" t="n"/>
      <c r="J137" s="13327">
        <f>IFERROR(F137-G137, "")</f>
        <v/>
      </c>
      <c r="K137" s="13328" t="n"/>
      <c r="L137" s="13329">
        <f>IFERROR(INDEX(I$6:I49, MATCH(SUBSTITUTE(C137,"-",""), INDEX(SUBSTITUTE(F$6:F49,"-",""),0), 0)), "")</f>
        <v/>
      </c>
      <c r="M137" s="13330">
        <f>IFERROR(IF(K137="","",IF(K137=L137,"✅ Correcta","❌ "&amp; K137 &amp;" (aut: "&amp; L137 &amp;")")), "")</f>
        <v/>
      </c>
      <c r="N137" s="13331">
        <f>IFERROR(G137-F137, "")</f>
        <v/>
      </c>
      <c r="O137" s="13332">
        <f>IFERROR(IF(C137="","",IF(F137=0,"⚠️ Sin Autorización (placa no en catálogo)",IF(N137=0,"✅ Cuadrado",IF(N137&gt;0,"❌ Exceso $"&amp;TEXT(N137,"#,##0.00"),"✅ OK - Saldo $"&amp;TEXT(ABS(N137),"#,##0.00"))))), "")</f>
        <v/>
      </c>
    </row>
    <row r="138">
      <c r="A138" s="13333">
        <f>IF(B138="","", _xludf.WEEKNUM(B138, 2))</f>
        <v/>
      </c>
      <c r="B138" s="13334" t="n"/>
      <c r="C138" s="13335" t="n"/>
      <c r="D138" s="13336">
        <f>IFERROR(INDEX(D$6:D49, MATCH(SUBSTITUTE(C138,"-",""), INDEX(SUBSTITUTE(F$6:F49,"-",""),0), 0)), "")</f>
        <v/>
      </c>
      <c r="E138" s="13337">
        <f>IFERROR(INDEX(G$6:G49, MATCH(SUBSTITUTE(C138,"-",""), INDEX(SUBSTITUTE(F$6:F49,"-",""),0), 0)), "")</f>
        <v/>
      </c>
      <c r="F138" s="13338">
        <f>IFERROR(INDEX(H$6:H49, MATCH(SUBSTITUTE(C138,"-",""), INDEX(SUBSTITUTE(F$6:F49,"-",""),0), 0)), 0)</f>
        <v/>
      </c>
      <c r="G138" s="13339" t="n"/>
      <c r="H138" s="13340" t="n"/>
      <c r="I138" s="13341" t="n"/>
      <c r="J138" s="13342">
        <f>IFERROR(F138-G138, "")</f>
        <v/>
      </c>
      <c r="K138" s="13343" t="n"/>
      <c r="L138" s="13344">
        <f>IFERROR(INDEX(I$6:I49, MATCH(SUBSTITUTE(C138,"-",""), INDEX(SUBSTITUTE(F$6:F49,"-",""),0), 0)), "")</f>
        <v/>
      </c>
      <c r="M138" s="13345">
        <f>IFERROR(IF(K138="","",IF(K138=L138,"✅ Correcta","❌ "&amp; K138 &amp;" (aut: "&amp; L138 &amp;")")), "")</f>
        <v/>
      </c>
      <c r="N138" s="13346">
        <f>IFERROR(G138-F138, "")</f>
        <v/>
      </c>
      <c r="O138" s="13347">
        <f>IFERROR(IF(C138="","",IF(F138=0,"⚠️ Sin Autorización (placa no en catálogo)",IF(N138=0,"✅ Cuadrado",IF(N138&gt;0,"❌ Exceso $"&amp;TEXT(N138,"#,##0.00"),"✅ OK - Saldo $"&amp;TEXT(ABS(N138),"#,##0.00"))))), "")</f>
        <v/>
      </c>
    </row>
    <row r="139">
      <c r="A139" s="13348">
        <f>IF(B139="","", _xludf.WEEKNUM(B139, 2))</f>
        <v/>
      </c>
      <c r="B139" s="13349" t="n"/>
      <c r="C139" s="13350" t="n"/>
      <c r="D139" s="13351">
        <f>IFERROR(INDEX(D$6:D49, MATCH(SUBSTITUTE(C139,"-",""), INDEX(SUBSTITUTE(F$6:F49,"-",""),0), 0)), "")</f>
        <v/>
      </c>
      <c r="E139" s="13352">
        <f>IFERROR(INDEX(G$6:G49, MATCH(SUBSTITUTE(C139,"-",""), INDEX(SUBSTITUTE(F$6:F49,"-",""),0), 0)), "")</f>
        <v/>
      </c>
      <c r="F139" s="13353">
        <f>IFERROR(INDEX(H$6:H49, MATCH(SUBSTITUTE(C139,"-",""), INDEX(SUBSTITUTE(F$6:F49,"-",""),0), 0)), 0)</f>
        <v/>
      </c>
      <c r="G139" s="13354" t="n"/>
      <c r="H139" s="13355" t="n"/>
      <c r="I139" s="13356" t="n"/>
      <c r="J139" s="13357">
        <f>IFERROR(F139-G139, "")</f>
        <v/>
      </c>
      <c r="K139" s="13358" t="n"/>
      <c r="L139" s="13359">
        <f>IFERROR(INDEX(I$6:I49, MATCH(SUBSTITUTE(C139,"-",""), INDEX(SUBSTITUTE(F$6:F49,"-",""),0), 0)), "")</f>
        <v/>
      </c>
      <c r="M139" s="13360">
        <f>IFERROR(IF(K139="","",IF(K139=L139,"✅ Correcta","❌ "&amp; K139 &amp;" (aut: "&amp; L139 &amp;")")), "")</f>
        <v/>
      </c>
      <c r="N139" s="13361">
        <f>IFERROR(G139-F139, "")</f>
        <v/>
      </c>
      <c r="O139" s="13362">
        <f>IFERROR(IF(C139="","",IF(F139=0,"⚠️ Sin Autorización (placa no en catálogo)",IF(N139=0,"✅ Cuadrado",IF(N139&gt;0,"❌ Exceso $"&amp;TEXT(N139,"#,##0.00"),"✅ OK - Saldo $"&amp;TEXT(ABS(N139),"#,##0.00"))))), "")</f>
        <v/>
      </c>
    </row>
    <row r="140">
      <c r="A140" s="13363">
        <f>IF(B140="","", _xludf.WEEKNUM(B140, 2))</f>
        <v/>
      </c>
      <c r="B140" s="13364" t="n"/>
      <c r="C140" s="13365" t="n"/>
      <c r="D140" s="13366">
        <f>IFERROR(INDEX(D$6:D49, MATCH(SUBSTITUTE(C140,"-",""), INDEX(SUBSTITUTE(F$6:F49,"-",""),0), 0)), "")</f>
        <v/>
      </c>
      <c r="E140" s="13367">
        <f>IFERROR(INDEX(G$6:G49, MATCH(SUBSTITUTE(C140,"-",""), INDEX(SUBSTITUTE(F$6:F49,"-",""),0), 0)), "")</f>
        <v/>
      </c>
      <c r="F140" s="13368">
        <f>IFERROR(INDEX(H$6:H49, MATCH(SUBSTITUTE(C140,"-",""), INDEX(SUBSTITUTE(F$6:F49,"-",""),0), 0)), 0)</f>
        <v/>
      </c>
      <c r="G140" s="13369" t="n"/>
      <c r="H140" s="13370" t="n"/>
      <c r="I140" s="13371" t="n"/>
      <c r="J140" s="13372">
        <f>IFERROR(F140-G140, "")</f>
        <v/>
      </c>
      <c r="K140" s="13373" t="n"/>
      <c r="L140" s="13374">
        <f>IFERROR(INDEX(I$6:I49, MATCH(SUBSTITUTE(C140,"-",""), INDEX(SUBSTITUTE(F$6:F49,"-",""),0), 0)), "")</f>
        <v/>
      </c>
      <c r="M140" s="13375">
        <f>IFERROR(IF(K140="","",IF(K140=L140,"✅ Correcta","❌ "&amp; K140 &amp;" (aut: "&amp; L140 &amp;")")), "")</f>
        <v/>
      </c>
      <c r="N140" s="13376">
        <f>IFERROR(G140-F140, "")</f>
        <v/>
      </c>
      <c r="O140" s="13377">
        <f>IFERROR(IF(C140="","",IF(F140=0,"⚠️ Sin Autorización (placa no en catálogo)",IF(N140=0,"✅ Cuadrado",IF(N140&gt;0,"❌ Exceso $"&amp;TEXT(N140,"#,##0.00"),"✅ OK - Saldo $"&amp;TEXT(ABS(N140),"#,##0.00"))))), "")</f>
        <v/>
      </c>
    </row>
    <row r="141">
      <c r="A141" s="13378">
        <f>IF(B141="","", _xludf.WEEKNUM(B141, 2))</f>
        <v/>
      </c>
      <c r="B141" s="13379" t="n"/>
      <c r="C141" s="13380" t="n"/>
      <c r="D141" s="13381">
        <f>IFERROR(INDEX(D$6:D49, MATCH(SUBSTITUTE(C141,"-",""), INDEX(SUBSTITUTE(F$6:F49,"-",""),0), 0)), "")</f>
        <v/>
      </c>
      <c r="E141" s="13382">
        <f>IFERROR(INDEX(G$6:G49, MATCH(SUBSTITUTE(C141,"-",""), INDEX(SUBSTITUTE(F$6:F49,"-",""),0), 0)), "")</f>
        <v/>
      </c>
      <c r="F141" s="13383">
        <f>IFERROR(INDEX(H$6:H49, MATCH(SUBSTITUTE(C141,"-",""), INDEX(SUBSTITUTE(F$6:F49,"-",""),0), 0)), 0)</f>
        <v/>
      </c>
      <c r="G141" s="13384" t="n"/>
      <c r="H141" s="13385" t="n"/>
      <c r="I141" s="13386" t="n"/>
      <c r="J141" s="13387">
        <f>IFERROR(F141-G141, "")</f>
        <v/>
      </c>
      <c r="K141" s="13388" t="n"/>
      <c r="L141" s="13389">
        <f>IFERROR(INDEX(I$6:I49, MATCH(SUBSTITUTE(C141,"-",""), INDEX(SUBSTITUTE(F$6:F49,"-",""),0), 0)), "")</f>
        <v/>
      </c>
      <c r="M141" s="13390">
        <f>IFERROR(IF(K141="","",IF(K141=L141,"✅ Correcta","❌ "&amp; K141 &amp;" (aut: "&amp; L141 &amp;")")), "")</f>
        <v/>
      </c>
      <c r="N141" s="13391">
        <f>IFERROR(G141-F141, "")</f>
        <v/>
      </c>
      <c r="O141" s="13392">
        <f>IFERROR(IF(C141="","",IF(F141=0,"⚠️ Sin Autorización (placa no en catálogo)",IF(N141=0,"✅ Cuadrado",IF(N141&gt;0,"❌ Exceso $"&amp;TEXT(N141,"#,##0.00"),"✅ OK - Saldo $"&amp;TEXT(ABS(N141),"#,##0.00"))))), "")</f>
        <v/>
      </c>
    </row>
    <row r="142">
      <c r="A142" s="13393">
        <f>IF(B142="","", _xludf.WEEKNUM(B142, 2))</f>
        <v/>
      </c>
      <c r="B142" s="13394" t="n"/>
      <c r="C142" s="13395" t="n"/>
      <c r="D142" s="13396">
        <f>IFERROR(INDEX(D$6:D49, MATCH(SUBSTITUTE(C142,"-",""), INDEX(SUBSTITUTE(F$6:F49,"-",""),0), 0)), "")</f>
        <v/>
      </c>
      <c r="E142" s="13397">
        <f>IFERROR(INDEX(G$6:G49, MATCH(SUBSTITUTE(C142,"-",""), INDEX(SUBSTITUTE(F$6:F49,"-",""),0), 0)), "")</f>
        <v/>
      </c>
      <c r="F142" s="13398">
        <f>IFERROR(INDEX(H$6:H49, MATCH(SUBSTITUTE(C142,"-",""), INDEX(SUBSTITUTE(F$6:F49,"-",""),0), 0)), 0)</f>
        <v/>
      </c>
      <c r="G142" s="13399" t="n"/>
      <c r="H142" s="13400" t="n"/>
      <c r="I142" s="13401" t="n"/>
      <c r="J142" s="13402">
        <f>IFERROR(F142-G142, "")</f>
        <v/>
      </c>
      <c r="K142" s="13403" t="n"/>
      <c r="L142" s="13404">
        <f>IFERROR(INDEX(I$6:I49, MATCH(SUBSTITUTE(C142,"-",""), INDEX(SUBSTITUTE(F$6:F49,"-",""),0), 0)), "")</f>
        <v/>
      </c>
      <c r="M142" s="13405">
        <f>IFERROR(IF(K142="","",IF(K142=L142,"✅ Correcta","❌ "&amp; K142 &amp;" (aut: "&amp; L142 &amp;")")), "")</f>
        <v/>
      </c>
      <c r="N142" s="13406">
        <f>IFERROR(G142-F142, "")</f>
        <v/>
      </c>
      <c r="O142" s="13407">
        <f>IFERROR(IF(C142="","",IF(F142=0,"⚠️ Sin Autorización (placa no en catálogo)",IF(N142=0,"✅ Cuadrado",IF(N142&gt;0,"❌ Exceso $"&amp;TEXT(N142,"#,##0.00"),"✅ OK - Saldo $"&amp;TEXT(ABS(N142),"#,##0.00"))))), "")</f>
        <v/>
      </c>
    </row>
    <row r="143">
      <c r="A143" s="13408">
        <f>IF(B143="","", _xludf.WEEKNUM(B143, 2))</f>
        <v/>
      </c>
      <c r="B143" s="13409" t="n"/>
      <c r="C143" s="13410" t="n"/>
      <c r="D143" s="13411">
        <f>IFERROR(INDEX(D$6:D49, MATCH(SUBSTITUTE(C143,"-",""), INDEX(SUBSTITUTE(F$6:F49,"-",""),0), 0)), "")</f>
        <v/>
      </c>
      <c r="E143" s="13412">
        <f>IFERROR(INDEX(G$6:G49, MATCH(SUBSTITUTE(C143,"-",""), INDEX(SUBSTITUTE(F$6:F49,"-",""),0), 0)), "")</f>
        <v/>
      </c>
      <c r="F143" s="13413">
        <f>IFERROR(INDEX(H$6:H49, MATCH(SUBSTITUTE(C143,"-",""), INDEX(SUBSTITUTE(F$6:F49,"-",""),0), 0)), 0)</f>
        <v/>
      </c>
      <c r="G143" s="13414" t="n"/>
      <c r="H143" s="13415" t="n"/>
      <c r="I143" s="13416" t="n"/>
      <c r="J143" s="13417">
        <f>IFERROR(F143-G143, "")</f>
        <v/>
      </c>
      <c r="K143" s="13418" t="n"/>
      <c r="L143" s="13419">
        <f>IFERROR(INDEX(I$6:I49, MATCH(SUBSTITUTE(C143,"-",""), INDEX(SUBSTITUTE(F$6:F49,"-",""),0), 0)), "")</f>
        <v/>
      </c>
      <c r="M143" s="13420">
        <f>IFERROR(IF(K143="","",IF(K143=L143,"✅ Correcta","❌ "&amp; K143 &amp;" (aut: "&amp; L143 &amp;")")), "")</f>
        <v/>
      </c>
      <c r="N143" s="13421">
        <f>IFERROR(G143-F143, "")</f>
        <v/>
      </c>
      <c r="O143" s="13422">
        <f>IFERROR(IF(C143="","",IF(F143=0,"⚠️ Sin Autorización (placa no en catálogo)",IF(N143=0,"✅ Cuadrado",IF(N143&gt;0,"❌ Exceso $"&amp;TEXT(N143,"#,##0.00"),"✅ OK - Saldo $"&amp;TEXT(ABS(N143),"#,##0.00"))))), "")</f>
        <v/>
      </c>
    </row>
    <row r="144">
      <c r="A144" s="13423">
        <f>IF(B144="","", _xludf.WEEKNUM(B144, 2))</f>
        <v/>
      </c>
      <c r="B144" s="13424" t="n"/>
      <c r="C144" s="13425" t="n"/>
      <c r="D144" s="13426">
        <f>IFERROR(INDEX(D$6:D49, MATCH(SUBSTITUTE(C144,"-",""), INDEX(SUBSTITUTE(F$6:F49,"-",""),0), 0)), "")</f>
        <v/>
      </c>
      <c r="E144" s="13427">
        <f>IFERROR(INDEX(G$6:G49, MATCH(SUBSTITUTE(C144,"-",""), INDEX(SUBSTITUTE(F$6:F49,"-",""),0), 0)), "")</f>
        <v/>
      </c>
      <c r="F144" s="13428">
        <f>IFERROR(INDEX(H$6:H49, MATCH(SUBSTITUTE(C144,"-",""), INDEX(SUBSTITUTE(F$6:F49,"-",""),0), 0)), 0)</f>
        <v/>
      </c>
      <c r="G144" s="13429" t="n"/>
      <c r="H144" s="13430" t="n"/>
      <c r="I144" s="13431" t="n"/>
      <c r="J144" s="13432">
        <f>IFERROR(F144-G144, "")</f>
        <v/>
      </c>
      <c r="K144" s="13433" t="n"/>
      <c r="L144" s="13434">
        <f>IFERROR(INDEX(I$6:I49, MATCH(SUBSTITUTE(C144,"-",""), INDEX(SUBSTITUTE(F$6:F49,"-",""),0), 0)), "")</f>
        <v/>
      </c>
      <c r="M144" s="13435">
        <f>IFERROR(IF(K144="","",IF(K144=L144,"✅ Correcta","❌ "&amp; K144 &amp;" (aut: "&amp; L144 &amp;")")), "")</f>
        <v/>
      </c>
      <c r="N144" s="13436">
        <f>IFERROR(G144-F144, "")</f>
        <v/>
      </c>
      <c r="O144" s="13437">
        <f>IFERROR(IF(C144="","",IF(F144=0,"⚠️ Sin Autorización (placa no en catálogo)",IF(N144=0,"✅ Cuadrado",IF(N144&gt;0,"❌ Exceso $"&amp;TEXT(N144,"#,##0.00"),"✅ OK - Saldo $"&amp;TEXT(ABS(N144),"#,##0.00"))))), "")</f>
        <v/>
      </c>
    </row>
    <row r="145">
      <c r="A145" s="13438">
        <f>IF(B145="","", _xludf.WEEKNUM(B145, 2))</f>
        <v/>
      </c>
      <c r="B145" s="13439" t="n"/>
      <c r="C145" s="13440" t="n"/>
      <c r="D145" s="13441">
        <f>IFERROR(INDEX(D$6:D49, MATCH(SUBSTITUTE(C145,"-",""), INDEX(SUBSTITUTE(F$6:F49,"-",""),0), 0)), "")</f>
        <v/>
      </c>
      <c r="E145" s="13442">
        <f>IFERROR(INDEX(G$6:G49, MATCH(SUBSTITUTE(C145,"-",""), INDEX(SUBSTITUTE(F$6:F49,"-",""),0), 0)), "")</f>
        <v/>
      </c>
      <c r="F145" s="13443">
        <f>IFERROR(INDEX(H$6:H49, MATCH(SUBSTITUTE(C145,"-",""), INDEX(SUBSTITUTE(F$6:F49,"-",""),0), 0)), 0)</f>
        <v/>
      </c>
      <c r="G145" s="13444" t="n"/>
      <c r="H145" s="13445" t="n"/>
      <c r="I145" s="13446" t="n"/>
      <c r="J145" s="13447">
        <f>IFERROR(F145-G145, "")</f>
        <v/>
      </c>
      <c r="K145" s="13448" t="n"/>
      <c r="L145" s="13449">
        <f>IFERROR(INDEX(I$6:I49, MATCH(SUBSTITUTE(C145,"-",""), INDEX(SUBSTITUTE(F$6:F49,"-",""),0), 0)), "")</f>
        <v/>
      </c>
      <c r="M145" s="13450">
        <f>IFERROR(IF(K145="","",IF(K145=L145,"✅ Correcta","❌ "&amp; K145 &amp;" (aut: "&amp; L145 &amp;")")), "")</f>
        <v/>
      </c>
      <c r="N145" s="13451">
        <f>IFERROR(G145-F145, "")</f>
        <v/>
      </c>
      <c r="O145" s="13452">
        <f>IFERROR(IF(C145="","",IF(F145=0,"⚠️ Sin Autorización (placa no en catálogo)",IF(N145=0,"✅ Cuadrado",IF(N145&gt;0,"❌ Exceso $"&amp;TEXT(N145,"#,##0.00"),"✅ OK - Saldo $"&amp;TEXT(ABS(N145),"#,##0.00"))))), "")</f>
        <v/>
      </c>
    </row>
    <row r="146">
      <c r="A146" s="13453">
        <f>IF(B146="","", _xludf.WEEKNUM(B146, 2))</f>
        <v/>
      </c>
      <c r="B146" s="13454" t="n"/>
      <c r="C146" s="13455" t="n"/>
      <c r="D146" s="13456">
        <f>IFERROR(INDEX(D$6:D49, MATCH(SUBSTITUTE(C146,"-",""), INDEX(SUBSTITUTE(F$6:F49,"-",""),0), 0)), "")</f>
        <v/>
      </c>
      <c r="E146" s="13457">
        <f>IFERROR(INDEX(G$6:G49, MATCH(SUBSTITUTE(C146,"-",""), INDEX(SUBSTITUTE(F$6:F49,"-",""),0), 0)), "")</f>
        <v/>
      </c>
      <c r="F146" s="13458">
        <f>IFERROR(INDEX(H$6:H49, MATCH(SUBSTITUTE(C146,"-",""), INDEX(SUBSTITUTE(F$6:F49,"-",""),0), 0)), 0)</f>
        <v/>
      </c>
      <c r="G146" s="13459" t="n"/>
      <c r="H146" s="13460" t="n"/>
      <c r="I146" s="13461" t="n"/>
      <c r="J146" s="13462">
        <f>IFERROR(F146-G146, "")</f>
        <v/>
      </c>
      <c r="K146" s="13463" t="n"/>
      <c r="L146" s="13464">
        <f>IFERROR(INDEX(I$6:I49, MATCH(SUBSTITUTE(C146,"-",""), INDEX(SUBSTITUTE(F$6:F49,"-",""),0), 0)), "")</f>
        <v/>
      </c>
      <c r="M146" s="13465">
        <f>IFERROR(IF(K146="","",IF(K146=L146,"✅ Correcta","❌ "&amp; K146 &amp;" (aut: "&amp; L146 &amp;")")), "")</f>
        <v/>
      </c>
      <c r="N146" s="13466">
        <f>IFERROR(G146-F146, "")</f>
        <v/>
      </c>
      <c r="O146" s="13467">
        <f>IFERROR(IF(C146="","",IF(F146=0,"⚠️ Sin Autorización (placa no en catálogo)",IF(N146=0,"✅ Cuadrado",IF(N146&gt;0,"❌ Exceso $"&amp;TEXT(N146,"#,##0.00"),"✅ OK - Saldo $"&amp;TEXT(ABS(N146),"#,##0.00"))))), "")</f>
        <v/>
      </c>
    </row>
    <row r="147">
      <c r="A147" s="13468">
        <f>IF(B147="","", _xludf.WEEKNUM(B147, 2))</f>
        <v/>
      </c>
      <c r="B147" s="13469" t="n"/>
      <c r="C147" s="13470" t="n"/>
      <c r="D147" s="13471">
        <f>IFERROR(INDEX(D$6:D49, MATCH(SUBSTITUTE(C147,"-",""), INDEX(SUBSTITUTE(F$6:F49,"-",""),0), 0)), "")</f>
        <v/>
      </c>
      <c r="E147" s="13472">
        <f>IFERROR(INDEX(G$6:G49, MATCH(SUBSTITUTE(C147,"-",""), INDEX(SUBSTITUTE(F$6:F49,"-",""),0), 0)), "")</f>
        <v/>
      </c>
      <c r="F147" s="13473">
        <f>IFERROR(INDEX(H$6:H49, MATCH(SUBSTITUTE(C147,"-",""), INDEX(SUBSTITUTE(F$6:F49,"-",""),0), 0)), 0)</f>
        <v/>
      </c>
      <c r="G147" s="13474" t="n"/>
      <c r="H147" s="13475" t="n"/>
      <c r="I147" s="13476" t="n"/>
      <c r="J147" s="13477">
        <f>IFERROR(F147-G147, "")</f>
        <v/>
      </c>
      <c r="K147" s="13478" t="n"/>
      <c r="L147" s="13479">
        <f>IFERROR(INDEX(I$6:I49, MATCH(SUBSTITUTE(C147,"-",""), INDEX(SUBSTITUTE(F$6:F49,"-",""),0), 0)), "")</f>
        <v/>
      </c>
      <c r="M147" s="13480">
        <f>IFERROR(IF(K147="","",IF(K147=L147,"✅ Correcta","❌ "&amp; K147 &amp;" (aut: "&amp; L147 &amp;")")), "")</f>
        <v/>
      </c>
      <c r="N147" s="13481">
        <f>IFERROR(G147-F147, "")</f>
        <v/>
      </c>
      <c r="O147" s="13482">
        <f>IFERROR(IF(C147="","",IF(F147=0,"⚠️ Sin Autorización (placa no en catálogo)",IF(N147=0,"✅ Cuadrado",IF(N147&gt;0,"❌ Exceso $"&amp;TEXT(N147,"#,##0.00"),"✅ OK - Saldo $"&amp;TEXT(ABS(N147),"#,##0.00"))))), "")</f>
        <v/>
      </c>
    </row>
    <row r="148">
      <c r="A148" s="13483">
        <f>IF(B148="","", _xludf.WEEKNUM(B148, 2))</f>
        <v/>
      </c>
      <c r="B148" s="13484" t="n"/>
      <c r="C148" s="13485" t="n"/>
      <c r="D148" s="13486">
        <f>IFERROR(INDEX(D$6:D49, MATCH(SUBSTITUTE(C148,"-",""), INDEX(SUBSTITUTE(F$6:F49,"-",""),0), 0)), "")</f>
        <v/>
      </c>
      <c r="E148" s="13487">
        <f>IFERROR(INDEX(G$6:G49, MATCH(SUBSTITUTE(C148,"-",""), INDEX(SUBSTITUTE(F$6:F49,"-",""),0), 0)), "")</f>
        <v/>
      </c>
      <c r="F148" s="13488">
        <f>IFERROR(INDEX(H$6:H49, MATCH(SUBSTITUTE(C148,"-",""), INDEX(SUBSTITUTE(F$6:F49,"-",""),0), 0)), 0)</f>
        <v/>
      </c>
      <c r="G148" s="13489" t="n"/>
      <c r="H148" s="13490" t="n"/>
      <c r="I148" s="13491" t="n"/>
      <c r="J148" s="13492">
        <f>IFERROR(F148-G148, "")</f>
        <v/>
      </c>
      <c r="K148" s="13493" t="n"/>
      <c r="L148" s="13494">
        <f>IFERROR(INDEX(I$6:I49, MATCH(SUBSTITUTE(C148,"-",""), INDEX(SUBSTITUTE(F$6:F49,"-",""),0), 0)), "")</f>
        <v/>
      </c>
      <c r="M148" s="13495">
        <f>IFERROR(IF(K148="","",IF(K148=L148,"✅ Correcta","❌ "&amp; K148 &amp;" (aut: "&amp; L148 &amp;")")), "")</f>
        <v/>
      </c>
      <c r="N148" s="13496">
        <f>IFERROR(G148-F148, "")</f>
        <v/>
      </c>
      <c r="O148" s="13497">
        <f>IFERROR(IF(C148="","",IF(F148=0,"⚠️ Sin Autorización (placa no en catálogo)",IF(N148=0,"✅ Cuadrado",IF(N148&gt;0,"❌ Exceso $"&amp;TEXT(N148,"#,##0.00"),"✅ OK - Saldo $"&amp;TEXT(ABS(N148),"#,##0.00"))))), "")</f>
        <v/>
      </c>
    </row>
    <row r="149">
      <c r="A149" s="13498">
        <f>IF(B149="","", _xludf.WEEKNUM(B149, 2))</f>
        <v/>
      </c>
      <c r="B149" s="13499" t="n"/>
      <c r="C149" s="13500" t="n"/>
      <c r="D149" s="13501">
        <f>IFERROR(INDEX(D$6:D49, MATCH(SUBSTITUTE(C149,"-",""), INDEX(SUBSTITUTE(F$6:F49,"-",""),0), 0)), "")</f>
        <v/>
      </c>
      <c r="E149" s="13502">
        <f>IFERROR(INDEX(G$6:G49, MATCH(SUBSTITUTE(C149,"-",""), INDEX(SUBSTITUTE(F$6:F49,"-",""),0), 0)), "")</f>
        <v/>
      </c>
      <c r="F149" s="13503">
        <f>IFERROR(INDEX(H$6:H49, MATCH(SUBSTITUTE(C149,"-",""), INDEX(SUBSTITUTE(F$6:F49,"-",""),0), 0)), 0)</f>
        <v/>
      </c>
      <c r="G149" s="13504" t="n"/>
      <c r="H149" s="13505" t="n"/>
      <c r="I149" s="13506" t="n"/>
      <c r="J149" s="13507">
        <f>IFERROR(F149-G149, "")</f>
        <v/>
      </c>
      <c r="K149" s="13508" t="n"/>
      <c r="L149" s="13509">
        <f>IFERROR(INDEX(I$6:I49, MATCH(SUBSTITUTE(C149,"-",""), INDEX(SUBSTITUTE(F$6:F49,"-",""),0), 0)), "")</f>
        <v/>
      </c>
      <c r="M149" s="13510">
        <f>IFERROR(IF(K149="","",IF(K149=L149,"✅ Correcta","❌ "&amp; K149 &amp;" (aut: "&amp; L149 &amp;")")), "")</f>
        <v/>
      </c>
      <c r="N149" s="13511">
        <f>IFERROR(G149-F149, "")</f>
        <v/>
      </c>
      <c r="O149" s="13512">
        <f>IFERROR(IF(C149="","",IF(F149=0,"⚠️ Sin Autorización (placa no en catálogo)",IF(N149=0,"✅ Cuadrado",IF(N149&gt;0,"❌ Exceso $"&amp;TEXT(N149,"#,##0.00"),"✅ OK - Saldo $"&amp;TEXT(ABS(N149),"#,##0.00"))))), "")</f>
        <v/>
      </c>
    </row>
    <row r="150">
      <c r="A150" s="13513">
        <f>IF(B150="","", _xludf.WEEKNUM(B150, 2))</f>
        <v/>
      </c>
      <c r="B150" s="13514" t="n"/>
      <c r="C150" s="13515" t="n"/>
      <c r="D150" s="13516">
        <f>IFERROR(INDEX(D$6:D49, MATCH(SUBSTITUTE(C150,"-",""), INDEX(SUBSTITUTE(F$6:F49,"-",""),0), 0)), "")</f>
        <v/>
      </c>
      <c r="E150" s="13517">
        <f>IFERROR(INDEX(G$6:G49, MATCH(SUBSTITUTE(C150,"-",""), INDEX(SUBSTITUTE(F$6:F49,"-",""),0), 0)), "")</f>
        <v/>
      </c>
      <c r="F150" s="13518">
        <f>IFERROR(INDEX(H$6:H49, MATCH(SUBSTITUTE(C150,"-",""), INDEX(SUBSTITUTE(F$6:F49,"-",""),0), 0)), 0)</f>
        <v/>
      </c>
      <c r="G150" s="13519" t="n"/>
      <c r="H150" s="13520" t="n"/>
      <c r="I150" s="13521" t="n"/>
      <c r="J150" s="13522">
        <f>IFERROR(F150-G150, "")</f>
        <v/>
      </c>
      <c r="K150" s="13523" t="n"/>
      <c r="L150" s="13524">
        <f>IFERROR(INDEX(I$6:I49, MATCH(SUBSTITUTE(C150,"-",""), INDEX(SUBSTITUTE(F$6:F49,"-",""),0), 0)), "")</f>
        <v/>
      </c>
      <c r="M150" s="13525">
        <f>IFERROR(IF(K150="","",IF(K150=L150,"✅ Correcta","❌ "&amp; K150 &amp;" (aut: "&amp; L150 &amp;")")), "")</f>
        <v/>
      </c>
      <c r="N150" s="13526">
        <f>IFERROR(G150-F150, "")</f>
        <v/>
      </c>
      <c r="O150" s="13527">
        <f>IFERROR(IF(C150="","",IF(F150=0,"⚠️ Sin Autorización (placa no en catálogo)",IF(N150=0,"✅ Cuadrado",IF(N150&gt;0,"❌ Exceso $"&amp;TEXT(N150,"#,##0.00"),"✅ OK - Saldo $"&amp;TEXT(ABS(N150),"#,##0.00"))))), "")</f>
        <v/>
      </c>
    </row>
    <row r="151">
      <c r="A151" s="13528">
        <f>IF(B151="","", _xludf.WEEKNUM(B151, 2))</f>
        <v/>
      </c>
      <c r="B151" s="13529" t="n"/>
      <c r="C151" s="13530" t="n"/>
      <c r="D151" s="13531">
        <f>IFERROR(INDEX(D$6:D49, MATCH(SUBSTITUTE(C151,"-",""), INDEX(SUBSTITUTE(F$6:F49,"-",""),0), 0)), "")</f>
        <v/>
      </c>
      <c r="E151" s="13532">
        <f>IFERROR(INDEX(G$6:G49, MATCH(SUBSTITUTE(C151,"-",""), INDEX(SUBSTITUTE(F$6:F49,"-",""),0), 0)), "")</f>
        <v/>
      </c>
      <c r="F151" s="13533">
        <f>IFERROR(INDEX(H$6:H49, MATCH(SUBSTITUTE(C151,"-",""), INDEX(SUBSTITUTE(F$6:F49,"-",""),0), 0)), 0)</f>
        <v/>
      </c>
      <c r="G151" s="13534" t="n"/>
      <c r="H151" s="13535" t="n"/>
      <c r="I151" s="13536" t="n"/>
      <c r="J151" s="13537">
        <f>IFERROR(F151-G151, "")</f>
        <v/>
      </c>
      <c r="K151" s="13538" t="n"/>
      <c r="L151" s="13539">
        <f>IFERROR(INDEX(I$6:I49, MATCH(SUBSTITUTE(C151,"-",""), INDEX(SUBSTITUTE(F$6:F49,"-",""),0), 0)), "")</f>
        <v/>
      </c>
      <c r="M151" s="13540">
        <f>IFERROR(IF(K151="","",IF(K151=L151,"✅ Correcta","❌ "&amp; K151 &amp;" (aut: "&amp; L151 &amp;")")), "")</f>
        <v/>
      </c>
      <c r="N151" s="13541">
        <f>IFERROR(G151-F151, "")</f>
        <v/>
      </c>
      <c r="O151" s="13542">
        <f>IFERROR(IF(C151="","",IF(F151=0,"⚠️ Sin Autorización (placa no en catálogo)",IF(N151=0,"✅ Cuadrado",IF(N151&gt;0,"❌ Exceso $"&amp;TEXT(N151,"#,##0.00"),"✅ OK - Saldo $"&amp;TEXT(ABS(N151),"#,##0.00"))))), "")</f>
        <v/>
      </c>
    </row>
    <row r="152">
      <c r="A152" s="13543">
        <f>IF(B152="","", _xludf.WEEKNUM(B152, 2))</f>
        <v/>
      </c>
      <c r="B152" s="13544" t="n"/>
      <c r="C152" s="13545" t="n"/>
      <c r="D152" s="13546">
        <f>IFERROR(INDEX(D$6:D49, MATCH(SUBSTITUTE(C152,"-",""), INDEX(SUBSTITUTE(F$6:F49,"-",""),0), 0)), "")</f>
        <v/>
      </c>
      <c r="E152" s="13547">
        <f>IFERROR(INDEX(G$6:G49, MATCH(SUBSTITUTE(C152,"-",""), INDEX(SUBSTITUTE(F$6:F49,"-",""),0), 0)), "")</f>
        <v/>
      </c>
      <c r="F152" s="13548">
        <f>IFERROR(INDEX(H$6:H49, MATCH(SUBSTITUTE(C152,"-",""), INDEX(SUBSTITUTE(F$6:F49,"-",""),0), 0)), 0)</f>
        <v/>
      </c>
      <c r="G152" s="13549" t="n"/>
      <c r="H152" s="13550" t="n"/>
      <c r="I152" s="13551" t="n"/>
      <c r="J152" s="13552">
        <f>IFERROR(F152-G152, "")</f>
        <v/>
      </c>
      <c r="K152" s="13553" t="n"/>
      <c r="L152" s="13554">
        <f>IFERROR(INDEX(I$6:I49, MATCH(SUBSTITUTE(C152,"-",""), INDEX(SUBSTITUTE(F$6:F49,"-",""),0), 0)), "")</f>
        <v/>
      </c>
      <c r="M152" s="13555">
        <f>IFERROR(IF(K152="","",IF(K152=L152,"✅ Correcta","❌ "&amp; K152 &amp;" (aut: "&amp; L152 &amp;")")), "")</f>
        <v/>
      </c>
      <c r="N152" s="13556">
        <f>IFERROR(G152-F152, "")</f>
        <v/>
      </c>
      <c r="O152" s="13557">
        <f>IFERROR(IF(C152="","",IF(F152=0,"⚠️ Sin Autorización (placa no en catálogo)",IF(N152=0,"✅ Cuadrado",IF(N152&gt;0,"❌ Exceso $"&amp;TEXT(N152,"#,##0.00"),"✅ OK - Saldo $"&amp;TEXT(ABS(N152),"#,##0.00"))))), "")</f>
        <v/>
      </c>
    </row>
    <row r="153">
      <c r="A153" s="13558">
        <f>IF(B153="","", _xludf.WEEKNUM(B153, 2))</f>
        <v/>
      </c>
      <c r="B153" s="13559" t="n"/>
      <c r="C153" s="13560" t="n"/>
      <c r="D153" s="13561">
        <f>IFERROR(INDEX(D$6:D49, MATCH(SUBSTITUTE(C153,"-",""), INDEX(SUBSTITUTE(F$6:F49,"-",""),0), 0)), "")</f>
        <v/>
      </c>
      <c r="E153" s="13562">
        <f>IFERROR(INDEX(G$6:G49, MATCH(SUBSTITUTE(C153,"-",""), INDEX(SUBSTITUTE(F$6:F49,"-",""),0), 0)), "")</f>
        <v/>
      </c>
      <c r="F153" s="13563">
        <f>IFERROR(INDEX(H$6:H49, MATCH(SUBSTITUTE(C153,"-",""), INDEX(SUBSTITUTE(F$6:F49,"-",""),0), 0)), 0)</f>
        <v/>
      </c>
      <c r="G153" s="13564" t="n"/>
      <c r="H153" s="13565" t="n"/>
      <c r="I153" s="13566" t="n"/>
      <c r="J153" s="13567">
        <f>IFERROR(F153-G153, "")</f>
        <v/>
      </c>
      <c r="K153" s="13568" t="n"/>
      <c r="L153" s="13569">
        <f>IFERROR(INDEX(I$6:I49, MATCH(SUBSTITUTE(C153,"-",""), INDEX(SUBSTITUTE(F$6:F49,"-",""),0), 0)), "")</f>
        <v/>
      </c>
      <c r="M153" s="13570">
        <f>IFERROR(IF(K153="","",IF(K153=L153,"✅ Correcta","❌ "&amp; K153 &amp;" (aut: "&amp; L153 &amp;")")), "")</f>
        <v/>
      </c>
      <c r="N153" s="13571">
        <f>IFERROR(G153-F153, "")</f>
        <v/>
      </c>
      <c r="O153" s="13572">
        <f>IFERROR(IF(C153="","",IF(F153=0,"⚠️ Sin Autorización (placa no en catálogo)",IF(N153=0,"✅ Cuadrado",IF(N153&gt;0,"❌ Exceso $"&amp;TEXT(N153,"#,##0.00"),"✅ OK - Saldo $"&amp;TEXT(ABS(N153),"#,##0.00"))))), "")</f>
        <v/>
      </c>
    </row>
    <row r="154">
      <c r="A154" s="13573">
        <f>IF(B154="","", _xludf.WEEKNUM(B154, 2))</f>
        <v/>
      </c>
      <c r="B154" s="13574" t="n"/>
      <c r="C154" s="13575" t="n"/>
      <c r="D154" s="13576">
        <f>IFERROR(INDEX(D$6:D49, MATCH(SUBSTITUTE(C154,"-",""), INDEX(SUBSTITUTE(F$6:F49,"-",""),0), 0)), "")</f>
        <v/>
      </c>
      <c r="E154" s="13577">
        <f>IFERROR(INDEX(G$6:G49, MATCH(SUBSTITUTE(C154,"-",""), INDEX(SUBSTITUTE(F$6:F49,"-",""),0), 0)), "")</f>
        <v/>
      </c>
      <c r="F154" s="13578">
        <f>IFERROR(INDEX(H$6:H49, MATCH(SUBSTITUTE(C154,"-",""), INDEX(SUBSTITUTE(F$6:F49,"-",""),0), 0)), 0)</f>
        <v/>
      </c>
      <c r="G154" s="13579" t="n"/>
      <c r="H154" s="13580" t="n"/>
      <c r="I154" s="13581" t="n"/>
      <c r="J154" s="13582">
        <f>IFERROR(F154-G154, "")</f>
        <v/>
      </c>
      <c r="K154" s="13583" t="n"/>
      <c r="L154" s="13584">
        <f>IFERROR(INDEX(I$6:I49, MATCH(SUBSTITUTE(C154,"-",""), INDEX(SUBSTITUTE(F$6:F49,"-",""),0), 0)), "")</f>
        <v/>
      </c>
      <c r="M154" s="13585">
        <f>IFERROR(IF(K154="","",IF(K154=L154,"✅ Correcta","❌ "&amp; K154 &amp;" (aut: "&amp; L154 &amp;")")), "")</f>
        <v/>
      </c>
      <c r="N154" s="13586">
        <f>IFERROR(G154-F154, "")</f>
        <v/>
      </c>
      <c r="O154" s="13587">
        <f>IFERROR(IF(C154="","",IF(F154=0,"⚠️ Sin Autorización (placa no en catálogo)",IF(N154=0,"✅ Cuadrado",IF(N154&gt;0,"❌ Exceso $"&amp;TEXT(N154,"#,##0.00"),"✅ OK - Saldo $"&amp;TEXT(ABS(N154),"#,##0.00"))))), "")</f>
        <v/>
      </c>
    </row>
    <row r="155">
      <c r="A155" s="13588">
        <f>IF(B155="","", _xludf.WEEKNUM(B155, 2))</f>
        <v/>
      </c>
      <c r="B155" s="13589" t="n"/>
      <c r="C155" s="13590" t="n"/>
      <c r="D155" s="13591">
        <f>IFERROR(INDEX(D$6:D49, MATCH(SUBSTITUTE(C155,"-",""), INDEX(SUBSTITUTE(F$6:F49,"-",""),0), 0)), "")</f>
        <v/>
      </c>
      <c r="E155" s="13592">
        <f>IFERROR(INDEX(G$6:G49, MATCH(SUBSTITUTE(C155,"-",""), INDEX(SUBSTITUTE(F$6:F49,"-",""),0), 0)), "")</f>
        <v/>
      </c>
      <c r="F155" s="13593">
        <f>IFERROR(INDEX(H$6:H49, MATCH(SUBSTITUTE(C155,"-",""), INDEX(SUBSTITUTE(F$6:F49,"-",""),0), 0)), 0)</f>
        <v/>
      </c>
      <c r="G155" s="13594" t="n"/>
      <c r="H155" s="13595" t="n"/>
      <c r="I155" s="13596" t="n"/>
      <c r="J155" s="13597">
        <f>IFERROR(F155-G155, "")</f>
        <v/>
      </c>
      <c r="K155" s="13598" t="n"/>
      <c r="L155" s="13599">
        <f>IFERROR(INDEX(I$6:I49, MATCH(SUBSTITUTE(C155,"-",""), INDEX(SUBSTITUTE(F$6:F49,"-",""),0), 0)), "")</f>
        <v/>
      </c>
      <c r="M155" s="13600">
        <f>IFERROR(IF(K155="","",IF(K155=L155,"✅ Correcta","❌ "&amp; K155 &amp;" (aut: "&amp; L155 &amp;")")), "")</f>
        <v/>
      </c>
      <c r="N155" s="13601">
        <f>IFERROR(G155-F155, "")</f>
        <v/>
      </c>
      <c r="O155" s="13602">
        <f>IFERROR(IF(C155="","",IF(F155=0,"⚠️ Sin Autorización (placa no en catálogo)",IF(N155=0,"✅ Cuadrado",IF(N155&gt;0,"❌ Exceso $"&amp;TEXT(N155,"#,##0.00"),"✅ OK - Saldo $"&amp;TEXT(ABS(N155),"#,##0.00"))))), "")</f>
        <v/>
      </c>
    </row>
    <row r="156">
      <c r="A156" s="13603">
        <f>IF(B156="","", _xludf.WEEKNUM(B156, 2))</f>
        <v/>
      </c>
      <c r="B156" s="13604" t="n"/>
      <c r="C156" s="13605" t="n"/>
      <c r="D156" s="13606">
        <f>IFERROR(INDEX(D$6:D49, MATCH(SUBSTITUTE(C156,"-",""), INDEX(SUBSTITUTE(F$6:F49,"-",""),0), 0)), "")</f>
        <v/>
      </c>
      <c r="E156" s="13607">
        <f>IFERROR(INDEX(G$6:G49, MATCH(SUBSTITUTE(C156,"-",""), INDEX(SUBSTITUTE(F$6:F49,"-",""),0), 0)), "")</f>
        <v/>
      </c>
      <c r="F156" s="13608">
        <f>IFERROR(INDEX(H$6:H49, MATCH(SUBSTITUTE(C156,"-",""), INDEX(SUBSTITUTE(F$6:F49,"-",""),0), 0)), 0)</f>
        <v/>
      </c>
      <c r="G156" s="13609" t="n"/>
      <c r="H156" s="13610" t="n"/>
      <c r="I156" s="13611" t="n"/>
      <c r="J156" s="13612">
        <f>IFERROR(F156-G156, "")</f>
        <v/>
      </c>
      <c r="K156" s="13613" t="n"/>
      <c r="L156" s="13614">
        <f>IFERROR(INDEX(I$6:I49, MATCH(SUBSTITUTE(C156,"-",""), INDEX(SUBSTITUTE(F$6:F49,"-",""),0), 0)), "")</f>
        <v/>
      </c>
      <c r="M156" s="13615">
        <f>IFERROR(IF(K156="","",IF(K156=L156,"✅ Correcta","❌ "&amp; K156 &amp;" (aut: "&amp; L156 &amp;")")), "")</f>
        <v/>
      </c>
      <c r="N156" s="13616">
        <f>IFERROR(G156-F156, "")</f>
        <v/>
      </c>
      <c r="O156" s="13617">
        <f>IFERROR(IF(C156="","",IF(F156=0,"⚠️ Sin Autorización (placa no en catálogo)",IF(N156=0,"✅ Cuadrado",IF(N156&gt;0,"❌ Exceso $"&amp;TEXT(N156,"#,##0.00"),"✅ OK - Saldo $"&amp;TEXT(ABS(N156),"#,##0.00"))))), "")</f>
        <v/>
      </c>
    </row>
    <row r="157">
      <c r="A157" s="13618">
        <f>IF(B157="","", _xludf.WEEKNUM(B157, 2))</f>
        <v/>
      </c>
      <c r="B157" s="13619" t="n"/>
      <c r="C157" s="13620" t="n"/>
      <c r="D157" s="13621">
        <f>IFERROR(INDEX(D$6:D49, MATCH(SUBSTITUTE(C157,"-",""), INDEX(SUBSTITUTE(F$6:F49,"-",""),0), 0)), "")</f>
        <v/>
      </c>
      <c r="E157" s="13622">
        <f>IFERROR(INDEX(G$6:G49, MATCH(SUBSTITUTE(C157,"-",""), INDEX(SUBSTITUTE(F$6:F49,"-",""),0), 0)), "")</f>
        <v/>
      </c>
      <c r="F157" s="13623">
        <f>IFERROR(INDEX(H$6:H49, MATCH(SUBSTITUTE(C157,"-",""), INDEX(SUBSTITUTE(F$6:F49,"-",""),0), 0)), 0)</f>
        <v/>
      </c>
      <c r="G157" s="13624" t="n"/>
      <c r="H157" s="13625" t="n"/>
      <c r="I157" s="13626" t="n"/>
      <c r="J157" s="13627">
        <f>IFERROR(F157-G157, "")</f>
        <v/>
      </c>
      <c r="K157" s="13628" t="n"/>
      <c r="L157" s="13629">
        <f>IFERROR(INDEX(I$6:I49, MATCH(SUBSTITUTE(C157,"-",""), INDEX(SUBSTITUTE(F$6:F49,"-",""),0), 0)), "")</f>
        <v/>
      </c>
      <c r="M157" s="13630">
        <f>IFERROR(IF(K157="","",IF(K157=L157,"✅ Correcta","❌ "&amp; K157 &amp;" (aut: "&amp; L157 &amp;")")), "")</f>
        <v/>
      </c>
      <c r="N157" s="13631">
        <f>IFERROR(G157-F157, "")</f>
        <v/>
      </c>
      <c r="O157" s="13632">
        <f>IFERROR(IF(C157="","",IF(F157=0,"⚠️ Sin Autorización (placa no en catálogo)",IF(N157=0,"✅ Cuadrado",IF(N157&gt;0,"❌ Exceso $"&amp;TEXT(N157,"#,##0.00"),"✅ OK - Saldo $"&amp;TEXT(ABS(N157),"#,##0.00"))))), "")</f>
        <v/>
      </c>
    </row>
    <row r="158">
      <c r="A158" s="13633">
        <f>IF(B158="","", _xludf.WEEKNUM(B158, 2))</f>
        <v/>
      </c>
      <c r="B158" s="13634" t="n"/>
      <c r="C158" s="13635" t="n"/>
      <c r="D158" s="13636">
        <f>IFERROR(INDEX(D$6:D49, MATCH(SUBSTITUTE(C158,"-",""), INDEX(SUBSTITUTE(F$6:F49,"-",""),0), 0)), "")</f>
        <v/>
      </c>
      <c r="E158" s="13637">
        <f>IFERROR(INDEX(G$6:G49, MATCH(SUBSTITUTE(C158,"-",""), INDEX(SUBSTITUTE(F$6:F49,"-",""),0), 0)), "")</f>
        <v/>
      </c>
      <c r="F158" s="13638">
        <f>IFERROR(INDEX(H$6:H49, MATCH(SUBSTITUTE(C158,"-",""), INDEX(SUBSTITUTE(F$6:F49,"-",""),0), 0)), 0)</f>
        <v/>
      </c>
      <c r="G158" s="13639" t="n"/>
      <c r="H158" s="13640" t="n"/>
      <c r="I158" s="13641" t="n"/>
      <c r="J158" s="13642">
        <f>IFERROR(F158-G158, "")</f>
        <v/>
      </c>
      <c r="K158" s="13643" t="n"/>
      <c r="L158" s="13644">
        <f>IFERROR(INDEX(I$6:I49, MATCH(SUBSTITUTE(C158,"-",""), INDEX(SUBSTITUTE(F$6:F49,"-",""),0), 0)), "")</f>
        <v/>
      </c>
      <c r="M158" s="13645">
        <f>IFERROR(IF(K158="","",IF(K158=L158,"✅ Correcta","❌ "&amp; K158 &amp;" (aut: "&amp; L158 &amp;")")), "")</f>
        <v/>
      </c>
      <c r="N158" s="13646">
        <f>IFERROR(G158-F158, "")</f>
        <v/>
      </c>
      <c r="O158" s="13647">
        <f>IFERROR(IF(C158="","",IF(F158=0,"⚠️ Sin Autorización (placa no en catálogo)",IF(N158=0,"✅ Cuadrado",IF(N158&gt;0,"❌ Exceso $"&amp;TEXT(N158,"#,##0.00"),"✅ OK - Saldo $"&amp;TEXT(ABS(N158),"#,##0.00"))))), "")</f>
        <v/>
      </c>
    </row>
    <row r="159">
      <c r="A159" s="13648">
        <f>IF(B159="","", _xludf.WEEKNUM(B159, 2))</f>
        <v/>
      </c>
      <c r="B159" s="13649" t="n"/>
      <c r="C159" s="13650" t="n"/>
      <c r="D159" s="13651">
        <f>IFERROR(INDEX(D$6:D49, MATCH(SUBSTITUTE(C159,"-",""), INDEX(SUBSTITUTE(F$6:F49,"-",""),0), 0)), "")</f>
        <v/>
      </c>
      <c r="E159" s="13652">
        <f>IFERROR(INDEX(G$6:G49, MATCH(SUBSTITUTE(C159,"-",""), INDEX(SUBSTITUTE(F$6:F49,"-",""),0), 0)), "")</f>
        <v/>
      </c>
      <c r="F159" s="13653">
        <f>IFERROR(INDEX(H$6:H49, MATCH(SUBSTITUTE(C159,"-",""), INDEX(SUBSTITUTE(F$6:F49,"-",""),0), 0)), 0)</f>
        <v/>
      </c>
      <c r="G159" s="13654" t="n"/>
      <c r="H159" s="13655" t="n"/>
      <c r="I159" s="13656" t="n"/>
      <c r="J159" s="13657">
        <f>IFERROR(F159-G159, "")</f>
        <v/>
      </c>
      <c r="K159" s="13658" t="n"/>
      <c r="L159" s="13659">
        <f>IFERROR(INDEX(I$6:I49, MATCH(SUBSTITUTE(C159,"-",""), INDEX(SUBSTITUTE(F$6:F49,"-",""),0), 0)), "")</f>
        <v/>
      </c>
      <c r="M159" s="13660">
        <f>IFERROR(IF(K159="","",IF(K159=L159,"✅ Correcta","❌ "&amp; K159 &amp;" (aut: "&amp; L159 &amp;")")), "")</f>
        <v/>
      </c>
      <c r="N159" s="13661">
        <f>IFERROR(G159-F159, "")</f>
        <v/>
      </c>
      <c r="O159" s="13662">
        <f>IFERROR(IF(C159="","",IF(F159=0,"⚠️ Sin Autorización (placa no en catálogo)",IF(N159=0,"✅ Cuadrado",IF(N159&gt;0,"❌ Exceso $"&amp;TEXT(N159,"#,##0.00"),"✅ OK - Saldo $"&amp;TEXT(ABS(N159),"#,##0.00"))))), "")</f>
        <v/>
      </c>
    </row>
    <row r="160">
      <c r="A160" s="13663">
        <f>IF(B160="","", _xludf.WEEKNUM(B160, 2))</f>
        <v/>
      </c>
      <c r="B160" s="13664" t="n"/>
      <c r="C160" s="13665" t="n"/>
      <c r="D160" s="13666">
        <f>IFERROR(INDEX(D$6:D49, MATCH(SUBSTITUTE(C160,"-",""), INDEX(SUBSTITUTE(F$6:F49,"-",""),0), 0)), "")</f>
        <v/>
      </c>
      <c r="E160" s="13667">
        <f>IFERROR(INDEX(G$6:G49, MATCH(SUBSTITUTE(C160,"-",""), INDEX(SUBSTITUTE(F$6:F49,"-",""),0), 0)), "")</f>
        <v/>
      </c>
      <c r="F160" s="13668">
        <f>IFERROR(INDEX(H$6:H49, MATCH(SUBSTITUTE(C160,"-",""), INDEX(SUBSTITUTE(F$6:F49,"-",""),0), 0)), 0)</f>
        <v/>
      </c>
      <c r="G160" s="13669" t="n"/>
      <c r="H160" s="13670" t="n"/>
      <c r="I160" s="13671" t="n"/>
      <c r="J160" s="13672">
        <f>IFERROR(F160-G160, "")</f>
        <v/>
      </c>
      <c r="K160" s="13673" t="n"/>
      <c r="L160" s="13674">
        <f>IFERROR(INDEX(I$6:I49, MATCH(SUBSTITUTE(C160,"-",""), INDEX(SUBSTITUTE(F$6:F49,"-",""),0), 0)), "")</f>
        <v/>
      </c>
      <c r="M160" s="13675">
        <f>IFERROR(IF(K160="","",IF(K160=L160,"✅ Correcta","❌ "&amp; K160 &amp;" (aut: "&amp; L160 &amp;")")), "")</f>
        <v/>
      </c>
      <c r="N160" s="13676">
        <f>IFERROR(G160-F160, "")</f>
        <v/>
      </c>
      <c r="O160" s="13677">
        <f>IFERROR(IF(C160="","",IF(F160=0,"⚠️ Sin Autorización (placa no en catálogo)",IF(N160=0,"✅ Cuadrado",IF(N160&gt;0,"❌ Exceso $"&amp;TEXT(N160,"#,##0.00"),"✅ OK - Saldo $"&amp;TEXT(ABS(N160),"#,##0.00"))))), "")</f>
        <v/>
      </c>
    </row>
    <row r="161">
      <c r="A161" s="13678">
        <f>IF(B161="","", _xludf.WEEKNUM(B161, 2))</f>
        <v/>
      </c>
      <c r="B161" s="13679" t="n"/>
      <c r="C161" s="13680" t="n"/>
      <c r="D161" s="13681">
        <f>IFERROR(INDEX(D$6:D49, MATCH(SUBSTITUTE(C161,"-",""), INDEX(SUBSTITUTE(F$6:F49,"-",""),0), 0)), "")</f>
        <v/>
      </c>
      <c r="E161" s="13682">
        <f>IFERROR(INDEX(G$6:G49, MATCH(SUBSTITUTE(C161,"-",""), INDEX(SUBSTITUTE(F$6:F49,"-",""),0), 0)), "")</f>
        <v/>
      </c>
      <c r="F161" s="13683">
        <f>IFERROR(INDEX(H$6:H49, MATCH(SUBSTITUTE(C161,"-",""), INDEX(SUBSTITUTE(F$6:F49,"-",""),0), 0)), 0)</f>
        <v/>
      </c>
      <c r="G161" s="13684" t="n"/>
      <c r="H161" s="13685" t="n"/>
      <c r="I161" s="13686" t="n"/>
      <c r="J161" s="13687">
        <f>IFERROR(F161-G161, "")</f>
        <v/>
      </c>
      <c r="K161" s="13688" t="n"/>
      <c r="L161" s="13689">
        <f>IFERROR(INDEX(I$6:I49, MATCH(SUBSTITUTE(C161,"-",""), INDEX(SUBSTITUTE(F$6:F49,"-",""),0), 0)), "")</f>
        <v/>
      </c>
      <c r="M161" s="13690">
        <f>IFERROR(IF(K161="","",IF(K161=L161,"✅ Correcta","❌ "&amp; K161 &amp;" (aut: "&amp; L161 &amp;")")), "")</f>
        <v/>
      </c>
      <c r="N161" s="13691">
        <f>IFERROR(G161-F161, "")</f>
        <v/>
      </c>
      <c r="O161" s="13692">
        <f>IFERROR(IF(C161="","",IF(F161=0,"⚠️ Sin Autorización (placa no en catálogo)",IF(N161=0,"✅ Cuadrado",IF(N161&gt;0,"❌ Exceso $"&amp;TEXT(N161,"#,##0.00"),"✅ OK - Saldo $"&amp;TEXT(ABS(N161),"#,##0.00"))))), "")</f>
        <v/>
      </c>
    </row>
    <row r="162">
      <c r="A162" s="13693">
        <f>IF(B162="","", _xludf.WEEKNUM(B162, 2))</f>
        <v/>
      </c>
      <c r="B162" s="13694" t="n"/>
      <c r="C162" s="13695" t="n"/>
      <c r="D162" s="13696">
        <f>IFERROR(INDEX(D$6:D49, MATCH(SUBSTITUTE(C162,"-",""), INDEX(SUBSTITUTE(F$6:F49,"-",""),0), 0)), "")</f>
        <v/>
      </c>
      <c r="E162" s="13697">
        <f>IFERROR(INDEX(G$6:G49, MATCH(SUBSTITUTE(C162,"-",""), INDEX(SUBSTITUTE(F$6:F49,"-",""),0), 0)), "")</f>
        <v/>
      </c>
      <c r="F162" s="13698">
        <f>IFERROR(INDEX(H$6:H49, MATCH(SUBSTITUTE(C162,"-",""), INDEX(SUBSTITUTE(F$6:F49,"-",""),0), 0)), 0)</f>
        <v/>
      </c>
      <c r="G162" s="13699" t="n"/>
      <c r="H162" s="13700" t="n"/>
      <c r="I162" s="13701" t="n"/>
      <c r="J162" s="13702">
        <f>IFERROR(F162-G162, "")</f>
        <v/>
      </c>
      <c r="K162" s="13703" t="n"/>
      <c r="L162" s="13704">
        <f>IFERROR(INDEX(I$6:I49, MATCH(SUBSTITUTE(C162,"-",""), INDEX(SUBSTITUTE(F$6:F49,"-",""),0), 0)), "")</f>
        <v/>
      </c>
      <c r="M162" s="13705">
        <f>IFERROR(IF(K162="","",IF(K162=L162,"✅ Correcta","❌ "&amp; K162 &amp;" (aut: "&amp; L162 &amp;")")), "")</f>
        <v/>
      </c>
      <c r="N162" s="13706">
        <f>IFERROR(G162-F162, "")</f>
        <v/>
      </c>
      <c r="O162" s="13707">
        <f>IFERROR(IF(C162="","",IF(F162=0,"⚠️ Sin Autorización (placa no en catálogo)",IF(N162=0,"✅ Cuadrado",IF(N162&gt;0,"❌ Exceso $"&amp;TEXT(N162,"#,##0.00"),"✅ OK - Saldo $"&amp;TEXT(ABS(N162),"#,##0.00"))))), "")</f>
        <v/>
      </c>
    </row>
    <row r="163">
      <c r="A163" s="13708">
        <f>IF(B163="","", _xludf.WEEKNUM(B163, 2))</f>
        <v/>
      </c>
      <c r="B163" s="13709" t="n"/>
      <c r="C163" s="13710" t="n"/>
      <c r="D163" s="13711">
        <f>IFERROR(INDEX(D$6:D49, MATCH(SUBSTITUTE(C163,"-",""), INDEX(SUBSTITUTE(F$6:F49,"-",""),0), 0)), "")</f>
        <v/>
      </c>
      <c r="E163" s="13712">
        <f>IFERROR(INDEX(G$6:G49, MATCH(SUBSTITUTE(C163,"-",""), INDEX(SUBSTITUTE(F$6:F49,"-",""),0), 0)), "")</f>
        <v/>
      </c>
      <c r="F163" s="13713">
        <f>IFERROR(INDEX(H$6:H49, MATCH(SUBSTITUTE(C163,"-",""), INDEX(SUBSTITUTE(F$6:F49,"-",""),0), 0)), 0)</f>
        <v/>
      </c>
      <c r="G163" s="13714" t="n"/>
      <c r="H163" s="13715" t="n"/>
      <c r="I163" s="13716" t="n"/>
      <c r="J163" s="13717">
        <f>IFERROR(F163-G163, "")</f>
        <v/>
      </c>
      <c r="K163" s="13718" t="n"/>
      <c r="L163" s="13719">
        <f>IFERROR(INDEX(I$6:I49, MATCH(SUBSTITUTE(C163,"-",""), INDEX(SUBSTITUTE(F$6:F49,"-",""),0), 0)), "")</f>
        <v/>
      </c>
      <c r="M163" s="13720">
        <f>IFERROR(IF(K163="","",IF(K163=L163,"✅ Correcta","❌ "&amp; K163 &amp;" (aut: "&amp; L163 &amp;")")), "")</f>
        <v/>
      </c>
      <c r="N163" s="13721">
        <f>IFERROR(G163-F163, "")</f>
        <v/>
      </c>
      <c r="O163" s="13722">
        <f>IFERROR(IF(C163="","",IF(F163=0,"⚠️ Sin Autorización (placa no en catálogo)",IF(N163=0,"✅ Cuadrado",IF(N163&gt;0,"❌ Exceso $"&amp;TEXT(N163,"#,##0.00"),"✅ OK - Saldo $"&amp;TEXT(ABS(N163),"#,##0.00"))))), "")</f>
        <v/>
      </c>
    </row>
    <row r="164">
      <c r="A164" s="13723">
        <f>IF(B164="","", _xludf.WEEKNUM(B164, 2))</f>
        <v/>
      </c>
      <c r="B164" s="13724" t="n"/>
      <c r="C164" s="13725" t="n"/>
      <c r="D164" s="13726">
        <f>IFERROR(INDEX(D$6:D49, MATCH(SUBSTITUTE(C164,"-",""), INDEX(SUBSTITUTE(F$6:F49,"-",""),0), 0)), "")</f>
        <v/>
      </c>
      <c r="E164" s="13727">
        <f>IFERROR(INDEX(G$6:G49, MATCH(SUBSTITUTE(C164,"-",""), INDEX(SUBSTITUTE(F$6:F49,"-",""),0), 0)), "")</f>
        <v/>
      </c>
      <c r="F164" s="13728">
        <f>IFERROR(INDEX(H$6:H49, MATCH(SUBSTITUTE(C164,"-",""), INDEX(SUBSTITUTE(F$6:F49,"-",""),0), 0)), 0)</f>
        <v/>
      </c>
      <c r="G164" s="13729" t="n"/>
      <c r="H164" s="13730" t="n"/>
      <c r="I164" s="13731" t="n"/>
      <c r="J164" s="13732">
        <f>IFERROR(F164-G164, "")</f>
        <v/>
      </c>
      <c r="K164" s="13733" t="n"/>
      <c r="L164" s="13734">
        <f>IFERROR(INDEX(I$6:I49, MATCH(SUBSTITUTE(C164,"-",""), INDEX(SUBSTITUTE(F$6:F49,"-",""),0), 0)), "")</f>
        <v/>
      </c>
      <c r="M164" s="13735">
        <f>IFERROR(IF(K164="","",IF(K164=L164,"✅ Correcta","❌ "&amp; K164 &amp;" (aut: "&amp; L164 &amp;")")), "")</f>
        <v/>
      </c>
      <c r="N164" s="13736">
        <f>IFERROR(G164-F164, "")</f>
        <v/>
      </c>
      <c r="O164" s="13737">
        <f>IFERROR(IF(C164="","",IF(F164=0,"⚠️ Sin Autorización (placa no en catálogo)",IF(N164=0,"✅ Cuadrado",IF(N164&gt;0,"❌ Exceso $"&amp;TEXT(N164,"#,##0.00"),"✅ OK - Saldo $"&amp;TEXT(ABS(N164),"#,##0.00"))))), "")</f>
        <v/>
      </c>
    </row>
    <row r="165">
      <c r="A165" s="13738">
        <f>IF(B165="","", _xludf.WEEKNUM(B165, 2))</f>
        <v/>
      </c>
      <c r="B165" s="13739" t="n"/>
      <c r="C165" s="13740" t="n"/>
      <c r="D165" s="13741">
        <f>IFERROR(INDEX(D$6:D49, MATCH(SUBSTITUTE(C165,"-",""), INDEX(SUBSTITUTE(F$6:F49,"-",""),0), 0)), "")</f>
        <v/>
      </c>
      <c r="E165" s="13742">
        <f>IFERROR(INDEX(G$6:G49, MATCH(SUBSTITUTE(C165,"-",""), INDEX(SUBSTITUTE(F$6:F49,"-",""),0), 0)), "")</f>
        <v/>
      </c>
      <c r="F165" s="13743">
        <f>IFERROR(INDEX(H$6:H49, MATCH(SUBSTITUTE(C165,"-",""), INDEX(SUBSTITUTE(F$6:F49,"-",""),0), 0)), 0)</f>
        <v/>
      </c>
      <c r="G165" s="13744" t="n"/>
      <c r="H165" s="13745" t="n"/>
      <c r="I165" s="13746" t="n"/>
      <c r="J165" s="13747">
        <f>IFERROR(F165-G165, "")</f>
        <v/>
      </c>
      <c r="K165" s="13748" t="n"/>
      <c r="L165" s="13749">
        <f>IFERROR(INDEX(I$6:I49, MATCH(SUBSTITUTE(C165,"-",""), INDEX(SUBSTITUTE(F$6:F49,"-",""),0), 0)), "")</f>
        <v/>
      </c>
      <c r="M165" s="13750">
        <f>IFERROR(IF(K165="","",IF(K165=L165,"✅ Correcta","❌ "&amp; K165 &amp;" (aut: "&amp; L165 &amp;")")), "")</f>
        <v/>
      </c>
      <c r="N165" s="13751">
        <f>IFERROR(G165-F165, "")</f>
        <v/>
      </c>
      <c r="O165" s="13752">
        <f>IFERROR(IF(C165="","",IF(F165=0,"⚠️ Sin Autorización (placa no en catálogo)",IF(N165=0,"✅ Cuadrado",IF(N165&gt;0,"❌ Exceso $"&amp;TEXT(N165,"#,##0.00"),"✅ OK - Saldo $"&amp;TEXT(ABS(N165),"#,##0.00"))))), "")</f>
        <v/>
      </c>
    </row>
    <row r="166">
      <c r="A166" s="13753">
        <f>IF(B166="","", _xludf.WEEKNUM(B166, 2))</f>
        <v/>
      </c>
      <c r="B166" s="13754" t="n"/>
      <c r="C166" s="13755" t="n"/>
      <c r="D166" s="13756">
        <f>IFERROR(INDEX(D$6:D49, MATCH(SUBSTITUTE(C166,"-",""), INDEX(SUBSTITUTE(F$6:F49,"-",""),0), 0)), "")</f>
        <v/>
      </c>
      <c r="E166" s="13757">
        <f>IFERROR(INDEX(G$6:G49, MATCH(SUBSTITUTE(C166,"-",""), INDEX(SUBSTITUTE(F$6:F49,"-",""),0), 0)), "")</f>
        <v/>
      </c>
      <c r="F166" s="13758">
        <f>IFERROR(INDEX(H$6:H49, MATCH(SUBSTITUTE(C166,"-",""), INDEX(SUBSTITUTE(F$6:F49,"-",""),0), 0)), 0)</f>
        <v/>
      </c>
      <c r="G166" s="13759" t="n"/>
      <c r="H166" s="13760" t="n"/>
      <c r="I166" s="13761" t="n"/>
      <c r="J166" s="13762">
        <f>IFERROR(F166-G166, "")</f>
        <v/>
      </c>
      <c r="K166" s="13763" t="n"/>
      <c r="L166" s="13764">
        <f>IFERROR(INDEX(I$6:I49, MATCH(SUBSTITUTE(C166,"-",""), INDEX(SUBSTITUTE(F$6:F49,"-",""),0), 0)), "")</f>
        <v/>
      </c>
      <c r="M166" s="13765">
        <f>IFERROR(IF(K166="","",IF(K166=L166,"✅ Correcta","❌ "&amp; K166 &amp;" (aut: "&amp; L166 &amp;")")), "")</f>
        <v/>
      </c>
      <c r="N166" s="13766">
        <f>IFERROR(G166-F166, "")</f>
        <v/>
      </c>
      <c r="O166" s="13767">
        <f>IFERROR(IF(C166="","",IF(F166=0,"⚠️ Sin Autorización (placa no en catálogo)",IF(N166=0,"✅ Cuadrado",IF(N166&gt;0,"❌ Exceso $"&amp;TEXT(N166,"#,##0.00"),"✅ OK - Saldo $"&amp;TEXT(ABS(N166),"#,##0.00"))))), "")</f>
        <v/>
      </c>
    </row>
    <row r="167">
      <c r="A167" s="13768">
        <f>IF(B167="","", _xludf.WEEKNUM(B167, 2))</f>
        <v/>
      </c>
      <c r="B167" s="13769" t="n"/>
      <c r="C167" s="13770" t="n"/>
      <c r="D167" s="13771">
        <f>IFERROR(INDEX(D$6:D49, MATCH(SUBSTITUTE(C167,"-",""), INDEX(SUBSTITUTE(F$6:F49,"-",""),0), 0)), "")</f>
        <v/>
      </c>
      <c r="E167" s="13772">
        <f>IFERROR(INDEX(G$6:G49, MATCH(SUBSTITUTE(C167,"-",""), INDEX(SUBSTITUTE(F$6:F49,"-",""),0), 0)), "")</f>
        <v/>
      </c>
      <c r="F167" s="13773">
        <f>IFERROR(INDEX(H$6:H49, MATCH(SUBSTITUTE(C167,"-",""), INDEX(SUBSTITUTE(F$6:F49,"-",""),0), 0)), 0)</f>
        <v/>
      </c>
      <c r="G167" s="13774" t="n"/>
      <c r="H167" s="13775" t="n"/>
      <c r="I167" s="13776" t="n"/>
      <c r="J167" s="13777">
        <f>IFERROR(F167-G167, "")</f>
        <v/>
      </c>
      <c r="K167" s="13778" t="n"/>
      <c r="L167" s="13779">
        <f>IFERROR(INDEX(I$6:I49, MATCH(SUBSTITUTE(C167,"-",""), INDEX(SUBSTITUTE(F$6:F49,"-",""),0), 0)), "")</f>
        <v/>
      </c>
      <c r="M167" s="13780">
        <f>IFERROR(IF(K167="","",IF(K167=L167,"✅ Correcta","❌ "&amp; K167 &amp;" (aut: "&amp; L167 &amp;")")), "")</f>
        <v/>
      </c>
      <c r="N167" s="13781">
        <f>IFERROR(G167-F167, "")</f>
        <v/>
      </c>
      <c r="O167" s="13782">
        <f>IFERROR(IF(C167="","",IF(F167=0,"⚠️ Sin Autorización (placa no en catálogo)",IF(N167=0,"✅ Cuadrado",IF(N167&gt;0,"❌ Exceso $"&amp;TEXT(N167,"#,##0.00"),"✅ OK - Saldo $"&amp;TEXT(ABS(N167),"#,##0.00"))))), "")</f>
        <v/>
      </c>
    </row>
    <row r="168">
      <c r="A168" s="13783">
        <f>IF(B168="","", _xludf.WEEKNUM(B168, 2))</f>
        <v/>
      </c>
      <c r="B168" s="13784" t="n"/>
      <c r="C168" s="13785" t="n"/>
      <c r="D168" s="13786">
        <f>IFERROR(INDEX(D$6:D49, MATCH(SUBSTITUTE(C168,"-",""), INDEX(SUBSTITUTE(F$6:F49,"-",""),0), 0)), "")</f>
        <v/>
      </c>
      <c r="E168" s="13787">
        <f>IFERROR(INDEX(G$6:G49, MATCH(SUBSTITUTE(C168,"-",""), INDEX(SUBSTITUTE(F$6:F49,"-",""),0), 0)), "")</f>
        <v/>
      </c>
      <c r="F168" s="13788">
        <f>IFERROR(INDEX(H$6:H49, MATCH(SUBSTITUTE(C168,"-",""), INDEX(SUBSTITUTE(F$6:F49,"-",""),0), 0)), 0)</f>
        <v/>
      </c>
      <c r="G168" s="13789" t="n"/>
      <c r="H168" s="13790" t="n"/>
      <c r="I168" s="13791" t="n"/>
      <c r="J168" s="13792">
        <f>IFERROR(F168-G168, "")</f>
        <v/>
      </c>
      <c r="K168" s="13793" t="n"/>
      <c r="L168" s="13794">
        <f>IFERROR(INDEX(I$6:I49, MATCH(SUBSTITUTE(C168,"-",""), INDEX(SUBSTITUTE(F$6:F49,"-",""),0), 0)), "")</f>
        <v/>
      </c>
      <c r="M168" s="13795">
        <f>IFERROR(IF(K168="","",IF(K168=L168,"✅ Correcta","❌ "&amp; K168 &amp;" (aut: "&amp; L168 &amp;")")), "")</f>
        <v/>
      </c>
      <c r="N168" s="13796">
        <f>IFERROR(G168-F168, "")</f>
        <v/>
      </c>
      <c r="O168" s="13797">
        <f>IFERROR(IF(C168="","",IF(F168=0,"⚠️ Sin Autorización (placa no en catálogo)",IF(N168=0,"✅ Cuadrado",IF(N168&gt;0,"❌ Exceso $"&amp;TEXT(N168,"#,##0.00"),"✅ OK - Saldo $"&amp;TEXT(ABS(N168),"#,##0.00"))))), "")</f>
        <v/>
      </c>
    </row>
    <row r="169">
      <c r="A169" s="13798">
        <f>IF(B169="","", _xludf.WEEKNUM(B169, 2))</f>
        <v/>
      </c>
      <c r="B169" s="13799" t="n"/>
      <c r="C169" s="13800" t="n"/>
      <c r="D169" s="13801">
        <f>IFERROR(INDEX(D$6:D49, MATCH(SUBSTITUTE(C169,"-",""), INDEX(SUBSTITUTE(F$6:F49,"-",""),0), 0)), "")</f>
        <v/>
      </c>
      <c r="E169" s="13802">
        <f>IFERROR(INDEX(G$6:G49, MATCH(SUBSTITUTE(C169,"-",""), INDEX(SUBSTITUTE(F$6:F49,"-",""),0), 0)), "")</f>
        <v/>
      </c>
      <c r="F169" s="13803">
        <f>IFERROR(INDEX(H$6:H49, MATCH(SUBSTITUTE(C169,"-",""), INDEX(SUBSTITUTE(F$6:F49,"-",""),0), 0)), 0)</f>
        <v/>
      </c>
      <c r="G169" s="13804" t="n"/>
      <c r="H169" s="13805" t="n"/>
      <c r="I169" s="13806" t="n"/>
      <c r="J169" s="13807">
        <f>IFERROR(F169-G169, "")</f>
        <v/>
      </c>
      <c r="K169" s="13808" t="n"/>
      <c r="L169" s="13809">
        <f>IFERROR(INDEX(I$6:I49, MATCH(SUBSTITUTE(C169,"-",""), INDEX(SUBSTITUTE(F$6:F49,"-",""),0), 0)), "")</f>
        <v/>
      </c>
      <c r="M169" s="13810">
        <f>IFERROR(IF(K169="","",IF(K169=L169,"✅ Correcta","❌ "&amp; K169 &amp;" (aut: "&amp; L169 &amp;")")), "")</f>
        <v/>
      </c>
      <c r="N169" s="13811">
        <f>IFERROR(G169-F169, "")</f>
        <v/>
      </c>
      <c r="O169" s="13812">
        <f>IFERROR(IF(C169="","",IF(F169=0,"⚠️ Sin Autorización (placa no en catálogo)",IF(N169=0,"✅ Cuadrado",IF(N169&gt;0,"❌ Exceso $"&amp;TEXT(N169,"#,##0.00"),"✅ OK - Saldo $"&amp;TEXT(ABS(N169),"#,##0.00"))))), "")</f>
        <v/>
      </c>
    </row>
    <row r="170">
      <c r="A170" s="13813">
        <f>IF(B170="","", _xludf.WEEKNUM(B170, 2))</f>
        <v/>
      </c>
      <c r="B170" s="13814" t="n"/>
      <c r="C170" s="13815" t="n"/>
      <c r="D170" s="13816">
        <f>IFERROR(INDEX(D$6:D49, MATCH(SUBSTITUTE(C170,"-",""), INDEX(SUBSTITUTE(F$6:F49,"-",""),0), 0)), "")</f>
        <v/>
      </c>
      <c r="E170" s="13817">
        <f>IFERROR(INDEX(G$6:G49, MATCH(SUBSTITUTE(C170,"-",""), INDEX(SUBSTITUTE(F$6:F49,"-",""),0), 0)), "")</f>
        <v/>
      </c>
      <c r="F170" s="13818">
        <f>IFERROR(INDEX(H$6:H49, MATCH(SUBSTITUTE(C170,"-",""), INDEX(SUBSTITUTE(F$6:F49,"-",""),0), 0)), 0)</f>
        <v/>
      </c>
      <c r="G170" s="13819" t="n"/>
      <c r="H170" s="13820" t="n"/>
      <c r="I170" s="13821" t="n"/>
      <c r="J170" s="13822">
        <f>IFERROR(F170-G170, "")</f>
        <v/>
      </c>
      <c r="K170" s="13823" t="n"/>
      <c r="L170" s="13824">
        <f>IFERROR(INDEX(I$6:I49, MATCH(SUBSTITUTE(C170,"-",""), INDEX(SUBSTITUTE(F$6:F49,"-",""),0), 0)), "")</f>
        <v/>
      </c>
      <c r="M170" s="13825">
        <f>IFERROR(IF(K170="","",IF(K170=L170,"✅ Correcta","❌ "&amp; K170 &amp;" (aut: "&amp; L170 &amp;")")), "")</f>
        <v/>
      </c>
      <c r="N170" s="13826">
        <f>IFERROR(G170-F170, "")</f>
        <v/>
      </c>
      <c r="O170" s="13827">
        <f>IFERROR(IF(C170="","",IF(F170=0,"⚠️ Sin Autorización (placa no en catálogo)",IF(N170=0,"✅ Cuadrado",IF(N170&gt;0,"❌ Exceso $"&amp;TEXT(N170,"#,##0.00"),"✅ OK - Saldo $"&amp;TEXT(ABS(N170),"#,##0.00"))))), "")</f>
        <v/>
      </c>
    </row>
    <row r="171">
      <c r="A171" s="13828">
        <f>IF(B171="","", _xludf.WEEKNUM(B171, 2))</f>
        <v/>
      </c>
      <c r="B171" s="13829" t="n"/>
      <c r="C171" s="13830" t="n"/>
      <c r="D171" s="13831">
        <f>IFERROR(INDEX(D$6:D49, MATCH(SUBSTITUTE(C171,"-",""), INDEX(SUBSTITUTE(F$6:F49,"-",""),0), 0)), "")</f>
        <v/>
      </c>
      <c r="E171" s="13832">
        <f>IFERROR(INDEX(G$6:G49, MATCH(SUBSTITUTE(C171,"-",""), INDEX(SUBSTITUTE(F$6:F49,"-",""),0), 0)), "")</f>
        <v/>
      </c>
      <c r="F171" s="13833">
        <f>IFERROR(INDEX(H$6:H49, MATCH(SUBSTITUTE(C171,"-",""), INDEX(SUBSTITUTE(F$6:F49,"-",""),0), 0)), 0)</f>
        <v/>
      </c>
      <c r="G171" s="13834" t="n"/>
      <c r="H171" s="13835" t="n"/>
      <c r="I171" s="13836" t="n"/>
      <c r="J171" s="13837">
        <f>IFERROR(F171-G171, "")</f>
        <v/>
      </c>
      <c r="K171" s="13838" t="n"/>
      <c r="L171" s="13839">
        <f>IFERROR(INDEX(I$6:I49, MATCH(SUBSTITUTE(C171,"-",""), INDEX(SUBSTITUTE(F$6:F49,"-",""),0), 0)), "")</f>
        <v/>
      </c>
      <c r="M171" s="13840">
        <f>IFERROR(IF(K171="","",IF(K171=L171,"✅ Correcta","❌ "&amp; K171 &amp;" (aut: "&amp; L171 &amp;")")), "")</f>
        <v/>
      </c>
      <c r="N171" s="13841">
        <f>IFERROR(G171-F171, "")</f>
        <v/>
      </c>
      <c r="O171" s="13842">
        <f>IFERROR(IF(C171="","",IF(F171=0,"⚠️ Sin Autorización (placa no en catálogo)",IF(N171=0,"✅ Cuadrado",IF(N171&gt;0,"❌ Exceso $"&amp;TEXT(N171,"#,##0.00"),"✅ OK - Saldo $"&amp;TEXT(ABS(N171),"#,##0.00"))))), "")</f>
        <v/>
      </c>
    </row>
    <row r="172">
      <c r="A172" s="13843">
        <f>IF(B172="","", _xludf.WEEKNUM(B172, 2))</f>
        <v/>
      </c>
      <c r="B172" s="13844" t="n"/>
      <c r="C172" s="13845" t="n"/>
      <c r="D172" s="13846">
        <f>IFERROR(INDEX(D$6:D49, MATCH(SUBSTITUTE(C172,"-",""), INDEX(SUBSTITUTE(F$6:F49,"-",""),0), 0)), "")</f>
        <v/>
      </c>
      <c r="E172" s="13847">
        <f>IFERROR(INDEX(G$6:G49, MATCH(SUBSTITUTE(C172,"-",""), INDEX(SUBSTITUTE(F$6:F49,"-",""),0), 0)), "")</f>
        <v/>
      </c>
      <c r="F172" s="13848">
        <f>IFERROR(INDEX(H$6:H49, MATCH(SUBSTITUTE(C172,"-",""), INDEX(SUBSTITUTE(F$6:F49,"-",""),0), 0)), 0)</f>
        <v/>
      </c>
      <c r="G172" s="13849" t="n"/>
      <c r="H172" s="13850" t="n"/>
      <c r="I172" s="13851" t="n"/>
      <c r="J172" s="13852">
        <f>IFERROR(F172-G172, "")</f>
        <v/>
      </c>
      <c r="K172" s="13853" t="n"/>
      <c r="L172" s="13854">
        <f>IFERROR(INDEX(I$6:I49, MATCH(SUBSTITUTE(C172,"-",""), INDEX(SUBSTITUTE(F$6:F49,"-",""),0), 0)), "")</f>
        <v/>
      </c>
      <c r="M172" s="13855">
        <f>IFERROR(IF(K172="","",IF(K172=L172,"✅ Correcta","❌ "&amp; K172 &amp;" (aut: "&amp; L172 &amp;")")), "")</f>
        <v/>
      </c>
      <c r="N172" s="13856">
        <f>IFERROR(G172-F172, "")</f>
        <v/>
      </c>
      <c r="O172" s="13857">
        <f>IFERROR(IF(C172="","",IF(F172=0,"⚠️ Sin Autorización (placa no en catálogo)",IF(N172=0,"✅ Cuadrado",IF(N172&gt;0,"❌ Exceso $"&amp;TEXT(N172,"#,##0.00"),"✅ OK - Saldo $"&amp;TEXT(ABS(N172),"#,##0.00"))))), "")</f>
        <v/>
      </c>
    </row>
    <row r="173">
      <c r="A173" s="13858">
        <f>IF(B173="","", _xludf.WEEKNUM(B173, 2))</f>
        <v/>
      </c>
      <c r="B173" s="13859" t="n"/>
      <c r="C173" s="13860" t="n"/>
      <c r="D173" s="13861">
        <f>IFERROR(INDEX(D$6:D49, MATCH(SUBSTITUTE(C173,"-",""), INDEX(SUBSTITUTE(F$6:F49,"-",""),0), 0)), "")</f>
        <v/>
      </c>
      <c r="E173" s="13862">
        <f>IFERROR(INDEX(G$6:G49, MATCH(SUBSTITUTE(C173,"-",""), INDEX(SUBSTITUTE(F$6:F49,"-",""),0), 0)), "")</f>
        <v/>
      </c>
      <c r="F173" s="13863">
        <f>IFERROR(INDEX(H$6:H49, MATCH(SUBSTITUTE(C173,"-",""), INDEX(SUBSTITUTE(F$6:F49,"-",""),0), 0)), 0)</f>
        <v/>
      </c>
      <c r="G173" s="13864" t="n"/>
      <c r="H173" s="13865" t="n"/>
      <c r="I173" s="13866" t="n"/>
      <c r="J173" s="13867">
        <f>IFERROR(F173-G173, "")</f>
        <v/>
      </c>
      <c r="K173" s="13868" t="n"/>
      <c r="L173" s="13869">
        <f>IFERROR(INDEX(I$6:I49, MATCH(SUBSTITUTE(C173,"-",""), INDEX(SUBSTITUTE(F$6:F49,"-",""),0), 0)), "")</f>
        <v/>
      </c>
      <c r="M173" s="13870">
        <f>IFERROR(IF(K173="","",IF(K173=L173,"✅ Correcta","❌ "&amp; K173 &amp;" (aut: "&amp; L173 &amp;")")), "")</f>
        <v/>
      </c>
      <c r="N173" s="13871">
        <f>IFERROR(G173-F173, "")</f>
        <v/>
      </c>
      <c r="O173" s="13872">
        <f>IFERROR(IF(C173="","",IF(F173=0,"⚠️ Sin Autorización (placa no en catálogo)",IF(N173=0,"✅ Cuadrado",IF(N173&gt;0,"❌ Exceso $"&amp;TEXT(N173,"#,##0.00"),"✅ OK - Saldo $"&amp;TEXT(ABS(N173),"#,##0.00"))))), "")</f>
        <v/>
      </c>
    </row>
    <row r="174">
      <c r="A174" s="13873">
        <f>IF(B174="","", _xludf.WEEKNUM(B174, 2))</f>
        <v/>
      </c>
      <c r="B174" s="13874" t="n"/>
      <c r="C174" s="13875" t="n"/>
      <c r="D174" s="13876">
        <f>IFERROR(INDEX(D$6:D49, MATCH(SUBSTITUTE(C174,"-",""), INDEX(SUBSTITUTE(F$6:F49,"-",""),0), 0)), "")</f>
        <v/>
      </c>
      <c r="E174" s="13877">
        <f>IFERROR(INDEX(G$6:G49, MATCH(SUBSTITUTE(C174,"-",""), INDEX(SUBSTITUTE(F$6:F49,"-",""),0), 0)), "")</f>
        <v/>
      </c>
      <c r="F174" s="13878">
        <f>IFERROR(INDEX(H$6:H49, MATCH(SUBSTITUTE(C174,"-",""), INDEX(SUBSTITUTE(F$6:F49,"-",""),0), 0)), 0)</f>
        <v/>
      </c>
      <c r="G174" s="13879" t="n"/>
      <c r="H174" s="13880" t="n"/>
      <c r="I174" s="13881" t="n"/>
      <c r="J174" s="13882">
        <f>IFERROR(F174-G174, "")</f>
        <v/>
      </c>
      <c r="K174" s="13883" t="n"/>
      <c r="L174" s="13884">
        <f>IFERROR(INDEX(I$6:I49, MATCH(SUBSTITUTE(C174,"-",""), INDEX(SUBSTITUTE(F$6:F49,"-",""),0), 0)), "")</f>
        <v/>
      </c>
      <c r="M174" s="13885">
        <f>IFERROR(IF(K174="","",IF(K174=L174,"✅ Correcta","❌ "&amp; K174 &amp;" (aut: "&amp; L174 &amp;")")), "")</f>
        <v/>
      </c>
      <c r="N174" s="13886">
        <f>IFERROR(G174-F174, "")</f>
        <v/>
      </c>
      <c r="O174" s="13887">
        <f>IFERROR(IF(C174="","",IF(F174=0,"⚠️ Sin Autorización (placa no en catálogo)",IF(N174=0,"✅ Cuadrado",IF(N174&gt;0,"❌ Exceso $"&amp;TEXT(N174,"#,##0.00"),"✅ OK - Saldo $"&amp;TEXT(ABS(N174),"#,##0.00"))))), "")</f>
        <v/>
      </c>
    </row>
    <row r="175">
      <c r="A175" s="13888">
        <f>IF(B175="","", _xludf.WEEKNUM(B175, 2))</f>
        <v/>
      </c>
      <c r="B175" s="13889" t="n"/>
      <c r="C175" s="13890" t="n"/>
      <c r="D175" s="13891">
        <f>IFERROR(INDEX(D$6:D49, MATCH(SUBSTITUTE(C175,"-",""), INDEX(SUBSTITUTE(F$6:F49,"-",""),0), 0)), "")</f>
        <v/>
      </c>
      <c r="E175" s="13892">
        <f>IFERROR(INDEX(G$6:G49, MATCH(SUBSTITUTE(C175,"-",""), INDEX(SUBSTITUTE(F$6:F49,"-",""),0), 0)), "")</f>
        <v/>
      </c>
      <c r="F175" s="13893">
        <f>IFERROR(INDEX(H$6:H49, MATCH(SUBSTITUTE(C175,"-",""), INDEX(SUBSTITUTE(F$6:F49,"-",""),0), 0)), 0)</f>
        <v/>
      </c>
      <c r="G175" s="13894" t="n"/>
      <c r="H175" s="13895" t="n"/>
      <c r="I175" s="13896" t="n"/>
      <c r="J175" s="13897">
        <f>IFERROR(F175-G175, "")</f>
        <v/>
      </c>
      <c r="K175" s="13898" t="n"/>
      <c r="L175" s="13899">
        <f>IFERROR(INDEX(I$6:I49, MATCH(SUBSTITUTE(C175,"-",""), INDEX(SUBSTITUTE(F$6:F49,"-",""),0), 0)), "")</f>
        <v/>
      </c>
      <c r="M175" s="13900">
        <f>IFERROR(IF(K175="","",IF(K175=L175,"✅ Correcta","❌ "&amp; K175 &amp;" (aut: "&amp; L175 &amp;")")), "")</f>
        <v/>
      </c>
      <c r="N175" s="13901">
        <f>IFERROR(G175-F175, "")</f>
        <v/>
      </c>
      <c r="O175" s="13902">
        <f>IFERROR(IF(C175="","",IF(F175=0,"⚠️ Sin Autorización (placa no en catálogo)",IF(N175=0,"✅ Cuadrado",IF(N175&gt;0,"❌ Exceso $"&amp;TEXT(N175,"#,##0.00"),"✅ OK - Saldo $"&amp;TEXT(ABS(N175),"#,##0.00"))))), "")</f>
        <v/>
      </c>
    </row>
    <row r="176">
      <c r="A176" s="13903">
        <f>IF(B176="","", _xludf.WEEKNUM(B176, 2))</f>
        <v/>
      </c>
      <c r="B176" s="13904" t="n"/>
      <c r="C176" s="13905" t="n"/>
      <c r="D176" s="13906">
        <f>IFERROR(INDEX(D$6:D49, MATCH(SUBSTITUTE(C176,"-",""), INDEX(SUBSTITUTE(F$6:F49,"-",""),0), 0)), "")</f>
        <v/>
      </c>
      <c r="E176" s="13907">
        <f>IFERROR(INDEX(G$6:G49, MATCH(SUBSTITUTE(C176,"-",""), INDEX(SUBSTITUTE(F$6:F49,"-",""),0), 0)), "")</f>
        <v/>
      </c>
      <c r="F176" s="13908">
        <f>IFERROR(INDEX(H$6:H49, MATCH(SUBSTITUTE(C176,"-",""), INDEX(SUBSTITUTE(F$6:F49,"-",""),0), 0)), 0)</f>
        <v/>
      </c>
      <c r="G176" s="13909" t="n"/>
      <c r="H176" s="13910" t="n"/>
      <c r="I176" s="13911" t="n"/>
      <c r="J176" s="13912">
        <f>IFERROR(F176-G176, "")</f>
        <v/>
      </c>
      <c r="K176" s="13913" t="n"/>
      <c r="L176" s="13914">
        <f>IFERROR(INDEX(I$6:I49, MATCH(SUBSTITUTE(C176,"-",""), INDEX(SUBSTITUTE(F$6:F49,"-",""),0), 0)), "")</f>
        <v/>
      </c>
      <c r="M176" s="13915">
        <f>IFERROR(IF(K176="","",IF(K176=L176,"✅ Correcta","❌ "&amp; K176 &amp;" (aut: "&amp; L176 &amp;")")), "")</f>
        <v/>
      </c>
      <c r="N176" s="13916">
        <f>IFERROR(G176-F176, "")</f>
        <v/>
      </c>
      <c r="O176" s="13917">
        <f>IFERROR(IF(C176="","",IF(F176=0,"⚠️ Sin Autorización (placa no en catálogo)",IF(N176=0,"✅ Cuadrado",IF(N176&gt;0,"❌ Exceso $"&amp;TEXT(N176,"#,##0.00"),"✅ OK - Saldo $"&amp;TEXT(ABS(N176),"#,##0.00"))))), "")</f>
        <v/>
      </c>
    </row>
    <row r="177">
      <c r="A177" s="13918">
        <f>IF(B177="","", _xludf.WEEKNUM(B177, 2))</f>
        <v/>
      </c>
      <c r="B177" s="13919" t="n"/>
      <c r="C177" s="13920" t="n"/>
      <c r="D177" s="13921">
        <f>IFERROR(INDEX(D$6:D49, MATCH(SUBSTITUTE(C177,"-",""), INDEX(SUBSTITUTE(F$6:F49,"-",""),0), 0)), "")</f>
        <v/>
      </c>
      <c r="E177" s="13922">
        <f>IFERROR(INDEX(G$6:G49, MATCH(SUBSTITUTE(C177,"-",""), INDEX(SUBSTITUTE(F$6:F49,"-",""),0), 0)), "")</f>
        <v/>
      </c>
      <c r="F177" s="13923">
        <f>IFERROR(INDEX(H$6:H49, MATCH(SUBSTITUTE(C177,"-",""), INDEX(SUBSTITUTE(F$6:F49,"-",""),0), 0)), 0)</f>
        <v/>
      </c>
      <c r="G177" s="13924" t="n"/>
      <c r="H177" s="13925" t="n"/>
      <c r="I177" s="13926" t="n"/>
      <c r="J177" s="13927">
        <f>IFERROR(F177-G177, "")</f>
        <v/>
      </c>
      <c r="K177" s="13928" t="n"/>
      <c r="L177" s="13929">
        <f>IFERROR(INDEX(I$6:I49, MATCH(SUBSTITUTE(C177,"-",""), INDEX(SUBSTITUTE(F$6:F49,"-",""),0), 0)), "")</f>
        <v/>
      </c>
      <c r="M177" s="13930">
        <f>IFERROR(IF(K177="","",IF(K177=L177,"✅ Correcta","❌ "&amp; K177 &amp;" (aut: "&amp; L177 &amp;")")), "")</f>
        <v/>
      </c>
      <c r="N177" s="13931">
        <f>IFERROR(G177-F177, "")</f>
        <v/>
      </c>
      <c r="O177" s="13932">
        <f>IFERROR(IF(C177="","",IF(F177=0,"⚠️ Sin Autorización (placa no en catálogo)",IF(N177=0,"✅ Cuadrado",IF(N177&gt;0,"❌ Exceso $"&amp;TEXT(N177,"#,##0.00"),"✅ OK - Saldo $"&amp;TEXT(ABS(N177),"#,##0.00"))))), "")</f>
        <v/>
      </c>
    </row>
    <row r="178">
      <c r="A178" s="13933">
        <f>IF(B178="","", _xludf.WEEKNUM(B178, 2))</f>
        <v/>
      </c>
      <c r="B178" s="13934" t="n"/>
      <c r="C178" s="13935" t="n"/>
      <c r="D178" s="13936">
        <f>IFERROR(INDEX(D$6:D49, MATCH(SUBSTITUTE(C178,"-",""), INDEX(SUBSTITUTE(F$6:F49,"-",""),0), 0)), "")</f>
        <v/>
      </c>
      <c r="E178" s="13937">
        <f>IFERROR(INDEX(G$6:G49, MATCH(SUBSTITUTE(C178,"-",""), INDEX(SUBSTITUTE(F$6:F49,"-",""),0), 0)), "")</f>
        <v/>
      </c>
      <c r="F178" s="13938">
        <f>IFERROR(INDEX(H$6:H49, MATCH(SUBSTITUTE(C178,"-",""), INDEX(SUBSTITUTE(F$6:F49,"-",""),0), 0)), 0)</f>
        <v/>
      </c>
      <c r="G178" s="13939" t="n"/>
      <c r="H178" s="13940" t="n"/>
      <c r="I178" s="13941" t="n"/>
      <c r="J178" s="13942">
        <f>IFERROR(F178-G178, "")</f>
        <v/>
      </c>
      <c r="K178" s="13943" t="n"/>
      <c r="L178" s="13944">
        <f>IFERROR(INDEX(I$6:I49, MATCH(SUBSTITUTE(C178,"-",""), INDEX(SUBSTITUTE(F$6:F49,"-",""),0), 0)), "")</f>
        <v/>
      </c>
      <c r="M178" s="13945">
        <f>IFERROR(IF(K178="","",IF(K178=L178,"✅ Correcta","❌ "&amp; K178 &amp;" (aut: "&amp; L178 &amp;")")), "")</f>
        <v/>
      </c>
      <c r="N178" s="13946">
        <f>IFERROR(G178-F178, "")</f>
        <v/>
      </c>
      <c r="O178" s="13947">
        <f>IFERROR(IF(C178="","",IF(F178=0,"⚠️ Sin Autorización (placa no en catálogo)",IF(N178=0,"✅ Cuadrado",IF(N178&gt;0,"❌ Exceso $"&amp;TEXT(N178,"#,##0.00"),"✅ OK - Saldo $"&amp;TEXT(ABS(N178),"#,##0.00"))))), "")</f>
        <v/>
      </c>
    </row>
    <row r="179">
      <c r="A179" s="13948">
        <f>IF(B179="","", _xludf.WEEKNUM(B179, 2))</f>
        <v/>
      </c>
      <c r="B179" s="13949" t="n"/>
      <c r="C179" s="13950" t="n"/>
      <c r="D179" s="13951">
        <f>IFERROR(INDEX(D$6:D49, MATCH(SUBSTITUTE(C179,"-",""), INDEX(SUBSTITUTE(F$6:F49,"-",""),0), 0)), "")</f>
        <v/>
      </c>
      <c r="E179" s="13952">
        <f>IFERROR(INDEX(G$6:G49, MATCH(SUBSTITUTE(C179,"-",""), INDEX(SUBSTITUTE(F$6:F49,"-",""),0), 0)), "")</f>
        <v/>
      </c>
      <c r="F179" s="13953">
        <f>IFERROR(INDEX(H$6:H49, MATCH(SUBSTITUTE(C179,"-",""), INDEX(SUBSTITUTE(F$6:F49,"-",""),0), 0)), 0)</f>
        <v/>
      </c>
      <c r="G179" s="13954" t="n"/>
      <c r="H179" s="13955" t="n"/>
      <c r="I179" s="13956" t="n"/>
      <c r="J179" s="13957">
        <f>IFERROR(F179-G179, "")</f>
        <v/>
      </c>
      <c r="K179" s="13958" t="n"/>
      <c r="L179" s="13959">
        <f>IFERROR(INDEX(I$6:I49, MATCH(SUBSTITUTE(C179,"-",""), INDEX(SUBSTITUTE(F$6:F49,"-",""),0), 0)), "")</f>
        <v/>
      </c>
      <c r="M179" s="13960">
        <f>IFERROR(IF(K179="","",IF(K179=L179,"✅ Correcta","❌ "&amp; K179 &amp;" (aut: "&amp; L179 &amp;")")), "")</f>
        <v/>
      </c>
      <c r="N179" s="13961">
        <f>IFERROR(G179-F179, "")</f>
        <v/>
      </c>
      <c r="O179" s="13962">
        <f>IFERROR(IF(C179="","",IF(F179=0,"⚠️ Sin Autorización (placa no en catálogo)",IF(N179=0,"✅ Cuadrado",IF(N179&gt;0,"❌ Exceso $"&amp;TEXT(N179,"#,##0.00"),"✅ OK - Saldo $"&amp;TEXT(ABS(N179),"#,##0.00"))))), "")</f>
        <v/>
      </c>
    </row>
    <row r="180">
      <c r="A180" s="13963">
        <f>IF(B180="","", _xludf.WEEKNUM(B180, 2))</f>
        <v/>
      </c>
      <c r="B180" s="13964" t="n"/>
      <c r="C180" s="13965" t="n"/>
      <c r="D180" s="13966">
        <f>IFERROR(INDEX(D$6:D49, MATCH(SUBSTITUTE(C180,"-",""), INDEX(SUBSTITUTE(F$6:F49,"-",""),0), 0)), "")</f>
        <v/>
      </c>
      <c r="E180" s="13967">
        <f>IFERROR(INDEX(G$6:G49, MATCH(SUBSTITUTE(C180,"-",""), INDEX(SUBSTITUTE(F$6:F49,"-",""),0), 0)), "")</f>
        <v/>
      </c>
      <c r="F180" s="13968">
        <f>IFERROR(INDEX(H$6:H49, MATCH(SUBSTITUTE(C180,"-",""), INDEX(SUBSTITUTE(F$6:F49,"-",""),0), 0)), 0)</f>
        <v/>
      </c>
      <c r="G180" s="13969" t="n"/>
      <c r="H180" s="13970" t="n"/>
      <c r="I180" s="13971" t="n"/>
      <c r="J180" s="13972">
        <f>IFERROR(F180-G180, "")</f>
        <v/>
      </c>
      <c r="K180" s="13973" t="n"/>
      <c r="L180" s="13974">
        <f>IFERROR(INDEX(I$6:I49, MATCH(SUBSTITUTE(C180,"-",""), INDEX(SUBSTITUTE(F$6:F49,"-",""),0), 0)), "")</f>
        <v/>
      </c>
      <c r="M180" s="13975">
        <f>IFERROR(IF(K180="","",IF(K180=L180,"✅ Correcta","❌ "&amp; K180 &amp;" (aut: "&amp; L180 &amp;")")), "")</f>
        <v/>
      </c>
      <c r="N180" s="13976">
        <f>IFERROR(G180-F180, "")</f>
        <v/>
      </c>
      <c r="O180" s="13977">
        <f>IFERROR(IF(C180="","",IF(F180=0,"⚠️ Sin Autorización (placa no en catálogo)",IF(N180=0,"✅ Cuadrado",IF(N180&gt;0,"❌ Exceso $"&amp;TEXT(N180,"#,##0.00"),"✅ OK - Saldo $"&amp;TEXT(ABS(N180),"#,##0.00"))))), "")</f>
        <v/>
      </c>
    </row>
    <row r="181">
      <c r="A181" s="13978">
        <f>IF(B181="","", _xludf.WEEKNUM(B181, 2))</f>
        <v/>
      </c>
      <c r="B181" s="13979" t="n"/>
      <c r="C181" s="13980" t="n"/>
      <c r="D181" s="13981">
        <f>IFERROR(INDEX(D$6:D49, MATCH(SUBSTITUTE(C181,"-",""), INDEX(SUBSTITUTE(F$6:F49,"-",""),0), 0)), "")</f>
        <v/>
      </c>
      <c r="E181" s="13982">
        <f>IFERROR(INDEX(G$6:G49, MATCH(SUBSTITUTE(C181,"-",""), INDEX(SUBSTITUTE(F$6:F49,"-",""),0), 0)), "")</f>
        <v/>
      </c>
      <c r="F181" s="13983">
        <f>IFERROR(INDEX(H$6:H49, MATCH(SUBSTITUTE(C181,"-",""), INDEX(SUBSTITUTE(F$6:F49,"-",""),0), 0)), 0)</f>
        <v/>
      </c>
      <c r="G181" s="13984" t="n"/>
      <c r="H181" s="13985" t="n"/>
      <c r="I181" s="13986" t="n"/>
      <c r="J181" s="13987">
        <f>IFERROR(F181-G181, "")</f>
        <v/>
      </c>
      <c r="K181" s="13988" t="n"/>
      <c r="L181" s="13989">
        <f>IFERROR(INDEX(I$6:I49, MATCH(SUBSTITUTE(C181,"-",""), INDEX(SUBSTITUTE(F$6:F49,"-",""),0), 0)), "")</f>
        <v/>
      </c>
      <c r="M181" s="13990">
        <f>IFERROR(IF(K181="","",IF(K181=L181,"✅ Correcta","❌ "&amp; K181 &amp;" (aut: "&amp; L181 &amp;")")), "")</f>
        <v/>
      </c>
      <c r="N181" s="13991">
        <f>IFERROR(G181-F181, "")</f>
        <v/>
      </c>
      <c r="O181" s="13992">
        <f>IFERROR(IF(C181="","",IF(F181=0,"⚠️ Sin Autorización (placa no en catálogo)",IF(N181=0,"✅ Cuadrado",IF(N181&gt;0,"❌ Exceso $"&amp;TEXT(N181,"#,##0.00"),"✅ OK - Saldo $"&amp;TEXT(ABS(N181),"#,##0.00"))))), "")</f>
        <v/>
      </c>
    </row>
    <row r="182">
      <c r="A182" s="13993">
        <f>IF(B182="","", _xludf.WEEKNUM(B182, 2))</f>
        <v/>
      </c>
      <c r="B182" s="13994" t="n"/>
      <c r="C182" s="13995" t="n"/>
      <c r="D182" s="13996">
        <f>IFERROR(INDEX(D$6:D49, MATCH(SUBSTITUTE(C182,"-",""), INDEX(SUBSTITUTE(F$6:F49,"-",""),0), 0)), "")</f>
        <v/>
      </c>
      <c r="E182" s="13997">
        <f>IFERROR(INDEX(G$6:G49, MATCH(SUBSTITUTE(C182,"-",""), INDEX(SUBSTITUTE(F$6:F49,"-",""),0), 0)), "")</f>
        <v/>
      </c>
      <c r="F182" s="13998">
        <f>IFERROR(INDEX(H$6:H49, MATCH(SUBSTITUTE(C182,"-",""), INDEX(SUBSTITUTE(F$6:F49,"-",""),0), 0)), 0)</f>
        <v/>
      </c>
      <c r="G182" s="13999" t="n"/>
      <c r="H182" s="14000" t="n"/>
      <c r="I182" s="14001" t="n"/>
      <c r="J182" s="14002">
        <f>IFERROR(F182-G182, "")</f>
        <v/>
      </c>
      <c r="K182" s="14003" t="n"/>
      <c r="L182" s="14004">
        <f>IFERROR(INDEX(I$6:I49, MATCH(SUBSTITUTE(C182,"-",""), INDEX(SUBSTITUTE(F$6:F49,"-",""),0), 0)), "")</f>
        <v/>
      </c>
      <c r="M182" s="14005">
        <f>IFERROR(IF(K182="","",IF(K182=L182,"✅ Correcta","❌ "&amp; K182 &amp;" (aut: "&amp; L182 &amp;")")), "")</f>
        <v/>
      </c>
      <c r="N182" s="14006">
        <f>IFERROR(G182-F182, "")</f>
        <v/>
      </c>
      <c r="O182" s="14007">
        <f>IFERROR(IF(C182="","",IF(F182=0,"⚠️ Sin Autorización (placa no en catálogo)",IF(N182=0,"✅ Cuadrado",IF(N182&gt;0,"❌ Exceso $"&amp;TEXT(N182,"#,##0.00"),"✅ OK - Saldo $"&amp;TEXT(ABS(N182),"#,##0.00"))))), "")</f>
        <v/>
      </c>
    </row>
    <row r="183">
      <c r="A183" s="14008">
        <f>IF(B183="","", _xludf.WEEKNUM(B183, 2))</f>
        <v/>
      </c>
      <c r="B183" s="14009" t="n"/>
      <c r="C183" s="14010" t="n"/>
      <c r="D183" s="14011">
        <f>IFERROR(INDEX(D$6:D49, MATCH(SUBSTITUTE(C183,"-",""), INDEX(SUBSTITUTE(F$6:F49,"-",""),0), 0)), "")</f>
        <v/>
      </c>
      <c r="E183" s="14012">
        <f>IFERROR(INDEX(G$6:G49, MATCH(SUBSTITUTE(C183,"-",""), INDEX(SUBSTITUTE(F$6:F49,"-",""),0), 0)), "")</f>
        <v/>
      </c>
      <c r="F183" s="14013">
        <f>IFERROR(INDEX(H$6:H49, MATCH(SUBSTITUTE(C183,"-",""), INDEX(SUBSTITUTE(F$6:F49,"-",""),0), 0)), 0)</f>
        <v/>
      </c>
      <c r="G183" s="14014" t="n"/>
      <c r="H183" s="14015" t="n"/>
      <c r="I183" s="14016" t="n"/>
      <c r="J183" s="14017">
        <f>IFERROR(F183-G183, "")</f>
        <v/>
      </c>
      <c r="K183" s="14018" t="n"/>
      <c r="L183" s="14019">
        <f>IFERROR(INDEX(I$6:I49, MATCH(SUBSTITUTE(C183,"-",""), INDEX(SUBSTITUTE(F$6:F49,"-",""),0), 0)), "")</f>
        <v/>
      </c>
      <c r="M183" s="14020">
        <f>IFERROR(IF(K183="","",IF(K183=L183,"✅ Correcta","❌ "&amp; K183 &amp;" (aut: "&amp; L183 &amp;")")), "")</f>
        <v/>
      </c>
      <c r="N183" s="14021">
        <f>IFERROR(G183-F183, "")</f>
        <v/>
      </c>
      <c r="O183" s="14022">
        <f>IFERROR(IF(C183="","",IF(F183=0,"⚠️ Sin Autorización (placa no en catálogo)",IF(N183=0,"✅ Cuadrado",IF(N183&gt;0,"❌ Exceso $"&amp;TEXT(N183,"#,##0.00"),"✅ OK - Saldo $"&amp;TEXT(ABS(N183),"#,##0.00"))))), "")</f>
        <v/>
      </c>
    </row>
    <row r="184">
      <c r="A184" s="14023">
        <f>IF(B184="","", _xludf.WEEKNUM(B184, 2))</f>
        <v/>
      </c>
      <c r="B184" s="14024" t="n"/>
      <c r="C184" s="14025" t="n"/>
      <c r="D184" s="14026">
        <f>IFERROR(INDEX(D$6:D49, MATCH(SUBSTITUTE(C184,"-",""), INDEX(SUBSTITUTE(F$6:F49,"-",""),0), 0)), "")</f>
        <v/>
      </c>
      <c r="E184" s="14027">
        <f>IFERROR(INDEX(G$6:G49, MATCH(SUBSTITUTE(C184,"-",""), INDEX(SUBSTITUTE(F$6:F49,"-",""),0), 0)), "")</f>
        <v/>
      </c>
      <c r="F184" s="14028">
        <f>IFERROR(INDEX(H$6:H49, MATCH(SUBSTITUTE(C184,"-",""), INDEX(SUBSTITUTE(F$6:F49,"-",""),0), 0)), 0)</f>
        <v/>
      </c>
      <c r="G184" s="14029" t="n"/>
      <c r="H184" s="14030" t="n"/>
      <c r="I184" s="14031" t="n"/>
      <c r="J184" s="14032">
        <f>IFERROR(F184-G184, "")</f>
        <v/>
      </c>
      <c r="K184" s="14033" t="n"/>
      <c r="L184" s="14034">
        <f>IFERROR(INDEX(I$6:I49, MATCH(SUBSTITUTE(C184,"-",""), INDEX(SUBSTITUTE(F$6:F49,"-",""),0), 0)), "")</f>
        <v/>
      </c>
      <c r="M184" s="14035">
        <f>IFERROR(IF(K184="","",IF(K184=L184,"✅ Correcta","❌ "&amp; K184 &amp;" (aut: "&amp; L184 &amp;")")), "")</f>
        <v/>
      </c>
      <c r="N184" s="14036">
        <f>IFERROR(G184-F184, "")</f>
        <v/>
      </c>
      <c r="O184" s="14037">
        <f>IFERROR(IF(C184="","",IF(F184=0,"⚠️ Sin Autorización (placa no en catálogo)",IF(N184=0,"✅ Cuadrado",IF(N184&gt;0,"❌ Exceso $"&amp;TEXT(N184,"#,##0.00"),"✅ OK - Saldo $"&amp;TEXT(ABS(N184),"#,##0.00"))))), "")</f>
        <v/>
      </c>
    </row>
    <row r="185">
      <c r="A185" s="14038">
        <f>IF(B185="","", _xludf.WEEKNUM(B185, 2))</f>
        <v/>
      </c>
      <c r="B185" s="14039" t="n"/>
      <c r="C185" s="14040" t="n"/>
      <c r="D185" s="14041">
        <f>IFERROR(INDEX(D$6:D49, MATCH(SUBSTITUTE(C185,"-",""), INDEX(SUBSTITUTE(F$6:F49,"-",""),0), 0)), "")</f>
        <v/>
      </c>
      <c r="E185" s="14042">
        <f>IFERROR(INDEX(G$6:G49, MATCH(SUBSTITUTE(C185,"-",""), INDEX(SUBSTITUTE(F$6:F49,"-",""),0), 0)), "")</f>
        <v/>
      </c>
      <c r="F185" s="14043">
        <f>IFERROR(INDEX(H$6:H49, MATCH(SUBSTITUTE(C185,"-",""), INDEX(SUBSTITUTE(F$6:F49,"-",""),0), 0)), 0)</f>
        <v/>
      </c>
      <c r="G185" s="14044" t="n"/>
      <c r="H185" s="14045" t="n"/>
      <c r="I185" s="14046" t="n"/>
      <c r="J185" s="14047">
        <f>IFERROR(F185-G185, "")</f>
        <v/>
      </c>
      <c r="K185" s="14048" t="n"/>
      <c r="L185" s="14049">
        <f>IFERROR(INDEX(I$6:I49, MATCH(SUBSTITUTE(C185,"-",""), INDEX(SUBSTITUTE(F$6:F49,"-",""),0), 0)), "")</f>
        <v/>
      </c>
      <c r="M185" s="14050">
        <f>IFERROR(IF(K185="","",IF(K185=L185,"✅ Correcta","❌ "&amp; K185 &amp;" (aut: "&amp; L185 &amp;")")), "")</f>
        <v/>
      </c>
      <c r="N185" s="14051">
        <f>IFERROR(G185-F185, "")</f>
        <v/>
      </c>
      <c r="O185" s="14052">
        <f>IFERROR(IF(C185="","",IF(F185=0,"⚠️ Sin Autorización (placa no en catálogo)",IF(N185=0,"✅ Cuadrado",IF(N185&gt;0,"❌ Exceso $"&amp;TEXT(N185,"#,##0.00"),"✅ OK - Saldo $"&amp;TEXT(ABS(N185),"#,##0.00"))))), "")</f>
        <v/>
      </c>
    </row>
    <row r="186">
      <c r="A186" s="14053">
        <f>IF(B186="","", _xludf.WEEKNUM(B186, 2))</f>
        <v/>
      </c>
      <c r="B186" s="14054" t="n"/>
      <c r="C186" s="14055" t="n"/>
      <c r="D186" s="14056">
        <f>IFERROR(INDEX(D$6:D49, MATCH(SUBSTITUTE(C186,"-",""), INDEX(SUBSTITUTE(F$6:F49,"-",""),0), 0)), "")</f>
        <v/>
      </c>
      <c r="E186" s="14057">
        <f>IFERROR(INDEX(G$6:G49, MATCH(SUBSTITUTE(C186,"-",""), INDEX(SUBSTITUTE(F$6:F49,"-",""),0), 0)), "")</f>
        <v/>
      </c>
      <c r="F186" s="14058">
        <f>IFERROR(INDEX(H$6:H49, MATCH(SUBSTITUTE(C186,"-",""), INDEX(SUBSTITUTE(F$6:F49,"-",""),0), 0)), 0)</f>
        <v/>
      </c>
      <c r="G186" s="14059" t="n"/>
      <c r="H186" s="14060" t="n"/>
      <c r="I186" s="14061" t="n"/>
      <c r="J186" s="14062">
        <f>IFERROR(F186-G186, "")</f>
        <v/>
      </c>
      <c r="K186" s="14063" t="n"/>
      <c r="L186" s="14064">
        <f>IFERROR(INDEX(I$6:I49, MATCH(SUBSTITUTE(C186,"-",""), INDEX(SUBSTITUTE(F$6:F49,"-",""),0), 0)), "")</f>
        <v/>
      </c>
      <c r="M186" s="14065">
        <f>IFERROR(IF(K186="","",IF(K186=L186,"✅ Correcta","❌ "&amp; K186 &amp;" (aut: "&amp; L186 &amp;")")), "")</f>
        <v/>
      </c>
      <c r="N186" s="14066">
        <f>IFERROR(G186-F186, "")</f>
        <v/>
      </c>
      <c r="O186" s="14067">
        <f>IFERROR(IF(C186="","",IF(F186=0,"⚠️ Sin Autorización (placa no en catálogo)",IF(N186=0,"✅ Cuadrado",IF(N186&gt;0,"❌ Exceso $"&amp;TEXT(N186,"#,##0.00"),"✅ OK - Saldo $"&amp;TEXT(ABS(N186),"#,##0.00"))))), "")</f>
        <v/>
      </c>
    </row>
    <row r="187">
      <c r="A187" s="14068">
        <f>IF(B187="","", _xludf.WEEKNUM(B187, 2))</f>
        <v/>
      </c>
      <c r="B187" s="14069" t="n"/>
      <c r="C187" s="14070" t="n"/>
      <c r="D187" s="14071">
        <f>IFERROR(INDEX(D$6:D49, MATCH(SUBSTITUTE(C187,"-",""), INDEX(SUBSTITUTE(F$6:F49,"-",""),0), 0)), "")</f>
        <v/>
      </c>
      <c r="E187" s="14072">
        <f>IFERROR(INDEX(G$6:G49, MATCH(SUBSTITUTE(C187,"-",""), INDEX(SUBSTITUTE(F$6:F49,"-",""),0), 0)), "")</f>
        <v/>
      </c>
      <c r="F187" s="14073">
        <f>IFERROR(INDEX(H$6:H49, MATCH(SUBSTITUTE(C187,"-",""), INDEX(SUBSTITUTE(F$6:F49,"-",""),0), 0)), 0)</f>
        <v/>
      </c>
      <c r="G187" s="14074" t="n"/>
      <c r="H187" s="14075" t="n"/>
      <c r="I187" s="14076" t="n"/>
      <c r="J187" s="14077">
        <f>IFERROR(F187-G187, "")</f>
        <v/>
      </c>
      <c r="K187" s="14078" t="n"/>
      <c r="L187" s="14079">
        <f>IFERROR(INDEX(I$6:I49, MATCH(SUBSTITUTE(C187,"-",""), INDEX(SUBSTITUTE(F$6:F49,"-",""),0), 0)), "")</f>
        <v/>
      </c>
      <c r="M187" s="14080">
        <f>IFERROR(IF(K187="","",IF(K187=L187,"✅ Correcta","❌ "&amp; K187 &amp;" (aut: "&amp; L187 &amp;")")), "")</f>
        <v/>
      </c>
      <c r="N187" s="14081">
        <f>IFERROR(G187-F187, "")</f>
        <v/>
      </c>
      <c r="O187" s="14082">
        <f>IFERROR(IF(C187="","",IF(F187=0,"⚠️ Sin Autorización (placa no en catálogo)",IF(N187=0,"✅ Cuadrado",IF(N187&gt;0,"❌ Exceso $"&amp;TEXT(N187,"#,##0.00"),"✅ OK - Saldo $"&amp;TEXT(ABS(N187),"#,##0.00"))))), "")</f>
        <v/>
      </c>
    </row>
    <row r="188">
      <c r="A188" s="14083">
        <f>IF(B188="","", _xludf.WEEKNUM(B188, 2))</f>
        <v/>
      </c>
      <c r="B188" s="14084" t="n"/>
      <c r="C188" s="14085" t="n"/>
      <c r="D188" s="14086">
        <f>IFERROR(INDEX(D$6:D49, MATCH(SUBSTITUTE(C188,"-",""), INDEX(SUBSTITUTE(F$6:F49,"-",""),0), 0)), "")</f>
        <v/>
      </c>
      <c r="E188" s="14087">
        <f>IFERROR(INDEX(G$6:G49, MATCH(SUBSTITUTE(C188,"-",""), INDEX(SUBSTITUTE(F$6:F49,"-",""),0), 0)), "")</f>
        <v/>
      </c>
      <c r="F188" s="14088">
        <f>IFERROR(INDEX(H$6:H49, MATCH(SUBSTITUTE(C188,"-",""), INDEX(SUBSTITUTE(F$6:F49,"-",""),0), 0)), 0)</f>
        <v/>
      </c>
      <c r="G188" s="14089" t="n"/>
      <c r="H188" s="14090" t="n"/>
      <c r="I188" s="14091" t="n"/>
      <c r="J188" s="14092">
        <f>IFERROR(F188-G188, "")</f>
        <v/>
      </c>
      <c r="K188" s="14093" t="n"/>
      <c r="L188" s="14094">
        <f>IFERROR(INDEX(I$6:I49, MATCH(SUBSTITUTE(C188,"-",""), INDEX(SUBSTITUTE(F$6:F49,"-",""),0), 0)), "")</f>
        <v/>
      </c>
      <c r="M188" s="14095">
        <f>IFERROR(IF(K188="","",IF(K188=L188,"✅ Correcta","❌ "&amp; K188 &amp;" (aut: "&amp; L188 &amp;")")), "")</f>
        <v/>
      </c>
      <c r="N188" s="14096">
        <f>IFERROR(G188-F188, "")</f>
        <v/>
      </c>
      <c r="O188" s="14097">
        <f>IFERROR(IF(C188="","",IF(F188=0,"⚠️ Sin Autorización (placa no en catálogo)",IF(N188=0,"✅ Cuadrado",IF(N188&gt;0,"❌ Exceso $"&amp;TEXT(N188,"#,##0.00"),"✅ OK - Saldo $"&amp;TEXT(ABS(N188),"#,##0.00"))))), "")</f>
        <v/>
      </c>
    </row>
    <row r="189">
      <c r="A189" s="14098">
        <f>IF(B189="","", _xludf.WEEKNUM(B189, 2))</f>
        <v/>
      </c>
      <c r="B189" s="14099" t="n"/>
      <c r="C189" s="14100" t="n"/>
      <c r="D189" s="14101">
        <f>IFERROR(INDEX(D$6:D49, MATCH(SUBSTITUTE(C189,"-",""), INDEX(SUBSTITUTE(F$6:F49,"-",""),0), 0)), "")</f>
        <v/>
      </c>
      <c r="E189" s="14102">
        <f>IFERROR(INDEX(G$6:G49, MATCH(SUBSTITUTE(C189,"-",""), INDEX(SUBSTITUTE(F$6:F49,"-",""),0), 0)), "")</f>
        <v/>
      </c>
      <c r="F189" s="14103">
        <f>IFERROR(INDEX(H$6:H49, MATCH(SUBSTITUTE(C189,"-",""), INDEX(SUBSTITUTE(F$6:F49,"-",""),0), 0)), 0)</f>
        <v/>
      </c>
      <c r="G189" s="14104" t="n"/>
      <c r="H189" s="14105" t="n"/>
      <c r="I189" s="14106" t="n"/>
      <c r="J189" s="14107">
        <f>IFERROR(F189-G189, "")</f>
        <v/>
      </c>
      <c r="K189" s="14108" t="n"/>
      <c r="L189" s="14109">
        <f>IFERROR(INDEX(I$6:I49, MATCH(SUBSTITUTE(C189,"-",""), INDEX(SUBSTITUTE(F$6:F49,"-",""),0), 0)), "")</f>
        <v/>
      </c>
      <c r="M189" s="14110">
        <f>IFERROR(IF(K189="","",IF(K189=L189,"✅ Correcta","❌ "&amp; K189 &amp;" (aut: "&amp; L189 &amp;")")), "")</f>
        <v/>
      </c>
      <c r="N189" s="14111">
        <f>IFERROR(G189-F189, "")</f>
        <v/>
      </c>
      <c r="O189" s="14112">
        <f>IFERROR(IF(C189="","",IF(F189=0,"⚠️ Sin Autorización (placa no en catálogo)",IF(N189=0,"✅ Cuadrado",IF(N189&gt;0,"❌ Exceso $"&amp;TEXT(N189,"#,##0.00"),"✅ OK - Saldo $"&amp;TEXT(ABS(N189),"#,##0.00"))))), "")</f>
        <v/>
      </c>
    </row>
    <row r="190">
      <c r="A190" s="14113">
        <f>IF(B190="","", _xludf.WEEKNUM(B190, 2))</f>
        <v/>
      </c>
      <c r="B190" s="14114" t="n"/>
      <c r="C190" s="14115" t="n"/>
      <c r="D190" s="14116">
        <f>IFERROR(INDEX(D$6:D49, MATCH(SUBSTITUTE(C190,"-",""), INDEX(SUBSTITUTE(F$6:F49,"-",""),0), 0)), "")</f>
        <v/>
      </c>
      <c r="E190" s="14117">
        <f>IFERROR(INDEX(G$6:G49, MATCH(SUBSTITUTE(C190,"-",""), INDEX(SUBSTITUTE(F$6:F49,"-",""),0), 0)), "")</f>
        <v/>
      </c>
      <c r="F190" s="14118">
        <f>IFERROR(INDEX(H$6:H49, MATCH(SUBSTITUTE(C190,"-",""), INDEX(SUBSTITUTE(F$6:F49,"-",""),0), 0)), 0)</f>
        <v/>
      </c>
      <c r="G190" s="14119" t="n"/>
      <c r="H190" s="14120" t="n"/>
      <c r="I190" s="14121" t="n"/>
      <c r="J190" s="14122">
        <f>IFERROR(F190-G190, "")</f>
        <v/>
      </c>
      <c r="K190" s="14123" t="n"/>
      <c r="L190" s="14124">
        <f>IFERROR(INDEX(I$6:I49, MATCH(SUBSTITUTE(C190,"-",""), INDEX(SUBSTITUTE(F$6:F49,"-",""),0), 0)), "")</f>
        <v/>
      </c>
      <c r="M190" s="14125">
        <f>IFERROR(IF(K190="","",IF(K190=L190,"✅ Correcta","❌ "&amp; K190 &amp;" (aut: "&amp; L190 &amp;")")), "")</f>
        <v/>
      </c>
      <c r="N190" s="14126">
        <f>IFERROR(G190-F190, "")</f>
        <v/>
      </c>
      <c r="O190" s="14127">
        <f>IFERROR(IF(C190="","",IF(F190=0,"⚠️ Sin Autorización (placa no en catálogo)",IF(N190=0,"✅ Cuadrado",IF(N190&gt;0,"❌ Exceso $"&amp;TEXT(N190,"#,##0.00"),"✅ OK - Saldo $"&amp;TEXT(ABS(N190),"#,##0.00"))))), "")</f>
        <v/>
      </c>
    </row>
    <row r="191">
      <c r="A191" s="14128">
        <f>IF(B191="","", _xludf.WEEKNUM(B191, 2))</f>
        <v/>
      </c>
      <c r="B191" s="14129" t="n"/>
      <c r="C191" s="14130" t="n"/>
      <c r="D191" s="14131">
        <f>IFERROR(INDEX(D$6:D49, MATCH(SUBSTITUTE(C191,"-",""), INDEX(SUBSTITUTE(F$6:F49,"-",""),0), 0)), "")</f>
        <v/>
      </c>
      <c r="E191" s="14132">
        <f>IFERROR(INDEX(G$6:G49, MATCH(SUBSTITUTE(C191,"-",""), INDEX(SUBSTITUTE(F$6:F49,"-",""),0), 0)), "")</f>
        <v/>
      </c>
      <c r="F191" s="14133">
        <f>IFERROR(INDEX(H$6:H49, MATCH(SUBSTITUTE(C191,"-",""), INDEX(SUBSTITUTE(F$6:F49,"-",""),0), 0)), 0)</f>
        <v/>
      </c>
      <c r="G191" s="14134" t="n"/>
      <c r="H191" s="14135" t="n"/>
      <c r="I191" s="14136" t="n"/>
      <c r="J191" s="14137">
        <f>IFERROR(F191-G191, "")</f>
        <v/>
      </c>
      <c r="K191" s="14138" t="n"/>
      <c r="L191" s="14139">
        <f>IFERROR(INDEX(I$6:I49, MATCH(SUBSTITUTE(C191,"-",""), INDEX(SUBSTITUTE(F$6:F49,"-",""),0), 0)), "")</f>
        <v/>
      </c>
      <c r="M191" s="14140">
        <f>IFERROR(IF(K191="","",IF(K191=L191,"✅ Correcta","❌ "&amp; K191 &amp;" (aut: "&amp; L191 &amp;")")), "")</f>
        <v/>
      </c>
      <c r="N191" s="14141">
        <f>IFERROR(G191-F191, "")</f>
        <v/>
      </c>
      <c r="O191" s="14142">
        <f>IFERROR(IF(C191="","",IF(F191=0,"⚠️ Sin Autorización (placa no en catálogo)",IF(N191=0,"✅ Cuadrado",IF(N191&gt;0,"❌ Exceso $"&amp;TEXT(N191,"#,##0.00"),"✅ OK - Saldo $"&amp;TEXT(ABS(N191),"#,##0.00"))))), "")</f>
        <v/>
      </c>
    </row>
    <row r="192">
      <c r="A192" s="14143">
        <f>IF(B192="","", _xludf.WEEKNUM(B192, 2))</f>
        <v/>
      </c>
      <c r="B192" s="14144" t="n"/>
      <c r="C192" s="14145" t="n"/>
      <c r="D192" s="14146">
        <f>IFERROR(INDEX(D$6:D49, MATCH(SUBSTITUTE(C192,"-",""), INDEX(SUBSTITUTE(F$6:F49,"-",""),0), 0)), "")</f>
        <v/>
      </c>
      <c r="E192" s="14147">
        <f>IFERROR(INDEX(G$6:G49, MATCH(SUBSTITUTE(C192,"-",""), INDEX(SUBSTITUTE(F$6:F49,"-",""),0), 0)), "")</f>
        <v/>
      </c>
      <c r="F192" s="14148">
        <f>IFERROR(INDEX(H$6:H49, MATCH(SUBSTITUTE(C192,"-",""), INDEX(SUBSTITUTE(F$6:F49,"-",""),0), 0)), 0)</f>
        <v/>
      </c>
      <c r="G192" s="14149" t="n"/>
      <c r="H192" s="14150" t="n"/>
      <c r="I192" s="14151" t="n"/>
      <c r="J192" s="14152">
        <f>IFERROR(F192-G192, "")</f>
        <v/>
      </c>
      <c r="K192" s="14153" t="n"/>
      <c r="L192" s="14154">
        <f>IFERROR(INDEX(I$6:I49, MATCH(SUBSTITUTE(C192,"-",""), INDEX(SUBSTITUTE(F$6:F49,"-",""),0), 0)), "")</f>
        <v/>
      </c>
      <c r="M192" s="14155">
        <f>IFERROR(IF(K192="","",IF(K192=L192,"✅ Correcta","❌ "&amp; K192 &amp;" (aut: "&amp; L192 &amp;")")), "")</f>
        <v/>
      </c>
      <c r="N192" s="14156">
        <f>IFERROR(G192-F192, "")</f>
        <v/>
      </c>
      <c r="O192" s="14157">
        <f>IFERROR(IF(C192="","",IF(F192=0,"⚠️ Sin Autorización (placa no en catálogo)",IF(N192=0,"✅ Cuadrado",IF(N192&gt;0,"❌ Exceso $"&amp;TEXT(N192,"#,##0.00"),"✅ OK - Saldo $"&amp;TEXT(ABS(N192),"#,##0.00"))))), "")</f>
        <v/>
      </c>
    </row>
    <row r="193">
      <c r="A193" s="14158">
        <f>IF(B193="","", _xludf.WEEKNUM(B193, 2))</f>
        <v/>
      </c>
      <c r="B193" s="14159" t="n"/>
      <c r="C193" s="14160" t="n"/>
      <c r="D193" s="14161">
        <f>IFERROR(INDEX(D$6:D49, MATCH(SUBSTITUTE(C193,"-",""), INDEX(SUBSTITUTE(F$6:F49,"-",""),0), 0)), "")</f>
        <v/>
      </c>
      <c r="E193" s="14162">
        <f>IFERROR(INDEX(G$6:G49, MATCH(SUBSTITUTE(C193,"-",""), INDEX(SUBSTITUTE(F$6:F49,"-",""),0), 0)), "")</f>
        <v/>
      </c>
      <c r="F193" s="14163">
        <f>IFERROR(INDEX(H$6:H49, MATCH(SUBSTITUTE(C193,"-",""), INDEX(SUBSTITUTE(F$6:F49,"-",""),0), 0)), 0)</f>
        <v/>
      </c>
      <c r="G193" s="14164" t="n"/>
      <c r="H193" s="14165" t="n"/>
      <c r="I193" s="14166" t="n"/>
      <c r="J193" s="14167">
        <f>IFERROR(F193-G193, "")</f>
        <v/>
      </c>
      <c r="K193" s="14168" t="n"/>
      <c r="L193" s="14169">
        <f>IFERROR(INDEX(I$6:I49, MATCH(SUBSTITUTE(C193,"-",""), INDEX(SUBSTITUTE(F$6:F49,"-",""),0), 0)), "")</f>
        <v/>
      </c>
      <c r="M193" s="14170">
        <f>IFERROR(IF(K193="","",IF(K193=L193,"✅ Correcta","❌ "&amp; K193 &amp;" (aut: "&amp; L193 &amp;")")), "")</f>
        <v/>
      </c>
      <c r="N193" s="14171">
        <f>IFERROR(G193-F193, "")</f>
        <v/>
      </c>
      <c r="O193" s="14172">
        <f>IFERROR(IF(C193="","",IF(F193=0,"⚠️ Sin Autorización (placa no en catálogo)",IF(N193=0,"✅ Cuadrado",IF(N193&gt;0,"❌ Exceso $"&amp;TEXT(N193,"#,##0.00"),"✅ OK - Saldo $"&amp;TEXT(ABS(N193),"#,##0.00"))))), "")</f>
        <v/>
      </c>
    </row>
    <row r="194">
      <c r="A194" s="14173">
        <f>IF(B194="","", _xludf.WEEKNUM(B194, 2))</f>
        <v/>
      </c>
      <c r="B194" s="14174" t="n"/>
      <c r="C194" s="14175" t="n"/>
      <c r="D194" s="14176">
        <f>IFERROR(INDEX(D$6:D49, MATCH(SUBSTITUTE(C194,"-",""), INDEX(SUBSTITUTE(F$6:F49,"-",""),0), 0)), "")</f>
        <v/>
      </c>
      <c r="E194" s="14177">
        <f>IFERROR(INDEX(G$6:G49, MATCH(SUBSTITUTE(C194,"-",""), INDEX(SUBSTITUTE(F$6:F49,"-",""),0), 0)), "")</f>
        <v/>
      </c>
      <c r="F194" s="14178">
        <f>IFERROR(INDEX(H$6:H49, MATCH(SUBSTITUTE(C194,"-",""), INDEX(SUBSTITUTE(F$6:F49,"-",""),0), 0)), 0)</f>
        <v/>
      </c>
      <c r="G194" s="14179" t="n"/>
      <c r="H194" s="14180" t="n"/>
      <c r="I194" s="14181" t="n"/>
      <c r="J194" s="14182">
        <f>IFERROR(F194-G194, "")</f>
        <v/>
      </c>
      <c r="K194" s="14183" t="n"/>
      <c r="L194" s="14184">
        <f>IFERROR(INDEX(I$6:I49, MATCH(SUBSTITUTE(C194,"-",""), INDEX(SUBSTITUTE(F$6:F49,"-",""),0), 0)), "")</f>
        <v/>
      </c>
      <c r="M194" s="14185">
        <f>IFERROR(IF(K194="","",IF(K194=L194,"✅ Correcta","❌ "&amp; K194 &amp;" (aut: "&amp; L194 &amp;")")), "")</f>
        <v/>
      </c>
      <c r="N194" s="14186">
        <f>IFERROR(G194-F194, "")</f>
        <v/>
      </c>
      <c r="O194" s="14187">
        <f>IFERROR(IF(C194="","",IF(F194=0,"⚠️ Sin Autorización (placa no en catálogo)",IF(N194=0,"✅ Cuadrado",IF(N194&gt;0,"❌ Exceso $"&amp;TEXT(N194,"#,##0.00"),"✅ OK - Saldo $"&amp;TEXT(ABS(N194),"#,##0.00"))))), "")</f>
        <v/>
      </c>
    </row>
    <row r="195">
      <c r="A195" s="14188">
        <f>IF(B195="","", _xludf.WEEKNUM(B195, 2))</f>
        <v/>
      </c>
      <c r="B195" s="14189" t="n"/>
      <c r="C195" s="14190" t="n"/>
      <c r="D195" s="14191">
        <f>IFERROR(INDEX(D$6:D49, MATCH(SUBSTITUTE(C195,"-",""), INDEX(SUBSTITUTE(F$6:F49,"-",""),0), 0)), "")</f>
        <v/>
      </c>
      <c r="E195" s="14192">
        <f>IFERROR(INDEX(G$6:G49, MATCH(SUBSTITUTE(C195,"-",""), INDEX(SUBSTITUTE(F$6:F49,"-",""),0), 0)), "")</f>
        <v/>
      </c>
      <c r="F195" s="14193">
        <f>IFERROR(INDEX(H$6:H49, MATCH(SUBSTITUTE(C195,"-",""), INDEX(SUBSTITUTE(F$6:F49,"-",""),0), 0)), 0)</f>
        <v/>
      </c>
      <c r="G195" s="14194" t="n"/>
      <c r="H195" s="14195" t="n"/>
      <c r="I195" s="14196" t="n"/>
      <c r="J195" s="14197">
        <f>IFERROR(F195-G195, "")</f>
        <v/>
      </c>
      <c r="K195" s="14198" t="n"/>
      <c r="L195" s="14199">
        <f>IFERROR(INDEX(I$6:I49, MATCH(SUBSTITUTE(C195,"-",""), INDEX(SUBSTITUTE(F$6:F49,"-",""),0), 0)), "")</f>
        <v/>
      </c>
      <c r="M195" s="14200">
        <f>IFERROR(IF(K195="","",IF(K195=L195,"✅ Correcta","❌ "&amp; K195 &amp;" (aut: "&amp; L195 &amp;")")), "")</f>
        <v/>
      </c>
      <c r="N195" s="14201">
        <f>IFERROR(G195-F195, "")</f>
        <v/>
      </c>
      <c r="O195" s="14202">
        <f>IFERROR(IF(C195="","",IF(F195=0,"⚠️ Sin Autorización (placa no en catálogo)",IF(N195=0,"✅ Cuadrado",IF(N195&gt;0,"❌ Exceso $"&amp;TEXT(N195,"#,##0.00"),"✅ OK - Saldo $"&amp;TEXT(ABS(N195),"#,##0.00"))))), "")</f>
        <v/>
      </c>
    </row>
    <row r="196">
      <c r="A196" s="14203">
        <f>IF(B196="","", _xludf.WEEKNUM(B196, 2))</f>
        <v/>
      </c>
      <c r="B196" s="14204" t="n"/>
      <c r="C196" s="14205" t="n"/>
      <c r="D196" s="14206">
        <f>IFERROR(INDEX(D$6:D49, MATCH(SUBSTITUTE(C196,"-",""), INDEX(SUBSTITUTE(F$6:F49,"-",""),0), 0)), "")</f>
        <v/>
      </c>
      <c r="E196" s="14207">
        <f>IFERROR(INDEX(G$6:G49, MATCH(SUBSTITUTE(C196,"-",""), INDEX(SUBSTITUTE(F$6:F49,"-",""),0), 0)), "")</f>
        <v/>
      </c>
      <c r="F196" s="14208">
        <f>IFERROR(INDEX(H$6:H49, MATCH(SUBSTITUTE(C196,"-",""), INDEX(SUBSTITUTE(F$6:F49,"-",""),0), 0)), 0)</f>
        <v/>
      </c>
      <c r="G196" s="14209" t="n"/>
      <c r="H196" s="14210" t="n"/>
      <c r="I196" s="14211" t="n"/>
      <c r="J196" s="14212">
        <f>IFERROR(F196-G196, "")</f>
        <v/>
      </c>
      <c r="K196" s="14213" t="n"/>
      <c r="L196" s="14214">
        <f>IFERROR(INDEX(I$6:I49, MATCH(SUBSTITUTE(C196,"-",""), INDEX(SUBSTITUTE(F$6:F49,"-",""),0), 0)), "")</f>
        <v/>
      </c>
      <c r="M196" s="14215">
        <f>IFERROR(IF(K196="","",IF(K196=L196,"✅ Correcta","❌ "&amp; K196 &amp;" (aut: "&amp; L196 &amp;")")), "")</f>
        <v/>
      </c>
      <c r="N196" s="14216">
        <f>IFERROR(G196-F196, "")</f>
        <v/>
      </c>
      <c r="O196" s="14217">
        <f>IFERROR(IF(C196="","",IF(F196=0,"⚠️ Sin Autorización (placa no en catálogo)",IF(N196=0,"✅ Cuadrado",IF(N196&gt;0,"❌ Exceso $"&amp;TEXT(N196,"#,##0.00"),"✅ OK - Saldo $"&amp;TEXT(ABS(N196),"#,##0.00"))))), "")</f>
        <v/>
      </c>
    </row>
    <row r="197">
      <c r="A197" s="14218">
        <f>IF(B197="","", _xludf.WEEKNUM(B197, 2))</f>
        <v/>
      </c>
      <c r="B197" s="14219" t="n"/>
      <c r="C197" s="14220" t="n"/>
      <c r="D197" s="14221">
        <f>IFERROR(INDEX(D$6:D49, MATCH(SUBSTITUTE(C197,"-",""), INDEX(SUBSTITUTE(F$6:F49,"-",""),0), 0)), "")</f>
        <v/>
      </c>
      <c r="E197" s="14222">
        <f>IFERROR(INDEX(G$6:G49, MATCH(SUBSTITUTE(C197,"-",""), INDEX(SUBSTITUTE(F$6:F49,"-",""),0), 0)), "")</f>
        <v/>
      </c>
      <c r="F197" s="14223">
        <f>IFERROR(INDEX(H$6:H49, MATCH(SUBSTITUTE(C197,"-",""), INDEX(SUBSTITUTE(F$6:F49,"-",""),0), 0)), 0)</f>
        <v/>
      </c>
      <c r="G197" s="14224" t="n"/>
      <c r="H197" s="14225" t="n"/>
      <c r="I197" s="14226" t="n"/>
      <c r="J197" s="14227">
        <f>IFERROR(F197-G197, "")</f>
        <v/>
      </c>
      <c r="K197" s="14228" t="n"/>
      <c r="L197" s="14229">
        <f>IFERROR(INDEX(I$6:I49, MATCH(SUBSTITUTE(C197,"-",""), INDEX(SUBSTITUTE(F$6:F49,"-",""),0), 0)), "")</f>
        <v/>
      </c>
      <c r="M197" s="14230">
        <f>IFERROR(IF(K197="","",IF(K197=L197,"✅ Correcta","❌ "&amp; K197 &amp;" (aut: "&amp; L197 &amp;")")), "")</f>
        <v/>
      </c>
      <c r="N197" s="14231">
        <f>IFERROR(G197-F197, "")</f>
        <v/>
      </c>
      <c r="O197" s="14232">
        <f>IFERROR(IF(C197="","",IF(F197=0,"⚠️ Sin Autorización (placa no en catálogo)",IF(N197=0,"✅ Cuadrado",IF(N197&gt;0,"❌ Exceso $"&amp;TEXT(N197,"#,##0.00"),"✅ OK - Saldo $"&amp;TEXT(ABS(N197),"#,##0.00"))))), "")</f>
        <v/>
      </c>
    </row>
    <row r="198">
      <c r="A198" s="14233">
        <f>IF(B198="","", _xludf.WEEKNUM(B198, 2))</f>
        <v/>
      </c>
      <c r="B198" s="14234" t="n"/>
      <c r="C198" s="14235" t="n"/>
      <c r="D198" s="14236">
        <f>IFERROR(INDEX(D$6:D49, MATCH(SUBSTITUTE(C198,"-",""), INDEX(SUBSTITUTE(F$6:F49,"-",""),0), 0)), "")</f>
        <v/>
      </c>
      <c r="E198" s="14237">
        <f>IFERROR(INDEX(G$6:G49, MATCH(SUBSTITUTE(C198,"-",""), INDEX(SUBSTITUTE(F$6:F49,"-",""),0), 0)), "")</f>
        <v/>
      </c>
      <c r="F198" s="14238">
        <f>IFERROR(INDEX(H$6:H49, MATCH(SUBSTITUTE(C198,"-",""), INDEX(SUBSTITUTE(F$6:F49,"-",""),0), 0)), 0)</f>
        <v/>
      </c>
      <c r="G198" s="14239" t="n"/>
      <c r="H198" s="14240" t="n"/>
      <c r="I198" s="14241" t="n"/>
      <c r="J198" s="14242">
        <f>IFERROR(F198-G198, "")</f>
        <v/>
      </c>
      <c r="K198" s="14243" t="n"/>
      <c r="L198" s="14244">
        <f>IFERROR(INDEX(I$6:I49, MATCH(SUBSTITUTE(C198,"-",""), INDEX(SUBSTITUTE(F$6:F49,"-",""),0), 0)), "")</f>
        <v/>
      </c>
      <c r="M198" s="14245">
        <f>IFERROR(IF(K198="","",IF(K198=L198,"✅ Correcta","❌ "&amp; K198 &amp;" (aut: "&amp; L198 &amp;")")), "")</f>
        <v/>
      </c>
      <c r="N198" s="14246">
        <f>IFERROR(G198-F198, "")</f>
        <v/>
      </c>
      <c r="O198" s="14247">
        <f>IFERROR(IF(C198="","",IF(F198=0,"⚠️ Sin Autorización (placa no en catálogo)",IF(N198=0,"✅ Cuadrado",IF(N198&gt;0,"❌ Exceso $"&amp;TEXT(N198,"#,##0.00"),"✅ OK - Saldo $"&amp;TEXT(ABS(N198),"#,##0.00"))))), "")</f>
        <v/>
      </c>
    </row>
    <row r="199">
      <c r="A199" s="14248">
        <f>IF(B199="","", _xludf.WEEKNUM(B199, 2))</f>
        <v/>
      </c>
      <c r="B199" s="14249" t="n"/>
      <c r="C199" s="14250" t="n"/>
      <c r="D199" s="14251">
        <f>IFERROR(INDEX(D$6:D49, MATCH(SUBSTITUTE(C199,"-",""), INDEX(SUBSTITUTE(F$6:F49,"-",""),0), 0)), "")</f>
        <v/>
      </c>
      <c r="E199" s="14252">
        <f>IFERROR(INDEX(G$6:G49, MATCH(SUBSTITUTE(C199,"-",""), INDEX(SUBSTITUTE(F$6:F49,"-",""),0), 0)), "")</f>
        <v/>
      </c>
      <c r="F199" s="14253">
        <f>IFERROR(INDEX(H$6:H49, MATCH(SUBSTITUTE(C199,"-",""), INDEX(SUBSTITUTE(F$6:F49,"-",""),0), 0)), 0)</f>
        <v/>
      </c>
      <c r="G199" s="14254" t="n"/>
      <c r="H199" s="14255" t="n"/>
      <c r="I199" s="14256" t="n"/>
      <c r="J199" s="14257">
        <f>IFERROR(F199-G199, "")</f>
        <v/>
      </c>
      <c r="K199" s="14258" t="n"/>
      <c r="L199" s="14259">
        <f>IFERROR(INDEX(I$6:I49, MATCH(SUBSTITUTE(C199,"-",""), INDEX(SUBSTITUTE(F$6:F49,"-",""),0), 0)), "")</f>
        <v/>
      </c>
      <c r="M199" s="14260">
        <f>IFERROR(IF(K199="","",IF(K199=L199,"✅ Correcta","❌ "&amp; K199 &amp;" (aut: "&amp; L199 &amp;")")), "")</f>
        <v/>
      </c>
      <c r="N199" s="14261">
        <f>IFERROR(G199-F199, "")</f>
        <v/>
      </c>
      <c r="O199" s="14262">
        <f>IFERROR(IF(C199="","",IF(F199=0,"⚠️ Sin Autorización (placa no en catálogo)",IF(N199=0,"✅ Cuadrado",IF(N199&gt;0,"❌ Exceso $"&amp;TEXT(N199,"#,##0.00"),"✅ OK - Saldo $"&amp;TEXT(ABS(N199),"#,##0.00"))))), "")</f>
        <v/>
      </c>
    </row>
    <row r="200">
      <c r="A200" s="14263">
        <f>IF(B200="","", _xludf.WEEKNUM(B200, 2))</f>
        <v/>
      </c>
      <c r="B200" s="14264" t="n"/>
      <c r="C200" s="14265" t="n"/>
      <c r="D200" s="14266">
        <f>IFERROR(INDEX(D$6:D49, MATCH(SUBSTITUTE(C200,"-",""), INDEX(SUBSTITUTE(F$6:F49,"-",""),0), 0)), "")</f>
        <v/>
      </c>
      <c r="E200" s="14267">
        <f>IFERROR(INDEX(G$6:G49, MATCH(SUBSTITUTE(C200,"-",""), INDEX(SUBSTITUTE(F$6:F49,"-",""),0), 0)), "")</f>
        <v/>
      </c>
      <c r="F200" s="14268">
        <f>IFERROR(INDEX(H$6:H49, MATCH(SUBSTITUTE(C200,"-",""), INDEX(SUBSTITUTE(F$6:F49,"-",""),0), 0)), 0)</f>
        <v/>
      </c>
      <c r="G200" s="14269" t="n"/>
      <c r="H200" s="14270" t="n"/>
      <c r="I200" s="14271" t="n"/>
      <c r="J200" s="14272">
        <f>IFERROR(F200-G200, "")</f>
        <v/>
      </c>
      <c r="K200" s="14273" t="n"/>
      <c r="L200" s="14274">
        <f>IFERROR(INDEX(I$6:I49, MATCH(SUBSTITUTE(C200,"-",""), INDEX(SUBSTITUTE(F$6:F49,"-",""),0), 0)), "")</f>
        <v/>
      </c>
      <c r="M200" s="14275">
        <f>IFERROR(IF(K200="","",IF(K200=L200,"✅ Correcta","❌ "&amp; K200 &amp;" (aut: "&amp; L200 &amp;")")), "")</f>
        <v/>
      </c>
      <c r="N200" s="14276">
        <f>IFERROR(G200-F200, "")</f>
        <v/>
      </c>
      <c r="O200" s="14277">
        <f>IFERROR(IF(C200="","",IF(F200=0,"⚠️ Sin Autorización (placa no en catálogo)",IF(N200=0,"✅ Cuadrado",IF(N200&gt;0,"❌ Exceso $"&amp;TEXT(N200,"#,##0.00"),"✅ OK - Saldo $"&amp;TEXT(ABS(N200),"#,##0.00"))))), "")</f>
        <v/>
      </c>
    </row>
    <row r="201">
      <c r="A201" s="14278">
        <f>IF(B201="","", _xludf.WEEKNUM(B201, 2))</f>
        <v/>
      </c>
      <c r="B201" s="14279" t="n"/>
      <c r="C201" s="14280" t="n"/>
      <c r="D201" s="14281">
        <f>IFERROR(INDEX(D$6:D49, MATCH(SUBSTITUTE(C201,"-",""), INDEX(SUBSTITUTE(F$6:F49,"-",""),0), 0)), "")</f>
        <v/>
      </c>
      <c r="E201" s="14282">
        <f>IFERROR(INDEX(G$6:G49, MATCH(SUBSTITUTE(C201,"-",""), INDEX(SUBSTITUTE(F$6:F49,"-",""),0), 0)), "")</f>
        <v/>
      </c>
      <c r="F201" s="14283">
        <f>IFERROR(INDEX(H$6:H49, MATCH(SUBSTITUTE(C201,"-",""), INDEX(SUBSTITUTE(F$6:F49,"-",""),0), 0)), 0)</f>
        <v/>
      </c>
      <c r="G201" s="14284" t="n"/>
      <c r="H201" s="14285" t="n"/>
      <c r="I201" s="14286" t="n"/>
      <c r="J201" s="14287">
        <f>IFERROR(F201-G201, "")</f>
        <v/>
      </c>
      <c r="K201" s="14288" t="n"/>
      <c r="L201" s="14289">
        <f>IFERROR(INDEX(I$6:I49, MATCH(SUBSTITUTE(C201,"-",""), INDEX(SUBSTITUTE(F$6:F49,"-",""),0), 0)), "")</f>
        <v/>
      </c>
      <c r="M201" s="14290">
        <f>IFERROR(IF(K201="","",IF(K201=L201,"✅ Correcta","❌ "&amp; K201 &amp;" (aut: "&amp; L201 &amp;")")), "")</f>
        <v/>
      </c>
      <c r="N201" s="14291">
        <f>IFERROR(G201-F201, "")</f>
        <v/>
      </c>
      <c r="O201" s="14292">
        <f>IFERROR(IF(C201="","",IF(F201=0,"⚠️ Sin Autorización (placa no en catálogo)",IF(N201=0,"✅ Cuadrado",IF(N201&gt;0,"❌ Exceso $"&amp;TEXT(N201,"#,##0.00"),"✅ OK - Saldo $"&amp;TEXT(ABS(N201),"#,##0.00"))))), "")</f>
        <v/>
      </c>
    </row>
    <row r="202">
      <c r="A202" s="14293">
        <f>IF(B202="","", _xludf.WEEKNUM(B202, 2))</f>
        <v/>
      </c>
      <c r="B202" s="14294" t="n"/>
      <c r="C202" s="14295" t="n"/>
      <c r="D202" s="14296">
        <f>IFERROR(INDEX(D$6:D49, MATCH(SUBSTITUTE(C202,"-",""), INDEX(SUBSTITUTE(F$6:F49,"-",""),0), 0)), "")</f>
        <v/>
      </c>
      <c r="E202" s="14297">
        <f>IFERROR(INDEX(G$6:G49, MATCH(SUBSTITUTE(C202,"-",""), INDEX(SUBSTITUTE(F$6:F49,"-",""),0), 0)), "")</f>
        <v/>
      </c>
      <c r="F202" s="14298">
        <f>IFERROR(INDEX(H$6:H49, MATCH(SUBSTITUTE(C202,"-",""), INDEX(SUBSTITUTE(F$6:F49,"-",""),0), 0)), 0)</f>
        <v/>
      </c>
      <c r="G202" s="14299" t="n"/>
      <c r="H202" s="14300" t="n"/>
      <c r="I202" s="14301" t="n"/>
      <c r="J202" s="14302">
        <f>IFERROR(F202-G202, "")</f>
        <v/>
      </c>
      <c r="K202" s="14303" t="n"/>
      <c r="L202" s="14304">
        <f>IFERROR(INDEX(I$6:I49, MATCH(SUBSTITUTE(C202,"-",""), INDEX(SUBSTITUTE(F$6:F49,"-",""),0), 0)), "")</f>
        <v/>
      </c>
      <c r="M202" s="14305">
        <f>IFERROR(IF(K202="","",IF(K202=L202,"✅ Correcta","❌ "&amp; K202 &amp;" (aut: "&amp; L202 &amp;")")), "")</f>
        <v/>
      </c>
      <c r="N202" s="14306">
        <f>IFERROR(G202-F202, "")</f>
        <v/>
      </c>
      <c r="O202" s="14307">
        <f>IFERROR(IF(C202="","",IF(F202=0,"⚠️ Sin Autorización (placa no en catálogo)",IF(N202=0,"✅ Cuadrado",IF(N202&gt;0,"❌ Exceso $"&amp;TEXT(N202,"#,##0.00"),"✅ OK - Saldo $"&amp;TEXT(ABS(N202),"#,##0.00"))))), "")</f>
        <v/>
      </c>
    </row>
    <row r="203">
      <c r="A203" s="14308">
        <f>IF(B203="","", _xludf.WEEKNUM(B203, 2))</f>
        <v/>
      </c>
      <c r="B203" s="14309" t="n"/>
      <c r="C203" s="14310" t="n"/>
      <c r="D203" s="14311">
        <f>IFERROR(INDEX(D$6:D49, MATCH(SUBSTITUTE(C203,"-",""), INDEX(SUBSTITUTE(F$6:F49,"-",""),0), 0)), "")</f>
        <v/>
      </c>
      <c r="E203" s="14312">
        <f>IFERROR(INDEX(G$6:G49, MATCH(SUBSTITUTE(C203,"-",""), INDEX(SUBSTITUTE(F$6:F49,"-",""),0), 0)), "")</f>
        <v/>
      </c>
      <c r="F203" s="14313">
        <f>IFERROR(INDEX(H$6:H49, MATCH(SUBSTITUTE(C203,"-",""), INDEX(SUBSTITUTE(F$6:F49,"-",""),0), 0)), 0)</f>
        <v/>
      </c>
      <c r="G203" s="14314" t="n"/>
      <c r="H203" s="14315" t="n"/>
      <c r="I203" s="14316" t="n"/>
      <c r="J203" s="14317">
        <f>IFERROR(F203-G203, "")</f>
        <v/>
      </c>
      <c r="K203" s="14318" t="n"/>
      <c r="L203" s="14319">
        <f>IFERROR(INDEX(I$6:I49, MATCH(SUBSTITUTE(C203,"-",""), INDEX(SUBSTITUTE(F$6:F49,"-",""),0), 0)), "")</f>
        <v/>
      </c>
      <c r="M203" s="14320">
        <f>IFERROR(IF(K203="","",IF(K203=L203,"✅ Correcta","❌ "&amp; K203 &amp;" (aut: "&amp; L203 &amp;")")), "")</f>
        <v/>
      </c>
      <c r="N203" s="14321">
        <f>IFERROR(G203-F203, "")</f>
        <v/>
      </c>
      <c r="O203" s="14322">
        <f>IFERROR(IF(C203="","",IF(F203=0,"⚠️ Sin Autorización (placa no en catálogo)",IF(N203=0,"✅ Cuadrado",IF(N203&gt;0,"❌ Exceso $"&amp;TEXT(N203,"#,##0.00"),"✅ OK - Saldo $"&amp;TEXT(ABS(N203),"#,##0.00"))))), "")</f>
        <v/>
      </c>
    </row>
    <row r="204">
      <c r="A204" s="14323">
        <f>IF(B204="","", _xludf.WEEKNUM(B204, 2))</f>
        <v/>
      </c>
      <c r="B204" s="14324" t="n"/>
      <c r="C204" s="14325" t="n"/>
      <c r="D204" s="14326">
        <f>IFERROR(INDEX(D$6:D49, MATCH(SUBSTITUTE(C204,"-",""), INDEX(SUBSTITUTE(F$6:F49,"-",""),0), 0)), "")</f>
        <v/>
      </c>
      <c r="E204" s="14327">
        <f>IFERROR(INDEX(G$6:G49, MATCH(SUBSTITUTE(C204,"-",""), INDEX(SUBSTITUTE(F$6:F49,"-",""),0), 0)), "")</f>
        <v/>
      </c>
      <c r="F204" s="14328">
        <f>IFERROR(INDEX(H$6:H49, MATCH(SUBSTITUTE(C204,"-",""), INDEX(SUBSTITUTE(F$6:F49,"-",""),0), 0)), 0)</f>
        <v/>
      </c>
      <c r="G204" s="14329" t="n"/>
      <c r="H204" s="14330" t="n"/>
      <c r="I204" s="14331" t="n"/>
      <c r="J204" s="14332">
        <f>IFERROR(F204-G204, "")</f>
        <v/>
      </c>
      <c r="K204" s="14333" t="n"/>
      <c r="L204" s="14334">
        <f>IFERROR(INDEX(I$6:I49, MATCH(SUBSTITUTE(C204,"-",""), INDEX(SUBSTITUTE(F$6:F49,"-",""),0), 0)), "")</f>
        <v/>
      </c>
      <c r="M204" s="14335">
        <f>IFERROR(IF(K204="","",IF(K204=L204,"✅ Correcta","❌ "&amp; K204 &amp;" (aut: "&amp; L204 &amp;")")), "")</f>
        <v/>
      </c>
      <c r="N204" s="14336">
        <f>IFERROR(G204-F204, "")</f>
        <v/>
      </c>
      <c r="O204" s="14337">
        <f>IFERROR(IF(C204="","",IF(F204=0,"⚠️ Sin Autorización (placa no en catálogo)",IF(N204=0,"✅ Cuadrado",IF(N204&gt;0,"❌ Exceso $"&amp;TEXT(N204,"#,##0.00"),"✅ OK - Saldo $"&amp;TEXT(ABS(N204),"#,##0.00"))))), "")</f>
        <v/>
      </c>
    </row>
    <row r="205">
      <c r="A205" s="14338">
        <f>IF(B205="","", _xludf.WEEKNUM(B205, 2))</f>
        <v/>
      </c>
      <c r="B205" s="14339" t="n"/>
      <c r="C205" s="14340" t="n"/>
      <c r="D205" s="14341">
        <f>IFERROR(INDEX(D$6:D49, MATCH(SUBSTITUTE(C205,"-",""), INDEX(SUBSTITUTE(F$6:F49,"-",""),0), 0)), "")</f>
        <v/>
      </c>
      <c r="E205" s="14342">
        <f>IFERROR(INDEX(G$6:G49, MATCH(SUBSTITUTE(C205,"-",""), INDEX(SUBSTITUTE(F$6:F49,"-",""),0), 0)), "")</f>
        <v/>
      </c>
      <c r="F205" s="14343">
        <f>IFERROR(INDEX(H$6:H49, MATCH(SUBSTITUTE(C205,"-",""), INDEX(SUBSTITUTE(F$6:F49,"-",""),0), 0)), 0)</f>
        <v/>
      </c>
      <c r="G205" s="14344" t="n"/>
      <c r="H205" s="14345" t="n"/>
      <c r="I205" s="14346" t="n"/>
      <c r="J205" s="14347">
        <f>IFERROR(F205-G205, "")</f>
        <v/>
      </c>
      <c r="K205" s="14348" t="n"/>
      <c r="L205" s="14349">
        <f>IFERROR(INDEX(I$6:I49, MATCH(SUBSTITUTE(C205,"-",""), INDEX(SUBSTITUTE(F$6:F49,"-",""),0), 0)), "")</f>
        <v/>
      </c>
      <c r="M205" s="14350">
        <f>IFERROR(IF(K205="","",IF(K205=L205,"✅ Correcta","❌ "&amp; K205 &amp;" (aut: "&amp; L205 &amp;")")), "")</f>
        <v/>
      </c>
      <c r="N205" s="14351">
        <f>IFERROR(G205-F205, "")</f>
        <v/>
      </c>
      <c r="O205" s="14352">
        <f>IFERROR(IF(C205="","",IF(F205=0,"⚠️ Sin Autorización (placa no en catálogo)",IF(N205=0,"✅ Cuadrado",IF(N205&gt;0,"❌ Exceso $"&amp;TEXT(N205,"#,##0.00"),"✅ OK - Saldo $"&amp;TEXT(ABS(N205),"#,##0.00"))))), "")</f>
        <v/>
      </c>
    </row>
    <row r="206">
      <c r="A206" s="14353">
        <f>IF(B206="","", _xludf.WEEKNUM(B206, 2))</f>
        <v/>
      </c>
      <c r="B206" s="14354" t="n"/>
      <c r="C206" s="14355" t="n"/>
      <c r="D206" s="14356">
        <f>IFERROR(INDEX(D$6:D49, MATCH(SUBSTITUTE(C206,"-",""), INDEX(SUBSTITUTE(F$6:F49,"-",""),0), 0)), "")</f>
        <v/>
      </c>
      <c r="E206" s="14357">
        <f>IFERROR(INDEX(G$6:G49, MATCH(SUBSTITUTE(C206,"-",""), INDEX(SUBSTITUTE(F$6:F49,"-",""),0), 0)), "")</f>
        <v/>
      </c>
      <c r="F206" s="14358">
        <f>IFERROR(INDEX(H$6:H49, MATCH(SUBSTITUTE(C206,"-",""), INDEX(SUBSTITUTE(F$6:F49,"-",""),0), 0)), 0)</f>
        <v/>
      </c>
      <c r="G206" s="14359" t="n"/>
      <c r="H206" s="14360" t="n"/>
      <c r="I206" s="14361" t="n"/>
      <c r="J206" s="14362">
        <f>IFERROR(F206-G206, "")</f>
        <v/>
      </c>
      <c r="K206" s="14363" t="n"/>
      <c r="L206" s="14364">
        <f>IFERROR(INDEX(I$6:I49, MATCH(SUBSTITUTE(C206,"-",""), INDEX(SUBSTITUTE(F$6:F49,"-",""),0), 0)), "")</f>
        <v/>
      </c>
      <c r="M206" s="14365">
        <f>IFERROR(IF(K206="","",IF(K206=L206,"✅ Correcta","❌ "&amp; K206 &amp;" (aut: "&amp; L206 &amp;")")), "")</f>
        <v/>
      </c>
      <c r="N206" s="14366">
        <f>IFERROR(G206-F206, "")</f>
        <v/>
      </c>
      <c r="O206" s="14367">
        <f>IFERROR(IF(C206="","",IF(F206=0,"⚠️ Sin Autorización (placa no en catálogo)",IF(N206=0,"✅ Cuadrado",IF(N206&gt;0,"❌ Exceso $"&amp;TEXT(N206,"#,##0.00"),"✅ OK - Saldo $"&amp;TEXT(ABS(N206),"#,##0.00"))))), "")</f>
        <v/>
      </c>
    </row>
    <row r="210" ht="15.6" customHeight="1" s="17580">
      <c r="A210" s="17659" t="inlineStr">
        <is>
          <t>3. TABLA AUTORIZACIÓN DIÉSEL HUIXQUILUCAN - SEMANA 26 (22/06/2026)</t>
        </is>
      </c>
    </row>
    <row r="211" ht="27.6" customHeight="1" s="17580">
      <c r="A211" s="14368" t="inlineStr">
        <is>
          <t>No.</t>
        </is>
      </c>
      <c r="B211" s="14369" t="inlineStr">
        <is>
          <t>Eje Suministro</t>
        </is>
      </c>
      <c r="C211" s="14370" t="inlineStr">
        <is>
          <t>Obra / Destino</t>
        </is>
      </c>
      <c r="D211" s="14371" t="inlineStr">
        <is>
          <t>Responsable Transporte</t>
        </is>
      </c>
      <c r="E211" s="14372" t="inlineStr">
        <is>
          <t>Lts Diarios Aut.</t>
        </is>
      </c>
      <c r="F211" s="14373" t="inlineStr">
        <is>
          <t>Total Semanal Aut.</t>
        </is>
      </c>
      <c r="G211" s="14374" t="inlineStr">
        <is>
          <t>Fecha Carga</t>
        </is>
      </c>
      <c r="H211" s="14375" t="inlineStr">
        <is>
          <t>Consumo Real</t>
        </is>
      </c>
      <c r="I211" s="14376" t="inlineStr">
        <is>
          <t>Remanente</t>
        </is>
      </c>
      <c r="J211" s="14377" t="inlineStr">
        <is>
          <t>Estatus</t>
        </is>
      </c>
    </row>
    <row r="212">
      <c r="A212" s="14378" t="n">
        <v>1</v>
      </c>
      <c r="B212" s="14379" t="inlineStr">
        <is>
          <t>Unidad Marimba</t>
        </is>
      </c>
      <c r="C212" s="14380" t="inlineStr">
        <is>
          <t>Frente México-Toluca</t>
        </is>
      </c>
      <c r="D212" s="14381" t="inlineStr">
        <is>
          <t>Brandan</t>
        </is>
      </c>
      <c r="E212" s="14382" t="n">
        <v>550</v>
      </c>
      <c r="F212" s="14383" t="n">
        <v>2750</v>
      </c>
      <c r="G212" s="14384" t="n">
        <v>46195.75</v>
      </c>
      <c r="H212" s="14385" t="n">
        <v>660</v>
      </c>
      <c r="I212" s="14386" t="n">
        <v>2030</v>
      </c>
      <c r="J212" s="14387">
        <f>IF(F212=0,"",IF(H212=0,"⏳ Pendiente",IF(H212&lt;=F212,"✅ OK","❌ Excede autorizado")))</f>
        <v/>
      </c>
    </row>
    <row r="213">
      <c r="A213" s="14388" t="n">
        <v>2</v>
      </c>
      <c r="B213" s="14389" t="inlineStr">
        <is>
          <t>Planta Huixquilucan</t>
        </is>
      </c>
      <c r="C213" s="14390" t="inlineStr">
        <is>
          <t>Planta Asfalto Huixquilucan</t>
        </is>
      </c>
      <c r="D213" s="14391" t="inlineStr">
        <is>
          <t>Jack - PCU7482</t>
        </is>
      </c>
      <c r="E213" s="14392" t="n">
        <v>500</v>
      </c>
      <c r="F213" s="14393" t="n">
        <v>2500</v>
      </c>
      <c r="G213" s="14394" t="n"/>
      <c r="H213" s="14395" t="n"/>
      <c r="I213" s="14396" t="n"/>
      <c r="J213" s="14397">
        <f>IF(F213=0,"",IF(H213=0,"⏳ Pendiente",IF(H213&lt;=F213,"✅ OK","❌ Excede autorizado")))</f>
        <v/>
      </c>
    </row>
    <row r="214">
      <c r="A214" s="14398" t="n">
        <v>3</v>
      </c>
      <c r="B214" s="14399" t="inlineStr">
        <is>
          <t>Planta Pegaso (Centro Distrib.)</t>
        </is>
      </c>
      <c r="C214" s="14400" t="inlineStr">
        <is>
          <t>Lerma - Tres Marías</t>
        </is>
      </c>
      <c r="D214" s="14401" t="inlineStr">
        <is>
          <t>Camioneta 3½ Ton (LDG-1309)</t>
        </is>
      </c>
      <c r="E214" s="14402" t="n">
        <v>400</v>
      </c>
      <c r="F214" s="14403" t="n">
        <v>2000</v>
      </c>
      <c r="G214" s="14404" t="n"/>
      <c r="H214" s="14405" t="n"/>
      <c r="I214" s="14406" t="n"/>
      <c r="J214" s="14407">
        <f>IF(F214=0,"",IF(H214=0,"⏳ Pendiente",IF(H214&lt;=F214,"✅ OK","❌ Excede autorizado")))</f>
        <v/>
      </c>
    </row>
    <row r="215">
      <c r="A215" s="14408" t="n">
        <v>4</v>
      </c>
      <c r="B215" s="14409" t="inlineStr">
        <is>
          <t>Planta Pegaso (Centro Distrib.)</t>
        </is>
      </c>
      <c r="C215" s="14410" t="inlineStr">
        <is>
          <t>Planta Asfalto Pegaso</t>
        </is>
      </c>
      <c r="D215" s="14411" t="n"/>
      <c r="E215" s="14412" t="n">
        <v>1600</v>
      </c>
      <c r="F215" s="14413" t="n">
        <v>1600</v>
      </c>
      <c r="G215" s="14414" t="n"/>
      <c r="H215" s="14415" t="n"/>
      <c r="I215" s="14416" t="n"/>
      <c r="J215" s="14417">
        <f>IF(F215=0,"",IF(H215=0,"⏳ Pendiente",IF(H215&lt;=F215,"✅ OK","❌ Excede autorizado")))</f>
        <v/>
      </c>
    </row>
    <row r="216">
      <c r="A216" s="14418" t="n">
        <v>5</v>
      </c>
      <c r="B216" s="14419" t="inlineStr">
        <is>
          <t>Planta Pegaso (Centro Distrib.)</t>
        </is>
      </c>
      <c r="C216" s="14420" t="inlineStr">
        <is>
          <t>Bacheo Toluca</t>
        </is>
      </c>
      <c r="D216" s="14421" t="n"/>
      <c r="E216" s="14422" t="n">
        <v>100</v>
      </c>
      <c r="F216" s="14423" t="n">
        <v>500</v>
      </c>
      <c r="G216" s="14424" t="n"/>
      <c r="H216" s="14425" t="n"/>
      <c r="I216" s="14426" t="n"/>
      <c r="J216" s="14427">
        <f>IF(F216=0,"",IF(H216=0,"⏳ Pendiente",IF(H216&lt;=F216,"✅ OK","❌ Excede autorizado")))</f>
        <v/>
      </c>
    </row>
    <row r="217">
      <c r="E217" s="14428" t="inlineStr">
        <is>
          <t>GRAN TOTAL AUTORIZADO</t>
        </is>
      </c>
      <c r="F217" s="14429">
        <f>SUM(F212:F216)</f>
        <v/>
      </c>
    </row>
  </sheetData>
  <mergeCells count="8">
    <mergeCell ref="A2:O2"/>
    <mergeCell ref="A51:O51"/>
    <mergeCell ref="A6:J6"/>
    <mergeCell ref="A210:K210"/>
    <mergeCell ref="A1:O1"/>
    <mergeCell ref="A35:J35"/>
    <mergeCell ref="A4:I4"/>
    <mergeCell ref="A41:J4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62"/>
  <sheetViews>
    <sheetView workbookViewId="0">
      <selection activeCell="B4" sqref="B4"/>
    </sheetView>
  </sheetViews>
  <sheetFormatPr baseColWidth="10" defaultRowHeight="13.8"/>
  <cols>
    <col width="28" customWidth="1" style="17580" min="1" max="1"/>
    <col width="22" customWidth="1" style="17580" min="2" max="4"/>
    <col width="36.5" bestFit="1" customWidth="1" style="17580" min="5" max="5"/>
    <col width="11.3984375" customWidth="1" style="17580" min="6" max="6"/>
    <col width="22" bestFit="1" customWidth="1" style="17580" min="7" max="8"/>
    <col width="22" customWidth="1" style="17580" min="9" max="9"/>
  </cols>
  <sheetData>
    <row r="1" ht="34.95" customHeight="1" s="17580">
      <c r="A1" s="17587" t="inlineStr">
        <is>
          <t>RESUMEN EJECUTIVO DE COMBUSTIBLE PARA DIRECTIVOS</t>
        </is>
      </c>
    </row>
    <row r="2">
      <c r="M2" s="16936">
        <f>DATE(2026,1,1)-WEEKDAY(DATE(2026,1,1),2)+1 + ($B$3-1)*7</f>
        <v/>
      </c>
    </row>
    <row r="3" ht="22.05" customHeight="1" s="17580">
      <c r="A3" s="15887" t="inlineStr">
        <is>
          <t>Semana Seleccionada:</t>
        </is>
      </c>
      <c r="B3" s="15888" t="n">
        <v>26</v>
      </c>
      <c r="D3" s="15889" t="inlineStr">
        <is>
          <t>Precio Diésel Manual ($/L):</t>
        </is>
      </c>
      <c r="E3" s="15890" t="n">
        <v>27</v>
      </c>
      <c r="F3" s="17588" t="inlineStr">
        <is>
          <t>← Edita la semana o el precio para actualizar ambas tablas automáticamente</t>
        </is>
      </c>
      <c r="M3" s="16937">
        <f>M2+6</f>
        <v/>
      </c>
    </row>
    <row r="5">
      <c r="A5" s="15891" t="n"/>
      <c r="B5" s="15892" t="n"/>
      <c r="C5" s="15893" t="n"/>
      <c r="D5" s="15894" t="n"/>
      <c r="E5" s="15895" t="n"/>
      <c r="F5" s="15896" t="n"/>
      <c r="G5" s="15897" t="n"/>
      <c r="H5" s="15898" t="n"/>
      <c r="I5" s="15899" t="n"/>
      <c r="J5" s="15900" t="n"/>
      <c r="K5" s="15901" t="n"/>
      <c r="L5" s="15902" t="n"/>
    </row>
    <row r="6" ht="19.95" customHeight="1" s="17580">
      <c r="A6" s="17584" t="inlineStr">
        <is>
          <t>TABLA 1: CONTROL DE VOLUMEN Y EFICIENCIA OPERATIVA (CON INVENTARIO INICIAL)</t>
        </is>
      </c>
      <c r="H6" s="16754" t="n"/>
      <c r="I6" s="16755" t="n"/>
      <c r="J6" s="16756" t="n"/>
      <c r="K6" s="16757" t="n"/>
      <c r="L6" s="16758" t="n"/>
    </row>
    <row r="7" ht="34.95" customHeight="1" s="17580">
      <c r="A7" s="16759" t="inlineStr">
        <is>
          <t>Obra / Destino</t>
        </is>
      </c>
      <c r="B7" s="16760" t="inlineStr">
        <is>
          <t>Inventario Inicial
(Lts Reserva)</t>
        </is>
      </c>
      <c r="C7" s="16761" t="inlineStr">
        <is>
          <t>Lts Facturados
(CFDI)</t>
        </is>
      </c>
      <c r="D7" s="16762" t="inlineStr">
        <is>
          <t>Lts Consumidos
(Bitácora Obra)</t>
        </is>
      </c>
      <c r="E7" s="16763" t="inlineStr">
        <is>
          <t>Diferencia Semanal
(Lts)</t>
        </is>
      </c>
      <c r="F7" s="16764" t="inlineStr">
        <is>
          <t>Inventario Final
(Lts Remanente)</t>
        </is>
      </c>
      <c r="G7" s="16765" t="inlineStr">
        <is>
          <t>Eficiencia de
Conciliación (%)</t>
        </is>
      </c>
      <c r="H7" s="16766" t="inlineStr">
        <is>
          <t>Horas Trabajadas
(Maquinaria)</t>
        </is>
      </c>
      <c r="I7" s="16767" t="inlineStr">
        <is>
          <t>Rendimiento Real
(Lts/Hora)</t>
        </is>
      </c>
      <c r="J7" s="16768" t="n"/>
      <c r="K7" s="16769" t="n"/>
      <c r="L7" s="16770" t="n"/>
    </row>
    <row r="8">
      <c r="A8" s="16771" t="inlineStr">
        <is>
          <t>México-Toluca</t>
        </is>
      </c>
      <c r="B8" s="16772">
        <f>SUMIFS(Captura_Facturas_Mobil!$E:$E, Captura_Facturas_Mobil!$D:$D, A8, Captura_Facturas_Mobil!$N:$N, "&gt;=25", Captura_Facturas_Mobil!$N:$N, "&lt;"&amp;$B$3) - SUMIFS(Captura_Obra!$F:$F, Captura_Obra!$B:$B, A8, Captura_Obra!$M:$M, "&gt;=25", Captura_Obra!$M:$M, "&lt;"&amp;$B$3)</f>
        <v/>
      </c>
      <c r="C8" s="16773">
        <f>SUMIFS(Captura_Facturas_Mobil!$E:$E, Captura_Facturas_Mobil!$D:$D, A8, Captura_Facturas_Mobil!$N:$N, $B$3)</f>
        <v/>
      </c>
      <c r="D8" s="16774">
        <f>SUMIFS(Captura_Obra!$F:$F, Captura_Obra!$B:$B, A8, Captura_Obra!$M:$M, $B$3)</f>
        <v/>
      </c>
      <c r="E8" s="16775">
        <f>(B8+C8)-D8</f>
        <v/>
      </c>
      <c r="F8" s="16776">
        <f>B8+C8-D8</f>
        <v/>
      </c>
      <c r="G8" s="16777">
        <f>IFERROR(D8/(B8+C8), 0)</f>
        <v/>
      </c>
      <c r="H8" s="16778">
        <f>SUMIFS(Captura_Horas!$G:$G, Captura_Horas!$C:$C, A8, Captura_Horas!$J:$J, $B$3)</f>
        <v/>
      </c>
      <c r="I8" s="16779">
        <f>IFERROR(D8/H8, 0)</f>
        <v/>
      </c>
      <c r="J8" s="16780" t="n"/>
      <c r="K8" s="16781" t="n"/>
      <c r="L8" s="16782" t="n"/>
    </row>
    <row r="9">
      <c r="A9" s="16783" t="inlineStr">
        <is>
          <t>Maquinaria Pegaso</t>
        </is>
      </c>
      <c r="B9" s="16772">
        <f>SUMIFS(Captura_Pegaso!$G:$G, Captura_Pegaso!$M:$M, $B$3)</f>
        <v/>
      </c>
      <c r="C9" s="16773">
        <f>SUMIFS(Captura_Facturas_Mobil!$E:$E, Captura_Facturas_Mobil!$D:$D, A9, Captura_Facturas_Mobil!$N:$N, $B$3)</f>
        <v/>
      </c>
      <c r="D9" s="16784">
        <f>SUMIFS(Captura_Obra!$F:$F, Captura_Obra!$B:$B, "Maquinaria Pegaso", Captura_Obra!$M:$M, $B$3)+SUMIFS(Captura_Obra!$F:$F, Captura_Obra!$B:$B, "Lerma - Tres Marías", Captura_Obra!$M:$M, $B$3)+SUMIFS(Captura_Obra!$F:$F, Captura_Obra!$B:$B, "Chamapa-Lechería", Captura_Obra!$M:$M, $B$3)+SUMIFS(Captura_Obra!$F:$F, Captura_Obra!$B:$B, "Bacheo Toluca", Captura_Obra!$M:$M, $B$3)+SUMIFS(Captura_Obra!$F:$F, Captura_Obra!$B:$B, "Dragones", Captura_Obra!$M:$M, $B$3)+SUMIFS(Captura_Obra!$F:$F, Captura_Obra!$B:$B, "Colegio Militar", Captura_Obra!$M:$M, $B$3)+SUMIFS(Captura_Obra!$F:$F, Captura_Obra!$B:$B, "NO DETECTADA", Captura_Obra!$M:$M, $B$3)</f>
        <v/>
      </c>
      <c r="E9" s="16775">
        <f>(B9+C9)-D9</f>
        <v/>
      </c>
      <c r="F9" s="16785">
        <f>B9+C9-D9</f>
        <v/>
      </c>
      <c r="G9" s="16786">
        <f>IFERROR(D9/(B9+C9), 0)</f>
        <v/>
      </c>
      <c r="H9" s="16787">
        <f>SUMIFS(Captura_Horas!$G:$G, Captura_Horas!$C:$C, "Maquinaria Pegaso", Captura_Horas!$J:$J, $B$3)+SUMIFS(Captura_Horas!$G:$G, Captura_Horas!$C:$C, "Lerma - Tres Marías", Captura_Horas!$J:$J, $B$3)+SUMIFS(Captura_Horas!$G:$G, Captura_Horas!$C:$C, "Chamapa-Lechería", Captura_Horas!$J:$J, $B$3)+SUMIFS(Captura_Horas!$G:$G, Captura_Horas!$C:$C, "Bacheo Toluca", Captura_Horas!$J:$J, $B$3)+SUMIFS(Captura_Horas!$G:$G, Captura_Horas!$C:$C, "Dragones", Captura_Horas!$J:$J, $B$3)+SUMIFS(Captura_Horas!$G:$G, Captura_Horas!$C:$C, "Colegio Militar", Captura_Horas!$J:$J, $B$3)+SUMIFS(Captura_Horas!$G:$G, Captura_Horas!$C:$C, "NO DETECTADA", Captura_Horas!$J:$J, $B$3)</f>
        <v/>
      </c>
      <c r="I9" s="16788">
        <f>IFERROR(D9/H9, 0)</f>
        <v/>
      </c>
      <c r="J9" s="16789" t="n"/>
      <c r="K9" s="16790" t="n"/>
      <c r="L9" s="16791" t="n"/>
    </row>
    <row r="10">
      <c r="A10" s="16792" t="inlineStr">
        <is>
          <t>Planta Asflato Huixquilucan</t>
        </is>
      </c>
      <c r="B10" s="16772">
        <f>SUMIFS(Captura_Facturas_Mobil!$E:$E, Captura_Facturas_Mobil!$D:$D, A10, Captura_Facturas_Mobil!$N:$N, "&gt;=25", Captura_Facturas_Mobil!$N:$N, "&lt;"&amp;$B$3) - SUMIFS(Captura_Obra!$F:$F, Captura_Obra!$B:$B, A10, Captura_Obra!$M:$M, "&gt;=25", Captura_Obra!$M:$M, "&lt;"&amp;$B$3)</f>
        <v/>
      </c>
      <c r="C10" s="16773">
        <f>SUMIFS(Captura_Facturas_Mobil!$E:$E, Captura_Facturas_Mobil!$D:$D, A10, Captura_Facturas_Mobil!$N:$N, $B$3)</f>
        <v/>
      </c>
      <c r="D10" s="16793">
        <f>SUMIFS(Captura_Obra!$F:$F, Captura_Obra!$B:$B, A10, Captura_Obra!$M:$M, $B$3)</f>
        <v/>
      </c>
      <c r="E10" s="16775">
        <f>(B10+C10)-D10</f>
        <v/>
      </c>
      <c r="F10" s="16794">
        <f>B10+C10-D10</f>
        <v/>
      </c>
      <c r="G10" s="16795">
        <f>IFERROR(D10/(B10+C10), 0)</f>
        <v/>
      </c>
      <c r="H10" s="16796">
        <f>SUMIFS(Captura_Horas!$G:$G, Captura_Horas!$C:$C, A10, Captura_Horas!$J:$J, $B$3)</f>
        <v/>
      </c>
      <c r="I10" s="16797">
        <f>IFERROR(D10/H10, 0)</f>
        <v/>
      </c>
      <c r="J10" s="16798" t="n"/>
      <c r="K10" s="16799" t="n"/>
      <c r="L10" s="16800" t="n"/>
    </row>
    <row r="11">
      <c r="A11" s="16801" t="inlineStr">
        <is>
          <t>TOTAL GENERAL</t>
        </is>
      </c>
      <c r="B11" s="16802">
        <f>SUM(B8:B10)</f>
        <v/>
      </c>
      <c r="C11" s="16803">
        <f>SUM(C8:C10)</f>
        <v/>
      </c>
      <c r="D11" s="16804">
        <f>SUM(D8:D10)</f>
        <v/>
      </c>
      <c r="E11" s="16805">
        <f>SUM(E8:E10)</f>
        <v/>
      </c>
      <c r="F11" s="16806">
        <f>SUM(F8:F10)</f>
        <v/>
      </c>
      <c r="G11" s="16807">
        <f>IFERROR(D11/(B11+C11), 0)</f>
        <v/>
      </c>
      <c r="H11" s="16808">
        <f>SUM(H8:H10)</f>
        <v/>
      </c>
      <c r="I11" s="16809">
        <f>IFERROR(D11/H11, 0)</f>
        <v/>
      </c>
      <c r="J11" s="16810" t="n"/>
      <c r="K11" s="16811" t="n"/>
      <c r="L11" s="16812" t="n"/>
    </row>
    <row r="12">
      <c r="A12" s="16813" t="n"/>
      <c r="B12" s="16814" t="n"/>
      <c r="C12" s="16815" t="n"/>
      <c r="D12" s="16816" t="n"/>
      <c r="E12" s="16817" t="n"/>
      <c r="F12" s="16818" t="n"/>
      <c r="G12" s="16819" t="n"/>
      <c r="H12" s="16820" t="n"/>
      <c r="I12" s="16821" t="n"/>
      <c r="J12" s="16822" t="n"/>
      <c r="K12" s="16823" t="n"/>
      <c r="L12" s="16824" t="n"/>
    </row>
    <row r="13">
      <c r="A13" s="16825" t="n"/>
      <c r="B13" s="16826" t="n"/>
      <c r="C13" s="16827" t="n"/>
      <c r="D13" s="16828" t="n"/>
      <c r="E13" s="16829" t="n"/>
      <c r="F13" s="16830" t="n"/>
      <c r="G13" s="16831" t="n"/>
      <c r="H13" s="16832" t="n"/>
      <c r="I13" s="16833" t="n"/>
      <c r="J13" s="16834" t="n"/>
      <c r="K13" s="16835" t="n"/>
      <c r="L13" s="16836" t="n"/>
    </row>
    <row r="14" ht="19.95" customHeight="1" s="17580">
      <c r="A14" s="17579" t="inlineStr">
        <is>
          <t>TABLA 2: ANÁLISIS DE COSTOS FINANCIEROS Y BALANCE (CFDI VS OBRA)</t>
        </is>
      </c>
      <c r="H14" s="16837" t="n"/>
      <c r="I14" s="16838" t="n"/>
      <c r="J14" s="16839" t="n"/>
      <c r="K14" s="16840" t="n"/>
      <c r="L14" s="16841" t="n"/>
    </row>
    <row r="15" ht="34.95" customHeight="1" s="17580">
      <c r="A15" s="16842" t="inlineStr">
        <is>
          <t>Obra / Destino</t>
        </is>
      </c>
      <c r="B15" s="16843" t="inlineStr">
        <is>
          <t>Monto Facturado
(CFDI)</t>
        </is>
      </c>
      <c r="C15" s="16844" t="inlineStr">
        <is>
          <t>Costo Real Consumido
(Precio Manual)</t>
        </is>
      </c>
      <c r="D15" s="16845" t="inlineStr">
        <is>
          <t>Diferencia
(CFDI vs Obra)</t>
        </is>
      </c>
      <c r="E15" s="16846" t="inlineStr">
        <is>
          <t>Estatus de Control</t>
        </is>
      </c>
      <c r="F15" s="16847" t="n"/>
      <c r="G15" s="16848" t="n"/>
      <c r="H15" s="16849" t="n"/>
      <c r="I15" s="16850" t="n"/>
      <c r="J15" s="16851" t="n"/>
      <c r="K15" s="16852" t="n"/>
      <c r="L15" s="16853" t="n"/>
    </row>
    <row r="16" ht="17.4" customHeight="1" s="17580">
      <c r="A16" s="16854" t="inlineStr">
        <is>
          <t>México-Toluca</t>
        </is>
      </c>
      <c r="B16" s="16855">
        <f>SUMIFS(Captura_Facturas_Mobil!$G:$G, Captura_Facturas_Mobil!$D:$D, A16, Captura_Facturas_Mobil!$N:$N, $B$3)</f>
        <v/>
      </c>
      <c r="C16" s="16856">
        <f>D8 * $E$3</f>
        <v/>
      </c>
      <c r="D16" s="16857">
        <f>B16-C16</f>
        <v/>
      </c>
      <c r="E16" s="16858">
        <f>IF(F8&lt;0,"🚨 Consumo excedió combustible disponible",IF(AND(B16=0,C16&gt;0),"📦 Consumo de Reserva (Tanque Vaciado)",IF(B16+C16=0,"",IF(D16&gt;100,"⚠️ Combustible en almacén","✅ Operación Cuadrada"))))</f>
        <v/>
      </c>
      <c r="F16" s="16859" t="n"/>
      <c r="G16" s="16860" t="n"/>
      <c r="H16" s="16861" t="n"/>
      <c r="I16" s="16862" t="n"/>
      <c r="J16" s="16863" t="n"/>
      <c r="K16" s="16864" t="n"/>
      <c r="L16" s="16865" t="n"/>
    </row>
    <row r="17" ht="14.4" customHeight="1" s="17580">
      <c r="A17" s="16866" t="inlineStr">
        <is>
          <t>Maquinaria Pegaso</t>
        </is>
      </c>
      <c r="B17" s="16855">
        <f>SUMIFS(Captura_Facturas_Mobil!$G:$G, Captura_Facturas_Mobil!$D:$D, A17, Captura_Facturas_Mobil!$N:$N, $B$3)</f>
        <v/>
      </c>
      <c r="C17" s="16867">
        <f>D9 * $E$3</f>
        <v/>
      </c>
      <c r="D17" s="16868">
        <f>B17-C17</f>
        <v/>
      </c>
      <c r="E17" s="16869">
        <f>IF(F9&lt;0,"🚨 Consumo excedió combustible disponible",IF(AND(B17=0,C17&gt;0),"📦 Consumo de Reserva (Tanque Vaciado)",IF(B17+C17=0,"",IF(D17&gt;100,"⚠️ Combustible en almacén","✅ Operación Cuadrada"))))</f>
        <v/>
      </c>
      <c r="F17" s="16870" t="n"/>
      <c r="G17" s="16871" t="n"/>
      <c r="H17" s="16872" t="n"/>
      <c r="I17" s="16873" t="n"/>
      <c r="J17" s="16874" t="n"/>
      <c r="K17" s="16875" t="n"/>
      <c r="L17" s="16876" t="n"/>
    </row>
    <row r="18" ht="14.4" customHeight="1" s="17580">
      <c r="A18" s="16877" t="inlineStr">
        <is>
          <t>Planta Asflato Huixquilucan</t>
        </is>
      </c>
      <c r="B18" s="16855">
        <f>SUMIFS(Captura_Facturas_Mobil!$G:$G, Captura_Facturas_Mobil!$D:$D, A18, Captura_Facturas_Mobil!$N:$N, $B$3)</f>
        <v/>
      </c>
      <c r="C18" s="16878">
        <f>D10 * $E$3</f>
        <v/>
      </c>
      <c r="D18" s="16879">
        <f>B18-C18</f>
        <v/>
      </c>
      <c r="E18" s="16880">
        <f>IF(F10&lt;0,"🚨 Consumo excedió combustible disponible",IF(AND(B18=0,C18&gt;0),"📦 Consumo de Reserva (Tanque Vaciado)",IF(B18+C18=0,"",IF(D18&gt;100,"⚠️ Combustible en almacén","✅ Operación Cuadrada"))))</f>
        <v/>
      </c>
      <c r="F18" s="16881" t="n"/>
      <c r="G18" s="16882" t="n"/>
      <c r="H18" s="16883" t="n"/>
      <c r="I18" s="16884" t="n"/>
      <c r="J18" s="16885" t="n"/>
      <c r="K18" s="16886" t="n"/>
      <c r="L18" s="16887" t="n"/>
    </row>
    <row r="19">
      <c r="A19" s="16888" t="inlineStr">
        <is>
          <t>TOTAL GENERAL</t>
        </is>
      </c>
      <c r="B19" s="16889">
        <f>SUM(B16:B18)</f>
        <v/>
      </c>
      <c r="C19" s="16890">
        <f>SUM(C16:C18)</f>
        <v/>
      </c>
      <c r="D19" s="16891">
        <f>SUM(D16:D18)</f>
        <v/>
      </c>
      <c r="E19" s="16892" t="n"/>
      <c r="F19" s="16893" t="n"/>
      <c r="G19" s="16894" t="n"/>
      <c r="H19" s="16895" t="n"/>
      <c r="I19" s="16896" t="n"/>
      <c r="J19" s="16897" t="n"/>
      <c r="K19" s="16898" t="n"/>
      <c r="L19" s="16899" t="n"/>
    </row>
    <row r="20">
      <c r="A20" s="16900" t="n"/>
      <c r="B20" s="16901" t="n"/>
      <c r="C20" s="16902" t="n"/>
      <c r="D20" s="16903" t="n"/>
      <c r="E20" s="16904" t="n"/>
      <c r="F20" s="16905" t="n"/>
      <c r="G20" s="16906" t="n"/>
      <c r="H20" s="16907" t="n"/>
      <c r="I20" s="16908" t="n"/>
      <c r="J20" s="16909" t="n"/>
      <c r="K20" s="16910" t="n"/>
      <c r="L20" s="16911" t="n"/>
    </row>
    <row r="21">
      <c r="A21" s="16912" t="n"/>
      <c r="B21" s="16913" t="n"/>
      <c r="C21" s="16914" t="n"/>
      <c r="D21" s="16915" t="n"/>
      <c r="E21" s="16916" t="n"/>
      <c r="F21" s="16917" t="n"/>
      <c r="G21" s="16918" t="n"/>
      <c r="H21" s="16919" t="n"/>
      <c r="I21" s="16920" t="n"/>
      <c r="J21" s="16921" t="n"/>
      <c r="K21" s="16922" t="n"/>
      <c r="L21" s="16923" t="n"/>
    </row>
    <row r="22">
      <c r="A22" s="15903" t="n"/>
      <c r="B22" s="15904" t="n"/>
      <c r="C22" s="15905" t="n"/>
      <c r="D22" s="15906" t="n"/>
      <c r="E22" s="15907" t="n"/>
      <c r="F22" s="15908" t="n"/>
      <c r="G22" s="15909" t="n"/>
      <c r="H22" s="15910" t="n"/>
      <c r="I22" s="15911" t="n"/>
      <c r="J22" s="15912" t="n"/>
      <c r="K22" s="15913" t="n"/>
      <c r="L22" s="15914" t="n"/>
    </row>
    <row r="23">
      <c r="A23" s="15915" t="n"/>
      <c r="B23" s="15916" t="n"/>
      <c r="C23" s="15917" t="n"/>
      <c r="D23" s="15918" t="n"/>
      <c r="E23" s="15919" t="n"/>
      <c r="F23" s="15920" t="n"/>
      <c r="G23" s="15921" t="n"/>
      <c r="H23" s="15922" t="n"/>
      <c r="I23" s="15923" t="n"/>
      <c r="J23" s="15924" t="n"/>
      <c r="K23" s="15925" t="n"/>
      <c r="L23" s="15926" t="n"/>
    </row>
    <row r="24" ht="19.95" customHeight="1" s="17580">
      <c r="A24" s="17589" t="inlineStr">
        <is>
          <t>TABLA 3: HISTÓRICO DE CONTROL DE VALES Y GASOLINA (OBRA JALISCO)</t>
        </is>
      </c>
      <c r="J24" s="15927" t="n"/>
      <c r="K24" s="15928" t="n"/>
      <c r="L24" s="15929" t="n"/>
    </row>
    <row r="25" ht="34.95" customHeight="1" s="17580">
      <c r="A25" s="15930" t="inlineStr">
        <is>
          <t>Semana (Lunes)</t>
        </is>
      </c>
      <c r="B25" s="15931" t="inlineStr">
        <is>
          <t>Saldo Inicial (Vales)</t>
        </is>
      </c>
      <c r="C25" s="15932" t="inlineStr">
        <is>
          <t>Litros Despachados</t>
        </is>
      </c>
      <c r="D25" s="15933" t="inlineStr">
        <is>
          <t>Costo/L ($)</t>
        </is>
      </c>
      <c r="E25" s="15934" t="inlineStr">
        <is>
          <t>Costo Combustible ($)</t>
        </is>
      </c>
      <c r="F25" s="15935" t="inlineStr">
        <is>
          <t>Gasolina</t>
        </is>
      </c>
      <c r="G25" s="15936" t="inlineStr">
        <is>
          <t>Saldo Final (Vales)</t>
        </is>
      </c>
      <c r="H25" s="15937" t="inlineStr">
        <is>
          <t>Ajuste semanal</t>
        </is>
      </c>
      <c r="I25" s="15938" t="inlineStr">
        <is>
          <t>Lts de Diésel Acum.</t>
        </is>
      </c>
      <c r="J25" s="15939" t="n"/>
      <c r="K25" s="15940" t="n"/>
      <c r="L25" s="15941" t="n"/>
    </row>
    <row r="26">
      <c r="A26" s="15942" t="n">
        <v>46167</v>
      </c>
      <c r="B26" s="15943">
        <f>Captura_Jalisco!K5</f>
        <v/>
      </c>
      <c r="C26" s="15944">
        <f>SUMIFS(Captura_Jalisco!$G:$G, Captura_Jalisco!$B:$B, "Salida", Captura_Jalisco!$A:$A, "&gt;="&amp;A26, Captura_Jalisco!$A:$A, "&lt;="&amp;(A26+6))</f>
        <v/>
      </c>
      <c r="D26" s="15945">
        <f>$E$3</f>
        <v/>
      </c>
      <c r="E26" s="15946">
        <f>C26*D26</f>
        <v/>
      </c>
      <c r="F26" s="15947">
        <f>SUMIFS(Captura_Jalisco!$N:$N, Captura_Jalisco!$A:$A, "&gt;="&amp;A26, Captura_Jalisco!$A:$A, "&lt;="&amp;(A26+6))</f>
        <v/>
      </c>
      <c r="G26" s="15948">
        <f>B26-E26-F26</f>
        <v/>
      </c>
      <c r="H26" s="16088" t="n">
        <v>25056</v>
      </c>
      <c r="I26" s="15949">
        <f>C26</f>
        <v/>
      </c>
      <c r="J26" s="15950" t="n"/>
      <c r="K26" s="15951" t="n"/>
      <c r="L26" s="15952" t="n"/>
    </row>
    <row r="27">
      <c r="A27" s="15953" t="n">
        <v>46174</v>
      </c>
      <c r="B27" s="15954">
        <f>G26+H26</f>
        <v/>
      </c>
      <c r="C27" s="15955">
        <f>SUMIFS(Captura_Jalisco!$G:$G, Captura_Jalisco!$B:$B, "Salida", Captura_Jalisco!$A:$A, "&gt;="&amp;A27, Captura_Jalisco!$A:$A, "&lt;="&amp;(A27+6))</f>
        <v/>
      </c>
      <c r="D27" s="15956">
        <f>$E$3</f>
        <v/>
      </c>
      <c r="E27" s="15957">
        <f>C27*D27</f>
        <v/>
      </c>
      <c r="F27" s="15958">
        <f>SUMIFS(Captura_Jalisco!$N:$N, Captura_Jalisco!$A:$A, "&gt;="&amp;A27, Captura_Jalisco!$A:$A, "&lt;="&amp;(A27+6))</f>
        <v/>
      </c>
      <c r="G27" s="15959">
        <f>B27-E27-F27</f>
        <v/>
      </c>
      <c r="H27" s="15960" t="n">
        <v>31320</v>
      </c>
      <c r="I27" s="15961">
        <f>I26+C27</f>
        <v/>
      </c>
      <c r="J27" s="15962" t="n"/>
      <c r="K27" s="15963" t="n"/>
      <c r="L27" s="15964" t="n"/>
    </row>
    <row r="28">
      <c r="A28" s="15965" t="n">
        <v>46181</v>
      </c>
      <c r="B28" s="16089">
        <f>G27+H27</f>
        <v/>
      </c>
      <c r="C28" s="15966">
        <f>SUMIFS(Captura_Jalisco!$G:$G, Captura_Jalisco!$B:$B, "Salida", Captura_Jalisco!$A:$A, "&gt;="&amp;A28, Captura_Jalisco!$A:$A, "&lt;="&amp;(A28+6))</f>
        <v/>
      </c>
      <c r="D28" s="15967">
        <f>$E$3</f>
        <v/>
      </c>
      <c r="E28" s="15968">
        <f>C28*D28</f>
        <v/>
      </c>
      <c r="F28" s="15969">
        <f>SUMIFS(Captura_Jalisco!$N:$N, Captura_Jalisco!$A:$A, "&gt;="&amp;A28, Captura_Jalisco!$A:$A, "&lt;="&amp;(A28+6))</f>
        <v/>
      </c>
      <c r="G28" s="15970">
        <f>B28-E28-F28</f>
        <v/>
      </c>
      <c r="H28" s="15971" t="n">
        <v>0</v>
      </c>
      <c r="I28" s="15972">
        <f>I27+C28</f>
        <v/>
      </c>
      <c r="J28" s="15973" t="n"/>
      <c r="K28" s="15974" t="n"/>
      <c r="L28" s="15975" t="n"/>
    </row>
    <row r="29">
      <c r="A29" s="15976" t="n">
        <v>46188</v>
      </c>
      <c r="B29" s="15954">
        <f>G28+H28</f>
        <v/>
      </c>
      <c r="C29" s="15977">
        <f>SUMIFS(Captura_Jalisco!$G:$G, Captura_Jalisco!$B:$B, "Salida", Captura_Jalisco!$A:$A, "&gt;="&amp;A29, Captura_Jalisco!$A:$A, "&lt;="&amp;(A29+6))</f>
        <v/>
      </c>
      <c r="D29" s="15978">
        <f>$E$3</f>
        <v/>
      </c>
      <c r="E29" s="15979">
        <f>C29*D29</f>
        <v/>
      </c>
      <c r="F29" s="15980" t="n">
        <v>5660</v>
      </c>
      <c r="G29" s="15981">
        <f>B29-E29-F29</f>
        <v/>
      </c>
      <c r="H29" s="15982" t="n">
        <v>40500</v>
      </c>
      <c r="I29" s="15983">
        <f>I28+C29</f>
        <v/>
      </c>
      <c r="J29" s="15984" t="n"/>
      <c r="K29" s="15985" t="n"/>
      <c r="L29" s="15986" t="n"/>
    </row>
    <row r="30">
      <c r="A30" s="15987" t="n">
        <v>46195</v>
      </c>
      <c r="B30" s="16090">
        <f>G29+H29</f>
        <v/>
      </c>
      <c r="C30" s="15988">
        <f>SUMIFS(Captura_Jalisco!$G:$G, Captura_Jalisco!$B:$B, "Salida", Captura_Jalisco!$A:$A, "&gt;="&amp;A30, Captura_Jalisco!$A:$A, "&lt;="&amp;(A30+6))</f>
        <v/>
      </c>
      <c r="D30" s="15989">
        <f>$E$3</f>
        <v/>
      </c>
      <c r="E30" s="15990">
        <f>C30*D30</f>
        <v/>
      </c>
      <c r="F30" s="15991" t="n">
        <v>3000</v>
      </c>
      <c r="G30" s="15992">
        <f>B30-E30-F30</f>
        <v/>
      </c>
      <c r="H30" s="15993" t="n">
        <v>0</v>
      </c>
      <c r="I30" s="15994">
        <f>I29+C30</f>
        <v/>
      </c>
      <c r="J30" s="15995" t="n"/>
      <c r="K30" s="15996" t="n"/>
      <c r="L30" s="15997" t="n"/>
    </row>
    <row r="31">
      <c r="A31" s="15998" t="inlineStr">
        <is>
          <t>TOTAL ACUMULADO</t>
        </is>
      </c>
      <c r="B31" s="15999">
        <f>B26</f>
        <v/>
      </c>
      <c r="C31" s="16000">
        <f>SUM(C26:C30)</f>
        <v/>
      </c>
      <c r="D31" s="16001" t="n"/>
      <c r="E31" s="16002">
        <f>SUM(E26:E30)</f>
        <v/>
      </c>
      <c r="F31" s="16003">
        <f>SUM(F26:F30)</f>
        <v/>
      </c>
      <c r="G31" s="16004">
        <f>G30</f>
        <v/>
      </c>
      <c r="H31" s="16005">
        <f>SUM(H26:H30)</f>
        <v/>
      </c>
      <c r="I31" s="16006">
        <f>I30</f>
        <v/>
      </c>
      <c r="J31" s="16007" t="n"/>
      <c r="K31" s="16008" t="n"/>
      <c r="L31" s="16009" t="n"/>
    </row>
    <row r="32">
      <c r="A32" s="16010" t="n"/>
      <c r="B32" s="16011" t="n"/>
      <c r="C32" s="16012" t="n"/>
      <c r="D32" s="16013" t="n"/>
      <c r="E32" s="16014" t="n"/>
      <c r="F32" s="16015" t="n"/>
      <c r="G32" s="16016" t="n"/>
      <c r="H32" s="16017" t="n"/>
      <c r="I32" s="16018" t="n"/>
      <c r="J32" s="16019" t="n"/>
      <c r="K32" s="16020" t="n"/>
      <c r="L32" s="16021" t="n"/>
    </row>
    <row r="33">
      <c r="A33" s="16022" t="n"/>
      <c r="B33" s="16023" t="n"/>
      <c r="C33" s="16024" t="n"/>
      <c r="D33" s="16025" t="n"/>
      <c r="E33" s="16026" t="n"/>
      <c r="F33" s="16027" t="n"/>
      <c r="G33" s="16028" t="n"/>
      <c r="H33" s="16029" t="n"/>
      <c r="I33" s="16030" t="n"/>
      <c r="J33" s="16031" t="n"/>
      <c r="K33" s="16032" t="n"/>
      <c r="L33" s="16033" t="n"/>
    </row>
    <row r="34" ht="19.95" customHeight="1" s="17580">
      <c r="A34" s="17586" t="inlineStr">
        <is>
          <t>TABLA 4: AUDITORÍA DE INVENTARIO Y VACIADO DEL TANQUE PEGASO</t>
        </is>
      </c>
      <c r="G34" s="16034" t="n"/>
      <c r="H34" s="16035" t="n"/>
      <c r="I34" s="16036" t="n"/>
      <c r="J34" s="16037" t="n"/>
      <c r="K34" s="16038" t="n"/>
      <c r="L34" s="16039" t="n"/>
    </row>
    <row r="35" ht="34.95" customHeight="1" s="17580">
      <c r="A35" s="16040" t="inlineStr">
        <is>
          <t>Semana</t>
        </is>
      </c>
      <c r="B35" s="16041" t="inlineStr">
        <is>
          <t>Inventario Inicial (Lts)</t>
        </is>
      </c>
      <c r="C35" s="16042" t="inlineStr">
        <is>
          <t>Entradas / Pipas (Lts CFDI)</t>
        </is>
      </c>
      <c r="D35" s="16043" t="inlineStr">
        <is>
          <t>Salidas / Consumos (Lts Obra)</t>
        </is>
      </c>
      <c r="E35" s="16044" t="inlineStr">
        <is>
          <t>Inventario Final (Lts)</t>
        </is>
      </c>
      <c r="F35" s="16045" t="inlineStr">
        <is>
          <t>Estatus del Tanque</t>
        </is>
      </c>
      <c r="G35" s="16046" t="n"/>
      <c r="H35" s="16047" t="n"/>
      <c r="I35" s="16048" t="n"/>
      <c r="J35" s="16049" t="n"/>
      <c r="K35" s="16050" t="n"/>
      <c r="L35" s="16051" t="n"/>
    </row>
    <row r="36">
      <c r="A36" s="16052" t="inlineStr">
        <is>
          <t>Semana 25</t>
        </is>
      </c>
      <c r="B36" s="16053" t="n">
        <v>0</v>
      </c>
      <c r="C36" s="16054">
        <f>SUMIFS(Captura_Pegaso!$G:$G, Captura_Pegaso!$B:$B, "Entrada", Captura_Pegaso!$M:$M, 25)</f>
        <v/>
      </c>
      <c r="D36" s="16055">
        <f>SUMIFS(Captura_Obra!$F:$F, Captura_Obra!$M:$M, 25, Captura_Obra!$B:$B, "Maquinaria Pegaso")+SUMIFS(Captura_Obra!$F:$F, Captura_Obra!$M:$M, 25, Captura_Obra!$B:$B, "Lerma - Tres Marías")+SUMIFS(Captura_Obra!$F:$F, Captura_Obra!$M:$M, 25, Captura_Obra!$B:$B, "Chamapa-Lechería")+SUMIFS(Captura_Obra!$F:$F, Captura_Obra!$M:$M, 25, Captura_Obra!$B:$B, "Bacheo Toluca")+SUMIFS(Captura_Obra!$F:$F, Captura_Obra!$M:$M, 25, Captura_Obra!$B:$B, "Dragones")+SUMIFS(Captura_Obra!$F:$F, Captura_Obra!$M:$M, 25, Captura_Obra!$B:$B, "Colegio Militar")+SUMIFS(Captura_Obra!$F:$F, Captura_Obra!$M:$M, 25, Captura_Obra!$B:$B, "NO DETECTADA")</f>
        <v/>
      </c>
      <c r="E36" s="16056">
        <f>B36+C36-D36</f>
        <v/>
      </c>
      <c r="F36" s="16057">
        <f>IF(E36&lt;=50, "📭 VACÍO (Reserva Agotada)", "🔋 Con Reserva (" &amp; TEXT(E36, "#,##0") &amp; " L)")</f>
        <v/>
      </c>
      <c r="G36" s="16058" t="n"/>
      <c r="H36" s="16059" t="n"/>
      <c r="I36" s="16060" t="n"/>
      <c r="J36" s="16061" t="n"/>
      <c r="K36" s="16062" t="n"/>
      <c r="L36" s="16063" t="n"/>
    </row>
    <row r="37">
      <c r="A37" s="16064" t="inlineStr">
        <is>
          <t>Semana 26</t>
        </is>
      </c>
      <c r="B37" s="16065" t="n">
        <v>6036.15</v>
      </c>
      <c r="C37" s="16066" t="n">
        <v>0</v>
      </c>
      <c r="D37" s="16067">
        <f>SUMIFS(Captura_Obra!$F:$F, Captura_Obra!$M:$M, 26, Captura_Obra!$B:$B, "Maquinaria Pegaso")+SUMIFS(Captura_Obra!$F:$F, Captura_Obra!$M:$M, 26, Captura_Obra!$B:$B, "Lerma - Tres Marías")+SUMIFS(Captura_Obra!$F:$F, Captura_Obra!$M:$M, 26, Captura_Obra!$B:$B, "Chamapa-Lechería")+SUMIFS(Captura_Obra!$F:$F, Captura_Obra!$M:$M, 26, Captura_Obra!$B:$B, "Bacheo Toluca")+SUMIFS(Captura_Obra!$F:$F, Captura_Obra!$M:$M, 26, Captura_Obra!$B:$B, "Dragones")+SUMIFS(Captura_Obra!$F:$F, Captura_Obra!$M:$M, 26, Captura_Obra!$B:$B, "Colegio Militar")+SUMIFS(Captura_Obra!$F:$F, Captura_Obra!$M:$M, 26, Captura_Obra!$B:$B, "NO DETECTADA")</f>
        <v/>
      </c>
      <c r="E37" s="16068">
        <f>B37+C37-D37</f>
        <v/>
      </c>
      <c r="F37" s="16069">
        <f>IF(E37&lt;=50, "📭 VACÍO (Reserva Agotada)", "🔋 Con Reserva (" &amp; TEXT(E37, "#,##0") &amp; " L)")</f>
        <v/>
      </c>
      <c r="G37" s="16070" t="n"/>
      <c r="H37" s="16071" t="n"/>
      <c r="I37" s="16072" t="n"/>
      <c r="J37" s="16073" t="n"/>
      <c r="K37" s="16074" t="n"/>
      <c r="L37" s="16075" t="n"/>
    </row>
    <row r="38">
      <c r="A38" s="16091" t="inlineStr">
        <is>
          <t>Semana 27</t>
        </is>
      </c>
      <c r="B38" s="16092">
        <f>E37</f>
        <v/>
      </c>
      <c r="C38" s="16093">
        <f>SUMIFS(Captura_Pegaso!$G:$G, Captura_Pegaso!$B:$B, "Entrada", Captura_Pegaso!$M:$M, 27)</f>
        <v/>
      </c>
      <c r="D38" s="16094">
        <f>SUMIFS(Captura_Obra!$F:$F, Captura_Obra!$M:$M, 27, Captura_Obra!$B:$B, "Maquinaria Pegaso")+SUMIFS(Captura_Obra!$F:$F, Captura_Obra!$M:$M, 27, Captura_Obra!$B:$B, "Lerma - Tres Marías")+SUMIFS(Captura_Obra!$F:$F, Captura_Obra!$M:$M, 27, Captura_Obra!$B:$B, "Chamapa-Lechería")+SUMIFS(Captura_Obra!$F:$F, Captura_Obra!$M:$M, 27, Captura_Obra!$B:$B, "Bacheo Toluca")+SUMIFS(Captura_Obra!$F:$F, Captura_Obra!$M:$M, 27, Captura_Obra!$B:$B, "Dragones")+SUMIFS(Captura_Obra!$F:$F, Captura_Obra!$M:$M, 27, Captura_Obra!$B:$B, "Colegio Militar")+SUMIFS(Captura_Obra!$F:$F, Captura_Obra!$M:$M, 27, Captura_Obra!$B:$B, "NO DETECTADA")</f>
        <v/>
      </c>
      <c r="E38" s="16095">
        <f>B38+C38-D38</f>
        <v/>
      </c>
      <c r="F38" s="16096">
        <f>IF(E38&lt;=50, "📭 VACÍO (Reserva Agotada)", "🔋 Con Reserva (" &amp; TEXT(E38, "#,##0") &amp; " L)")</f>
        <v/>
      </c>
      <c r="G38" s="16076" t="n"/>
      <c r="H38" s="16077" t="n"/>
      <c r="I38" s="16078" t="n"/>
      <c r="J38" s="16079" t="n"/>
      <c r="K38" s="16080" t="n"/>
      <c r="L38" s="16081" t="n"/>
    </row>
    <row r="39">
      <c r="A39" s="16097" t="n"/>
      <c r="B39" s="16098" t="n"/>
      <c r="C39" s="16099" t="n"/>
      <c r="D39" s="16100" t="n"/>
      <c r="E39" s="16101" t="n"/>
      <c r="F39" s="16102" t="n"/>
      <c r="G39" s="16082" t="n"/>
      <c r="H39" s="16083" t="n"/>
      <c r="I39" s="16084" t="n"/>
      <c r="J39" s="16085" t="n"/>
      <c r="K39" s="16086" t="n"/>
      <c r="L39" s="16087" t="n"/>
    </row>
    <row r="40">
      <c r="A40" s="16565" t="n"/>
      <c r="B40" s="16566" t="n"/>
      <c r="C40" s="16567" t="n"/>
      <c r="D40" s="16568" t="n"/>
      <c r="E40" s="16569" t="n"/>
      <c r="F40" s="16570" t="n"/>
      <c r="G40" s="16571" t="n"/>
      <c r="H40" s="16572" t="n"/>
      <c r="I40" s="16573" t="n"/>
      <c r="J40" s="16574" t="n"/>
      <c r="K40" s="16575" t="n"/>
      <c r="L40" s="16576" t="n"/>
    </row>
    <row r="41" ht="19.95" customHeight="1" s="17580">
      <c r="A41" s="17585" t="inlineStr">
        <is>
          <t>TABLA 5: MONTO TOTAL DE FACTURAS (CFDI) POR OBRA Y SEMANA ($)</t>
        </is>
      </c>
      <c r="I41" s="16577" t="n"/>
      <c r="J41" s="16578" t="n"/>
      <c r="K41" s="16579" t="n"/>
      <c r="L41" s="16580" t="n"/>
    </row>
    <row r="42" ht="25.05" customHeight="1" s="17580">
      <c r="A42" s="17581" t="inlineStr">
        <is>
          <t>TABLA 5: ANÁLISIS ESTADÍSTICO DE CONSUMOS (SOLICITADO VS AUTORIZADO VS REAL)</t>
        </is>
      </c>
      <c r="B42" s="17582" t="n"/>
      <c r="C42" s="17582" t="n"/>
      <c r="D42" s="17582" t="n"/>
      <c r="E42" s="17582" t="n"/>
      <c r="F42" s="17582" t="n"/>
      <c r="G42" s="17582" t="n"/>
      <c r="H42" s="17582" t="n"/>
      <c r="I42" s="17583" t="n"/>
      <c r="J42" s="16581" t="n"/>
      <c r="K42" s="16582" t="n"/>
      <c r="L42" s="16583" t="n"/>
    </row>
    <row r="43" ht="28.8" customHeight="1" s="17580">
      <c r="A43" s="16938" t="inlineStr">
        <is>
          <t>Obra / Destino</t>
        </is>
      </c>
      <c r="B43" s="16939" t="inlineStr">
        <is>
          <t>Lts Solicitados</t>
        </is>
      </c>
      <c r="C43" s="16940" t="inlineStr">
        <is>
          <t>Lts Autorizados</t>
        </is>
      </c>
      <c r="D43" s="16941" t="inlineStr">
        <is>
          <t>Lts Reales</t>
        </is>
      </c>
      <c r="E43" s="16942" t="inlineStr">
        <is>
          <t>Desv. Estándar (σ) Real</t>
        </is>
      </c>
      <c r="F43" s="16943" t="inlineStr">
        <is>
          <t>Varianza % (Sol vs Real)</t>
        </is>
      </c>
      <c r="G43" s="16944" t="inlineStr">
        <is>
          <t>Varianza % (Aut vs Real)</t>
        </is>
      </c>
      <c r="H43" s="16945" t="inlineStr">
        <is>
          <t>Prom. Diario Solicitado (μ)</t>
        </is>
      </c>
      <c r="I43" s="16946" t="inlineStr">
        <is>
          <t>Prom. Diario Autorizado (μ)</t>
        </is>
      </c>
      <c r="J43" s="16947" t="inlineStr">
        <is>
          <t>Prom. Diario Real (μ)</t>
        </is>
      </c>
      <c r="K43" s="16584" t="n"/>
      <c r="L43" s="16585" t="n"/>
    </row>
    <row r="44">
      <c r="A44" s="16925" t="inlineStr">
        <is>
          <t>México-Toluca</t>
        </is>
      </c>
      <c r="B44" s="16948">
        <f>SUMIFS(Solicitudes!$F:$F, Solicitudes!$B:$B, A44, Solicitudes!$K:$K, $B$3)</f>
        <v/>
      </c>
      <c r="C44" s="16949">
        <f>IF($B$3=26, 2750, 0)</f>
        <v/>
      </c>
      <c r="D44" s="16950">
        <f>SUMIFS(Captura_Obra!$F:$F, Captura_Obra!$B:$B, A44, Captura_Obra!$M:$M, $B$3)</f>
        <v/>
      </c>
      <c r="E44" s="16951">
        <f>STDEV(SUMIFS(Captura_Obra!$F:$F, Captura_Obra!$B:$B, A44, Captura_Obra!$A:$A, $M$2+0), SUMIFS(Captura_Obra!$F:$F, Captura_Obra!$B:$B, A44, Captura_Obra!$A:$A, $M$2+1), SUMIFS(Captura_Obra!$F:$F, Captura_Obra!$B:$B, A44, Captura_Obra!$A:$A, $M$2+2), SUMIFS(Captura_Obra!$F:$F, Captura_Obra!$B:$B, A44, Captura_Obra!$A:$A, $M$2+3), SUMIFS(Captura_Obra!$F:$F, Captura_Obra!$B:$B, A44, Captura_Obra!$A:$A, $M$2+4), SUMIFS(Captura_Obra!$F:$F, Captura_Obra!$B:$B, A44, Captura_Obra!$A:$A, $M$2+5), SUMIFS(Captura_Obra!$F:$F, Captura_Obra!$B:$B, A44, Captura_Obra!$A:$A, $M$2+6))</f>
        <v/>
      </c>
      <c r="F44" s="16952">
        <f>IF(B44&gt;0, (D44-B44)/B44, 0)</f>
        <v/>
      </c>
      <c r="G44" s="16953">
        <f>IF(C44&gt;0, (D44-C44)/C44, 0)</f>
        <v/>
      </c>
      <c r="H44" s="16954">
        <f>AVERAGE(SUMIFS(Solicitudes!$F:$F, Solicitudes!$B:$B, A44, Solicitudes!$C:$C, $M$2+0), SUMIFS(Solicitudes!$F:$F, Solicitudes!$B:$B, A44, Solicitudes!$C:$C, $M$2+1), SUMIFS(Solicitudes!$F:$F, Solicitudes!$B:$B, A44, Solicitudes!$C:$C, $M$2+2), SUMIFS(Solicitudes!$F:$F, Solicitudes!$B:$B, A44, Solicitudes!$C:$C, $M$2+3), SUMIFS(Solicitudes!$F:$F, Solicitudes!$B:$B, A44, Solicitudes!$C:$C, $M$2+4), SUMIFS(Solicitudes!$F:$F, Solicitudes!$B:$B, A44, Solicitudes!$C:$C, $M$2+5), SUMIFS(Solicitudes!$F:$F, Solicitudes!$B:$B, A44, Solicitudes!$C:$C, $M$2+6))</f>
        <v/>
      </c>
      <c r="I44" s="16955">
        <f>IF(C44&gt;0, C44/6, 0)</f>
        <v/>
      </c>
      <c r="J44" s="16956">
        <f>AVERAGE(SUMIFS(Captura_Obra!$F:$F, Captura_Obra!$B:$B, A44, Captura_Obra!$A:$A, $M$2+0), SUMIFS(Captura_Obra!$F:$F, Captura_Obra!$B:$B, A44, Captura_Obra!$A:$A, $M$2+1), SUMIFS(Captura_Obra!$F:$F, Captura_Obra!$B:$B, A44, Captura_Obra!$A:$A, $M$2+2), SUMIFS(Captura_Obra!$F:$F, Captura_Obra!$B:$B, A44, Captura_Obra!$A:$A, $M$2+3), SUMIFS(Captura_Obra!$F:$F, Captura_Obra!$B:$B, A44, Captura_Obra!$A:$A, $M$2+4), SUMIFS(Captura_Obra!$F:$F, Captura_Obra!$B:$B, A44, Captura_Obra!$A:$A, $M$2+5), SUMIFS(Captura_Obra!$F:$F, Captura_Obra!$B:$B, A44, Captura_Obra!$A:$A, $M$2+6))</f>
        <v/>
      </c>
      <c r="K44" s="16586" t="n"/>
      <c r="L44" s="16587" t="n"/>
    </row>
    <row r="45">
      <c r="A45" s="16926" t="inlineStr">
        <is>
          <t>Planta Asflato Huixquilucan</t>
        </is>
      </c>
      <c r="B45" s="16957">
        <f>SUMIFS(Solicitudes!$F:$F, Solicitudes!$B:$B, "*Huixquilucan*", Solicitudes!$K:$K, $B$3)</f>
        <v/>
      </c>
      <c r="C45" s="16958">
        <f>IF($B$3=26, 2500, 0)</f>
        <v/>
      </c>
      <c r="D45" s="16959">
        <f>SUMIFS(Captura_Obra!$F:$F, Captura_Obra!$B:$B, A45, Captura_Obra!$M:$M, $B$3)</f>
        <v/>
      </c>
      <c r="E45" s="16960">
        <f>STDEV(SUMIFS(Captura_Obra!$F:$F, Captura_Obra!$B:$B, "*Huixquilucan*", Captura_Obra!$A:$A, $M$2+0), SUMIFS(Captura_Obra!$F:$F, Captura_Obra!$B:$B, "*Huixquilucan*", Captura_Obra!$A:$A, $M$2+1), SUMIFS(Captura_Obra!$F:$F, Captura_Obra!$B:$B, "*Huixquilucan*", Captura_Obra!$A:$A, $M$2+2), SUMIFS(Captura_Obra!$F:$F, Captura_Obra!$B:$B, "*Huixquilucan*", Captura_Obra!$A:$A, $M$2+3), SUMIFS(Captura_Obra!$F:$F, Captura_Obra!$B:$B, "*Huixquilucan*", Captura_Obra!$A:$A, $M$2+4), SUMIFS(Captura_Obra!$F:$F, Captura_Obra!$B:$B, "*Huixquilucan*", Captura_Obra!$A:$A, $M$2+5), SUMIFS(Captura_Obra!$F:$F, Captura_Obra!$B:$B, "*Huixquilucan*", Captura_Obra!$A:$A, $M$2+6))</f>
        <v/>
      </c>
      <c r="F45" s="16961">
        <f>IF(B45&gt;0, (D45-B45)/B45, 0)</f>
        <v/>
      </c>
      <c r="G45" s="16962">
        <f>IF(C45&gt;0, (D45-C45)/C45, 0)</f>
        <v/>
      </c>
      <c r="H45" s="16963">
        <f>AVERAGE(SUMIFS(Solicitudes!$F:$F, Solicitudes!$B:$B, "*Huixquilucan*", Solicitudes!$C:$C, $M$2+0), SUMIFS(Solicitudes!$F:$F, Solicitudes!$B:$B, "*Huixquilucan*", Solicitudes!$C:$C, $M$2+1), SUMIFS(Solicitudes!$F:$F, Solicitudes!$B:$B, "*Huixquilucan*", Solicitudes!$C:$C, $M$2+2), SUMIFS(Solicitudes!$F:$F, Solicitudes!$B:$B, "*Huixquilucan*", Solicitudes!$C:$C, $M$2+3), SUMIFS(Solicitudes!$F:$F, Solicitudes!$B:$B, "*Huixquilucan*", Solicitudes!$C:$C, $M$2+4), SUMIFS(Solicitudes!$F:$F, Solicitudes!$B:$B, "*Huixquilucan*", Solicitudes!$C:$C, $M$2+5), SUMIFS(Solicitudes!$F:$F, Solicitudes!$B:$B, "*Huixquilucan*", Solicitudes!$C:$C, $M$2+6))</f>
        <v/>
      </c>
      <c r="I45" s="16964">
        <f>IF(C45&gt;0, C45/6, 0)</f>
        <v/>
      </c>
      <c r="J45" s="16965">
        <f>AVERAGE(SUMIFS(Captura_Obra!$F:$F, Captura_Obra!$B:$B, "*Huixquilucan*", Captura_Obra!$A:$A, $M$2+0), SUMIFS(Captura_Obra!$F:$F, Captura_Obra!$B:$B, "*Huixquilucan*", Captura_Obra!$A:$A, $M$2+1), SUMIFS(Captura_Obra!$F:$F, Captura_Obra!$B:$B, "*Huixquilucan*", Captura_Obra!$A:$A, $M$2+2), SUMIFS(Captura_Obra!$F:$F, Captura_Obra!$B:$B, "*Huixquilucan*", Captura_Obra!$A:$A, $M$2+3), SUMIFS(Captura_Obra!$F:$F, Captura_Obra!$B:$B, "*Huixquilucan*", Captura_Obra!$A:$A, $M$2+4), SUMIFS(Captura_Obra!$F:$F, Captura_Obra!$B:$B, "*Huixquilucan*", Captura_Obra!$A:$A, $M$2+5), SUMIFS(Captura_Obra!$F:$F, Captura_Obra!$B:$B, "*Huixquilucan*", Captura_Obra!$A:$A, $M$2+6))</f>
        <v/>
      </c>
      <c r="K45" s="16588" t="n"/>
      <c r="L45" s="16589" t="n"/>
    </row>
    <row r="46">
      <c r="A46" s="16927" t="inlineStr">
        <is>
          <t>Lerma - Tres Marías</t>
        </is>
      </c>
      <c r="B46" s="16966">
        <f>SUMIFS(Solicitudes!$F:$F, Solicitudes!$B:$B, A46, Solicitudes!$K:$K, $B$3)</f>
        <v/>
      </c>
      <c r="C46" s="16967">
        <f>IF($B$3=26, 2000, 0)</f>
        <v/>
      </c>
      <c r="D46" s="16968">
        <f>SUMIFS(Captura_Obra!$F:$F, Captura_Obra!$B:$B, A46, Captura_Obra!$M:$M, $B$3)</f>
        <v/>
      </c>
      <c r="E46" s="16969">
        <f>STDEV(SUMIFS(Captura_Obra!$F:$F, Captura_Obra!$B:$B, A46, Captura_Obra!$A:$A, $M$2+0), SUMIFS(Captura_Obra!$F:$F, Captura_Obra!$B:$B, A46, Captura_Obra!$A:$A, $M$2+1), SUMIFS(Captura_Obra!$F:$F, Captura_Obra!$B:$B, A46, Captura_Obra!$A:$A, $M$2+2), SUMIFS(Captura_Obra!$F:$F, Captura_Obra!$B:$B, A46, Captura_Obra!$A:$A, $M$2+3), SUMIFS(Captura_Obra!$F:$F, Captura_Obra!$B:$B, A46, Captura_Obra!$A:$A, $M$2+4), SUMIFS(Captura_Obra!$F:$F, Captura_Obra!$B:$B, A46, Captura_Obra!$A:$A, $M$2+5), SUMIFS(Captura_Obra!$F:$F, Captura_Obra!$B:$B, A46, Captura_Obra!$A:$A, $M$2+6))</f>
        <v/>
      </c>
      <c r="F46" s="16970">
        <f>IF(B46&gt;0, (D46-B46)/B46, 0)</f>
        <v/>
      </c>
      <c r="G46" s="16971">
        <f>IF(C46&gt;0, (D46-C46)/C46, 0)</f>
        <v/>
      </c>
      <c r="H46" s="16972">
        <f>AVERAGE(SUMIFS(Solicitudes!$F:$F, Solicitudes!$B:$B, A46, Solicitudes!$C:$C, $M$2+0), SUMIFS(Solicitudes!$F:$F, Solicitudes!$B:$B, A46, Solicitudes!$C:$C, $M$2+1), SUMIFS(Solicitudes!$F:$F, Solicitudes!$B:$B, A46, Solicitudes!$C:$C, $M$2+2), SUMIFS(Solicitudes!$F:$F, Solicitudes!$B:$B, A46, Solicitudes!$C:$C, $M$2+3), SUMIFS(Solicitudes!$F:$F, Solicitudes!$B:$B, A46, Solicitudes!$C:$C, $M$2+4), SUMIFS(Solicitudes!$F:$F, Solicitudes!$B:$B, A46, Solicitudes!$C:$C, $M$2+5), SUMIFS(Solicitudes!$F:$F, Solicitudes!$B:$B, A46, Solicitudes!$C:$C, $M$2+6))</f>
        <v/>
      </c>
      <c r="I46" s="16973">
        <f>IF(C46&gt;0, C46/6, 0)</f>
        <v/>
      </c>
      <c r="J46" s="16974">
        <f>AVERAGE(SUMIFS(Captura_Obra!$F:$F, Captura_Obra!$B:$B, A46, Captura_Obra!$A:$A, $M$2+0), SUMIFS(Captura_Obra!$F:$F, Captura_Obra!$B:$B, A46, Captura_Obra!$A:$A, $M$2+1), SUMIFS(Captura_Obra!$F:$F, Captura_Obra!$B:$B, A46, Captura_Obra!$A:$A, $M$2+2), SUMIFS(Captura_Obra!$F:$F, Captura_Obra!$B:$B, A46, Captura_Obra!$A:$A, $M$2+3), SUMIFS(Captura_Obra!$F:$F, Captura_Obra!$B:$B, A46, Captura_Obra!$A:$A, $M$2+4), SUMIFS(Captura_Obra!$F:$F, Captura_Obra!$B:$B, A46, Captura_Obra!$A:$A, $M$2+5), SUMIFS(Captura_Obra!$F:$F, Captura_Obra!$B:$B, A46, Captura_Obra!$A:$A, $M$2+6))</f>
        <v/>
      </c>
      <c r="K46" s="16590" t="n"/>
      <c r="L46" s="16591" t="n"/>
    </row>
    <row r="47">
      <c r="A47" s="16928" t="inlineStr">
        <is>
          <t>Maquinaria Pegaso</t>
        </is>
      </c>
      <c r="B47" s="16975">
        <f>SUMIFS(Solicitudes!$F:$F, Solicitudes!$B:$B, A47, Solicitudes!$K:$K, $B$3)</f>
        <v/>
      </c>
      <c r="C47" s="16976">
        <f>IF($B$3=26, 1600, 0)</f>
        <v/>
      </c>
      <c r="D47" s="16977">
        <f>SUMIFS(Captura_Obra!$F:$F, Captura_Obra!$B:$B, A47, Captura_Obra!$M:$M, $B$3)</f>
        <v/>
      </c>
      <c r="E47" s="16978">
        <f>STDEV(SUMIFS(Captura_Obra!$F:$F, Captura_Obra!$B:$B, A47, Captura_Obra!$A:$A, $M$2+0), SUMIFS(Captura_Obra!$F:$F, Captura_Obra!$B:$B, A47, Captura_Obra!$A:$A, $M$2+1), SUMIFS(Captura_Obra!$F:$F, Captura_Obra!$B:$B, A47, Captura_Obra!$A:$A, $M$2+2), SUMIFS(Captura_Obra!$F:$F, Captura_Obra!$B:$B, A47, Captura_Obra!$A:$A, $M$2+3), SUMIFS(Captura_Obra!$F:$F, Captura_Obra!$B:$B, A47, Captura_Obra!$A:$A, $M$2+4), SUMIFS(Captura_Obra!$F:$F, Captura_Obra!$B:$B, A47, Captura_Obra!$A:$A, $M$2+5), SUMIFS(Captura_Obra!$F:$F, Captura_Obra!$B:$B, A47, Captura_Obra!$A:$A, $M$2+6))</f>
        <v/>
      </c>
      <c r="F47" s="16979">
        <f>IF(B47&gt;0, (D47-B47)/B47, 0)</f>
        <v/>
      </c>
      <c r="G47" s="16980">
        <f>IF(C47&gt;0, (D47-C47)/C47, 0)</f>
        <v/>
      </c>
      <c r="H47" s="16981">
        <f>AVERAGE(SUMIFS(Solicitudes!$F:$F, Solicitudes!$B:$B, A47, Solicitudes!$C:$C, $M$2+0), SUMIFS(Solicitudes!$F:$F, Solicitudes!$B:$B, A47, Solicitudes!$C:$C, $M$2+1), SUMIFS(Solicitudes!$F:$F, Solicitudes!$B:$B, A47, Solicitudes!$C:$C, $M$2+2), SUMIFS(Solicitudes!$F:$F, Solicitudes!$B:$B, A47, Solicitudes!$C:$C, $M$2+3), SUMIFS(Solicitudes!$F:$F, Solicitudes!$B:$B, A47, Solicitudes!$C:$C, $M$2+4), SUMIFS(Solicitudes!$F:$F, Solicitudes!$B:$B, A47, Solicitudes!$C:$C, $M$2+5), SUMIFS(Solicitudes!$F:$F, Solicitudes!$B:$B, A47, Solicitudes!$C:$C, $M$2+6))</f>
        <v/>
      </c>
      <c r="I47" s="16982">
        <f>IF(C47&gt;0, C47/6, 0)</f>
        <v/>
      </c>
      <c r="J47" s="16983">
        <f>AVERAGE(SUMIFS(Captura_Obra!$F:$F, Captura_Obra!$B:$B, A47, Captura_Obra!$A:$A, $M$2+0), SUMIFS(Captura_Obra!$F:$F, Captura_Obra!$B:$B, A47, Captura_Obra!$A:$A, $M$2+1), SUMIFS(Captura_Obra!$F:$F, Captura_Obra!$B:$B, A47, Captura_Obra!$A:$A, $M$2+2), SUMIFS(Captura_Obra!$F:$F, Captura_Obra!$B:$B, A47, Captura_Obra!$A:$A, $M$2+3), SUMIFS(Captura_Obra!$F:$F, Captura_Obra!$B:$B, A47, Captura_Obra!$A:$A, $M$2+4), SUMIFS(Captura_Obra!$F:$F, Captura_Obra!$B:$B, A47, Captura_Obra!$A:$A, $M$2+5), SUMIFS(Captura_Obra!$F:$F, Captura_Obra!$B:$B, A47, Captura_Obra!$A:$A, $M$2+6))</f>
        <v/>
      </c>
      <c r="K47" s="16592" t="n"/>
      <c r="L47" s="16593" t="n"/>
    </row>
    <row r="48">
      <c r="A48" s="16929" t="inlineStr">
        <is>
          <t>Bacheo Toluca</t>
        </is>
      </c>
      <c r="B48" s="16984">
        <f>SUMIFS(Solicitudes!$F:$F, Solicitudes!$B:$B, A48, Solicitudes!$K:$K, $B$3)</f>
        <v/>
      </c>
      <c r="C48" s="16985">
        <f>IF($B$3=26, 500, 0)</f>
        <v/>
      </c>
      <c r="D48" s="16986">
        <f>SUMIFS(Captura_Obra!$F:$F, Captura_Obra!$B:$B, A48, Captura_Obra!$M:$M, $B$3)</f>
        <v/>
      </c>
      <c r="E48" s="16987">
        <f>STDEV(SUMIFS(Captura_Obra!$F:$F, Captura_Obra!$B:$B, A48, Captura_Obra!$A:$A, $M$2+0), SUMIFS(Captura_Obra!$F:$F, Captura_Obra!$B:$B, A48, Captura_Obra!$A:$A, $M$2+1), SUMIFS(Captura_Obra!$F:$F, Captura_Obra!$B:$B, A48, Captura_Obra!$A:$A, $M$2+2), SUMIFS(Captura_Obra!$F:$F, Captura_Obra!$B:$B, A48, Captura_Obra!$A:$A, $M$2+3), SUMIFS(Captura_Obra!$F:$F, Captura_Obra!$B:$B, A48, Captura_Obra!$A:$A, $M$2+4), SUMIFS(Captura_Obra!$F:$F, Captura_Obra!$B:$B, A48, Captura_Obra!$A:$A, $M$2+5), SUMIFS(Captura_Obra!$F:$F, Captura_Obra!$B:$B, A48, Captura_Obra!$A:$A, $M$2+6))</f>
        <v/>
      </c>
      <c r="F48" s="16988">
        <f>IF(B48&gt;0, (D48-B48)/B48, 0)</f>
        <v/>
      </c>
      <c r="G48" s="16989">
        <f>IF(C48&gt;0, (D48-C48)/C48, 0)</f>
        <v/>
      </c>
      <c r="H48" s="16990">
        <f>AVERAGE(SUMIFS(Solicitudes!$F:$F, Solicitudes!$B:$B, A48, Solicitudes!$C:$C, $M$2+0), SUMIFS(Solicitudes!$F:$F, Solicitudes!$B:$B, A48, Solicitudes!$C:$C, $M$2+1), SUMIFS(Solicitudes!$F:$F, Solicitudes!$B:$B, A48, Solicitudes!$C:$C, $M$2+2), SUMIFS(Solicitudes!$F:$F, Solicitudes!$B:$B, A48, Solicitudes!$C:$C, $M$2+3), SUMIFS(Solicitudes!$F:$F, Solicitudes!$B:$B, A48, Solicitudes!$C:$C, $M$2+4), SUMIFS(Solicitudes!$F:$F, Solicitudes!$B:$B, A48, Solicitudes!$C:$C, $M$2+5), SUMIFS(Solicitudes!$F:$F, Solicitudes!$B:$B, A48, Solicitudes!$C:$C, $M$2+6))</f>
        <v/>
      </c>
      <c r="I48" s="16991">
        <f>IF(C48&gt;0, C48/6, 0)</f>
        <v/>
      </c>
      <c r="J48" s="16992">
        <f>AVERAGE(SUMIFS(Captura_Obra!$F:$F, Captura_Obra!$B:$B, A48, Captura_Obra!$A:$A, $M$2+0), SUMIFS(Captura_Obra!$F:$F, Captura_Obra!$B:$B, A48, Captura_Obra!$A:$A, $M$2+1), SUMIFS(Captura_Obra!$F:$F, Captura_Obra!$B:$B, A48, Captura_Obra!$A:$A, $M$2+2), SUMIFS(Captura_Obra!$F:$F, Captura_Obra!$B:$B, A48, Captura_Obra!$A:$A, $M$2+3), SUMIFS(Captura_Obra!$F:$F, Captura_Obra!$B:$B, A48, Captura_Obra!$A:$A, $M$2+4), SUMIFS(Captura_Obra!$F:$F, Captura_Obra!$B:$B, A48, Captura_Obra!$A:$A, $M$2+5), SUMIFS(Captura_Obra!$F:$F, Captura_Obra!$B:$B, A48, Captura_Obra!$A:$A, $M$2+6))</f>
        <v/>
      </c>
      <c r="K48" s="16594" t="n"/>
      <c r="L48" s="16595" t="n"/>
    </row>
    <row r="49">
      <c r="A49" s="16930" t="inlineStr">
        <is>
          <t>TOTAL GENERAL</t>
        </is>
      </c>
      <c r="B49" s="16931">
        <f>SUM(B44:B48)</f>
        <v/>
      </c>
      <c r="C49" s="16932">
        <f>SUM(C44:C48)</f>
        <v/>
      </c>
      <c r="D49" s="16933">
        <f>SUM(D44:D48)</f>
        <v/>
      </c>
      <c r="E49" s="16993">
        <f>STDEV(SUMIFS(Captura_Obra!$F:$F, Captura_Obra!$A:$A, $M$2+0), SUMIFS(Captura_Obra!$F:$F, Captura_Obra!$A:$A, $M$2+1), SUMIFS(Captura_Obra!$F:$F, Captura_Obra!$A:$A, $M$2+2), SUMIFS(Captura_Obra!$F:$F, Captura_Obra!$A:$A, $M$2+3), SUMIFS(Captura_Obra!$F:$F, Captura_Obra!$A:$A, $M$2+4), SUMIFS(Captura_Obra!$F:$F, Captura_Obra!$A:$A, $M$2+5), SUMIFS(Captura_Obra!$F:$F, Captura_Obra!$A:$A, $M$2+6))</f>
        <v/>
      </c>
      <c r="F49" s="16994">
        <f>IF(B49&gt;0, (D49-B49)/B49, 0)</f>
        <v/>
      </c>
      <c r="G49" s="16995">
        <f>IF(C49&gt;0, (D49-C49)/C49, 0)</f>
        <v/>
      </c>
      <c r="H49" s="16934">
        <f>AVERAGE(SUMIFS(Solicitudes!$F:$F, Solicitudes!$C:$C, $M$2+0), SUMIFS(Solicitudes!$F:$F, Solicitudes!$C:$C, $M$2+1), SUMIFS(Solicitudes!$F:$F, Solicitudes!$C:$C, $M$2+2), SUMIFS(Solicitudes!$F:$F, Solicitudes!$C:$C, $M$2+3), SUMIFS(Solicitudes!$F:$F, Solicitudes!$C:$C, $M$2+4), SUMIFS(Solicitudes!$F:$F, Solicitudes!$C:$C, $M$2+5), SUMIFS(Solicitudes!$F:$F, Solicitudes!$C:$C, $M$2+6))</f>
        <v/>
      </c>
      <c r="I49" s="16935">
        <f>IF(C49&gt;0, C49/6, 0)</f>
        <v/>
      </c>
      <c r="J49" s="16996">
        <f>AVERAGE(SUMIFS(Captura_Obra!$F:$F, Captura_Obra!$A:$A, $M$2+0), SUMIFS(Captura_Obra!$F:$F, Captura_Obra!$A:$A, $M$2+1), SUMIFS(Captura_Obra!$F:$F, Captura_Obra!$A:$A, $M$2+2), SUMIFS(Captura_Obra!$F:$F, Captura_Obra!$A:$A, $M$2+3), SUMIFS(Captura_Obra!$F:$F, Captura_Obra!$A:$A, $M$2+4), SUMIFS(Captura_Obra!$F:$F, Captura_Obra!$A:$A, $M$2+5), SUMIFS(Captura_Obra!$F:$F, Captura_Obra!$A:$A, $M$2+6))</f>
        <v/>
      </c>
      <c r="K49" s="16596" t="n"/>
      <c r="L49" s="16597" t="n"/>
    </row>
    <row r="50">
      <c r="A50" s="16598" t="n"/>
      <c r="B50" s="16599" t="n"/>
      <c r="C50" s="16600" t="n"/>
      <c r="D50" s="16601" t="n"/>
      <c r="E50" s="16602" t="n"/>
      <c r="F50" s="16603" t="n"/>
      <c r="G50" s="16604" t="n"/>
      <c r="H50" s="16605" t="n"/>
      <c r="I50" s="16606" t="n"/>
      <c r="J50" s="16607" t="n"/>
      <c r="K50" s="16608" t="n"/>
      <c r="L50" s="16609" t="n"/>
    </row>
    <row r="51">
      <c r="A51" s="16610" t="n"/>
      <c r="B51" s="16611" t="n"/>
      <c r="C51" s="16612" t="n"/>
      <c r="D51" s="16613" t="n"/>
      <c r="E51" s="16614" t="n"/>
      <c r="F51" s="16615" t="n"/>
      <c r="G51" s="16616" t="n"/>
      <c r="H51" s="16617" t="n"/>
      <c r="I51" s="16618" t="n"/>
      <c r="J51" s="16619" t="n"/>
      <c r="K51" s="16620" t="n"/>
      <c r="L51" s="16621" t="n"/>
    </row>
    <row r="52">
      <c r="A52" s="16622" t="n"/>
      <c r="B52" s="16623" t="n"/>
      <c r="C52" s="16624" t="n"/>
      <c r="D52" s="16625" t="n"/>
      <c r="E52" s="16626" t="n"/>
      <c r="F52" s="16627" t="n"/>
      <c r="G52" s="16628" t="n"/>
      <c r="H52" s="16629" t="n"/>
      <c r="I52" s="16630" t="n"/>
      <c r="J52" s="16631" t="n"/>
      <c r="K52" s="16632" t="n"/>
      <c r="L52" s="16633" t="n"/>
    </row>
    <row r="53">
      <c r="A53" s="16634" t="n"/>
      <c r="B53" s="16635" t="n"/>
      <c r="C53" s="16636" t="n"/>
      <c r="D53" s="16637" t="n"/>
      <c r="E53" s="16638" t="n"/>
      <c r="F53" s="16639" t="n"/>
      <c r="G53" s="16640" t="n"/>
      <c r="H53" s="16641" t="n"/>
      <c r="I53" s="16642" t="n"/>
      <c r="J53" s="16643" t="n"/>
      <c r="K53" s="16644" t="n"/>
      <c r="L53" s="16645" t="n"/>
    </row>
    <row r="54">
      <c r="A54" s="16646" t="n"/>
      <c r="B54" s="16647" t="n"/>
      <c r="C54" s="16648" t="n"/>
      <c r="D54" s="16649" t="n"/>
      <c r="E54" s="16650" t="n"/>
      <c r="F54" s="16651" t="n"/>
      <c r="G54" s="16652" t="n"/>
      <c r="H54" s="16653" t="n"/>
      <c r="I54" s="16654" t="n"/>
      <c r="J54" s="16655" t="n"/>
      <c r="K54" s="16656" t="n"/>
      <c r="L54" s="16657" t="n"/>
    </row>
    <row r="55">
      <c r="A55" s="16658" t="n"/>
      <c r="B55" s="16659" t="n"/>
      <c r="C55" s="16660" t="n"/>
      <c r="D55" s="16661" t="n"/>
      <c r="E55" s="16662" t="n"/>
      <c r="F55" s="16663" t="n"/>
      <c r="G55" s="16664" t="n"/>
      <c r="H55" s="16665" t="n"/>
      <c r="I55" s="16666" t="n"/>
      <c r="J55" s="16667" t="n"/>
      <c r="K55" s="16668" t="n"/>
      <c r="L55" s="16669" t="n"/>
    </row>
    <row r="56">
      <c r="A56" s="16670" t="n"/>
      <c r="B56" s="16671" t="n"/>
      <c r="C56" s="16672" t="n"/>
      <c r="D56" s="16673" t="n"/>
      <c r="E56" s="16674" t="n"/>
      <c r="F56" s="16675" t="n"/>
      <c r="G56" s="16676" t="n"/>
      <c r="H56" s="16677" t="n"/>
      <c r="I56" s="16678" t="n"/>
      <c r="J56" s="16679" t="n"/>
      <c r="K56" s="16680" t="n"/>
      <c r="L56" s="16681" t="n"/>
    </row>
    <row r="57">
      <c r="A57" s="16682" t="n"/>
      <c r="B57" s="16683" t="n"/>
      <c r="C57" s="16684" t="n"/>
      <c r="D57" s="16685" t="n"/>
      <c r="E57" s="16686" t="n"/>
      <c r="F57" s="16687" t="n"/>
      <c r="G57" s="16688" t="n"/>
      <c r="H57" s="16689" t="n"/>
      <c r="I57" s="16690" t="n"/>
      <c r="J57" s="16691" t="n"/>
      <c r="K57" s="16692" t="n"/>
      <c r="L57" s="16693" t="n"/>
    </row>
    <row r="58">
      <c r="A58" s="16694" t="n"/>
      <c r="B58" s="16695" t="n"/>
      <c r="C58" s="16696" t="n"/>
      <c r="D58" s="16697" t="n"/>
      <c r="E58" s="16698" t="n"/>
      <c r="F58" s="16699" t="n"/>
      <c r="G58" s="16700" t="n"/>
      <c r="H58" s="16701" t="n"/>
      <c r="I58" s="16702" t="n"/>
      <c r="J58" s="16703" t="n"/>
      <c r="K58" s="16704" t="n"/>
      <c r="L58" s="16705" t="n"/>
    </row>
    <row r="59">
      <c r="A59" s="16706" t="n"/>
      <c r="B59" s="16707" t="n"/>
      <c r="C59" s="16708" t="n"/>
      <c r="D59" s="16709" t="n"/>
      <c r="E59" s="16710" t="n"/>
      <c r="F59" s="16711" t="n"/>
      <c r="G59" s="16712" t="n"/>
      <c r="H59" s="16713" t="n"/>
      <c r="I59" s="16714" t="n"/>
      <c r="J59" s="16715" t="n"/>
      <c r="K59" s="16716" t="n"/>
      <c r="L59" s="16717" t="n"/>
    </row>
    <row r="60">
      <c r="A60" s="16718" t="n"/>
      <c r="B60" s="16719" t="n"/>
      <c r="C60" s="16720" t="n"/>
      <c r="D60" s="16721" t="n"/>
      <c r="E60" s="16722" t="n"/>
      <c r="F60" s="16723" t="n"/>
      <c r="G60" s="16724" t="n"/>
      <c r="H60" s="16725" t="n"/>
      <c r="I60" s="16726" t="n"/>
      <c r="J60" s="16727" t="n"/>
      <c r="K60" s="16728" t="n"/>
      <c r="L60" s="16729" t="n"/>
    </row>
    <row r="61">
      <c r="A61" s="16730" t="n"/>
      <c r="B61" s="16731" t="n"/>
      <c r="C61" s="16732" t="n"/>
      <c r="D61" s="16733" t="n"/>
      <c r="E61" s="16734" t="n"/>
      <c r="F61" s="16735" t="n"/>
      <c r="G61" s="16736" t="n"/>
      <c r="H61" s="16737" t="n"/>
      <c r="I61" s="16738" t="n"/>
      <c r="J61" s="16739" t="n"/>
      <c r="K61" s="16740" t="n"/>
      <c r="L61" s="16741" t="n"/>
    </row>
    <row r="62">
      <c r="A62" s="16742" t="n"/>
      <c r="B62" s="16743" t="n"/>
      <c r="C62" s="16744" t="n"/>
      <c r="D62" s="16745" t="n"/>
      <c r="E62" s="16746" t="n"/>
      <c r="F62" s="16747" t="n"/>
      <c r="G62" s="16748" t="n"/>
      <c r="H62" s="16749" t="n"/>
      <c r="I62" s="16750" t="n"/>
      <c r="J62" s="16751" t="n"/>
      <c r="K62" s="16752" t="n"/>
      <c r="L62" s="16753" t="n"/>
    </row>
  </sheetData>
  <mergeCells count="8">
    <mergeCell ref="A14:G14"/>
    <mergeCell ref="A42:I42"/>
    <mergeCell ref="A6:G6"/>
    <mergeCell ref="A41:H41"/>
    <mergeCell ref="A34:F34"/>
    <mergeCell ref="A1:H1"/>
    <mergeCell ref="F3:H3"/>
    <mergeCell ref="A24:I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Jaramillo Rangel</dc:creator>
  <dcterms:created xsi:type="dcterms:W3CDTF">2026-06-08T23:01:45Z</dcterms:created>
  <dcterms:modified xsi:type="dcterms:W3CDTF">2026-07-03T19:57:02Z</dcterms:modified>
  <cp:lastModifiedBy>GRUPO TRUJANO 03</cp:lastModifiedBy>
</cp:coreProperties>
</file>